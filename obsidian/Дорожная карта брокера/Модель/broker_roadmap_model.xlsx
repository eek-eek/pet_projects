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егенда" sheetId="1" state="visible" r:id="rId3"/>
    <sheet name="Сводка" sheetId="2" state="visible" r:id="rId4"/>
    <sheet name="Дерево" sheetId="3" state="visible" r:id="rId5"/>
    <sheet name="Вводные" sheetId="4" state="visible" r:id="rId6"/>
    <sheet name="Чувствительность" sheetId="5" state="visible" r:id="rId7"/>
    <sheet name="Модель" sheetId="6" state="visible" r:id="rId8"/>
    <sheet name="Паспорта" sheetId="7" state="visible" r:id="rId9"/>
  </sheets>
  <definedNames>
    <definedName function="false" hidden="true" localSheetId="6" name="_xlnm._FilterDatabase" vbProcedure="false">Паспорта!$A$4:$Q$144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<sst xmlns="http://schemas.openxmlformats.org/spreadsheetml/2006/main" count="4572" uniqueCount="1248">
  <si>
    <t xml:space="preserve">Дорожная карта брокерского бизнеса — модель метрик (этап 1)</t>
  </si>
  <si>
    <t xml:space="preserve">Документ</t>
  </si>
  <si>
    <t xml:space="preserve">Модель метрик брокерского бизнеса — этап 1 дорожной карты проектов</t>
  </si>
  <si>
    <t xml:space="preserve">Версия</t>
  </si>
  <si>
    <t xml:space="preserve">v0.2 — в работе, метрики на согласовании</t>
  </si>
  <si>
    <t xml:space="preserve">Назначение</t>
  </si>
  <si>
    <t xml:space="preserve">Единая система метрик, связывающая управляемые драйверы с маржинальным доходом (МД). На этапе 2 каждая гипотеза ссылается на код драйвера, а её эффект переводится в деньги через лист «Чувствительность».</t>
  </si>
  <si>
    <t xml:space="preserve">Статус данных</t>
  </si>
  <si>
    <t xml:space="preserve">Значения вводных иллюстративные: условный брокер среднего размера, ориентиры — публичные брокеры (см. колонку «Источник / ориентир» на листе «Вводные» и отчёт с бенчмарками в репозитории). Перед выводами замените жёлтые ячейки фактом.</t>
  </si>
  <si>
    <t xml:space="preserve">Надёжность ориентиров</t>
  </si>
  <si>
    <t xml:space="preserve">Цифры бенчмарков получены из поисковых выдержек первоисточников: прямой доступ к отчётам компаний был закрыт. Перед внешним использованием сверить с документами.</t>
  </si>
  <si>
    <t xml:space="preserve">Единицы</t>
  </si>
  <si>
    <t xml:space="preserve">у.е. — условные денежные единицы; все суммы — за период (год).</t>
  </si>
  <si>
    <t xml:space="preserve">Этапы</t>
  </si>
  <si>
    <t xml:space="preserve">1. Метрики</t>
  </si>
  <si>
    <t xml:space="preserve">Этот файл: дерево, паспорта, модель, чувствительность — в работе, метрики на согласовании</t>
  </si>
  <si>
    <t xml:space="preserve">2. Гипотезы</t>
  </si>
  <si>
    <t xml:space="preserve">Шаблон карты гипотез, привязка к драйверам — следующий шаг</t>
  </si>
  <si>
    <t xml:space="preserve">3. Трудозатраты</t>
  </si>
  <si>
    <t xml:space="preserve">Оценка гипотез — после этапа 2</t>
  </si>
  <si>
    <t xml:space="preserve">4. Дорожная карта</t>
  </si>
  <si>
    <t xml:space="preserve">Приоритизация и раскладка по времени — после этапа 3</t>
  </si>
  <si>
    <t xml:space="preserve">Листы</t>
  </si>
  <si>
    <t xml:space="preserve">Сводка</t>
  </si>
  <si>
    <t xml:space="preserve">P&amp;L по сегментам, ключевые KPI, топ-10 драйверов по ценности улучшения</t>
  </si>
  <si>
    <t xml:space="preserve">Дерево</t>
  </si>
  <si>
    <t xml:space="preserve">Иерархия метрик от МД до драйверов с текущими значениями</t>
  </si>
  <si>
    <t xml:space="preserve">Вводные</t>
  </si>
  <si>
    <t xml:space="preserve">Все допущения модели по сегментам — редактировать здесь</t>
  </si>
  <si>
    <t xml:space="preserve">Чувствительность</t>
  </si>
  <si>
    <t xml:space="preserve">Ценность улучшения каждого драйвера на 1% и на практический шаг (1 п.п., 1 б.п.) — в горизонтах «год 1» и «долгосрочно»</t>
  </si>
  <si>
    <t xml:space="preserve">Модель</t>
  </si>
  <si>
    <t xml:space="preserve">Расчёт по сегментам; справа сгруппированы технические сценарии для чувствительности</t>
  </si>
  <si>
    <t xml:space="preserve">Паспорта</t>
  </si>
  <si>
    <t xml:space="preserve">Определения, формулы, источники данных, владельцы; опережающие индикаторы, ограничители, внешние факторы</t>
  </si>
  <si>
    <t xml:space="preserve">Цвета</t>
  </si>
  <si>
    <t xml:space="preserve">Вводная</t>
  </si>
  <si>
    <t xml:space="preserve">Синий шрифт на жёлтом фоне — допущения, которые нужно заменить фактом</t>
  </si>
  <si>
    <t xml:space="preserve">Формула</t>
  </si>
  <si>
    <t xml:space="preserve">Чёрный шрифт — расчёт</t>
  </si>
  <si>
    <t xml:space="preserve">Ссылка</t>
  </si>
  <si>
    <t xml:space="preserve">Зелёный шрифт — значение с другого листа</t>
  </si>
  <si>
    <t xml:space="preserve">Принятые решения</t>
  </si>
  <si>
    <t xml:space="preserve">Рынок</t>
  </si>
  <si>
    <t xml:space="preserve">Универсальная модель без привязки к юрисдикции; бенчмарки — публичные брокеры</t>
  </si>
  <si>
    <t xml:space="preserve">Сегменты</t>
  </si>
  <si>
    <t xml:space="preserve">Масс-розница, состоятельные, институционалы и корпоративные; B2B вне периметра</t>
  </si>
  <si>
    <t xml:space="preserve">Верх дерева</t>
  </si>
  <si>
    <t xml:space="preserve">Маржинальный доход; регуляторные задачи — отдельный обязательный трек без денежной оценки</t>
  </si>
  <si>
    <t xml:space="preserve">Формат</t>
  </si>
  <si>
    <t xml:space="preserve">Excel-модель + описание в markdown в репозитории</t>
  </si>
  <si>
    <t xml:space="preserve">Горизонт оценки</t>
  </si>
  <si>
    <t xml:space="preserve">Оба горизонта; гипотезы ранжируются по долгосрочному эффекту, бюджет проверяется по году 1</t>
  </si>
  <si>
    <t xml:space="preserve">Клиент</t>
  </si>
  <si>
    <t xml:space="preserve">Фондированный — активы от ≈$100 в эквиваленте; активный — любая операция за месяц</t>
  </si>
  <si>
    <t xml:space="preserve">Продукты</t>
  </si>
  <si>
    <t xml:space="preserve">«Выделение сервисов в продукты» — внутренние сервисы со своим P&amp;L; учитывается только эффект брокера, без эффектов для группы</t>
  </si>
  <si>
    <t xml:space="preserve">Ставки</t>
  </si>
  <si>
    <t xml:space="preserve">План строится на сценарии снижения ставок (RATE_SHIFT, по умолчанию −1 п.п.)</t>
  </si>
  <si>
    <t xml:space="preserve">Данные</t>
  </si>
  <si>
    <t xml:space="preserve">Работаем на ориентирах публичных брокеров; факт подставим позже</t>
  </si>
  <si>
    <t xml:space="preserve">Апгрейд МР → СК</t>
  </si>
  <si>
    <t xml:space="preserve">Отдельным драйвером не моделируется, считается внутри гипотез</t>
  </si>
  <si>
    <t xml:space="preserve">Срок карты</t>
  </si>
  <si>
    <t xml:space="preserve">3 года по полугодиям</t>
  </si>
  <si>
    <t xml:space="preserve">Как пользоваться</t>
  </si>
  <si>
    <t xml:space="preserve">Шаг 1</t>
  </si>
  <si>
    <t xml:space="preserve">Замените значения на листе «Вводные» фактическими данными по сегментам</t>
  </si>
  <si>
    <t xml:space="preserve">Шаг 2</t>
  </si>
  <si>
    <t xml:space="preserve">Сверьте «Сводку» с управленческой отчётностью: ЧВ и МД по сегментам должны совпасть (±5%)</t>
  </si>
  <si>
    <t xml:space="preserve">Шаг 3</t>
  </si>
  <si>
    <t xml:space="preserve">На листе «Чувствительность» — сколько МД даёт улучшение каждого драйвера</t>
  </si>
  <si>
    <t xml:space="preserve">Шаг 4</t>
  </si>
  <si>
    <t xml:space="preserve">HORIZON на листе «Вводные» переключает «Сводку» и «Дерево»: 1 — год 1 (P&amp;L плана), 2 — run-rate на конец года, 3 — долгосрочно (база = NEW ÷ CHURN). «Чувствительность» всегда показывает горизонты 1 и 3 рядом</t>
  </si>
  <si>
    <t xml:space="preserve">Шаг 5</t>
  </si>
  <si>
    <t xml:space="preserve">RATE_SHIFT на листе «Вводные» задаёт сценарий ставок; PT_MRG и PT_FLOAT — какая доля сдвига переходит в ставки клиентам</t>
  </si>
  <si>
    <t xml:space="preserve">Ограничения</t>
  </si>
  <si>
    <t xml:space="preserve">Независимы: переход клиентов между сегментами (апгрейд) пока не моделируется</t>
  </si>
  <si>
    <t xml:space="preserve">Эластичность</t>
  </si>
  <si>
    <t xml:space="preserve">Не учитывается: ценовые рычаги показаны при неизменных объёмах</t>
  </si>
  <si>
    <t xml:space="preserve">Линейность</t>
  </si>
  <si>
    <t xml:space="preserve">Модель линейна по каждому драйверу (кроме нагрузки на менеджера): эффект +5% = 5 × эффект +1%; совместные изменения дают небольшой перекрёстный эффект</t>
  </si>
  <si>
    <t xml:space="preserve">Периметр</t>
  </si>
  <si>
    <t xml:space="preserve">Постоянные расходы (ИТ-платформа, центральные функции, аренда) в МД не входят</t>
  </si>
  <si>
    <t xml:space="preserve">Горизонт</t>
  </si>
  <si>
    <t xml:space="preserve">Долгосрочный режим — упрощение: без дисконтирования и при неизменных драйверах; это ориентир для сравнения гипотез, а не прогноз</t>
  </si>
  <si>
    <t xml:space="preserve">Сводка: экономика брокерского бизнеса по сегментам</t>
  </si>
  <si>
    <t xml:space="preserve">Значения иллюстративные до замены вводных фактическими данными. P&amp;L и KPI — в режиме HORIZON (лист «Вводные»).</t>
  </si>
  <si>
    <t xml:space="preserve">Сдвиг ставок:</t>
  </si>
  <si>
    <t xml:space="preserve">Режим HORIZON:</t>
  </si>
  <si>
    <t xml:space="preserve">Код</t>
  </si>
  <si>
    <t xml:space="preserve">P&amp;L, у.е. за период</t>
  </si>
  <si>
    <t xml:space="preserve">Масс-розница</t>
  </si>
  <si>
    <t xml:space="preserve">Состоятельные</t>
  </si>
  <si>
    <t xml:space="preserve">Институционалы и корп.</t>
  </si>
  <si>
    <t xml:space="preserve">Итого</t>
  </si>
  <si>
    <t xml:space="preserve">Доля в ЧВ</t>
  </si>
  <si>
    <t xml:space="preserve">R1</t>
  </si>
  <si>
    <t xml:space="preserve">Торговые комиссии (нетто)</t>
  </si>
  <si>
    <t xml:space="preserve">R2</t>
  </si>
  <si>
    <t xml:space="preserve">Маржинальное кредитование (нетто)</t>
  </si>
  <si>
    <t xml:space="preserve">R3</t>
  </si>
  <si>
    <t xml:space="preserve">Доход на свободные остатки (нетто)</t>
  </si>
  <si>
    <t xml:space="preserve">R4</t>
  </si>
  <si>
    <t xml:space="preserve">Конвертация валют</t>
  </si>
  <si>
    <t xml:space="preserve">R5</t>
  </si>
  <si>
    <t xml:space="preserve">Размещения и продукты</t>
  </si>
  <si>
    <t xml:space="preserve">R6</t>
  </si>
  <si>
    <t xml:space="preserve">ДУ и консультирование</t>
  </si>
  <si>
    <t xml:space="preserve">R7</t>
  </si>
  <si>
    <t xml:space="preserve">Подписки и сервисные комиссии</t>
  </si>
  <si>
    <t xml:space="preserve">NR</t>
  </si>
  <si>
    <t xml:space="preserve">ЧВ — чистая выручка</t>
  </si>
  <si>
    <t xml:space="preserve">C1</t>
  </si>
  <si>
    <t xml:space="preserve">Поддержка клиентов</t>
  </si>
  <si>
    <t xml:space="preserve">C2</t>
  </si>
  <si>
    <t xml:space="preserve">Онбординг и KYC</t>
  </si>
  <si>
    <t xml:space="preserve">C3</t>
  </si>
  <si>
    <t xml:space="preserve">Бэк-офис: ручные операции</t>
  </si>
  <si>
    <t xml:space="preserve">C4</t>
  </si>
  <si>
    <t xml:space="preserve">Персональные менеджеры и покрытие</t>
  </si>
  <si>
    <t xml:space="preserve">CTS</t>
  </si>
  <si>
    <t xml:space="preserve">ЗО — затраты на обслуживание</t>
  </si>
  <si>
    <t xml:space="preserve">ACQ</t>
  </si>
  <si>
    <t xml:space="preserve">ЗП — затраты на привлечение</t>
  </si>
  <si>
    <t xml:space="preserve">C5</t>
  </si>
  <si>
    <t xml:space="preserve">Кредитные потери</t>
  </si>
  <si>
    <t xml:space="preserve">C6</t>
  </si>
  <si>
    <t xml:space="preserve">Операционные потери</t>
  </si>
  <si>
    <t xml:space="preserve">LOSS</t>
  </si>
  <si>
    <t xml:space="preserve">ПТ — потери</t>
  </si>
  <si>
    <t xml:space="preserve">CM</t>
  </si>
  <si>
    <t xml:space="preserve">МД — маржинальный доход</t>
  </si>
  <si>
    <t xml:space="preserve">Ключевые показатели</t>
  </si>
  <si>
    <t xml:space="preserve">N_AVG</t>
  </si>
  <si>
    <t xml:space="preserve">Фондированные клиенты, среднее за период</t>
  </si>
  <si>
    <t xml:space="preserve">NEW</t>
  </si>
  <si>
    <t xml:space="preserve">Новые фондированные клиенты</t>
  </si>
  <si>
    <t xml:space="preserve">ACTIVE</t>
  </si>
  <si>
    <t xml:space="preserve">Активные клиенты (среднемесячно)</t>
  </si>
  <si>
    <t xml:space="preserve">AUC</t>
  </si>
  <si>
    <t xml:space="preserve">Активы клиентов, среднее за период</t>
  </si>
  <si>
    <t xml:space="preserve">TURN</t>
  </si>
  <si>
    <t xml:space="preserve">Оборот клиентов за период</t>
  </si>
  <si>
    <t xml:space="preserve">MPORT</t>
  </si>
  <si>
    <t xml:space="preserve">Маржинальный портфель, среднее за период</t>
  </si>
  <si>
    <t xml:space="preserve">ARPU</t>
  </si>
  <si>
    <t xml:space="preserve">Чистая выручка на фондированного клиента</t>
  </si>
  <si>
    <t xml:space="preserve">YIELD</t>
  </si>
  <si>
    <t xml:space="preserve">Доходность активов клиентов</t>
  </si>
  <si>
    <t xml:space="preserve">CM_MARGIN</t>
  </si>
  <si>
    <t xml:space="preserve">Маржинальность (МД ÷ ЧВ)</t>
  </si>
  <si>
    <t xml:space="preserve">CM_PC</t>
  </si>
  <si>
    <t xml:space="preserve">МД на фондированного клиента</t>
  </si>
  <si>
    <t xml:space="preserve">LTV</t>
  </si>
  <si>
    <t xml:space="preserve">LTV — вклад клиента за срок жизни</t>
  </si>
  <si>
    <t xml:space="preserve">LTV_CAC</t>
  </si>
  <si>
    <t xml:space="preserve">LTV ÷ CAC</t>
  </si>
  <si>
    <t xml:space="preserve">PAYBACK</t>
  </si>
  <si>
    <t xml:space="preserve">Срок окупаемости привлечения</t>
  </si>
  <si>
    <t xml:space="preserve">RATE_SHARE</t>
  </si>
  <si>
    <t xml:space="preserve">Доля ЧВ, зависящая от процентных ставок</t>
  </si>
  <si>
    <t xml:space="preserve">Долгосрочный ориентир (горизонт 3: база = NEW ÷ CHURN)</t>
  </si>
  <si>
    <t xml:space="preserve">Ранг</t>
  </si>
  <si>
    <t xml:space="preserve">Топ-10 объёмных и затратных драйверов: ценность улучшения на 1%</t>
  </si>
  <si>
    <t xml:space="preserve">ΔМД в год, долгосрочно</t>
  </si>
  <si>
    <t xml:space="preserve">ΔМД, год 1</t>
  </si>
  <si>
    <t xml:space="preserve">Тип рычага</t>
  </si>
  <si>
    <t xml:space="preserve">Управляемость</t>
  </si>
  <si>
    <t xml:space="preserve">Ценовые рычаги: ценность +1% при неизменных объёмах (без эластичности)</t>
  </si>
  <si>
    <t xml:space="preserve">Рейтинг — по долгосрочному эффекту. Внешние факторы (ставки рынка) исключены; ценовые рычаги — отдельный тип решений, их эффект показан без реакции клиентов.</t>
  </si>
  <si>
    <t xml:space="preserve">Отрицательный эффект года 1 у драйверов привлечения — не ошибка: CAC платится сразу, доход приходит позже. На иллюстративных данных рейтинг показывает механику, а не приоритеты.</t>
  </si>
  <si>
    <t xml:space="preserve">Дерево метрик: от маржинального дохода к драйверам</t>
  </si>
  <si>
    <t xml:space="preserve">Каждый узел — формула от дочерних. Значения — базовый расчёт с листа «Модель».</t>
  </si>
  <si>
    <t xml:space="preserve">Уровень</t>
  </si>
  <si>
    <t xml:space="preserve">Метрика</t>
  </si>
  <si>
    <t xml:space="preserve">Ед.</t>
  </si>
  <si>
    <t xml:space="preserve">Тип</t>
  </si>
  <si>
    <t xml:space="preserve">ЧВ − ЗО − ЗП − ПТ</t>
  </si>
  <si>
    <t xml:space="preserve">у.е.</t>
  </si>
  <si>
    <t xml:space="preserve">Расчёт</t>
  </si>
  <si>
    <t xml:space="preserve">R1 + R2 + R3 + R4 + R5 + R6 + R7</t>
  </si>
  <si>
    <t xml:space="preserve">TURN × (TAKE − EXEC)</t>
  </si>
  <si>
    <t xml:space="preserve">ACTIVE × TPA × 12 × TICKET</t>
  </si>
  <si>
    <t xml:space="preserve">N_AVG × ACT</t>
  </si>
  <si>
    <t xml:space="preserve">чел.</t>
  </si>
  <si>
    <t xml:space="preserve">TPA</t>
  </si>
  <si>
    <t xml:space="preserve">Сделок в месяц на активного клиента</t>
  </si>
  <si>
    <t xml:space="preserve">шт./клиент</t>
  </si>
  <si>
    <t xml:space="preserve">Вводная: объёмный</t>
  </si>
  <si>
    <t xml:space="preserve">TICKET</t>
  </si>
  <si>
    <t xml:space="preserve">Средний объём сделки</t>
  </si>
  <si>
    <t xml:space="preserve">TAKE</t>
  </si>
  <si>
    <t xml:space="preserve">Комиссия брокера, % от оборота (эффективная, с учётом тарифов и скидок)</t>
  </si>
  <si>
    <t xml:space="preserve">%</t>
  </si>
  <si>
    <t xml:space="preserve">Вводная: ценовой</t>
  </si>
  <si>
    <t xml:space="preserve">EXEC</t>
  </si>
  <si>
    <t xml:space="preserve">Затраты на исполнение (биржевые, клиринговые, депозитарные сборы, вышестоящий брокер), % от оборота</t>
  </si>
  <si>
    <t xml:space="preserve">Вводная: затратный</t>
  </si>
  <si>
    <t xml:space="preserve">MPORT × ((MRG_RATE + RATE_SHIFT × PT_MRG) − (FUND_RATE + RATE_SHIFT))</t>
  </si>
  <si>
    <t xml:space="preserve">N_AVG × MRG_PEN × MRG_DEBT</t>
  </si>
  <si>
    <t xml:space="preserve">MRG_PEN</t>
  </si>
  <si>
    <t xml:space="preserve">Проникновение маржинальной торговли: доля фондированных клиентов с задолженностью</t>
  </si>
  <si>
    <t xml:space="preserve">MRG_DEBT</t>
  </si>
  <si>
    <t xml:space="preserve">Средняя задолженность маржинального клиента</t>
  </si>
  <si>
    <t xml:space="preserve">MRG_RATE</t>
  </si>
  <si>
    <t xml:space="preserve">Ставка для клиента по маржинальному кредиту (деньги и ценные бумаги)</t>
  </si>
  <si>
    <t xml:space="preserve">FUND_RATE</t>
  </si>
  <si>
    <t xml:space="preserve">Стоимость фондирования маржинального портфеля</t>
  </si>
  <si>
    <t xml:space="preserve">Вводная: внешний</t>
  </si>
  <si>
    <t xml:space="preserve">CASHBAL × ((FLOAT_Y + RATE_SHIFT) − max(0; FLOAT_P + RATE_SHIFT × PT_FLOAT))</t>
  </si>
  <si>
    <t xml:space="preserve">CASHBAL</t>
  </si>
  <si>
    <t xml:space="preserve">Свободные денежные остатки клиентов</t>
  </si>
  <si>
    <t xml:space="preserve">AUC × CASH</t>
  </si>
  <si>
    <t xml:space="preserve">N_AVG × AUC_PC</t>
  </si>
  <si>
    <t xml:space="preserve">AUC_PC</t>
  </si>
  <si>
    <t xml:space="preserve">Средние активы на фондированного клиента</t>
  </si>
  <si>
    <t xml:space="preserve">CASH</t>
  </si>
  <si>
    <t xml:space="preserve">Доля свободных денежных средств в активах клиентов</t>
  </si>
  <si>
    <t xml:space="preserve">FLOAT_Y</t>
  </si>
  <si>
    <t xml:space="preserve">Доходность размещения свободных остатков клиентов</t>
  </si>
  <si>
    <t xml:space="preserve">FLOAT_P</t>
  </si>
  <si>
    <t xml:space="preserve">Ставка, выплачиваемая клиентам на свободные остатки</t>
  </si>
  <si>
    <t xml:space="preserve">FXVOLUME × FX_SPREAD</t>
  </si>
  <si>
    <t xml:space="preserve">FXVOLUME</t>
  </si>
  <si>
    <t xml:space="preserve">Объём конвертаций за период</t>
  </si>
  <si>
    <t xml:space="preserve">N_AVG × FX_PEN × FX_VOL</t>
  </si>
  <si>
    <t xml:space="preserve">FX_PEN</t>
  </si>
  <si>
    <t xml:space="preserve">Доля фондированных клиентов, совершающих конвертации</t>
  </si>
  <si>
    <t xml:space="preserve">FX_VOL</t>
  </si>
  <si>
    <t xml:space="preserve">Объём конвертаций на конвертирующего клиента в год</t>
  </si>
  <si>
    <t xml:space="preserve">FX_SPREAD</t>
  </si>
  <si>
    <t xml:space="preserve">Комиссия и спред за конвертацию, % от объёма</t>
  </si>
  <si>
    <t xml:space="preserve">PRDVOLUME × PRD_FEE</t>
  </si>
  <si>
    <t xml:space="preserve">PRDVOLUME</t>
  </si>
  <si>
    <t xml:space="preserve">Объём продаж продуктов и размещений</t>
  </si>
  <si>
    <t xml:space="preserve">N_AVG × PRD_PEN × PRD_VOL</t>
  </si>
  <si>
    <t xml:space="preserve">PRD_PEN</t>
  </si>
  <si>
    <t xml:space="preserve">Доля фондированных клиентов, купивших размещения или продукты за год (ИК — доля клиентов-эмитентов, проведших размещение)</t>
  </si>
  <si>
    <t xml:space="preserve">PRD_VOL</t>
  </si>
  <si>
    <t xml:space="preserve">Средний объём покупок продуктов на клиента в год (ИК — средний объём размещения)</t>
  </si>
  <si>
    <t xml:space="preserve">PRD_FEE</t>
  </si>
  <si>
    <t xml:space="preserve">Средняя комиссия или маржа по продуктам и размещениям, % от объёма</t>
  </si>
  <si>
    <t xml:space="preserve">AUM × AM_FEE</t>
  </si>
  <si>
    <t xml:space="preserve">AUM</t>
  </si>
  <si>
    <t xml:space="preserve">Активы в ДУ и на консультировании</t>
  </si>
  <si>
    <t xml:space="preserve">AUC × AM_SHARE</t>
  </si>
  <si>
    <t xml:space="preserve">AM_SHARE</t>
  </si>
  <si>
    <t xml:space="preserve">Доля активов клиентов в ДУ, модельных портфелях и на консультировании</t>
  </si>
  <si>
    <t xml:space="preserve">AM_FEE</t>
  </si>
  <si>
    <t xml:space="preserve">Комиссия за управление и консультирование, % годовых (вкл. success fee)</t>
  </si>
  <si>
    <t xml:space="preserve">SUBS × SUB_PRICE + AUC × CUST_FEE</t>
  </si>
  <si>
    <t xml:space="preserve">SUBS</t>
  </si>
  <si>
    <t xml:space="preserve">Платные подписчики</t>
  </si>
  <si>
    <t xml:space="preserve">N_AVG × SUB_PEN</t>
  </si>
  <si>
    <t xml:space="preserve">SUB_PEN</t>
  </si>
  <si>
    <t xml:space="preserve">Доля фондированных клиентов с платной подпиской или премиальным тарифом</t>
  </si>
  <si>
    <t xml:space="preserve">SUB_PRICE</t>
  </si>
  <si>
    <t xml:space="preserve">Стоимость подписки или премиального обслуживания в год</t>
  </si>
  <si>
    <t xml:space="preserve">CUST_FEE</t>
  </si>
  <si>
    <t xml:space="preserve">Депозитарная и кастодиальная комиссия, % от активов в год</t>
  </si>
  <si>
    <t xml:space="preserve">C1 + C2 + C3 + C4</t>
  </si>
  <si>
    <t xml:space="preserve">N_AVG × SUP_RATE × SUP_COST</t>
  </si>
  <si>
    <t xml:space="preserve">SUP_RATE</t>
  </si>
  <si>
    <t xml:space="preserve">Обращений в поддержку на фондированного клиента в год</t>
  </si>
  <si>
    <t xml:space="preserve">SUP_COST</t>
  </si>
  <si>
    <t xml:space="preserve">Стоимость обработки одного обращения</t>
  </si>
  <si>
    <t xml:space="preserve">LEADS × (KYC_UNIT + KYC_MAN × KYC_MAN_COST)</t>
  </si>
  <si>
    <t xml:space="preserve">LEADS</t>
  </si>
  <si>
    <t xml:space="preserve">Заявки на открытие счёта за период (ИК — потенциальные клиенты в воронке продаж)</t>
  </si>
  <si>
    <t xml:space="preserve">шт.</t>
  </si>
  <si>
    <t xml:space="preserve">KYC_UNIT</t>
  </si>
  <si>
    <t xml:space="preserve">Стоимость автоматической проверки заявки (KYC/AML-сервисы, документы)</t>
  </si>
  <si>
    <t xml:space="preserve">KYC_MAN</t>
  </si>
  <si>
    <t xml:space="preserve">Доля заявок, требующих ручной проверки</t>
  </si>
  <si>
    <t xml:space="preserve">KYC_MAN_COST</t>
  </si>
  <si>
    <t xml:space="preserve">Стоимость ручной проверки заявки</t>
  </si>
  <si>
    <t xml:space="preserve">N_AVG × OPS_PC × OPS_MAN × OPS_COST</t>
  </si>
  <si>
    <t xml:space="preserve">OPS_PC</t>
  </si>
  <si>
    <t xml:space="preserve">Операций бэк-офиса на фондированного клиента в год (вводы/выводы, переводы ЦБ, корп. действия, заявления)</t>
  </si>
  <si>
    <t xml:space="preserve">OPS_MAN</t>
  </si>
  <si>
    <t xml:space="preserve">Доля операций с ручной обработкой (не STP)</t>
  </si>
  <si>
    <t xml:space="preserve">OPS_COST</t>
  </si>
  <si>
    <t xml:space="preserve">Стоимость ручной обработки одной операции</t>
  </si>
  <si>
    <t xml:space="preserve">N_AVG ÷ RM_LOAD × RM_COST</t>
  </si>
  <si>
    <t xml:space="preserve">RM_LOAD</t>
  </si>
  <si>
    <t xml:space="preserve">Клиентов на одного персонального менеджера / сотрудника покрытия (0 — модели нет)</t>
  </si>
  <si>
    <t xml:space="preserve">RM_COST</t>
  </si>
  <si>
    <t xml:space="preserve">Полная годовая стоимость менеджера (ФОТ, налоги, бонусы, рабочее место)</t>
  </si>
  <si>
    <t xml:space="preserve">NEW × CAC</t>
  </si>
  <si>
    <t xml:space="preserve">LEADS × CR_OPEN × CR_FUND</t>
  </si>
  <si>
    <t xml:space="preserve">CAC</t>
  </si>
  <si>
    <t xml:space="preserve">Затраты на привлечение одного фондированного клиента (маркетинг, агентские, бонусы)</t>
  </si>
  <si>
    <t xml:space="preserve">C5 + C6</t>
  </si>
  <si>
    <t xml:space="preserve">MPORT × CL</t>
  </si>
  <si>
    <t xml:space="preserve">CL</t>
  </si>
  <si>
    <t xml:space="preserve">Кредитные потери по маржинальному портфелю, % в год</t>
  </si>
  <si>
    <t xml:space="preserve">OPLOSS</t>
  </si>
  <si>
    <t xml:space="preserve">Операционные потери за период: ошибки, компенсации клиентам, штрафы</t>
  </si>
  <si>
    <t xml:space="preserve">Клиентская база — общий драйвер веток R1–R7 и затрат</t>
  </si>
  <si>
    <t xml:space="preserve">Горизонт 1: N0 + ½(NEW − CHURNED); 2: N0 + NEW − CHURNED; 3: NEW ÷ CHURN</t>
  </si>
  <si>
    <t xml:space="preserve">N0</t>
  </si>
  <si>
    <t xml:space="preserve">Фондированные клиенты на начало периода</t>
  </si>
  <si>
    <t xml:space="preserve">Вводная: база</t>
  </si>
  <si>
    <t xml:space="preserve">CR_OPEN</t>
  </si>
  <si>
    <t xml:space="preserve">Конверсия: заявка → открытый счёт (KYC пройден; ИК — договор подписан)</t>
  </si>
  <si>
    <t xml:space="preserve">CR_FUND</t>
  </si>
  <si>
    <t xml:space="preserve">Конверсия: открытый счёт → фондированный (первое пополнение)</t>
  </si>
  <si>
    <t xml:space="preserve">CHURNED</t>
  </si>
  <si>
    <t xml:space="preserve">Ушедшие фондированные клиенты</t>
  </si>
  <si>
    <t xml:space="preserve">N0 × CHURN</t>
  </si>
  <si>
    <t xml:space="preserve">CHURN</t>
  </si>
  <si>
    <t xml:space="preserve">Годовой отток фондированных клиентов (вывели активы ниже порога или закрыли счёт)</t>
  </si>
  <si>
    <t xml:space="preserve">ACT</t>
  </si>
  <si>
    <t xml:space="preserve">Доля активных: среднемесячная доля фондированных клиентов с ≥1 операцией (сделка, пополнение, покупка продукта или подписки)</t>
  </si>
  <si>
    <t xml:space="preserve">Производные KPI</t>
  </si>
  <si>
    <t xml:space="preserve">NR ÷ N_AVG</t>
  </si>
  <si>
    <t xml:space="preserve">NR ÷ AUC × 10 000</t>
  </si>
  <si>
    <t xml:space="preserve">б.п.</t>
  </si>
  <si>
    <t xml:space="preserve">CM ÷ NR</t>
  </si>
  <si>
    <t xml:space="preserve">CM ÷ N_AVG</t>
  </si>
  <si>
    <t xml:space="preserve">CONTRIB_PC</t>
  </si>
  <si>
    <t xml:space="preserve">Вклад клиента до затрат на привлечение, в год</t>
  </si>
  <si>
    <t xml:space="preserve">(NR − CTS − LOSS) ÷ N_AVG</t>
  </si>
  <si>
    <t xml:space="preserve">CONTRIB_PC ÷ (CHURNED ÷ N0)</t>
  </si>
  <si>
    <t xml:space="preserve">LTV ÷ (ACQ ÷ NEW)</t>
  </si>
  <si>
    <t xml:space="preserve">x</t>
  </si>
  <si>
    <t xml:space="preserve">(ACQ ÷ NEW) ÷ (CONTRIB_PC ÷ 12)</t>
  </si>
  <si>
    <t xml:space="preserve">мес.</t>
  </si>
  <si>
    <t xml:space="preserve">(R2 + R3) ÷ NR</t>
  </si>
  <si>
    <t xml:space="preserve">Вводные модели по сегментам</t>
  </si>
  <si>
    <t xml:space="preserve">Синий шрифт на жёлтом фоне — вводные. Значения иллюстративные: замените их фактическими данными. Все суммы — в условных единицах (у.е.) за период (год).</t>
  </si>
  <si>
    <t xml:space="preserve">Глобальные параметры</t>
  </si>
  <si>
    <t xml:space="preserve">SHOCK</t>
  </si>
  <si>
    <t xml:space="preserve">Шаг анализа чувствительности (улучшение драйвера, относительное)</t>
  </si>
  <si>
    <t xml:space="preserve">1% — стандарт; модель линейна по каждому драйверу, поэтому эффект +5% = 5 × эффект +1%.</t>
  </si>
  <si>
    <t xml:space="preserve">HORIZON</t>
  </si>
  <si>
    <t xml:space="preserve">Горизонт оценки для листов «Сводка», «Дерево» и колонок E–H «Модели»</t>
  </si>
  <si>
    <t xml:space="preserve">режим</t>
  </si>
  <si>
    <t xml:space="preserve">1 — год 1: P&amp;L плана, новые и ушедшие клиенты учитываются за полгода; 2 — run-rate на конец года; 3 — долгосрочно: база сходится к NEW ÷ CHURN. Чувствительность всегда считается в режимах 1 и 3.</t>
  </si>
  <si>
    <t xml:space="preserve">RATE_SHIFT</t>
  </si>
  <si>
    <t xml:space="preserve">Сценарий ставок: сдвиг рыночных ставок к текущим (FLOAT_Y, FUND_RATE)</t>
  </si>
  <si>
    <t xml:space="preserve">сдвиг</t>
  </si>
  <si>
    <t xml:space="preserve">Решение 07.10.2026: план строится только на сценарии снижения ставок. Величина −1 п.п. — допущение, поменяйте при необходимости.</t>
  </si>
  <si>
    <t xml:space="preserve">PT_MRG</t>
  </si>
  <si>
    <t xml:space="preserve">Доля сдвига ставок, которая переходит в ставку по марже для клиентов</t>
  </si>
  <si>
    <t xml:space="preserve">коэф.</t>
  </si>
  <si>
    <t xml:space="preserve">1 — ставка по марже следует за рынком полностью, спред по марже сохраняется.</t>
  </si>
  <si>
    <t xml:space="preserve">PT_FLOAT</t>
  </si>
  <si>
    <t xml:space="preserve">Доля сдвига ставок, которая переходит в ставку клиентам на остатки</t>
  </si>
  <si>
    <t xml:space="preserve">0,5 — брокер снижает ставку клиентам вдвое медленнее рынка; спред на остатках сужается.</t>
  </si>
  <si>
    <t xml:space="preserve">коды сегментов →</t>
  </si>
  <si>
    <t xml:space="preserve">MR</t>
  </si>
  <si>
    <t xml:space="preserve">AF</t>
  </si>
  <si>
    <t xml:space="preserve">IC</t>
  </si>
  <si>
    <t xml:space="preserve">Параметр</t>
  </si>
  <si>
    <t xml:space="preserve">Направление</t>
  </si>
  <si>
    <t xml:space="preserve">Влияет на</t>
  </si>
  <si>
    <t xml:space="preserve">Источник / ориентир</t>
  </si>
  <si>
    <t xml:space="preserve">Комментарий</t>
  </si>
  <si>
    <t xml:space="preserve">Клиентская база и воронка</t>
  </si>
  <si>
    <t xml:space="preserve">Состояние</t>
  </si>
  <si>
    <t xml:space="preserve">База</t>
  </si>
  <si>
    <t xml:space="preserve">Все ветки</t>
  </si>
  <si>
    <t xml:space="preserve">Масштаб условный.</t>
  </si>
  <si>
    <t xml:space="preserve">Фондированный клиент — активы от ≈$100 в эквиваленте (решение 07.10.2026).</t>
  </si>
  <si>
    <t xml:space="preserve">Управляемый</t>
  </si>
  <si>
    <t xml:space="preserve">Объёмный</t>
  </si>
  <si>
    <t xml:space="preserve">NEW, C2</t>
  </si>
  <si>
    <t xml:space="preserve">Futu 2025: пользователь приложения → брокерский счёт 20,4%. Цифровой KYC завершают 60–90% начавших (вендорные данные).</t>
  </si>
  <si>
    <t xml:space="preserve">Futu 2025: счёт → фондированный 56,6%. Регистрация → фондированный: eToro ≈9%, Webull 19–23%.</t>
  </si>
  <si>
    <t xml:space="preserve">CHURNED → N_AVG, LTV</t>
  </si>
  <si>
    <t xml:space="preserve">Удержание клиентов в год: Webull и Futu ≈88–92%, Wealthfront 95%, AJ Bell 94,2%, Hargreaves Lansdown 91–92% (2023–2025).</t>
  </si>
  <si>
    <t xml:space="preserve">ACTIVE → TURN → R1</t>
  </si>
  <si>
    <t xml:space="preserve">Активность «любая операция» лежит между торговой и заходами в приложение: Мосбиржа 2025 — в среднем месяце торгуют ≈24% непустых счетов [расчёт]; Robinhood — MAU ÷ фондированные ≈47% (2023).</t>
  </si>
  <si>
    <t xml:space="preserve">Торговая активность и комиссии</t>
  </si>
  <si>
    <t xml:space="preserve">Частично</t>
  </si>
  <si>
    <t xml:space="preserve">TURN → R1</t>
  </si>
  <si>
    <t xml:space="preserve">Сделок на клиента в год: flatexDEGIRO 23–26, Nordnet ≈25–30 (в модели МР: ACT × TPA × 12 ≈ 25); счёт Schwab ≈75; IBKR ≈160 (2025–2026).</t>
  </si>
  <si>
    <t xml:space="preserve">Зависит от волатильности рынка.</t>
  </si>
  <si>
    <t xml:space="preserve">Условно.</t>
  </si>
  <si>
    <t xml:space="preserve">Ценовой</t>
  </si>
  <si>
    <t xml:space="preserve">Тарифы: Россия 0,3% без абонплаты и 0,018–0,06% на активных тарифах; Казахстан: Freedom 0,085%, Halyk 0,03%. Эффективная ставка зависит от микса тарифов.</t>
  </si>
  <si>
    <t xml:space="preserve">Ценовой рычаг: эффект показан при неизменном обороте; учитывать эластичность.</t>
  </si>
  <si>
    <t xml:space="preserve">Затратный</t>
  </si>
  <si>
    <t xml:space="preserve">IBKR 2025: затраты на исполнение и клиринг ≈21% от комиссий.</t>
  </si>
  <si>
    <t xml:space="preserve">Активы клиентов и свободные остатки</t>
  </si>
  <si>
    <t xml:space="preserve">AUC → R3, R6, R7</t>
  </si>
  <si>
    <t xml:space="preserve">Robinhood ≈ $10 тыс. на фондированного [расчёт: ARPU $171 ÷ 173 б.п.]; T-Investments ≈219 тыс. ₽ на клиента (2026); РФ: 2,3 млн ₽ на клиента с активами &gt; 10 тыс. ₽ (ЦБ РФ, Q2 2026).</t>
  </si>
  <si>
    <t xml:space="preserve">Управляемая часть — чистый приток (NNA); переоценка — рыночный эффект.</t>
  </si>
  <si>
    <t xml:space="preserve">CASHBAL → R3</t>
  </si>
  <si>
    <t xml:space="preserve">Свободные остатки к активам: Robinhood 8,1% (08.2026), Schwab 8,8–9,7%, IBKR 19–21% (2026).</t>
  </si>
  <si>
    <t xml:space="preserve">Рост доли кэша повышает R3, но может снижать оборот и продажи продуктов.</t>
  </si>
  <si>
    <t xml:space="preserve">Внешний</t>
  </si>
  <si>
    <t xml:space="preserve">Внешний фактор: текущая ставка денежного рынка, к ней применяется сценарий RATE_SHIFT.</t>
  </si>
  <si>
    <t xml:space="preserve">Определяется ставками денежного рынка и правилами размещения клиентских средств.</t>
  </si>
  <si>
    <t xml:space="preserve">Условно: зависит от тарифной политики и конкурентов.</t>
  </si>
  <si>
    <t xml:space="preserve">Ценовой рычаг: снижение ставки может вызвать отток остатков.</t>
  </si>
  <si>
    <t xml:space="preserve">Маржинальное кредитование</t>
  </si>
  <si>
    <t xml:space="preserve">MPORT → R2, C5</t>
  </si>
  <si>
    <t xml:space="preserve">Маржинальный портфель к активам: Robinhood 5,6% (08.2026), IBKR 10,9–11,7%, Schwab ≈1–1,3%. Доля клиентов с маржой публично не раскрывается.</t>
  </si>
  <si>
    <t xml:space="preserve">Через портфель к активам (см. MRG_PEN).</t>
  </si>
  <si>
    <t xml:space="preserve">Freedom (РК): базовая ставка НБРК + 4 п.п., не ниже 15%; T-Investments Premium ≈14–26% годовых [расчёт].</t>
  </si>
  <si>
    <t xml:space="preserve">Ценовой рычаг: учитывать эластичность спроса на плечо.</t>
  </si>
  <si>
    <t xml:space="preserve">Внешний фактор: текущая стоимость фондирования, к ней применяется сценарий RATE_SHIFT.</t>
  </si>
  <si>
    <t xml:space="preserve">Условно; ориентир — данные риск-менеджмента.</t>
  </si>
  <si>
    <t xml:space="preserve">Валютообменные операции</t>
  </si>
  <si>
    <t xml:space="preserve">FXVOLUME → R4</t>
  </si>
  <si>
    <t xml:space="preserve">Условно: доля конвертирующих клиентов в открытых источниках не найдена.</t>
  </si>
  <si>
    <t xml:space="preserve">Условно; у Swissquote валютные операции ≈13% выручки (2025).</t>
  </si>
  <si>
    <t xml:space="preserve">PRDVOLUME → R5</t>
  </si>
  <si>
    <t xml:space="preserve">Условно; российские брокеры: комиссии за размещения выросли в 1,5 раза в 1П 2026.</t>
  </si>
  <si>
    <t xml:space="preserve">Условно; диапазоны комиссий андеррайтинга не подтверждены источниками.</t>
  </si>
  <si>
    <t xml:space="preserve">AUM → R6</t>
  </si>
  <si>
    <t xml:space="preserve">UBS GWM: доля мандатов ≈38% (2024); активы с комиссией ≈44% инвестированных [расчёт].</t>
  </si>
  <si>
    <t xml:space="preserve">Частные банки: валовая маржа на активы 82–91 б.п. (Julius Baer, EFG, 2025–2026).</t>
  </si>
  <si>
    <t xml:space="preserve">SUBS → R7</t>
  </si>
  <si>
    <t xml:space="preserve">Robinhood Gold: 4,8 млн подписчиков ≈17% фондированных; ≈40% новых клиентов оформляют подписку (2026).</t>
  </si>
  <si>
    <t xml:space="preserve">Robinhood Gold ≈ $5 в месяц; T «Трейдер» 290–390 ₽ в месяц.</t>
  </si>
  <si>
    <t xml:space="preserve">Условно: кастодиальные ставки не подтверждены источниками.</t>
  </si>
  <si>
    <t xml:space="preserve">Затраты на обслуживание</t>
  </si>
  <si>
    <t xml:space="preserve">Условно: нагрузку на поддержку брокеры не раскрывают.</t>
  </si>
  <si>
    <t xml:space="preserve">Gartner (2019): $8,01 за живой контакт против $0,10 за самообслуживание.</t>
  </si>
  <si>
    <t xml:space="preserve">Прайс-листы KYC-провайдеров (Sumsub, Veriff): $0,80–1,85 за проверку.</t>
  </si>
  <si>
    <t xml:space="preserve">Ручная проверка также удлиняет онбординг и снижает CR_OPEN.</t>
  </si>
  <si>
    <t xml:space="preserve">Условно; DTCC: подтверждение сделки в день сделки ≈94,5–94,8% после перехода США на T+1 (институциональный ориентир STP).</t>
  </si>
  <si>
    <t xml:space="preserve">Julius Baer: ≈ CHF 438 млн активов на менеджера (частный банк, верхняя граница).</t>
  </si>
  <si>
    <t xml:space="preserve">Затраты обратно пропорциональны нагрузке — эффект почти, но не строго линеен.</t>
  </si>
  <si>
    <t xml:space="preserve">Привлечение и потери</t>
  </si>
  <si>
    <t xml:space="preserve">Robinhood: $15–53 на нового фондированного (2019–2021), ≈ $222 верхняя граница (2025); Wealthfront $85–131; Futu ≈ $295; Tiger $150–400; eToro ≈ $575 (верхняя граница). Маркетинг: 8,9% выручки Robinhood, 20% net contribution eToro.</t>
  </si>
  <si>
    <t xml:space="preserve">Чувствительность маржинального дохода к драйверам</t>
  </si>
  <si>
    <t xml:space="preserve">Сколько у.е. МД в год даёт улучшение драйвера на 1% (относительно текущего значения) или на практический шаг, при прочих равных — в двух горизонтах: «год 1» (P&amp;L плана) и «долгосрочно» (база сходится к NEW ÷ CHURN). Чувствительность — не приоритет: приоритет = ценность × достижимый сдвиг × вероятность ÷ трудозатраты.</t>
  </si>
  <si>
    <t xml:space="preserve">Базовый МД, год 1:</t>
  </si>
  <si>
    <t xml:space="preserve">Базовый МД, долгосрочно:</t>
  </si>
  <si>
    <t xml:space="preserve">Драйвер</t>
  </si>
  <si>
    <t xml:space="preserve">Значение: МР</t>
  </si>
  <si>
    <t xml:space="preserve">Значение: СК</t>
  </si>
  <si>
    <t xml:space="preserve">Значение: ИК</t>
  </si>
  <si>
    <t xml:space="preserve">ΔМД +1%, год 1: МР</t>
  </si>
  <si>
    <t xml:space="preserve">ΔМД +1%, год 1: СК</t>
  </si>
  <si>
    <t xml:space="preserve">ΔМД +1%, год 1: ИК</t>
  </si>
  <si>
    <t xml:space="preserve">ΔМД +1%, год 1: итого</t>
  </si>
  <si>
    <t xml:space="preserve">ΔМД +1%, долгосрочно: МР</t>
  </si>
  <si>
    <t xml:space="preserve">ΔМД +1%, долгосрочно: СК</t>
  </si>
  <si>
    <t xml:space="preserve">ΔМД +1%, долгосрочно: ИК</t>
  </si>
  <si>
    <t xml:space="preserve">ΔМД +1%, долгосрочно: итого</t>
  </si>
  <si>
    <t xml:space="preserve">Доля от МД (долгосрочно)</t>
  </si>
  <si>
    <t xml:space="preserve">Ранг в группе (долгосрочно)</t>
  </si>
  <si>
    <t xml:space="preserve">Практический шаг</t>
  </si>
  <si>
    <t xml:space="preserve">ΔМД за шаг, год 1: итого</t>
  </si>
  <si>
    <t xml:space="preserve">ΔМД за шаг, долгосрочно: итого</t>
  </si>
  <si>
    <t xml:space="preserve">ключ: объёмные и затратные</t>
  </si>
  <si>
    <t xml:space="preserve">ключ: ценовые</t>
  </si>
  <si>
    <t xml:space="preserve">В горизонте «год 1» рост привлечения снижает МД: CAC платится сразу, доход приходит позже.</t>
  </si>
  <si>
    <t xml:space="preserve">1 п.п.</t>
  </si>
  <si>
    <t xml:space="preserve">Долгосрочный эффект нелинеен (база = NEW ÷ CHURN): шаг в 1 п.п. оценён приблизительно.</t>
  </si>
  <si>
    <t xml:space="preserve">1 б.п.</t>
  </si>
  <si>
    <t xml:space="preserve">Ценовой рычаг: эффект при неизменных объёмах — учитывать эластичность.</t>
  </si>
  <si>
    <t xml:space="preserve">Внешний фактор: гипотезы на него не претендуют, используется для сценариев.</t>
  </si>
  <si>
    <t xml:space="preserve">0,1 п.п.</t>
  </si>
  <si>
    <t xml:space="preserve">10 б.п.</t>
  </si>
  <si>
    <t xml:space="preserve">Эффект обратно пропорционален нагрузке — линейность приблизительная.</t>
  </si>
  <si>
    <t xml:space="preserve">Расчётная модель маржинального дохода</t>
  </si>
  <si>
    <t xml:space="preserve">Колонки E–H — расчёт в режиме HORIZON с листа «Вводные». Справа (сгруппированы, раскрываются кнопкой «+») — технические сценарии чувствительности: база и по одному улучшенному драйверу на сегмент, в горизонтах «год 1» и «долгосрочно».</t>
  </si>
  <si>
    <t xml:space="preserve">Сегмент</t>
  </si>
  <si>
    <t xml:space="preserve">Шок драйвера</t>
  </si>
  <si>
    <t xml:space="preserve">BASE</t>
  </si>
  <si>
    <t xml:space="preserve">Ключ сценария</t>
  </si>
  <si>
    <t xml:space="preserve">MR|ПОКАЗ</t>
  </si>
  <si>
    <t xml:space="preserve">AF|ПОКАЗ</t>
  </si>
  <si>
    <t xml:space="preserve">IC|ПОКАЗ</t>
  </si>
  <si>
    <t xml:space="preserve">МР, год 1: база</t>
  </si>
  <si>
    <t xml:space="preserve">МР, год 1: LEADS</t>
  </si>
  <si>
    <t xml:space="preserve">МР, год 1: CR_OPEN</t>
  </si>
  <si>
    <t xml:space="preserve">МР, год 1: CR_FUND</t>
  </si>
  <si>
    <t xml:space="preserve">МР, год 1: CHURN</t>
  </si>
  <si>
    <t xml:space="preserve">МР, год 1: ACT</t>
  </si>
  <si>
    <t xml:space="preserve">МР, год 1: TPA</t>
  </si>
  <si>
    <t xml:space="preserve">МР, год 1: TICKET</t>
  </si>
  <si>
    <t xml:space="preserve">МР, год 1: TAKE</t>
  </si>
  <si>
    <t xml:space="preserve">МР, год 1: EXEC</t>
  </si>
  <si>
    <t xml:space="preserve">МР, год 1: AUC_PC</t>
  </si>
  <si>
    <t xml:space="preserve">МР, год 1: CASH</t>
  </si>
  <si>
    <t xml:space="preserve">МР, год 1: FLOAT_Y</t>
  </si>
  <si>
    <t xml:space="preserve">МР, год 1: FLOAT_P</t>
  </si>
  <si>
    <t xml:space="preserve">МР, год 1: MRG_PEN</t>
  </si>
  <si>
    <t xml:space="preserve">МР, год 1: MRG_DEBT</t>
  </si>
  <si>
    <t xml:space="preserve">МР, год 1: MRG_RATE</t>
  </si>
  <si>
    <t xml:space="preserve">МР, год 1: FUND_RATE</t>
  </si>
  <si>
    <t xml:space="preserve">МР, год 1: CL</t>
  </si>
  <si>
    <t xml:space="preserve">МР, год 1: FX_PEN</t>
  </si>
  <si>
    <t xml:space="preserve">МР, год 1: FX_VOL</t>
  </si>
  <si>
    <t xml:space="preserve">МР, год 1: FX_SPREAD</t>
  </si>
  <si>
    <t xml:space="preserve">МР, год 1: PRD_PEN</t>
  </si>
  <si>
    <t xml:space="preserve">МР, год 1: PRD_VOL</t>
  </si>
  <si>
    <t xml:space="preserve">МР, год 1: PRD_FEE</t>
  </si>
  <si>
    <t xml:space="preserve">МР, год 1: AM_SHARE</t>
  </si>
  <si>
    <t xml:space="preserve">МР, год 1: AM_FEE</t>
  </si>
  <si>
    <t xml:space="preserve">МР, год 1: SUB_PEN</t>
  </si>
  <si>
    <t xml:space="preserve">МР, год 1: SUB_PRICE</t>
  </si>
  <si>
    <t xml:space="preserve">МР, год 1: CUST_FEE</t>
  </si>
  <si>
    <t xml:space="preserve">МР, год 1: SUP_RATE</t>
  </si>
  <si>
    <t xml:space="preserve">МР, год 1: SUP_COST</t>
  </si>
  <si>
    <t xml:space="preserve">МР, год 1: KYC_UNIT</t>
  </si>
  <si>
    <t xml:space="preserve">МР, год 1: KYC_MAN</t>
  </si>
  <si>
    <t xml:space="preserve">МР, год 1: KYC_MAN_COST</t>
  </si>
  <si>
    <t xml:space="preserve">МР, год 1: OPS_PC</t>
  </si>
  <si>
    <t xml:space="preserve">МР, год 1: OPS_MAN</t>
  </si>
  <si>
    <t xml:space="preserve">МР, год 1: OPS_COST</t>
  </si>
  <si>
    <t xml:space="preserve">МР, год 1: RM_LOAD</t>
  </si>
  <si>
    <t xml:space="preserve">МР, год 1: RM_COST</t>
  </si>
  <si>
    <t xml:space="preserve">МР, год 1: CAC</t>
  </si>
  <si>
    <t xml:space="preserve">МР, год 1: OPLOSS</t>
  </si>
  <si>
    <t xml:space="preserve">СК, год 1: база</t>
  </si>
  <si>
    <t xml:space="preserve">СК, год 1: LEADS</t>
  </si>
  <si>
    <t xml:space="preserve">СК, год 1: CR_OPEN</t>
  </si>
  <si>
    <t xml:space="preserve">СК, год 1: CR_FUND</t>
  </si>
  <si>
    <t xml:space="preserve">СК, год 1: CHURN</t>
  </si>
  <si>
    <t xml:space="preserve">СК, год 1: ACT</t>
  </si>
  <si>
    <t xml:space="preserve">СК, год 1: TPA</t>
  </si>
  <si>
    <t xml:space="preserve">СК, год 1: TICKET</t>
  </si>
  <si>
    <t xml:space="preserve">СК, год 1: TAKE</t>
  </si>
  <si>
    <t xml:space="preserve">СК, год 1: EXEC</t>
  </si>
  <si>
    <t xml:space="preserve">СК, год 1: AUC_PC</t>
  </si>
  <si>
    <t xml:space="preserve">СК, год 1: CASH</t>
  </si>
  <si>
    <t xml:space="preserve">СК, год 1: FLOAT_Y</t>
  </si>
  <si>
    <t xml:space="preserve">СК, год 1: FLOAT_P</t>
  </si>
  <si>
    <t xml:space="preserve">СК, год 1: MRG_PEN</t>
  </si>
  <si>
    <t xml:space="preserve">СК, год 1: MRG_DEBT</t>
  </si>
  <si>
    <t xml:space="preserve">СК, год 1: MRG_RATE</t>
  </si>
  <si>
    <t xml:space="preserve">СК, год 1: FUND_RATE</t>
  </si>
  <si>
    <t xml:space="preserve">СК, год 1: CL</t>
  </si>
  <si>
    <t xml:space="preserve">СК, год 1: FX_PEN</t>
  </si>
  <si>
    <t xml:space="preserve">СК, год 1: FX_VOL</t>
  </si>
  <si>
    <t xml:space="preserve">СК, год 1: FX_SPREAD</t>
  </si>
  <si>
    <t xml:space="preserve">СК, год 1: PRD_PEN</t>
  </si>
  <si>
    <t xml:space="preserve">СК, год 1: PRD_VOL</t>
  </si>
  <si>
    <t xml:space="preserve">СК, год 1: PRD_FEE</t>
  </si>
  <si>
    <t xml:space="preserve">СК, год 1: AM_SHARE</t>
  </si>
  <si>
    <t xml:space="preserve">СК, год 1: AM_FEE</t>
  </si>
  <si>
    <t xml:space="preserve">СК, год 1: SUB_PEN</t>
  </si>
  <si>
    <t xml:space="preserve">СК, год 1: SUB_PRICE</t>
  </si>
  <si>
    <t xml:space="preserve">СК, год 1: CUST_FEE</t>
  </si>
  <si>
    <t xml:space="preserve">СК, год 1: SUP_RATE</t>
  </si>
  <si>
    <t xml:space="preserve">СК, год 1: SUP_COST</t>
  </si>
  <si>
    <t xml:space="preserve">СК, год 1: KYC_UNIT</t>
  </si>
  <si>
    <t xml:space="preserve">СК, год 1: KYC_MAN</t>
  </si>
  <si>
    <t xml:space="preserve">СК, год 1: KYC_MAN_COST</t>
  </si>
  <si>
    <t xml:space="preserve">СК, год 1: OPS_PC</t>
  </si>
  <si>
    <t xml:space="preserve">СК, год 1: OPS_MAN</t>
  </si>
  <si>
    <t xml:space="preserve">СК, год 1: OPS_COST</t>
  </si>
  <si>
    <t xml:space="preserve">СК, год 1: RM_LOAD</t>
  </si>
  <si>
    <t xml:space="preserve">СК, год 1: RM_COST</t>
  </si>
  <si>
    <t xml:space="preserve">СК, год 1: CAC</t>
  </si>
  <si>
    <t xml:space="preserve">СК, год 1: OPLOSS</t>
  </si>
  <si>
    <t xml:space="preserve">ИК, год 1: база</t>
  </si>
  <si>
    <t xml:space="preserve">ИК, год 1: LEADS</t>
  </si>
  <si>
    <t xml:space="preserve">ИК, год 1: CR_OPEN</t>
  </si>
  <si>
    <t xml:space="preserve">ИК, год 1: CR_FUND</t>
  </si>
  <si>
    <t xml:space="preserve">ИК, год 1: CHURN</t>
  </si>
  <si>
    <t xml:space="preserve">ИК, год 1: ACT</t>
  </si>
  <si>
    <t xml:space="preserve">ИК, год 1: TPA</t>
  </si>
  <si>
    <t xml:space="preserve">ИК, год 1: TICKET</t>
  </si>
  <si>
    <t xml:space="preserve">ИК, год 1: TAKE</t>
  </si>
  <si>
    <t xml:space="preserve">ИК, год 1: EXEC</t>
  </si>
  <si>
    <t xml:space="preserve">ИК, год 1: AUC_PC</t>
  </si>
  <si>
    <t xml:space="preserve">ИК, год 1: CASH</t>
  </si>
  <si>
    <t xml:space="preserve">ИК, год 1: FLOAT_Y</t>
  </si>
  <si>
    <t xml:space="preserve">ИК, год 1: FLOAT_P</t>
  </si>
  <si>
    <t xml:space="preserve">ИК, год 1: MRG_PEN</t>
  </si>
  <si>
    <t xml:space="preserve">ИК, год 1: MRG_DEBT</t>
  </si>
  <si>
    <t xml:space="preserve">ИК, год 1: MRG_RATE</t>
  </si>
  <si>
    <t xml:space="preserve">ИК, год 1: FUND_RATE</t>
  </si>
  <si>
    <t xml:space="preserve">ИК, год 1: CL</t>
  </si>
  <si>
    <t xml:space="preserve">ИК, год 1: FX_PEN</t>
  </si>
  <si>
    <t xml:space="preserve">ИК, год 1: FX_VOL</t>
  </si>
  <si>
    <t xml:space="preserve">ИК, год 1: FX_SPREAD</t>
  </si>
  <si>
    <t xml:space="preserve">ИК, год 1: PRD_PEN</t>
  </si>
  <si>
    <t xml:space="preserve">ИК, год 1: PRD_VOL</t>
  </si>
  <si>
    <t xml:space="preserve">ИК, год 1: PRD_FEE</t>
  </si>
  <si>
    <t xml:space="preserve">ИК, год 1: AM_SHARE</t>
  </si>
  <si>
    <t xml:space="preserve">ИК, год 1: AM_FEE</t>
  </si>
  <si>
    <t xml:space="preserve">ИК, год 1: SUB_PEN</t>
  </si>
  <si>
    <t xml:space="preserve">ИК, год 1: SUB_PRICE</t>
  </si>
  <si>
    <t xml:space="preserve">ИК, год 1: CUST_FEE</t>
  </si>
  <si>
    <t xml:space="preserve">ИК, год 1: SUP_RATE</t>
  </si>
  <si>
    <t xml:space="preserve">ИК, год 1: SUP_COST</t>
  </si>
  <si>
    <t xml:space="preserve">ИК, год 1: KYC_UNIT</t>
  </si>
  <si>
    <t xml:space="preserve">ИК, год 1: KYC_MAN</t>
  </si>
  <si>
    <t xml:space="preserve">ИК, год 1: KYC_MAN_COST</t>
  </si>
  <si>
    <t xml:space="preserve">ИК, год 1: OPS_PC</t>
  </si>
  <si>
    <t xml:space="preserve">ИК, год 1: OPS_MAN</t>
  </si>
  <si>
    <t xml:space="preserve">ИК, год 1: OPS_COST</t>
  </si>
  <si>
    <t xml:space="preserve">ИК, год 1: RM_LOAD</t>
  </si>
  <si>
    <t xml:space="preserve">ИК, год 1: RM_COST</t>
  </si>
  <si>
    <t xml:space="preserve">ИК, год 1: CAC</t>
  </si>
  <si>
    <t xml:space="preserve">ИК, год 1: OPLOSS</t>
  </si>
  <si>
    <t xml:space="preserve">МР, долгосрочно: база</t>
  </si>
  <si>
    <t xml:space="preserve">МР, долгосрочно: LEADS</t>
  </si>
  <si>
    <t xml:space="preserve">МР, долгосрочно: CR_OPEN</t>
  </si>
  <si>
    <t xml:space="preserve">МР, долгосрочно: CR_FUND</t>
  </si>
  <si>
    <t xml:space="preserve">МР, долгосрочно: CHURN</t>
  </si>
  <si>
    <t xml:space="preserve">МР, долгосрочно: ACT</t>
  </si>
  <si>
    <t xml:space="preserve">МР, долгосрочно: TPA</t>
  </si>
  <si>
    <t xml:space="preserve">МР, долгосрочно: TICKET</t>
  </si>
  <si>
    <t xml:space="preserve">МР, долгосрочно: TAKE</t>
  </si>
  <si>
    <t xml:space="preserve">МР, долгосрочно: EXEC</t>
  </si>
  <si>
    <t xml:space="preserve">МР, долгосрочно: AUC_PC</t>
  </si>
  <si>
    <t xml:space="preserve">МР, долгосрочно: CASH</t>
  </si>
  <si>
    <t xml:space="preserve">МР, долгосрочно: FLOAT_Y</t>
  </si>
  <si>
    <t xml:space="preserve">МР, долгосрочно: FLOAT_P</t>
  </si>
  <si>
    <t xml:space="preserve">МР, долгосрочно: MRG_PEN</t>
  </si>
  <si>
    <t xml:space="preserve">МР, долгосрочно: MRG_DEBT</t>
  </si>
  <si>
    <t xml:space="preserve">МР, долгосрочно: MRG_RATE</t>
  </si>
  <si>
    <t xml:space="preserve">МР, долгосрочно: FUND_RATE</t>
  </si>
  <si>
    <t xml:space="preserve">МР, долгосрочно: CL</t>
  </si>
  <si>
    <t xml:space="preserve">МР, долгосрочно: FX_PEN</t>
  </si>
  <si>
    <t xml:space="preserve">МР, долгосрочно: FX_VOL</t>
  </si>
  <si>
    <t xml:space="preserve">МР, долгосрочно: FX_SPREAD</t>
  </si>
  <si>
    <t xml:space="preserve">МР, долгосрочно: PRD_PEN</t>
  </si>
  <si>
    <t xml:space="preserve">МР, долгосрочно: PRD_VOL</t>
  </si>
  <si>
    <t xml:space="preserve">МР, долгосрочно: PRD_FEE</t>
  </si>
  <si>
    <t xml:space="preserve">МР, долгосрочно: AM_SHARE</t>
  </si>
  <si>
    <t xml:space="preserve">МР, долгосрочно: AM_FEE</t>
  </si>
  <si>
    <t xml:space="preserve">МР, долгосрочно: SUB_PEN</t>
  </si>
  <si>
    <t xml:space="preserve">МР, долгосрочно: SUB_PRICE</t>
  </si>
  <si>
    <t xml:space="preserve">МР, долгосрочно: CUST_FEE</t>
  </si>
  <si>
    <t xml:space="preserve">МР, долгосрочно: SUP_RATE</t>
  </si>
  <si>
    <t xml:space="preserve">МР, долгосрочно: SUP_COST</t>
  </si>
  <si>
    <t xml:space="preserve">МР, долгосрочно: KYC_UNIT</t>
  </si>
  <si>
    <t xml:space="preserve">МР, долгосрочно: KYC_MAN</t>
  </si>
  <si>
    <t xml:space="preserve">МР, долгосрочно: KYC_MAN_COST</t>
  </si>
  <si>
    <t xml:space="preserve">МР, долгосрочно: OPS_PC</t>
  </si>
  <si>
    <t xml:space="preserve">МР, долгосрочно: OPS_MAN</t>
  </si>
  <si>
    <t xml:space="preserve">МР, долгосрочно: OPS_COST</t>
  </si>
  <si>
    <t xml:space="preserve">МР, долгосрочно: RM_LOAD</t>
  </si>
  <si>
    <t xml:space="preserve">МР, долгосрочно: RM_COST</t>
  </si>
  <si>
    <t xml:space="preserve">МР, долгосрочно: CAC</t>
  </si>
  <si>
    <t xml:space="preserve">МР, долгосрочно: OPLOSS</t>
  </si>
  <si>
    <t xml:space="preserve">СК, долгосрочно: база</t>
  </si>
  <si>
    <t xml:space="preserve">СК, долгосрочно: LEADS</t>
  </si>
  <si>
    <t xml:space="preserve">СК, долгосрочно: CR_OPEN</t>
  </si>
  <si>
    <t xml:space="preserve">СК, долгосрочно: CR_FUND</t>
  </si>
  <si>
    <t xml:space="preserve">СК, долгосрочно: CHURN</t>
  </si>
  <si>
    <t xml:space="preserve">СК, долгосрочно: ACT</t>
  </si>
  <si>
    <t xml:space="preserve">СК, долгосрочно: TPA</t>
  </si>
  <si>
    <t xml:space="preserve">СК, долгосрочно: TICKET</t>
  </si>
  <si>
    <t xml:space="preserve">СК, долгосрочно: TAKE</t>
  </si>
  <si>
    <t xml:space="preserve">СК, долгосрочно: EXEC</t>
  </si>
  <si>
    <t xml:space="preserve">СК, долгосрочно: AUC_PC</t>
  </si>
  <si>
    <t xml:space="preserve">СК, долгосрочно: CASH</t>
  </si>
  <si>
    <t xml:space="preserve">СК, долгосрочно: FLOAT_Y</t>
  </si>
  <si>
    <t xml:space="preserve">СК, долгосрочно: FLOAT_P</t>
  </si>
  <si>
    <t xml:space="preserve">СК, долгосрочно: MRG_PEN</t>
  </si>
  <si>
    <t xml:space="preserve">СК, долгосрочно: MRG_DEBT</t>
  </si>
  <si>
    <t xml:space="preserve">СК, долгосрочно: MRG_RATE</t>
  </si>
  <si>
    <t xml:space="preserve">СК, долгосрочно: FUND_RATE</t>
  </si>
  <si>
    <t xml:space="preserve">СК, долгосрочно: CL</t>
  </si>
  <si>
    <t xml:space="preserve">СК, долгосрочно: FX_PEN</t>
  </si>
  <si>
    <t xml:space="preserve">СК, долгосрочно: FX_VOL</t>
  </si>
  <si>
    <t xml:space="preserve">СК, долгосрочно: FX_SPREAD</t>
  </si>
  <si>
    <t xml:space="preserve">СК, долгосрочно: PRD_PEN</t>
  </si>
  <si>
    <t xml:space="preserve">СК, долгосрочно: PRD_VOL</t>
  </si>
  <si>
    <t xml:space="preserve">СК, долгосрочно: PRD_FEE</t>
  </si>
  <si>
    <t xml:space="preserve">СК, долгосрочно: AM_SHARE</t>
  </si>
  <si>
    <t xml:space="preserve">СК, долгосрочно: AM_FEE</t>
  </si>
  <si>
    <t xml:space="preserve">СК, долгосрочно: SUB_PEN</t>
  </si>
  <si>
    <t xml:space="preserve">СК, долгосрочно: SUB_PRICE</t>
  </si>
  <si>
    <t xml:space="preserve">СК, долгосрочно: CUST_FEE</t>
  </si>
  <si>
    <t xml:space="preserve">СК, долгосрочно: SUP_RATE</t>
  </si>
  <si>
    <t xml:space="preserve">СК, долгосрочно: SUP_COST</t>
  </si>
  <si>
    <t xml:space="preserve">СК, долгосрочно: KYC_UNIT</t>
  </si>
  <si>
    <t xml:space="preserve">СК, долгосрочно: KYC_MAN</t>
  </si>
  <si>
    <t xml:space="preserve">СК, долгосрочно: KYC_MAN_COST</t>
  </si>
  <si>
    <t xml:space="preserve">СК, долгосрочно: OPS_PC</t>
  </si>
  <si>
    <t xml:space="preserve">СК, долгосрочно: OPS_MAN</t>
  </si>
  <si>
    <t xml:space="preserve">СК, долгосрочно: OPS_COST</t>
  </si>
  <si>
    <t xml:space="preserve">СК, долгосрочно: RM_LOAD</t>
  </si>
  <si>
    <t xml:space="preserve">СК, долгосрочно: RM_COST</t>
  </si>
  <si>
    <t xml:space="preserve">СК, долгосрочно: CAC</t>
  </si>
  <si>
    <t xml:space="preserve">СК, долгосрочно: OPLOSS</t>
  </si>
  <si>
    <t xml:space="preserve">ИК, долгосрочно: база</t>
  </si>
  <si>
    <t xml:space="preserve">ИК, долгосрочно: LEADS</t>
  </si>
  <si>
    <t xml:space="preserve">ИК, долгосрочно: CR_OPEN</t>
  </si>
  <si>
    <t xml:space="preserve">ИК, долгосрочно: CR_FUND</t>
  </si>
  <si>
    <t xml:space="preserve">ИК, долгосрочно: CHURN</t>
  </si>
  <si>
    <t xml:space="preserve">ИК, долгосрочно: ACT</t>
  </si>
  <si>
    <t xml:space="preserve">ИК, долгосрочно: TPA</t>
  </si>
  <si>
    <t xml:space="preserve">ИК, долгосрочно: TICKET</t>
  </si>
  <si>
    <t xml:space="preserve">ИК, долгосрочно: TAKE</t>
  </si>
  <si>
    <t xml:space="preserve">ИК, долгосрочно: EXEC</t>
  </si>
  <si>
    <t xml:space="preserve">ИК, долгосрочно: AUC_PC</t>
  </si>
  <si>
    <t xml:space="preserve">ИК, долгосрочно: CASH</t>
  </si>
  <si>
    <t xml:space="preserve">ИК, долгосрочно: FLOAT_Y</t>
  </si>
  <si>
    <t xml:space="preserve">ИК, долгосрочно: FLOAT_P</t>
  </si>
  <si>
    <t xml:space="preserve">ИК, долгосрочно: MRG_PEN</t>
  </si>
  <si>
    <t xml:space="preserve">ИК, долгосрочно: MRG_DEBT</t>
  </si>
  <si>
    <t xml:space="preserve">ИК, долгосрочно: MRG_RATE</t>
  </si>
  <si>
    <t xml:space="preserve">ИК, долгосрочно: FUND_RATE</t>
  </si>
  <si>
    <t xml:space="preserve">ИК, долгосрочно: CL</t>
  </si>
  <si>
    <t xml:space="preserve">ИК, долгосрочно: FX_PEN</t>
  </si>
  <si>
    <t xml:space="preserve">ИК, долгосрочно: FX_VOL</t>
  </si>
  <si>
    <t xml:space="preserve">ИК, долгосрочно: FX_SPREAD</t>
  </si>
  <si>
    <t xml:space="preserve">ИК, долгосрочно: PRD_PEN</t>
  </si>
  <si>
    <t xml:space="preserve">ИК, долгосрочно: PRD_VOL</t>
  </si>
  <si>
    <t xml:space="preserve">ИК, долгосрочно: PRD_FEE</t>
  </si>
  <si>
    <t xml:space="preserve">ИК, долгосрочно: AM_SHARE</t>
  </si>
  <si>
    <t xml:space="preserve">ИК, долгосрочно: AM_FEE</t>
  </si>
  <si>
    <t xml:space="preserve">ИК, долгосрочно: SUB_PEN</t>
  </si>
  <si>
    <t xml:space="preserve">ИК, долгосрочно: SUB_PRICE</t>
  </si>
  <si>
    <t xml:space="preserve">ИК, долгосрочно: CUST_FEE</t>
  </si>
  <si>
    <t xml:space="preserve">ИК, долгосрочно: SUP_RATE</t>
  </si>
  <si>
    <t xml:space="preserve">ИК, долгосрочно: SUP_COST</t>
  </si>
  <si>
    <t xml:space="preserve">ИК, долгосрочно: KYC_UNIT</t>
  </si>
  <si>
    <t xml:space="preserve">ИК, долгосрочно: KYC_MAN</t>
  </si>
  <si>
    <t xml:space="preserve">ИК, долгосрочно: KYC_MAN_COST</t>
  </si>
  <si>
    <t xml:space="preserve">ИК, долгосрочно: OPS_PC</t>
  </si>
  <si>
    <t xml:space="preserve">ИК, долгосрочно: OPS_MAN</t>
  </si>
  <si>
    <t xml:space="preserve">ИК, долгосрочно: OPS_COST</t>
  </si>
  <si>
    <t xml:space="preserve">ИК, долгосрочно: RM_LOAD</t>
  </si>
  <si>
    <t xml:space="preserve">ИК, долгосрочно: RM_COST</t>
  </si>
  <si>
    <t xml:space="preserve">ИК, долгосрочно: CAC</t>
  </si>
  <si>
    <t xml:space="preserve">ИК, долгосрочно: OPLOSS</t>
  </si>
  <si>
    <t xml:space="preserve">Клиентская база</t>
  </si>
  <si>
    <t xml:space="preserve">R1. Торговые комиссии</t>
  </si>
  <si>
    <t xml:space="preserve">R2. Маржинальное кредитование</t>
  </si>
  <si>
    <t xml:space="preserve">R3. Доход на свободные остатки</t>
  </si>
  <si>
    <t xml:space="preserve">R4. Конвертация валют</t>
  </si>
  <si>
    <t xml:space="preserve">R5. Размещения и продукты</t>
  </si>
  <si>
    <t xml:space="preserve">R6. ДУ и консультирование</t>
  </si>
  <si>
    <t xml:space="preserve">R7. Подписки и сервисные комиссии</t>
  </si>
  <si>
    <t xml:space="preserve">Чистая выручка</t>
  </si>
  <si>
    <t xml:space="preserve">Маржинальный доход</t>
  </si>
  <si>
    <t xml:space="preserve">Паспорта метрик</t>
  </si>
  <si>
    <t xml:space="preserve">Уровни: L0 — результат, L1 — составляющие МД, L2 — источники дохода и статьи затрат, L3 — драйверы модели, L4 — опережающие индикаторы, которые гипотезы двигают напрямую.</t>
  </si>
  <si>
    <t xml:space="preserve">Группа</t>
  </si>
  <si>
    <t xml:space="preserve">Определение</t>
  </si>
  <si>
    <t xml:space="preserve">Формула / расчёт</t>
  </si>
  <si>
    <t xml:space="preserve">Опережающая / запаздывающая</t>
  </si>
  <si>
    <t xml:space="preserve">Источник данных</t>
  </si>
  <si>
    <t xml:space="preserve">Частота</t>
  </si>
  <si>
    <t xml:space="preserve">Владелец (роль)</t>
  </si>
  <si>
    <t xml:space="preserve">Риски интерпретации</t>
  </si>
  <si>
    <t xml:space="preserve">Результат и составляющие (L0–L2)</t>
  </si>
  <si>
    <t xml:space="preserve">L0</t>
  </si>
  <si>
    <t xml:space="preserve">Результат</t>
  </si>
  <si>
    <t xml:space="preserve">Финансы</t>
  </si>
  <si>
    <t xml:space="preserve">Сколько брокер зарабатывает на клиентах после прямых затрат, до постоянных расходов (ИТ-платформа, офис, центральные функции). Главная метрика: в неё переводится эффект любой гипотезы.</t>
  </si>
  <si>
    <t xml:space="preserve">Все</t>
  </si>
  <si>
    <t xml:space="preserve">↑</t>
  </si>
  <si>
    <t xml:space="preserve">Запаздывающая</t>
  </si>
  <si>
    <t xml:space="preserve">Мониторинг</t>
  </si>
  <si>
    <t xml:space="preserve">Управленческий P&amp;L по сегментам</t>
  </si>
  <si>
    <t xml:space="preserve">Месяц</t>
  </si>
  <si>
    <t xml:space="preserve">Финансовый директор</t>
  </si>
  <si>
    <t xml:space="preserve">Значимая часть колебаний — рынок (ставки, волатильность): оценивать с поправкой на внешние факторы.</t>
  </si>
  <si>
    <t xml:space="preserve">L1</t>
  </si>
  <si>
    <t xml:space="preserve">Доходы</t>
  </si>
  <si>
    <t xml:space="preserve">Выручка по семи источникам, уже очищенная от прямых затрат каждой операции: биржевых сборов, фондирования, процентов клиентам. В таком виде её можно сравнивать с конкурентами.</t>
  </si>
  <si>
    <t xml:space="preserve">Главная книга, биллинг, бэк-офис</t>
  </si>
  <si>
    <t xml:space="preserve">Сравнивать с конкурентами только в нетто-выражении: валовые комиссии завышают долю торговли.</t>
  </si>
  <si>
    <t xml:space="preserve">Затраты</t>
  </si>
  <si>
    <t xml:space="preserve">Затраты, которые растут вместе с числом клиентов и операций: поддержка, онбординг, ручные операции, менеджеры. Сюда попадает эффект автоматизации.</t>
  </si>
  <si>
    <t xml:space="preserve">↓</t>
  </si>
  <si>
    <t xml:space="preserve">Учёт затрат по процессам (activity-based costing)</t>
  </si>
  <si>
    <t xml:space="preserve">Квартал</t>
  </si>
  <si>
    <t xml:space="preserve">Операционный директор</t>
  </si>
  <si>
    <t xml:space="preserve">Экономия от автоматизации реальна, только если высвобожденные ресурсы сокращены или поглощают рост без найма.</t>
  </si>
  <si>
    <t xml:space="preserve">Сколько тратится на привлечение новых фондированных клиентов: маркетинг, агенты, бонусы.</t>
  </si>
  <si>
    <t xml:space="preserve">Маркетинговая аналитика, бюджет</t>
  </si>
  <si>
    <t xml:space="preserve">Директор по маркетингу</t>
  </si>
  <si>
    <t xml:space="preserve">Акции «без комиссии» — недополученная выручка, а не затраты: отражать их в TAKE, а не в CAC.</t>
  </si>
  <si>
    <t xml:space="preserve">Риск</t>
  </si>
  <si>
    <t xml:space="preserve">Кредитные потери по марже и операционные потери: ошибки, компенсации, штрафы.</t>
  </si>
  <si>
    <t xml:space="preserve">Риск-менеджмент, бухгалтерия</t>
  </si>
  <si>
    <t xml:space="preserve">Директор по рискам</t>
  </si>
  <si>
    <t xml:space="preserve">Редкие крупные события искажают годовую картину — смотреть скользящее среднее за 2–3 года.</t>
  </si>
  <si>
    <t xml:space="preserve">L2</t>
  </si>
  <si>
    <t xml:space="preserve">Компонент дохода</t>
  </si>
  <si>
    <t xml:space="preserve">Комиссии за сделки клиентов за вычетом биржевых и клиринговых сборов. Растут с активностью клиентов и волатильностью рынка.</t>
  </si>
  <si>
    <t xml:space="preserve">Бэк-офис (сделки), биллинг</t>
  </si>
  <si>
    <t xml:space="preserve">День / месяц</t>
  </si>
  <si>
    <t xml:space="preserve">Директора сегментов</t>
  </si>
  <si>
    <t xml:space="preserve">Сильно зависит от волатильности: нормировать на рыночный оборот (доля рынка).</t>
  </si>
  <si>
    <t xml:space="preserve">Процентный доход от займов клиентам (плечо, шорт) за вычетом стоимости фондирования. Растёт вместе с кредитным риском.</t>
  </si>
  <si>
    <t xml:space="preserve">Бэк-офис, казначейство</t>
  </si>
  <si>
    <t xml:space="preserve">Казначейство и продукт</t>
  </si>
  <si>
    <t xml:space="preserve">Рост портфеля повышает риск и потребность в капитале — смотреть вместе с G_CREDIT и G_PRUD.</t>
  </si>
  <si>
    <t xml:space="preserve">Доход от размещения свободных денег клиентов за вычетом процентов, которые брокер им платит. Самый зависимый от ставок источник.</t>
  </si>
  <si>
    <t xml:space="preserve">Казначейство, бэк-офис</t>
  </si>
  <si>
    <t xml:space="preserve">Казначейство</t>
  </si>
  <si>
    <t xml:space="preserve">Главный «рыночный» источник: при снижении ставок падает без действий брокера — планировать по сценариям ставки.</t>
  </si>
  <si>
    <t xml:space="preserve">Спред и комиссии при обмене валют, например при покупке иностранных бумаг.</t>
  </si>
  <si>
    <t xml:space="preserve">Директор по продукту</t>
  </si>
  <si>
    <t xml:space="preserve">Зависит от курса и валютного регулирования.</t>
  </si>
  <si>
    <t xml:space="preserve">Комиссии за размещения (IPO, облигации), маржа по структурным продуктам и фондам; у институционалов — андеррайтинг.</t>
  </si>
  <si>
    <t xml:space="preserve">Бэк-офис, CRM, инвестбанкинг</t>
  </si>
  <si>
    <t xml:space="preserve">Зависит от календаря размещений; продажи сложных продуктов — под ограничителем G_SUIT.</t>
  </si>
  <si>
    <t xml:space="preserve">Комиссии за доверительное управление, модельные портфели и консультирование. Регулярный доход, слабо зависит от торговой активности и ставок.</t>
  </si>
  <si>
    <t xml:space="preserve">Учёт ДУ, биллинг</t>
  </si>
  <si>
    <t xml:space="preserve">Директор по управлению активами</t>
  </si>
  <si>
    <t xml:space="preserve">Success fee волатилен — планировать по базовой комиссии.</t>
  </si>
  <si>
    <t xml:space="preserve">Платные подписки и премиальные тарифы плюс депозитарные и кастодиальные комиссии.</t>
  </si>
  <si>
    <t xml:space="preserve">Биллинг, депозитарий</t>
  </si>
  <si>
    <t xml:space="preserve">Платные подписки могут повышать отток неплатящих — отслеживать вместе с CHURN.</t>
  </si>
  <si>
    <t xml:space="preserve">Компонент затрат</t>
  </si>
  <si>
    <t xml:space="preserve">Обработка обращений клиентов: колл-центр, чат, почта. Снижается с ростом самообслуживания и качества продукта.</t>
  </si>
  <si>
    <t xml:space="preserve">Хелпдеск, учёт затрат</t>
  </si>
  <si>
    <t xml:space="preserve">Руководитель клиентского сервиса</t>
  </si>
  <si>
    <t xml:space="preserve">Проверка заявок на открытие счёта: внешние KYC-сервисы и ручная проверка сотрудниками.</t>
  </si>
  <si>
    <t xml:space="preserve">KYC-платформа, учёт затрат</t>
  </si>
  <si>
    <t xml:space="preserve">Руководитель онбординга</t>
  </si>
  <si>
    <t xml:space="preserve">Ручная обработка операций бэк-офиса: вводы и выводы, переводы бумаг, корпоративные действия, сверки.</t>
  </si>
  <si>
    <t xml:space="preserve">Бэк-офис, учёт затрат</t>
  </si>
  <si>
    <t xml:space="preserve">Персональные менеджеры состоятельных клиентов и сотрудники покрытия институционалов.</t>
  </si>
  <si>
    <t xml:space="preserve">HR, учёт затрат</t>
  </si>
  <si>
    <t xml:space="preserve">Полупеременные затраты: меняются ступенчато.</t>
  </si>
  <si>
    <t xml:space="preserve">Непокрытые убытки по маржинальным позициям: залога не хватило даже после принудительного закрытия.</t>
  </si>
  <si>
    <t xml:space="preserve">Риск-менеджмент</t>
  </si>
  <si>
    <t xml:space="preserve">Ошибки исполнения, компенсации клиентам, штрафы регулятора.</t>
  </si>
  <si>
    <t xml:space="preserve">База событий операционного риска</t>
  </si>
  <si>
    <t xml:space="preserve">Драйверы модели: расчётные (L3)</t>
  </si>
  <si>
    <t xml:space="preserve">L3</t>
  </si>
  <si>
    <t xml:space="preserve">Драйвер (расчётный)</t>
  </si>
  <si>
    <t xml:space="preserve">Сколько в среднем за период клиентов с активами от ≈$100. Основа почти всех веток дерева.</t>
  </si>
  <si>
    <t xml:space="preserve">Бэк-офис</t>
  </si>
  <si>
    <t xml:space="preserve">Порог фондированности — активы от ≈$100 в эквиваленте (решение 07.10.2026); без порога база раздувается пустыми счетами.</t>
  </si>
  <si>
    <t xml:space="preserve">Сколько клиентов впервые пополнили счёт за период.</t>
  </si>
  <si>
    <t xml:space="preserve">Опережающая</t>
  </si>
  <si>
    <t xml:space="preserve">N_AVG, ACQ</t>
  </si>
  <si>
    <t xml:space="preserve">CRM, бэк-офис</t>
  </si>
  <si>
    <t xml:space="preserve">Неделя</t>
  </si>
  <si>
    <t xml:space="preserve">Сколько фондированных клиентов ушли: вывели активы ниже порога или закрыли счёт.</t>
  </si>
  <si>
    <t xml:space="preserve">N_AVG, LTV</t>
  </si>
  <si>
    <t xml:space="preserve">Бэк-офис, CRM</t>
  </si>
  <si>
    <t xml:space="preserve">Сколько клиентов в среднем за месяц совершают хотя бы одну операцию.</t>
  </si>
  <si>
    <t xml:space="preserve">Активы</t>
  </si>
  <si>
    <t xml:space="preserve">Сколько активов клиенты держат у брокера: бумаги по рыночной цене и деньги.</t>
  </si>
  <si>
    <t xml:space="preserve">CASHBAL, AUM, R7</t>
  </si>
  <si>
    <t xml:space="preserve">Бэк-офис, депозитарий</t>
  </si>
  <si>
    <t xml:space="preserve">Рост может быть переоценкой — разделять на чистый приток (L4_NNA) и рыночный эффект.</t>
  </si>
  <si>
    <t xml:space="preserve">Торговля</t>
  </si>
  <si>
    <t xml:space="preserve">Суммарный объём сделок клиентов за период.</t>
  </si>
  <si>
    <t xml:space="preserve">День</t>
  </si>
  <si>
    <t xml:space="preserve">Сколько клиенты в среднем должны брокеру по маржинальным займам.</t>
  </si>
  <si>
    <t xml:space="preserve">R2, C5</t>
  </si>
  <si>
    <t xml:space="preserve">Бэк-офис, риск-менеджмент</t>
  </si>
  <si>
    <t xml:space="preserve">Сколько свободных денег лежит на счетах клиентов.</t>
  </si>
  <si>
    <t xml:space="preserve">Валюта</t>
  </si>
  <si>
    <t xml:space="preserve">Сколько валюты клиенты обменяли за период.</t>
  </si>
  <si>
    <t xml:space="preserve">Сколько клиенты купили продуктов и размещений; у институционалов — объём организованных размещений.</t>
  </si>
  <si>
    <t xml:space="preserve">Управление активами</t>
  </si>
  <si>
    <t xml:space="preserve">Сколько активов клиентов находится в доверительном управлении и на консультировании.</t>
  </si>
  <si>
    <t xml:space="preserve">Учёт ДУ</t>
  </si>
  <si>
    <t xml:space="preserve">Подписки</t>
  </si>
  <si>
    <t xml:space="preserve">Сколько клиентов платят за подписку или премиальный тариф.</t>
  </si>
  <si>
    <t xml:space="preserve">Биллинг</t>
  </si>
  <si>
    <t xml:space="preserve">Драйверы модели: вводные (L3) — на них ссылаются гипотезы</t>
  </si>
  <si>
    <t xml:space="preserve">Драйвер (вводная)</t>
  </si>
  <si>
    <t xml:space="preserve">Сколько клиентов с активами от ≈$100 было на начало периода.</t>
  </si>
  <si>
    <t xml:space="preserve">Сколько заявок на открытие счёта получено за период; у институционалов — сколько потенциальных клиентов в воронке продаж.</t>
  </si>
  <si>
    <t xml:space="preserve">Продуктовая и маркетинговая аналитика, CRM</t>
  </si>
  <si>
    <t xml:space="preserve">Считать заявки, а не регистрации без начала анкеты.</t>
  </si>
  <si>
    <t xml:space="preserve">Какая доля заявок проходит проверку (KYC) и превращается в открытый счёт; у институционалов — в подписанный договор.</t>
  </si>
  <si>
    <t xml:space="preserve">KYC-платформа, продуктовая аналитика</t>
  </si>
  <si>
    <t xml:space="preserve">Продакт онбординга</t>
  </si>
  <si>
    <t xml:space="preserve">Какая доля открытых счетов получает первое пополнение. Обычно самое узкое место воронки.</t>
  </si>
  <si>
    <t xml:space="preserve">Бэк-офис, продуктовая аналитика</t>
  </si>
  <si>
    <t xml:space="preserve">Считать по когорте открытых счетов с окном (например, 30 дней), а не по календарному месяцу.</t>
  </si>
  <si>
    <t xml:space="preserve">Какая доля фондированных клиентов уходит за год. Главный рычаг в долгую: удержанный клиент продолжает приносить доход.</t>
  </si>
  <si>
    <t xml:space="preserve">Определять по активам (вывод ниже порога), а не только по закрытию счёта: клиенты чаще «засыпают».</t>
  </si>
  <si>
    <t xml:space="preserve">Какая доля фондированных клиентов совершает хотя бы одну операцию в месяц: сделку, пополнение, покупку продукта или подписки.</t>
  </si>
  <si>
    <t xml:space="preserve">Бэк-офис, биллинг</t>
  </si>
  <si>
    <t xml:space="preserve">Решение 07.10.2026: активность — любая операция. Торговую активность смотреть отдельно.</t>
  </si>
  <si>
    <t xml:space="preserve">Сколько сделок в месяц совершает один активный клиент.</t>
  </si>
  <si>
    <t xml:space="preserve">Сравнивать с рыночной активностью. Не путать с TPA = Total Platform Assets в отчётности Robinhood. Сделок на фондированного клиента в год = ACT × TPA × 12.</t>
  </si>
  <si>
    <t xml:space="preserve">Средний объём одной сделки.</t>
  </si>
  <si>
    <t xml:space="preserve">Какую комиссию брокер берёт с оборота клиентов с учётом тарифов и скидок. Ценовой рычаг: повышение снижает активность.</t>
  </si>
  <si>
    <t xml:space="preserve">Биллинг, бэк-офис</t>
  </si>
  <si>
    <t xml:space="preserve">Ценовой рычаг: рост ставки снижает оборот и повышает отток — оценивать с эластичностью.</t>
  </si>
  <si>
    <t xml:space="preserve">Сколько брокер платит бирже, клиринговой организации и вышестоящему брокеру за исполнение сделок клиентов, в процентах от оборота.</t>
  </si>
  <si>
    <t xml:space="preserve">Бэк-офис, договоры с биржами и брокерами</t>
  </si>
  <si>
    <t xml:space="preserve">Сколько активов в среднем держит один клиент. Растёт от пополнений и от переоценки рынка.</t>
  </si>
  <si>
    <t xml:space="preserve">Разделять чистый приток и переоценку.</t>
  </si>
  <si>
    <t xml:space="preserve">Какая доля активов клиентов лежит свободными деньгами, а не в бумагах.</t>
  </si>
  <si>
    <t xml:space="preserve">Какую доходность брокер получает, размещая свободные деньги клиентов. Задаётся рынком (внешний фактор).</t>
  </si>
  <si>
    <t xml:space="preserve">Внешний фактор.</t>
  </si>
  <si>
    <t xml:space="preserve">Какую ставку брокер платит клиентам на их свободные деньги. Ценовой рычаг: снижение ставки может вымыть деньги к конкурентам.</t>
  </si>
  <si>
    <t xml:space="preserve">Тарифы</t>
  </si>
  <si>
    <t xml:space="preserve">Ценовой рычаг.</t>
  </si>
  <si>
    <t xml:space="preserve">Какая доля клиентов пользуется плечом или шортом.</t>
  </si>
  <si>
    <t xml:space="preserve">Сколько в среднем должен брокеру один маржинальный клиент.</t>
  </si>
  <si>
    <t xml:space="preserve">Под какую ставку брокер кредитует клиентов деньгами и бумагами. Ценовой рычаг.</t>
  </si>
  <si>
    <t xml:space="preserve">Сколько брокеру стоят деньги для маржинального кредитования. Задаётся рынком.</t>
  </si>
  <si>
    <t xml:space="preserve">Какая доля маржинального портфеля теряется за год из-за непокрытых убытков клиентов.</t>
  </si>
  <si>
    <t xml:space="preserve">Какая доля клиентов меняет валюту через брокера.</t>
  </si>
  <si>
    <t xml:space="preserve">Сколько валюты в год меняет один такой клиент.</t>
  </si>
  <si>
    <t xml:space="preserve">Сколько брокер зарабатывает на обмене: спред и комиссия в процентах от объёма. Ценовой рычаг.</t>
  </si>
  <si>
    <t xml:space="preserve">Тарифы, казначейство</t>
  </si>
  <si>
    <t xml:space="preserve">Какая доля клиентов покупает размещения и продукты (структурные ноты, фонды); у институционалов — доля эмитентов, проведших размещение через брокера.</t>
  </si>
  <si>
    <t xml:space="preserve">Сколько в год покупает один такой клиент; у институционалов — средний объём размещения.</t>
  </si>
  <si>
    <t xml:space="preserve">Сколько брокер зарабатывает с объёма продаж продуктов: комиссия или маржа. Ценовой рычаг.</t>
  </si>
  <si>
    <t xml:space="preserve">Ценовой рычаг; под G_SUIT.</t>
  </si>
  <si>
    <t xml:space="preserve">Какая доля активов клиентов находится в доверительном управлении, модельных портфелях и на консультировании.</t>
  </si>
  <si>
    <t xml:space="preserve">Комиссия за управление и консультирование, в процентах годовых. Ценовой рычаг.</t>
  </si>
  <si>
    <t xml:space="preserve">Тарифы ДУ</t>
  </si>
  <si>
    <t xml:space="preserve">Какая доля клиентов платит за подписку или премиальное обслуживание.</t>
  </si>
  <si>
    <t xml:space="preserve">Сколько стоит подписка в год. Ценовой рычаг.</t>
  </si>
  <si>
    <t xml:space="preserve">Депозитарная и кастодиальная комиссия, в процентах от активов в год. Ценовой рычаг.</t>
  </si>
  <si>
    <t xml:space="preserve">Тарифы, депозитарий</t>
  </si>
  <si>
    <t xml:space="preserve">Сколько раз в год клиент обращается в поддержку.</t>
  </si>
  <si>
    <t xml:space="preserve">Хелпдеск</t>
  </si>
  <si>
    <t xml:space="preserve">Сколько стоит обработать одно обращение.</t>
  </si>
  <si>
    <t xml:space="preserve">Сколько стоит автоматическая проверка одной заявки: KYC/AML-сервисы, проверка документов.</t>
  </si>
  <si>
    <t xml:space="preserve">KYC-платформа, договоры с провайдерами</t>
  </si>
  <si>
    <t xml:space="preserve">Какая доля заявок требует ручной проверки. Ручная проверка ещё и замедляет открытие счёта, а значит снижает конверсию.</t>
  </si>
  <si>
    <t xml:space="preserve">KYC-платформа</t>
  </si>
  <si>
    <t xml:space="preserve">Сколько стоит ручная проверка одной заявки.</t>
  </si>
  <si>
    <t xml:space="preserve">Учёт затрат</t>
  </si>
  <si>
    <t xml:space="preserve">Сколько операций бэк-офиса в год приходится на клиента: вводы и выводы, переводы бумаг, корпоративные действия, заявления.</t>
  </si>
  <si>
    <t xml:space="preserve">Какая доля этих операций требует ручной обработки. Обратная метрика — доля сквозной обработки (STP).</t>
  </si>
  <si>
    <t xml:space="preserve">Сколько стоит ручная обработка одной операции.</t>
  </si>
  <si>
    <t xml:space="preserve">Сколько клиентов приходится на одного персонального менеджера или сотрудника покрытия.</t>
  </si>
  <si>
    <t xml:space="preserve">CRM, HR</t>
  </si>
  <si>
    <t xml:space="preserve">Полная годовая стоимость одного менеджера: зарплата, налоги, бонусы, рабочее место.</t>
  </si>
  <si>
    <t xml:space="preserve">Год</t>
  </si>
  <si>
    <t xml:space="preserve">Сколько стоит привлечь одного фондированного клиента: маркетинг, агенты, бонусы.</t>
  </si>
  <si>
    <t xml:space="preserve">Маркетинговая аналитика (атрибуция)</t>
  </si>
  <si>
    <t xml:space="preserve">Считать на фондированного, а не зарегистрированного клиента; включать бонусы и реферальные выплаты.</t>
  </si>
  <si>
    <t xml:space="preserve">Операционные потери за год: ошибки, компенсации клиентам, штрафы.</t>
  </si>
  <si>
    <t xml:space="preserve">Опережающие индикаторы (L4) — то, что гипотезы двигают напрямую</t>
  </si>
  <si>
    <t xml:space="preserve">L4_REG</t>
  </si>
  <si>
    <t xml:space="preserve">Конверсия визит/установка → заявка</t>
  </si>
  <si>
    <t xml:space="preserve">L4</t>
  </si>
  <si>
    <t xml:space="preserve">Опережающий индикатор</t>
  </si>
  <si>
    <t xml:space="preserve">Привлечение</t>
  </si>
  <si>
    <t xml:space="preserve">Доля посетителей и установивших приложение, начавших заявку</t>
  </si>
  <si>
    <t xml:space="preserve">Заявки ÷ установки (визиты)</t>
  </si>
  <si>
    <t xml:space="preserve">МР, СК</t>
  </si>
  <si>
    <t xml:space="preserve">Продуктовая и маркетинговая аналитика</t>
  </si>
  <si>
    <t xml:space="preserve">L4_CPL</t>
  </si>
  <si>
    <t xml:space="preserve">Стоимость заявки по каналам</t>
  </si>
  <si>
    <t xml:space="preserve">Затраты канала на одну заявку</t>
  </si>
  <si>
    <t xml:space="preserve">Затраты канала ÷ заявки из канала</t>
  </si>
  <si>
    <t xml:space="preserve">Маркетинговая аналитика</t>
  </si>
  <si>
    <t xml:space="preserve">L4_REF</t>
  </si>
  <si>
    <t xml:space="preserve">Доля привлечения по рекомендациям</t>
  </si>
  <si>
    <t xml:space="preserve">Доля новых фондированных клиентов, пришедших по реферальной программе</t>
  </si>
  <si>
    <t xml:space="preserve">Новые фондированные по рефералам ÷ все новые фондированные</t>
  </si>
  <si>
    <t xml:space="preserve">CAC, LEADS</t>
  </si>
  <si>
    <t xml:space="preserve">L4_KYC_PASS</t>
  </si>
  <si>
    <t xml:space="preserve">Доля успешно прошедших KYC</t>
  </si>
  <si>
    <t xml:space="preserve">Онбординг</t>
  </si>
  <si>
    <t xml:space="preserve">Доля начатых заявок, прошедших проверку</t>
  </si>
  <si>
    <t xml:space="preserve">Одобренные ÷ начатые заявки</t>
  </si>
  <si>
    <t xml:space="preserve">L4_KYC_TIME</t>
  </si>
  <si>
    <t xml:space="preserve">Время прохождения KYC (медиана)</t>
  </si>
  <si>
    <t xml:space="preserve">Время от начала заявки до открытия счёта</t>
  </si>
  <si>
    <t xml:space="preserve">Медиана (открытие − начало заявки)</t>
  </si>
  <si>
    <t xml:space="preserve">мин / ч</t>
  </si>
  <si>
    <t xml:space="preserve">L4_KYC_AUTO</t>
  </si>
  <si>
    <t xml:space="preserve">Доля автоматического одобрения заявок</t>
  </si>
  <si>
    <t xml:space="preserve">Доля заявок, одобренных без участия сотрудника</t>
  </si>
  <si>
    <t xml:space="preserve">Автоодобренные ÷ все одобренные</t>
  </si>
  <si>
    <t xml:space="preserve">KYC_MAN, CR_OPEN</t>
  </si>
  <si>
    <t xml:space="preserve">L4_TTF</t>
  </si>
  <si>
    <t xml:space="preserve">Время до первого пополнения</t>
  </si>
  <si>
    <t xml:space="preserve">Сколько дней проходит от открытия счёта до пополнения</t>
  </si>
  <si>
    <t xml:space="preserve">Медиана (первое пополнение − открытие)</t>
  </si>
  <si>
    <t xml:space="preserve">дни</t>
  </si>
  <si>
    <t xml:space="preserve">L4_FUND30</t>
  </si>
  <si>
    <t xml:space="preserve">Доля счетов, пополненных за 30 дней</t>
  </si>
  <si>
    <t xml:space="preserve">Доля открытых счетов, пополненных в течение 30 дней</t>
  </si>
  <si>
    <t xml:space="preserve">Пополненные за 30 дней ÷ открытые (когорта)</t>
  </si>
  <si>
    <t xml:space="preserve">L4_FIRSTDEP</t>
  </si>
  <si>
    <t xml:space="preserve">Средний первый депозит</t>
  </si>
  <si>
    <t xml:space="preserve">Средняя сумма первого пополнения</t>
  </si>
  <si>
    <t xml:space="preserve">Сумма первых пополнений ÷ их число</t>
  </si>
  <si>
    <t xml:space="preserve">L4_PIPE</t>
  </si>
  <si>
    <t xml:space="preserve">Воронка продаж ИК: объём, win rate, цикл сделки</t>
  </si>
  <si>
    <t xml:space="preserve">Число и потенциальный доход клиентов в воронке, доля выигранных, медианный цикл сделки</t>
  </si>
  <si>
    <t xml:space="preserve">CRM-воронка</t>
  </si>
  <si>
    <t xml:space="preserve">шт. / % / дни</t>
  </si>
  <si>
    <t xml:space="preserve">ИК</t>
  </si>
  <si>
    <t xml:space="preserve">LEADS, CR_OPEN</t>
  </si>
  <si>
    <t xml:space="preserve">CRM</t>
  </si>
  <si>
    <t xml:space="preserve">Директор по институциональному бизнесу</t>
  </si>
  <si>
    <t xml:space="preserve">L4_UPGRADE</t>
  </si>
  <si>
    <t xml:space="preserve">Переход клиентов из массового сегмента в состоятельный</t>
  </si>
  <si>
    <t xml:space="preserve">Доля клиентов МР с активами выше порога СК, перешедших на персональное обслуживание</t>
  </si>
  <si>
    <t xml:space="preserve">Перешедшие ÷ клиенты МР выше порога</t>
  </si>
  <si>
    <t xml:space="preserve">МР → СК</t>
  </si>
  <si>
    <t xml:space="preserve">LEADS (СК)</t>
  </si>
  <si>
    <t xml:space="preserve">Директор состоятельного сегмента</t>
  </si>
  <si>
    <t xml:space="preserve">L4_ACT30</t>
  </si>
  <si>
    <t xml:space="preserve">Активация: первая сделка за 30 дней</t>
  </si>
  <si>
    <t xml:space="preserve">Активация</t>
  </si>
  <si>
    <t xml:space="preserve">Доля новых фондированных клиентов, совершивших первую сделку в течение 30 дней</t>
  </si>
  <si>
    <t xml:space="preserve">С первой сделкой за 30 дней ÷ новые фондированные (когорта)</t>
  </si>
  <si>
    <t xml:space="preserve">ACT, CHURN</t>
  </si>
  <si>
    <t xml:space="preserve">L4_MAU</t>
  </si>
  <si>
    <t xml:space="preserve">Доля фондированных, заходивших за месяц</t>
  </si>
  <si>
    <t xml:space="preserve">Вовлечённость</t>
  </si>
  <si>
    <t xml:space="preserve">Доля фондированных клиентов, открывавших приложение или терминал за месяц</t>
  </si>
  <si>
    <t xml:space="preserve">MAU ÷ фондированные</t>
  </si>
  <si>
    <t xml:space="preserve">ACT, TPA, CHURN</t>
  </si>
  <si>
    <t xml:space="preserve">Продуктовая аналитика</t>
  </si>
  <si>
    <t xml:space="preserve">L4_AUTOINV</t>
  </si>
  <si>
    <t xml:space="preserve">Регулярные пополнения и автоинвестирование</t>
  </si>
  <si>
    <t xml:space="preserve">Доля клиентов с регулярными пополнениями или активным планом автоинвестирования</t>
  </si>
  <si>
    <t xml:space="preserve">Клиенты с ≥3 пополнениями за 3 мес. или планом ÷ фондированные</t>
  </si>
  <si>
    <t xml:space="preserve">AUC_PC, CHURN</t>
  </si>
  <si>
    <t xml:space="preserve">L4_XSELL</t>
  </si>
  <si>
    <t xml:space="preserve">Продуктов на клиента</t>
  </si>
  <si>
    <t xml:space="preserve">Среднее число используемых продуктов: торговля, маржа, валюта, подписка, ДУ, продукты</t>
  </si>
  <si>
    <t xml:space="preserve">Σ используемых продуктов ÷ фондированные</t>
  </si>
  <si>
    <t xml:space="preserve">CHURN, проникновения</t>
  </si>
  <si>
    <t xml:space="preserve">L4_FEATURE</t>
  </si>
  <si>
    <t xml:space="preserve">Использование ключевых функций</t>
  </si>
  <si>
    <t xml:space="preserve">Доля активных клиентов, использующих аналитику, скринеры, алерты</t>
  </si>
  <si>
    <t xml:space="preserve">Пользователи функции ÷ активные</t>
  </si>
  <si>
    <t xml:space="preserve">L4_COMMS</t>
  </si>
  <si>
    <t xml:space="preserve">Конверсия коммуникаций в целевое действие</t>
  </si>
  <si>
    <t xml:space="preserve">Доля доставленных коммуникаций, после которых клиент совершил целевое действие</t>
  </si>
  <si>
    <t xml:space="preserve">Целевые действия ÷ доставленные коммуникации</t>
  </si>
  <si>
    <t xml:space="preserve">TPA, PRD_PEN, AUC_PC</t>
  </si>
  <si>
    <t xml:space="preserve">CRM-маркетинг</t>
  </si>
  <si>
    <t xml:space="preserve">L4_COHORT</t>
  </si>
  <si>
    <t xml:space="preserve">Когортное удержание M1 / M3 / M6 / M12</t>
  </si>
  <si>
    <t xml:space="preserve">Удержание</t>
  </si>
  <si>
    <t xml:space="preserve">Доля когорты новых фондированных, остающихся фондированными (и активными) через N месяцев</t>
  </si>
  <si>
    <t xml:space="preserve">Фондированные в месяце N ÷ размер когорты</t>
  </si>
  <si>
    <t xml:space="preserve">L4_DORMANT</t>
  </si>
  <si>
    <t xml:space="preserve">Доля «спящих» счетов</t>
  </si>
  <si>
    <t xml:space="preserve">Доля фондированных счетов без операций и входов 6+ месяцев</t>
  </si>
  <si>
    <t xml:space="preserve">Спящие ÷ фондированные</t>
  </si>
  <si>
    <t xml:space="preserve">L4_OUTFLOW</t>
  </si>
  <si>
    <t xml:space="preserve">Отток активов</t>
  </si>
  <si>
    <t xml:space="preserve">Выводы и исходящие переводы ЦБ к средним активам</t>
  </si>
  <si>
    <t xml:space="preserve">(Выводы + исходящие переводы ЦБ) ÷ средние активы, % в год</t>
  </si>
  <si>
    <t xml:space="preserve">L4_NNA</t>
  </si>
  <si>
    <t xml:space="preserve">Чистый приток активов (NNA)</t>
  </si>
  <si>
    <t xml:space="preserve">Чистый приток денег и бумаг без учёта переоценки к активам на начало периода</t>
  </si>
  <si>
    <t xml:space="preserve">(Вводы + входящие переводы − выводы − исходящие) ÷ активы на начало</t>
  </si>
  <si>
    <t xml:space="preserve">L4_NPS</t>
  </si>
  <si>
    <t xml:space="preserve">NPS / CSAT</t>
  </si>
  <si>
    <t xml:space="preserve">Готовность рекомендовать; удовлетворённость после обращений</t>
  </si>
  <si>
    <t xml:space="preserve">Опросы</t>
  </si>
  <si>
    <t xml:space="preserve">индекс</t>
  </si>
  <si>
    <t xml:space="preserve">CHURN, LEADS</t>
  </si>
  <si>
    <t xml:space="preserve">Опросы клиентов</t>
  </si>
  <si>
    <t xml:space="preserve">Директор по клиентскому опыту</t>
  </si>
  <si>
    <t xml:space="preserve">L4_TARIFF</t>
  </si>
  <si>
    <t xml:space="preserve">Эффективная комиссия и микс тарифов</t>
  </si>
  <si>
    <t xml:space="preserve">Монетизация</t>
  </si>
  <si>
    <t xml:space="preserve">Фактическая комиссия на единицу оборота; распределение клиентов по тарифам</t>
  </si>
  <si>
    <t xml:space="preserve">Комиссии ÷ оборот × 10 000</t>
  </si>
  <si>
    <t xml:space="preserve">L4_MRG_ELIG</t>
  </si>
  <si>
    <t xml:space="preserve">Доступ к маржинальной торговле</t>
  </si>
  <si>
    <t xml:space="preserve">Доля клиентов с подключённой маржинальной торговлей (прошли тестирование / квалификацию)</t>
  </si>
  <si>
    <t xml:space="preserve">Клиенты с доступом ÷ фондированные</t>
  </si>
  <si>
    <t xml:space="preserve">L4_PRD_CONV</t>
  </si>
  <si>
    <t xml:space="preserve">Конверсия предложений продуктов в покупку</t>
  </si>
  <si>
    <t xml:space="preserve">Доля показов предложения, завершившихся покупкой</t>
  </si>
  <si>
    <t xml:space="preserve">Покупки ÷ показы</t>
  </si>
  <si>
    <t xml:space="preserve">Продуктовая аналитика, CRM</t>
  </si>
  <si>
    <t xml:space="preserve">L4_SUB_CONV</t>
  </si>
  <si>
    <t xml:space="preserve">Конверсия в подписку и её продление</t>
  </si>
  <si>
    <t xml:space="preserve">Доля активных клиентов, оформивших подписку; доля продлений</t>
  </si>
  <si>
    <t xml:space="preserve">Новые подписки ÷ активные; продления ÷ к продлению</t>
  </si>
  <si>
    <t xml:space="preserve">L4_RECUR</t>
  </si>
  <si>
    <t xml:space="preserve">Доля активов с регулярной комиссией</t>
  </si>
  <si>
    <t xml:space="preserve">Доля активов клиентов СК в ДУ, консультировании и фондах</t>
  </si>
  <si>
    <t xml:space="preserve">Активы с регулярной комиссией ÷ активы</t>
  </si>
  <si>
    <t xml:space="preserve">СК</t>
  </si>
  <si>
    <t xml:space="preserve">Учёт ДУ, бэк-офис</t>
  </si>
  <si>
    <t xml:space="preserve">L4_SOW</t>
  </si>
  <si>
    <t xml:space="preserve">Доля кошелька клиента</t>
  </si>
  <si>
    <t xml:space="preserve">Доля оборота институционального клиента, проходящая через брокера</t>
  </si>
  <si>
    <t xml:space="preserve">Оборот через брокера ÷ оборот клиента</t>
  </si>
  <si>
    <t xml:space="preserve">TPA, TICKET</t>
  </si>
  <si>
    <t xml:space="preserve">CRM, данные биржи</t>
  </si>
  <si>
    <t xml:space="preserve">L4_CONTACTS</t>
  </si>
  <si>
    <t xml:space="preserve">Обращений на 1 000 активных клиентов</t>
  </si>
  <si>
    <t xml:space="preserve">Обслуживание</t>
  </si>
  <si>
    <t xml:space="preserve">Нагрузка на поддержку</t>
  </si>
  <si>
    <t xml:space="preserve">Обращения ÷ активные × 1 000</t>
  </si>
  <si>
    <t xml:space="preserve">L4_SELFSERV</t>
  </si>
  <si>
    <t xml:space="preserve">Доля решений через самообслуживание</t>
  </si>
  <si>
    <t xml:space="preserve">Доля вопросов, решённых без оператора (бот, справка)</t>
  </si>
  <si>
    <t xml:space="preserve">Решённые без оператора ÷ все вопросы</t>
  </si>
  <si>
    <t xml:space="preserve">SUP_COST, SUP_RATE</t>
  </si>
  <si>
    <t xml:space="preserve">Хелпдеск, чат-бот</t>
  </si>
  <si>
    <t xml:space="preserve">L4_FCR</t>
  </si>
  <si>
    <t xml:space="preserve">Решение с первого обращения (FCR)</t>
  </si>
  <si>
    <t xml:space="preserve">Доля обращений, закрытых без повторного контакта</t>
  </si>
  <si>
    <t xml:space="preserve">Закрытые с первого раза ÷ все</t>
  </si>
  <si>
    <t xml:space="preserve">L4_STP</t>
  </si>
  <si>
    <t xml:space="preserve">Сквозная обработка операций (STP)</t>
  </si>
  <si>
    <t xml:space="preserve">Операции</t>
  </si>
  <si>
    <t xml:space="preserve">Доля операций бэк-офиса, обработанных без ручного вмешательства</t>
  </si>
  <si>
    <t xml:space="preserve">Операции без ручного шага ÷ все</t>
  </si>
  <si>
    <t xml:space="preserve">L4_WD_TIME</t>
  </si>
  <si>
    <t xml:space="preserve">Время исполнения вывода средств</t>
  </si>
  <si>
    <t xml:space="preserve">Сколько часов проходит от заявки на вывод до зачисления</t>
  </si>
  <si>
    <t xml:space="preserve">Медиана (зачисление − заявка)</t>
  </si>
  <si>
    <t xml:space="preserve">ч</t>
  </si>
  <si>
    <t xml:space="preserve">CHURN, SUP_RATE</t>
  </si>
  <si>
    <t xml:space="preserve">L4_RM_PROD</t>
  </si>
  <si>
    <t xml:space="preserve">Доход и чистый приток на менеджера</t>
  </si>
  <si>
    <t xml:space="preserve">Чистая выручка и NNA клиентов, закреплённых за менеджером</t>
  </si>
  <si>
    <t xml:space="preserve">Σ по клиентам менеджера</t>
  </si>
  <si>
    <t xml:space="preserve">СК, ИК</t>
  </si>
  <si>
    <t xml:space="preserve">RM_LOAD, AUC_PC</t>
  </si>
  <si>
    <t xml:space="preserve">Ограничители — не должны ухудшаться при реализации гипотез</t>
  </si>
  <si>
    <t xml:space="preserve">G_UPTIME</t>
  </si>
  <si>
    <t xml:space="preserve">Доступность торговой системы в торговую сессию</t>
  </si>
  <si>
    <t xml:space="preserve">G</t>
  </si>
  <si>
    <t xml:space="preserve">Ограничитель</t>
  </si>
  <si>
    <t xml:space="preserve">Риск и качество</t>
  </si>
  <si>
    <t xml:space="preserve">Доля времени торговой сессии без отказа ключевых сервисов (вход, поручения, котировки)</t>
  </si>
  <si>
    <t xml:space="preserve">Время доступности ÷ время сессии</t>
  </si>
  <si>
    <t xml:space="preserve">OPLOSS, CHURN</t>
  </si>
  <si>
    <t xml:space="preserve">Мониторинг ИТ</t>
  </si>
  <si>
    <t xml:space="preserve">Технический директор</t>
  </si>
  <si>
    <t xml:space="preserve">Гипотеза принимается, только если ограничители в норме.</t>
  </si>
  <si>
    <t xml:space="preserve">G_EXEC</t>
  </si>
  <si>
    <t xml:space="preserve">Качество исполнения поручений</t>
  </si>
  <si>
    <t xml:space="preserve">Время исполнения и доля отклонённых поручений</t>
  </si>
  <si>
    <t xml:space="preserve">Медиана задержки; отклонённые ÷ все поручения</t>
  </si>
  <si>
    <t xml:space="preserve">мс / %</t>
  </si>
  <si>
    <t xml:space="preserve">TPA, CHURN</t>
  </si>
  <si>
    <t xml:space="preserve">Торговая система</t>
  </si>
  <si>
    <t xml:space="preserve">Руководитель торговых операций</t>
  </si>
  <si>
    <t xml:space="preserve">G_INC</t>
  </si>
  <si>
    <t xml:space="preserve">Инциденты P1 / P2</t>
  </si>
  <si>
    <t xml:space="preserve">Число критичных и высоких инцидентов</t>
  </si>
  <si>
    <t xml:space="preserve">Счёт инцидентов</t>
  </si>
  <si>
    <t xml:space="preserve">ITSM</t>
  </si>
  <si>
    <t xml:space="preserve">G_CREDIT</t>
  </si>
  <si>
    <t xml:space="preserve">Кредитный риск маржинального портфеля</t>
  </si>
  <si>
    <t xml:space="preserve">Кредитные потери к портфелю, доля клиентов под маржин-коллом, принудительные закрытия</t>
  </si>
  <si>
    <t xml:space="preserve">Потери ÷ портфель; клиенты под маржин-коллом ÷ маржинальные</t>
  </si>
  <si>
    <t xml:space="preserve">CL, MRG_PEN</t>
  </si>
  <si>
    <t xml:space="preserve">G_PRUD</t>
  </si>
  <si>
    <t xml:space="preserve">Запас по пруденциальным нормативам</t>
  </si>
  <si>
    <t xml:space="preserve">Запас до лимитов по достаточности капитала и ликвидности</t>
  </si>
  <si>
    <t xml:space="preserve">(Норматив − лимит) ÷ лимит</t>
  </si>
  <si>
    <t xml:space="preserve">MPORT, рост бизнеса</t>
  </si>
  <si>
    <t xml:space="preserve">Риск-менеджмент, финансы</t>
  </si>
  <si>
    <t xml:space="preserve">G_COMPL</t>
  </si>
  <si>
    <t xml:space="preserve">Жалобы клиентов</t>
  </si>
  <si>
    <t xml:space="preserve">Жалобы на 10 000 активных клиентов, в том числе направленные регулятору</t>
  </si>
  <si>
    <t xml:space="preserve">Жалобы ÷ активные × 10 000</t>
  </si>
  <si>
    <t xml:space="preserve">CHURN, OPLOSS</t>
  </si>
  <si>
    <t xml:space="preserve">Хелпдеск, комплаенс</t>
  </si>
  <si>
    <t xml:space="preserve">G_SUIT</t>
  </si>
  <si>
    <t xml:space="preserve">Соответствие продаж профилю клиента</t>
  </si>
  <si>
    <t xml:space="preserve">Доля продаж сложных продуктов без тестирования или с нарушением инвестиционного профиля; возвраты и жалобы</t>
  </si>
  <si>
    <t xml:space="preserve">Продажи с нарушением ÷ все продажи сложных продуктов</t>
  </si>
  <si>
    <t xml:space="preserve">PRD_PEN, AM_SHARE</t>
  </si>
  <si>
    <t xml:space="preserve">Комплаенс</t>
  </si>
  <si>
    <t xml:space="preserve">G_AML</t>
  </si>
  <si>
    <t xml:space="preserve">ПОД/ФТ и KYC</t>
  </si>
  <si>
    <t xml:space="preserve">Просроченные обновления анкет, нарушения требований ПОД/ФТ</t>
  </si>
  <si>
    <t xml:space="preserve">Просроченные ÷ все анкеты; число нарушений</t>
  </si>
  <si>
    <t xml:space="preserve">% / шт.</t>
  </si>
  <si>
    <t xml:space="preserve">G_CONC</t>
  </si>
  <si>
    <t xml:space="preserve">Концентрация доходов</t>
  </si>
  <si>
    <t xml:space="preserve">Доля крупнейшего контрагента (маркет-мейкера, вышестоящего брокера, клиента) и крупнейшей продуктовой линии в чистой выручке. Пример риска: у Freedom 71% комиссий — от одного маркет-мейкера (FY2026)</t>
  </si>
  <si>
    <t xml:space="preserve">Доход от крупнейшего контрагента ÷ ЧВ; то же по продуктовой линии</t>
  </si>
  <si>
    <t xml:space="preserve">R1, R5, все источники</t>
  </si>
  <si>
    <t xml:space="preserve">Финансы, бэк-офис</t>
  </si>
  <si>
    <t xml:space="preserve">G_PRICE</t>
  </si>
  <si>
    <t xml:space="preserve">Реакция на изменение тарифов</t>
  </si>
  <si>
    <t xml:space="preserve">Отток клиентов и активов в когорте, затронутой изменением тарифа</t>
  </si>
  <si>
    <t xml:space="preserve">Отток в затронутой когорте − отток в контрольной</t>
  </si>
  <si>
    <t xml:space="preserve">п.п.</t>
  </si>
  <si>
    <t xml:space="preserve">TAKE, MRG_RATE, FX_SPREAD, SUB_PRICE</t>
  </si>
  <si>
    <t xml:space="preserve">Неделя после изменения</t>
  </si>
  <si>
    <t xml:space="preserve">Внешние факторы — для сценариев и нормирования, гипотезы на них не претендуют</t>
  </si>
  <si>
    <t xml:space="preserve">X_RATE</t>
  </si>
  <si>
    <t xml:space="preserve">Ключевая ставка и ставки денежного рынка</t>
  </si>
  <si>
    <t xml:space="preserve">X</t>
  </si>
  <si>
    <t xml:space="preserve">Внешний фактор</t>
  </si>
  <si>
    <t xml:space="preserve">Ставки, определяющие доходность размещения и фондирования</t>
  </si>
  <si>
    <t xml:space="preserve">—</t>
  </si>
  <si>
    <t xml:space="preserve">FLOAT_Y, FUND_RATE, MRG_RATE, CASH</t>
  </si>
  <si>
    <t xml:space="preserve">Центральный банк, рынок</t>
  </si>
  <si>
    <t xml:space="preserve">X_VOL</t>
  </si>
  <si>
    <t xml:space="preserve">Волатильность рынка</t>
  </si>
  <si>
    <t xml:space="preserve">Индекс волатильности основного рынка</t>
  </si>
  <si>
    <t xml:space="preserve">TPA, TICKET, MRG_PEN</t>
  </si>
  <si>
    <t xml:space="preserve">Биржа</t>
  </si>
  <si>
    <t xml:space="preserve">Аналитика</t>
  </si>
  <si>
    <t xml:space="preserve">X_MKT</t>
  </si>
  <si>
    <t xml:space="preserve">Динамика фондового индекса</t>
  </si>
  <si>
    <t xml:space="preserve">Изменение основного фондового индекса за период</t>
  </si>
  <si>
    <t xml:space="preserve">AUC_PC (переоценка), LEADS</t>
  </si>
  <si>
    <t xml:space="preserve">X_FX</t>
  </si>
  <si>
    <t xml:space="preserve">Курс национальной валюты и валютное регулирование</t>
  </si>
  <si>
    <t xml:space="preserve">Курс и ограничения на конвертацию</t>
  </si>
  <si>
    <t xml:space="preserve">курс</t>
  </si>
  <si>
    <t xml:space="preserve">FX_VOL, FX_PEN</t>
  </si>
  <si>
    <t xml:space="preserve">Центральный банк</t>
  </si>
  <si>
    <t xml:space="preserve">X_IPO</t>
  </si>
  <si>
    <t xml:space="preserve">Календарь размещений на рынке</t>
  </si>
  <si>
    <t xml:space="preserve">Число и объём IPO, SPO и выпусков облигаций</t>
  </si>
  <si>
    <t xml:space="preserve">шт. / у.е.</t>
  </si>
  <si>
    <t xml:space="preserve">PRD_PEN, PRD_VOL</t>
  </si>
  <si>
    <t xml:space="preserve">Биржа, ДКМ</t>
  </si>
  <si>
    <t xml:space="preserve">Инвестбанкинг</t>
  </si>
  <si>
    <t xml:space="preserve">X_REG</t>
  </si>
  <si>
    <t xml:space="preserve">Регуляторные изменения</t>
  </si>
  <si>
    <t xml:space="preserve">Лимиты плеча, доступ к иностранным бумагам, налоговые льготы, правила размещения клиентских средств</t>
  </si>
  <si>
    <t xml:space="preserve">Многие драйверы</t>
  </si>
  <si>
    <t xml:space="preserve">Регулятор</t>
  </si>
  <si>
    <t xml:space="preserve">По событию</t>
  </si>
  <si>
    <t xml:space="preserve">X_COMP</t>
  </si>
  <si>
    <t xml:space="preserve">Тарифы и предложения конкурентов</t>
  </si>
  <si>
    <t xml:space="preserve">Мониторинг тарифов и акций конкурентов</t>
  </si>
  <si>
    <t xml:space="preserve">TAKE, CHURN, CAC</t>
  </si>
  <si>
    <t xml:space="preserve">Мониторинг рынка</t>
  </si>
  <si>
    <t xml:space="preserve">X_SHARE</t>
  </si>
  <si>
    <t xml:space="preserve">Доля рынка брокера</t>
  </si>
  <si>
    <t xml:space="preserve">Доля в рыночном обороте, активных клиентах и активах — нормирует результаты на рынок и отделяет эффект брокера от эффекта рынка</t>
  </si>
  <si>
    <t xml:space="preserve">Оценка всех гипотез</t>
  </si>
  <si>
    <t xml:space="preserve">Биржа, регулятор, отчёты рынка</t>
  </si>
  <si>
    <t xml:space="preserve">KPI</t>
  </si>
  <si>
    <t xml:space="preserve">Производный KPI</t>
  </si>
  <si>
    <t xml:space="preserve">Эффективность</t>
  </si>
  <si>
    <t xml:space="preserve">Чистая выручка на одного фондированного клиента в год.</t>
  </si>
  <si>
    <t xml:space="preserve">Расчёт из модели</t>
  </si>
  <si>
    <t xml:space="preserve">Растёт и при «чистке» базы от пустых счетов — смотреть вместе с N_AVG.</t>
  </si>
  <si>
    <t xml:space="preserve">Сколько чистой выручки приносит каждая единица активов клиентов, в базисных пунктах. Самая сопоставимая метрика между брокерами.</t>
  </si>
  <si>
    <t xml:space="preserve">Падает при росте активов «пассивных» клиентов — это не всегда плохо.</t>
  </si>
  <si>
    <t xml:space="preserve">Какая доля чистой выручки остаётся в маржинальном доходе.</t>
  </si>
  <si>
    <t xml:space="preserve">Маржинальный доход на одного фондированного клиента.</t>
  </si>
  <si>
    <t xml:space="preserve">Юнит-экономика</t>
  </si>
  <si>
    <t xml:space="preserve">Сколько клиент приносит в год до затрат на его привлечение.</t>
  </si>
  <si>
    <t xml:space="preserve">Сколько клиент принесёт за весь срок жизни: годовой вклад × средний срок жизни.</t>
  </si>
  <si>
    <t xml:space="preserve">Без дисконтирования и роста дохода клиента: для сравнения сегментов и каналов, не для оценки бизнеса.</t>
  </si>
  <si>
    <t xml:space="preserve">Во сколько раз ценность клиента превышает стоимость его привлечения. Здоровый уровень — от 3x.</t>
  </si>
  <si>
    <t xml:space="preserve">Ориентир здоровой экономики — 3x и выше; считать по каналам.</t>
  </si>
  <si>
    <t xml:space="preserve">За сколько месяцев клиент окупает затраты на своё привлечение.</t>
  </si>
  <si>
    <t xml:space="preserve">Риск бизнес-модели</t>
  </si>
  <si>
    <t xml:space="preserve">Какая доля чистой выручки зависит от процентных ставок: маржа и свободные остатки.</t>
  </si>
  <si>
    <t xml:space="preserve">Высокая доля — уязвимость к снижению ставок; учитывать при выборе гипотез.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</si>
</sst>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+0.0##%;\-0.0##%;&quot;0%&quot;"/>
    <numFmt numFmtId="166" formatCode="0"/>
    <numFmt numFmtId="167" formatCode="#,##0;\(#,##0\);\-"/>
    <numFmt numFmtId="168" formatCode="0.0%;\(0.0%\);\-"/>
    <numFmt numFmtId="169" formatCode="#,##0.0;\(#,##0.0\);\-"/>
    <numFmt numFmtId="170" formatCode="0.0\x;\(0.0&quot;x)&quot;;\-"/>
    <numFmt numFmtId="171" formatCode="0.0##%;\(0.0##%\);\-"/>
    <numFmt numFmtId="172" formatCode="0.00;\(0.00\);\-"/>
    <numFmt numFmtId="173" formatCode="&quot;↑ больше — лучше&quot;;&quot;↓ меньше — лучше&quot;;\—"/>
    <numFmt numFmtId="174" formatCode="0.00%;\(0.0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808080"/>
      <name val="Arial"/>
      <family val="0"/>
      <charset val="1"/>
    </font>
    <font>
      <sz val="8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false" indent="2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4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6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8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10" shrinkToFit="false"/>
      <protection locked="true" hidden="false"/>
    </xf>
    <xf numFmtId="16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35.0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4" t="s">
        <v>13</v>
      </c>
      <c r="B10" s="5"/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6" customFormat="false" ht="15" hidden="false" customHeight="false" outlineLevel="0" collapsed="false">
      <c r="A16" s="4" t="s">
        <v>22</v>
      </c>
      <c r="B16" s="5"/>
    </row>
    <row r="17" customFormat="false" ht="15" hidden="false" customHeight="false" outlineLevel="0" collapsed="false">
      <c r="A17" s="2" t="s">
        <v>23</v>
      </c>
      <c r="B17" s="3" t="s">
        <v>24</v>
      </c>
    </row>
    <row r="18" customFormat="false" ht="15" hidden="false" customHeight="false" outlineLevel="0" collapsed="false">
      <c r="A18" s="2" t="s">
        <v>25</v>
      </c>
      <c r="B18" s="3" t="s">
        <v>26</v>
      </c>
    </row>
    <row r="19" customFormat="false" ht="15" hidden="false" customHeight="false" outlineLevel="0" collapsed="false">
      <c r="A19" s="2" t="s">
        <v>27</v>
      </c>
      <c r="B19" s="3" t="s">
        <v>28</v>
      </c>
    </row>
    <row r="20" customFormat="false" ht="15" hidden="false" customHeight="false" outlineLevel="0" collapsed="false">
      <c r="A20" s="2" t="s">
        <v>29</v>
      </c>
      <c r="B20" s="3" t="s">
        <v>30</v>
      </c>
    </row>
    <row r="21" customFormat="false" ht="15" hidden="false" customHeight="false" outlineLevel="0" collapsed="false">
      <c r="A21" s="2" t="s">
        <v>31</v>
      </c>
      <c r="B21" s="3" t="s">
        <v>32</v>
      </c>
    </row>
    <row r="22" customFormat="false" ht="15" hidden="false" customHeight="false" outlineLevel="0" collapsed="false">
      <c r="A22" s="2" t="s">
        <v>33</v>
      </c>
      <c r="B22" s="3" t="s">
        <v>34</v>
      </c>
    </row>
    <row r="24" customFormat="false" ht="15" hidden="false" customHeight="false" outlineLevel="0" collapsed="false">
      <c r="A24" s="4" t="s">
        <v>35</v>
      </c>
      <c r="B24" s="5"/>
    </row>
    <row r="25" customFormat="false" ht="15" hidden="false" customHeight="false" outlineLevel="0" collapsed="false">
      <c r="A25" s="2" t="s">
        <v>36</v>
      </c>
      <c r="B25" s="6" t="s">
        <v>37</v>
      </c>
    </row>
    <row r="26" customFormat="false" ht="15" hidden="false" customHeight="false" outlineLevel="0" collapsed="false">
      <c r="A26" s="2" t="s">
        <v>38</v>
      </c>
      <c r="B26" s="3" t="s">
        <v>39</v>
      </c>
    </row>
    <row r="27" customFormat="false" ht="15" hidden="false" customHeight="false" outlineLevel="0" collapsed="false">
      <c r="A27" s="2" t="s">
        <v>40</v>
      </c>
      <c r="B27" s="7" t="s">
        <v>41</v>
      </c>
    </row>
    <row r="29" customFormat="false" ht="15" hidden="false" customHeight="false" outlineLevel="0" collapsed="false">
      <c r="A29" s="4" t="s">
        <v>42</v>
      </c>
      <c r="B29" s="5"/>
    </row>
    <row r="30" customFormat="false" ht="15" hidden="false" customHeight="false" outlineLevel="0" collapsed="false">
      <c r="A30" s="2" t="s">
        <v>43</v>
      </c>
      <c r="B30" s="3" t="s">
        <v>44</v>
      </c>
    </row>
    <row r="31" customFormat="false" ht="15" hidden="false" customHeight="false" outlineLevel="0" collapsed="false">
      <c r="A31" s="2" t="s">
        <v>45</v>
      </c>
      <c r="B31" s="3" t="s">
        <v>46</v>
      </c>
    </row>
    <row r="32" customFormat="false" ht="15" hidden="false" customHeight="false" outlineLevel="0" collapsed="false">
      <c r="A32" s="2" t="s">
        <v>47</v>
      </c>
      <c r="B32" s="3" t="s">
        <v>48</v>
      </c>
    </row>
    <row r="33" customFormat="false" ht="15" hidden="false" customHeight="false" outlineLevel="0" collapsed="false">
      <c r="A33" s="2" t="s">
        <v>49</v>
      </c>
      <c r="B33" s="3" t="s">
        <v>50</v>
      </c>
    </row>
    <row r="34" customFormat="false" ht="15" hidden="false" customHeight="false" outlineLevel="0" collapsed="false">
      <c r="A34" s="2" t="s">
        <v>51</v>
      </c>
      <c r="B34" s="3" t="s">
        <v>52</v>
      </c>
    </row>
    <row r="35" customFormat="false" ht="15" hidden="false" customHeight="false" outlineLevel="0" collapsed="false">
      <c r="A35" s="2" t="s">
        <v>53</v>
      </c>
      <c r="B35" s="3" t="s">
        <v>54</v>
      </c>
    </row>
    <row r="36" customFormat="false" ht="23.85" hidden="false" customHeight="false" outlineLevel="0" collapsed="false">
      <c r="A36" s="2" t="s">
        <v>55</v>
      </c>
      <c r="B36" s="3" t="s">
        <v>56</v>
      </c>
    </row>
    <row r="37" customFormat="false" ht="15" hidden="false" customHeight="false" outlineLevel="0" collapsed="false">
      <c r="A37" s="2" t="s">
        <v>57</v>
      </c>
      <c r="B37" s="3" t="s">
        <v>58</v>
      </c>
    </row>
    <row r="38" customFormat="false" ht="15" hidden="false" customHeight="false" outlineLevel="0" collapsed="false">
      <c r="A38" s="2" t="s">
        <v>59</v>
      </c>
      <c r="B38" s="3" t="s">
        <v>60</v>
      </c>
    </row>
    <row r="39" customFormat="false" ht="15" hidden="false" customHeight="false" outlineLevel="0" collapsed="false">
      <c r="A39" s="2" t="s">
        <v>61</v>
      </c>
      <c r="B39" s="3" t="s">
        <v>62</v>
      </c>
    </row>
    <row r="40" customFormat="false" ht="15" hidden="false" customHeight="false" outlineLevel="0" collapsed="false">
      <c r="A40" s="2" t="s">
        <v>63</v>
      </c>
      <c r="B40" s="3" t="s">
        <v>64</v>
      </c>
    </row>
    <row r="42" customFormat="false" ht="15" hidden="false" customHeight="false" outlineLevel="0" collapsed="false">
      <c r="A42" s="4" t="s">
        <v>65</v>
      </c>
      <c r="B42" s="5"/>
    </row>
    <row r="43" customFormat="false" ht="15" hidden="false" customHeight="false" outlineLevel="0" collapsed="false">
      <c r="A43" s="2" t="s">
        <v>66</v>
      </c>
      <c r="B43" s="3" t="s">
        <v>67</v>
      </c>
    </row>
    <row r="44" customFormat="false" ht="15" hidden="false" customHeight="false" outlineLevel="0" collapsed="false">
      <c r="A44" s="2" t="s">
        <v>68</v>
      </c>
      <c r="B44" s="3" t="s">
        <v>69</v>
      </c>
    </row>
    <row r="45" customFormat="false" ht="15" hidden="false" customHeight="false" outlineLevel="0" collapsed="false">
      <c r="A45" s="2" t="s">
        <v>70</v>
      </c>
      <c r="B45" s="3" t="s">
        <v>71</v>
      </c>
    </row>
    <row r="46" customFormat="false" ht="23.85" hidden="false" customHeight="false" outlineLevel="0" collapsed="false">
      <c r="A46" s="2" t="s">
        <v>72</v>
      </c>
      <c r="B46" s="3" t="s">
        <v>73</v>
      </c>
    </row>
    <row r="47" customFormat="false" ht="23.85" hidden="false" customHeight="false" outlineLevel="0" collapsed="false">
      <c r="A47" s="2" t="s">
        <v>74</v>
      </c>
      <c r="B47" s="3" t="s">
        <v>75</v>
      </c>
    </row>
    <row r="49" customFormat="false" ht="15" hidden="false" customHeight="false" outlineLevel="0" collapsed="false">
      <c r="A49" s="4" t="s">
        <v>76</v>
      </c>
      <c r="B49" s="5"/>
    </row>
    <row r="50" customFormat="false" ht="15" hidden="false" customHeight="false" outlineLevel="0" collapsed="false">
      <c r="A50" s="2" t="s">
        <v>45</v>
      </c>
      <c r="B50" s="3" t="s">
        <v>77</v>
      </c>
    </row>
    <row r="51" customFormat="false" ht="15" hidden="false" customHeight="false" outlineLevel="0" collapsed="false">
      <c r="A51" s="2" t="s">
        <v>78</v>
      </c>
      <c r="B51" s="3" t="s">
        <v>79</v>
      </c>
    </row>
    <row r="52" customFormat="false" ht="23.85" hidden="false" customHeight="false" outlineLevel="0" collapsed="false">
      <c r="A52" s="2" t="s">
        <v>80</v>
      </c>
      <c r="B52" s="3" t="s">
        <v>81</v>
      </c>
    </row>
    <row r="53" customFormat="false" ht="15" hidden="false" customHeight="false" outlineLevel="0" collapsed="false">
      <c r="A53" s="2" t="s">
        <v>82</v>
      </c>
      <c r="B53" s="3" t="s">
        <v>83</v>
      </c>
    </row>
    <row r="54" customFormat="false" ht="23.85" hidden="false" customHeight="false" outlineLevel="0" collapsed="false">
      <c r="A54" s="2" t="s">
        <v>84</v>
      </c>
      <c r="B54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6"/>
    <col collapsed="false" customWidth="true" hidden="false" outlineLevel="0" max="4" min="3" style="0" width="15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8" t="s">
        <v>87</v>
      </c>
    </row>
    <row r="3" customFormat="false" ht="15" hidden="false" customHeight="false" outlineLevel="0" collapsed="false">
      <c r="D3" s="9" t="s">
        <v>88</v>
      </c>
      <c r="E3" s="10" t="n">
        <f aca="false">Вводные!$D$7</f>
        <v>-0.01</v>
      </c>
      <c r="F3" s="9" t="s">
        <v>89</v>
      </c>
      <c r="G3" s="11" t="n">
        <f aca="false">Вводные!$D$6</f>
        <v>1</v>
      </c>
    </row>
    <row r="4" customFormat="false" ht="30" hidden="false" customHeight="true" outlineLevel="0" collapsed="false">
      <c r="A4" s="12" t="s">
        <v>90</v>
      </c>
      <c r="B4" s="12" t="s">
        <v>91</v>
      </c>
      <c r="C4" s="12" t="s">
        <v>92</v>
      </c>
      <c r="D4" s="12" t="s">
        <v>93</v>
      </c>
      <c r="E4" s="12" t="s">
        <v>94</v>
      </c>
      <c r="F4" s="12" t="s">
        <v>95</v>
      </c>
      <c r="G4" s="12" t="s">
        <v>96</v>
      </c>
    </row>
    <row r="5" customFormat="false" ht="15" hidden="false" customHeight="false" outlineLevel="0" collapsed="false">
      <c r="A5" s="2" t="s">
        <v>97</v>
      </c>
      <c r="B5" s="13" t="s">
        <v>98</v>
      </c>
      <c r="C5" s="14" t="n">
        <f aca="false">INDEX(Модель!$E$8:$E$101,MATCH($A5,Модель!$A$8:$A$101,0))</f>
        <v>12268368</v>
      </c>
      <c r="D5" s="14" t="n">
        <f aca="false">INDEX(Модель!$F$8:$F$101,MATCH($A5,Модель!$A$8:$A$101,0))</f>
        <v>4188492</v>
      </c>
      <c r="E5" s="14" t="n">
        <f aca="false">INDEX(Модель!$G$8:$G$101,MATCH($A5,Модель!$A$8:$A$101,0))</f>
        <v>6020352</v>
      </c>
      <c r="F5" s="14" t="n">
        <f aca="false">INDEX(Модель!$H$8:$H$101,MATCH($A5,Модель!$A$8:$A$101,0))</f>
        <v>22477212</v>
      </c>
      <c r="G5" s="15" t="n">
        <f aca="false">IF($F$12&lt;&gt;0,F5/$F$12,0)</f>
        <v>0.206025056441758</v>
      </c>
    </row>
    <row r="6" customFormat="false" ht="15" hidden="false" customHeight="false" outlineLevel="0" collapsed="false">
      <c r="A6" s="2" t="s">
        <v>99</v>
      </c>
      <c r="B6" s="13" t="s">
        <v>100</v>
      </c>
      <c r="C6" s="14" t="n">
        <f aca="false">INDEX(Модель!$E$8:$E$101,MATCH($A6,Модель!$A$8:$A$101,0))</f>
        <v>10142500</v>
      </c>
      <c r="D6" s="14" t="n">
        <f aca="false">INDEX(Модель!$F$8:$F$101,MATCH($A6,Модель!$A$8:$A$101,0))</f>
        <v>6799500</v>
      </c>
      <c r="E6" s="14" t="n">
        <f aca="false">INDEX(Модель!$G$8:$G$101,MATCH($A6,Модель!$A$8:$A$101,0))</f>
        <v>6030000</v>
      </c>
      <c r="F6" s="14" t="n">
        <f aca="false">INDEX(Модель!$H$8:$H$101,MATCH($A6,Модель!$A$8:$A$101,0))</f>
        <v>22972000</v>
      </c>
      <c r="G6" s="15" t="n">
        <f aca="false">IF($F$12&lt;&gt;0,F6/$F$12,0)</f>
        <v>0.210560259723496</v>
      </c>
    </row>
    <row r="7" customFormat="false" ht="15" hidden="false" customHeight="false" outlineLevel="0" collapsed="false">
      <c r="A7" s="2" t="s">
        <v>101</v>
      </c>
      <c r="B7" s="13" t="s">
        <v>102</v>
      </c>
      <c r="C7" s="14" t="n">
        <f aca="false">INDEX(Модель!$E$8:$E$101,MATCH($A7,Модель!$A$8:$A$101,0))</f>
        <v>12171000</v>
      </c>
      <c r="D7" s="14" t="n">
        <f aca="false">INDEX(Модель!$F$8:$F$101,MATCH($A7,Модель!$A$8:$A$101,0))</f>
        <v>4835200</v>
      </c>
      <c r="E7" s="14" t="n">
        <f aca="false">INDEX(Модель!$G$8:$G$101,MATCH($A7,Модель!$A$8:$A$101,0))</f>
        <v>5025000</v>
      </c>
      <c r="F7" s="14" t="n">
        <f aca="false">INDEX(Модель!$H$8:$H$101,MATCH($A7,Модель!$A$8:$A$101,0))</f>
        <v>22031200</v>
      </c>
      <c r="G7" s="15" t="n">
        <f aca="false">IF($F$12&lt;&gt;0,F7/$F$12,0)</f>
        <v>0.201936931656812</v>
      </c>
    </row>
    <row r="8" customFormat="false" ht="15" hidden="false" customHeight="false" outlineLevel="0" collapsed="false">
      <c r="A8" s="2" t="s">
        <v>103</v>
      </c>
      <c r="B8" s="13" t="s">
        <v>104</v>
      </c>
      <c r="C8" s="14" t="n">
        <f aca="false">INDEX(Модель!$E$8:$E$101,MATCH($A8,Модель!$A$8:$A$101,0))</f>
        <v>3803437.5</v>
      </c>
      <c r="D8" s="14" t="n">
        <f aca="false">INDEX(Модель!$F$8:$F$101,MATCH($A8,Модель!$A$8:$A$101,0))</f>
        <v>2266500</v>
      </c>
      <c r="E8" s="14" t="n">
        <f aca="false">INDEX(Модель!$G$8:$G$101,MATCH($A8,Модель!$A$8:$A$101,0))</f>
        <v>804000</v>
      </c>
      <c r="F8" s="14" t="n">
        <f aca="false">INDEX(Модель!$H$8:$H$101,MATCH($A8,Модель!$A$8:$A$101,0))</f>
        <v>6873937.5</v>
      </c>
      <c r="G8" s="15" t="n">
        <f aca="false">IF($F$12&lt;&gt;0,F8/$F$12,0)</f>
        <v>0.0630061842818682</v>
      </c>
    </row>
    <row r="9" customFormat="false" ht="15" hidden="false" customHeight="false" outlineLevel="0" collapsed="false">
      <c r="A9" s="2" t="s">
        <v>105</v>
      </c>
      <c r="B9" s="13" t="s">
        <v>106</v>
      </c>
      <c r="C9" s="14" t="n">
        <f aca="false">INDEX(Модель!$E$8:$E$101,MATCH($A9,Модель!$A$8:$A$101,0))</f>
        <v>1217100</v>
      </c>
      <c r="D9" s="14" t="n">
        <f aca="false">INDEX(Модель!$F$8:$F$101,MATCH($A9,Модель!$A$8:$A$101,0))</f>
        <v>5076960</v>
      </c>
      <c r="E9" s="14" t="n">
        <f aca="false">INDEX(Модель!$G$8:$G$101,MATCH($A9,Модель!$A$8:$A$101,0))</f>
        <v>10050000</v>
      </c>
      <c r="F9" s="14" t="n">
        <f aca="false">INDEX(Модель!$H$8:$H$101,MATCH($A9,Модель!$A$8:$A$101,0))</f>
        <v>16344060</v>
      </c>
      <c r="G9" s="15" t="n">
        <f aca="false">IF($F$12&lt;&gt;0,F9/$F$12,0)</f>
        <v>0.149808876829897</v>
      </c>
    </row>
    <row r="10" customFormat="false" ht="15" hidden="false" customHeight="false" outlineLevel="0" collapsed="false">
      <c r="A10" s="2" t="s">
        <v>107</v>
      </c>
      <c r="B10" s="13" t="s">
        <v>108</v>
      </c>
      <c r="C10" s="14" t="n">
        <f aca="false">INDEX(Модель!$E$8:$E$101,MATCH($A10,Модель!$A$8:$A$101,0))</f>
        <v>811400</v>
      </c>
      <c r="D10" s="14" t="n">
        <f aca="false">INDEX(Модель!$F$8:$F$101,MATCH($A10,Модель!$A$8:$A$101,0))</f>
        <v>6044000</v>
      </c>
      <c r="E10" s="14" t="n">
        <f aca="false">INDEX(Модель!$G$8:$G$101,MATCH($A10,Модель!$A$8:$A$101,0))</f>
        <v>1507500</v>
      </c>
      <c r="F10" s="14" t="n">
        <f aca="false">INDEX(Модель!$H$8:$H$101,MATCH($A10,Модель!$A$8:$A$101,0))</f>
        <v>8362900</v>
      </c>
      <c r="G10" s="15" t="n">
        <f aca="false">IF($F$12&lt;&gt;0,F10/$F$12,0)</f>
        <v>0.0766539437594298</v>
      </c>
    </row>
    <row r="11" customFormat="false" ht="15" hidden="false" customHeight="false" outlineLevel="0" collapsed="false">
      <c r="A11" s="2" t="s">
        <v>109</v>
      </c>
      <c r="B11" s="13" t="s">
        <v>110</v>
      </c>
      <c r="C11" s="14" t="n">
        <f aca="false">INDEX(Модель!$E$8:$E$101,MATCH($A11,Модель!$A$8:$A$101,0))</f>
        <v>3245600</v>
      </c>
      <c r="D11" s="14" t="n">
        <f aca="false">INDEX(Модель!$F$8:$F$101,MATCH($A11,Модель!$A$8:$A$101,0))</f>
        <v>3777500</v>
      </c>
      <c r="E11" s="14" t="n">
        <f aca="false">INDEX(Модель!$G$8:$G$101,MATCH($A11,Модель!$A$8:$A$101,0))</f>
        <v>3015000</v>
      </c>
      <c r="F11" s="14" t="n">
        <f aca="false">INDEX(Модель!$H$8:$H$101,MATCH($A11,Модель!$A$8:$A$101,0))</f>
        <v>10038100</v>
      </c>
      <c r="G11" s="15" t="n">
        <f aca="false">IF($F$12&lt;&gt;0,F11/$F$12,0)</f>
        <v>0.0920087473067396</v>
      </c>
    </row>
    <row r="12" customFormat="false" ht="15" hidden="false" customHeight="false" outlineLevel="0" collapsed="false">
      <c r="A12" s="16" t="s">
        <v>111</v>
      </c>
      <c r="B12" s="16" t="s">
        <v>112</v>
      </c>
      <c r="C12" s="17" t="n">
        <f aca="false">INDEX(Модель!$E$8:$E$101,MATCH($A12,Модель!$A$8:$A$101,0))</f>
        <v>43659405.5</v>
      </c>
      <c r="D12" s="17" t="n">
        <f aca="false">INDEX(Модель!$F$8:$F$101,MATCH($A12,Модель!$A$8:$A$101,0))</f>
        <v>32988152</v>
      </c>
      <c r="E12" s="17" t="n">
        <f aca="false">INDEX(Модель!$G$8:$G$101,MATCH($A12,Модель!$A$8:$A$101,0))</f>
        <v>32451852</v>
      </c>
      <c r="F12" s="17" t="n">
        <f aca="false">INDEX(Модель!$H$8:$H$101,MATCH($A12,Модель!$A$8:$A$101,0))</f>
        <v>109099409.5</v>
      </c>
      <c r="G12" s="18" t="n">
        <f aca="false">IF($F$12&lt;&gt;0,F12/$F$12,0)</f>
        <v>1</v>
      </c>
    </row>
    <row r="13" customFormat="false" ht="15" hidden="false" customHeight="false" outlineLevel="0" collapsed="false">
      <c r="A13" s="2" t="s">
        <v>113</v>
      </c>
      <c r="B13" s="13" t="s">
        <v>114</v>
      </c>
      <c r="C13" s="14" t="n">
        <f aca="false">INDEX(Модель!$E$8:$E$101,MATCH($A13,Модель!$A$8:$A$101,0))</f>
        <v>2535625</v>
      </c>
      <c r="D13" s="14" t="n">
        <f aca="false">INDEX(Модель!$F$8:$F$101,MATCH($A13,Модель!$A$8:$A$101,0))</f>
        <v>679950</v>
      </c>
      <c r="E13" s="14" t="n">
        <f aca="false">INDEX(Модель!$G$8:$G$101,MATCH($A13,Модель!$A$8:$A$101,0))</f>
        <v>144720</v>
      </c>
      <c r="F13" s="14" t="n">
        <f aca="false">INDEX(Модель!$H$8:$H$101,MATCH($A13,Модель!$A$8:$A$101,0))</f>
        <v>3360295</v>
      </c>
      <c r="G13" s="15" t="n">
        <f aca="false">IF($F$12&lt;&gt;0,F13/$F$12,0)</f>
        <v>0.0308003041941304</v>
      </c>
    </row>
    <row r="14" customFormat="false" ht="15" hidden="false" customHeight="false" outlineLevel="0" collapsed="false">
      <c r="A14" s="2" t="s">
        <v>115</v>
      </c>
      <c r="B14" s="13" t="s">
        <v>116</v>
      </c>
      <c r="C14" s="14" t="n">
        <f aca="false">INDEX(Модель!$E$8:$E$101,MATCH($A14,Модель!$A$8:$A$101,0))</f>
        <v>1170000</v>
      </c>
      <c r="D14" s="14" t="n">
        <f aca="false">INDEX(Модель!$F$8:$F$101,MATCH($A14,Модель!$A$8:$A$101,0))</f>
        <v>54000</v>
      </c>
      <c r="E14" s="14" t="n">
        <f aca="false">INDEX(Модель!$G$8:$G$101,MATCH($A14,Модель!$A$8:$A$101,0))</f>
        <v>186000</v>
      </c>
      <c r="F14" s="14" t="n">
        <f aca="false">INDEX(Модель!$H$8:$H$101,MATCH($A14,Модель!$A$8:$A$101,0))</f>
        <v>1410000</v>
      </c>
      <c r="G14" s="15" t="n">
        <f aca="false">IF($F$12&lt;&gt;0,F14/$F$12,0)</f>
        <v>0.0129239929570838</v>
      </c>
    </row>
    <row r="15" customFormat="false" ht="15" hidden="false" customHeight="false" outlineLevel="0" collapsed="false">
      <c r="A15" s="2" t="s">
        <v>117</v>
      </c>
      <c r="B15" s="13" t="s">
        <v>118</v>
      </c>
      <c r="C15" s="14" t="n">
        <f aca="false">INDEX(Модель!$E$8:$E$101,MATCH($A15,Модель!$A$8:$A$101,0))</f>
        <v>912825</v>
      </c>
      <c r="D15" s="14" t="n">
        <f aca="false">INDEX(Модель!$F$8:$F$101,MATCH($A15,Модель!$A$8:$A$101,0))</f>
        <v>566625</v>
      </c>
      <c r="E15" s="14" t="n">
        <f aca="false">INDEX(Модель!$G$8:$G$101,MATCH($A15,Модель!$A$8:$A$101,0))</f>
        <v>603000</v>
      </c>
      <c r="F15" s="14" t="n">
        <f aca="false">INDEX(Модель!$H$8:$H$101,MATCH($A15,Модель!$A$8:$A$101,0))</f>
        <v>2082450</v>
      </c>
      <c r="G15" s="15" t="n">
        <f aca="false">IF($F$12&lt;&gt;0,F15/$F$12,0)</f>
        <v>0.0190876376833185</v>
      </c>
    </row>
    <row r="16" customFormat="false" ht="15" hidden="false" customHeight="false" outlineLevel="0" collapsed="false">
      <c r="A16" s="2" t="s">
        <v>119</v>
      </c>
      <c r="B16" s="13" t="s">
        <v>120</v>
      </c>
      <c r="C16" s="14" t="n">
        <f aca="false">INDEX(Модель!$E$8:$E$101,MATCH($A16,Модель!$A$8:$A$101,0))</f>
        <v>0</v>
      </c>
      <c r="D16" s="14" t="n">
        <f aca="false">INDEX(Модель!$F$8:$F$101,MATCH($A16,Модель!$A$8:$A$101,0))</f>
        <v>6044000</v>
      </c>
      <c r="E16" s="14" t="n">
        <f aca="false">INDEX(Модель!$G$8:$G$101,MATCH($A16,Модель!$A$8:$A$101,0))</f>
        <v>4020000</v>
      </c>
      <c r="F16" s="14" t="n">
        <f aca="false">INDEX(Модель!$H$8:$H$101,MATCH($A16,Модель!$A$8:$A$101,0))</f>
        <v>10064000</v>
      </c>
      <c r="G16" s="15" t="n">
        <f aca="false">IF($F$12&lt;&gt;0,F16/$F$12,0)</f>
        <v>0.092246145475242</v>
      </c>
    </row>
    <row r="17" customFormat="false" ht="15" hidden="false" customHeight="false" outlineLevel="0" collapsed="false">
      <c r="A17" s="16" t="s">
        <v>121</v>
      </c>
      <c r="B17" s="16" t="s">
        <v>122</v>
      </c>
      <c r="C17" s="17" t="n">
        <f aca="false">INDEX(Модель!$E$8:$E$101,MATCH($A17,Модель!$A$8:$A$101,0))</f>
        <v>4618450</v>
      </c>
      <c r="D17" s="17" t="n">
        <f aca="false">INDEX(Модель!$F$8:$F$101,MATCH($A17,Модель!$A$8:$A$101,0))</f>
        <v>7344575</v>
      </c>
      <c r="E17" s="17" t="n">
        <f aca="false">INDEX(Модель!$G$8:$G$101,MATCH($A17,Модель!$A$8:$A$101,0))</f>
        <v>4953720</v>
      </c>
      <c r="F17" s="17" t="n">
        <f aca="false">INDEX(Модель!$H$8:$H$101,MATCH($A17,Модель!$A$8:$A$101,0))</f>
        <v>16916745</v>
      </c>
      <c r="G17" s="18" t="n">
        <f aca="false">IF($F$12&lt;&gt;0,F17/$F$12,0)</f>
        <v>0.155058080309775</v>
      </c>
    </row>
    <row r="18" customFormat="false" ht="15" hidden="false" customHeight="false" outlineLevel="0" collapsed="false">
      <c r="A18" s="16" t="s">
        <v>123</v>
      </c>
      <c r="B18" s="16" t="s">
        <v>124</v>
      </c>
      <c r="C18" s="17" t="n">
        <f aca="false">INDEX(Модель!$E$8:$E$101,MATCH($A18,Модель!$A$8:$A$101,0))</f>
        <v>5940000</v>
      </c>
      <c r="D18" s="17" t="n">
        <f aca="false">INDEX(Модель!$F$8:$F$101,MATCH($A18,Модель!$A$8:$A$101,0))</f>
        <v>1680000</v>
      </c>
      <c r="E18" s="17" t="n">
        <f aca="false">INDEX(Модель!$G$8:$G$101,MATCH($A18,Модель!$A$8:$A$101,0))</f>
        <v>540000</v>
      </c>
      <c r="F18" s="17" t="n">
        <f aca="false">INDEX(Модель!$H$8:$H$101,MATCH($A18,Модель!$A$8:$A$101,0))</f>
        <v>8160000</v>
      </c>
      <c r="G18" s="18" t="n">
        <f aca="false">IF($F$12&lt;&gt;0,F18/$F$12,0)</f>
        <v>0.074794172006953</v>
      </c>
    </row>
    <row r="19" customFormat="false" ht="15" hidden="false" customHeight="false" outlineLevel="0" collapsed="false">
      <c r="A19" s="2" t="s">
        <v>125</v>
      </c>
      <c r="B19" s="13" t="s">
        <v>126</v>
      </c>
      <c r="C19" s="14" t="n">
        <f aca="false">INDEX(Модель!$E$8:$E$101,MATCH($A19,Модель!$A$8:$A$101,0))</f>
        <v>1014250</v>
      </c>
      <c r="D19" s="14" t="n">
        <f aca="false">INDEX(Модель!$F$8:$F$101,MATCH($A19,Модель!$A$8:$A$101,0))</f>
        <v>453300</v>
      </c>
      <c r="E19" s="14" t="n">
        <f aca="false">INDEX(Модель!$G$8:$G$101,MATCH($A19,Модель!$A$8:$A$101,0))</f>
        <v>402000</v>
      </c>
      <c r="F19" s="14" t="n">
        <f aca="false">INDEX(Модель!$H$8:$H$101,MATCH($A19,Модель!$A$8:$A$101,0))</f>
        <v>1869550</v>
      </c>
      <c r="G19" s="15" t="n">
        <f aca="false">IF($F$12&lt;&gt;0,F19/$F$12,0)</f>
        <v>0.0171362064063234</v>
      </c>
    </row>
    <row r="20" customFormat="false" ht="15" hidden="false" customHeight="false" outlineLevel="0" collapsed="false">
      <c r="A20" s="2" t="s">
        <v>127</v>
      </c>
      <c r="B20" s="13" t="s">
        <v>128</v>
      </c>
      <c r="C20" s="14" t="n">
        <f aca="false">INDEX(Модель!$E$8:$E$101,MATCH($A20,Модель!$A$8:$A$101,0))</f>
        <v>300000</v>
      </c>
      <c r="D20" s="14" t="n">
        <f aca="false">INDEX(Модель!$F$8:$F$101,MATCH($A20,Модель!$A$8:$A$101,0))</f>
        <v>100000</v>
      </c>
      <c r="E20" s="14" t="n">
        <f aca="false">INDEX(Модель!$G$8:$G$101,MATCH($A20,Модель!$A$8:$A$101,0))</f>
        <v>200000</v>
      </c>
      <c r="F20" s="14" t="n">
        <f aca="false">INDEX(Модель!$H$8:$H$101,MATCH($A20,Модель!$A$8:$A$101,0))</f>
        <v>600000</v>
      </c>
      <c r="G20" s="15" t="n">
        <f aca="false">IF($F$12&lt;&gt;0,F20/$F$12,0)</f>
        <v>0.00549957147109948</v>
      </c>
    </row>
    <row r="21" customFormat="false" ht="15" hidden="false" customHeight="false" outlineLevel="0" collapsed="false">
      <c r="A21" s="16" t="s">
        <v>129</v>
      </c>
      <c r="B21" s="16" t="s">
        <v>130</v>
      </c>
      <c r="C21" s="17" t="n">
        <f aca="false">INDEX(Модель!$E$8:$E$101,MATCH($A21,Модель!$A$8:$A$101,0))</f>
        <v>1314250</v>
      </c>
      <c r="D21" s="17" t="n">
        <f aca="false">INDEX(Модель!$F$8:$F$101,MATCH($A21,Модель!$A$8:$A$101,0))</f>
        <v>553300</v>
      </c>
      <c r="E21" s="17" t="n">
        <f aca="false">INDEX(Модель!$G$8:$G$101,MATCH($A21,Модель!$A$8:$A$101,0))</f>
        <v>602000</v>
      </c>
      <c r="F21" s="17" t="n">
        <f aca="false">INDEX(Модель!$H$8:$H$101,MATCH($A21,Модель!$A$8:$A$101,0))</f>
        <v>2469550</v>
      </c>
      <c r="G21" s="18" t="n">
        <f aca="false">IF($F$12&lt;&gt;0,F21/$F$12,0)</f>
        <v>0.0226357778774229</v>
      </c>
    </row>
    <row r="22" customFormat="false" ht="15" hidden="false" customHeight="false" outlineLevel="0" collapsed="false">
      <c r="A22" s="16" t="s">
        <v>131</v>
      </c>
      <c r="B22" s="16" t="s">
        <v>132</v>
      </c>
      <c r="C22" s="17" t="n">
        <f aca="false">INDEX(Модель!$E$8:$E$101,MATCH($A22,Модель!$A$8:$A$101,0))</f>
        <v>31786705.5</v>
      </c>
      <c r="D22" s="17" t="n">
        <f aca="false">INDEX(Модель!$F$8:$F$101,MATCH($A22,Модель!$A$8:$A$101,0))</f>
        <v>23410277</v>
      </c>
      <c r="E22" s="17" t="n">
        <f aca="false">INDEX(Модель!$G$8:$G$101,MATCH($A22,Модель!$A$8:$A$101,0))</f>
        <v>26356132</v>
      </c>
      <c r="F22" s="17" t="n">
        <f aca="false">INDEX(Модель!$H$8:$H$101,MATCH($A22,Модель!$A$8:$A$101,0))</f>
        <v>81553114.5</v>
      </c>
      <c r="G22" s="18" t="n">
        <f aca="false">IF($F$12&lt;&gt;0,F22/$F$12,0)</f>
        <v>0.747511969805849</v>
      </c>
    </row>
    <row r="24" customFormat="false" ht="30" hidden="false" customHeight="true" outlineLevel="0" collapsed="false">
      <c r="A24" s="12" t="s">
        <v>90</v>
      </c>
      <c r="B24" s="12" t="s">
        <v>133</v>
      </c>
      <c r="C24" s="12" t="s">
        <v>92</v>
      </c>
      <c r="D24" s="12" t="s">
        <v>93</v>
      </c>
      <c r="E24" s="12" t="s">
        <v>94</v>
      </c>
      <c r="F24" s="12" t="s">
        <v>95</v>
      </c>
      <c r="G24" s="12"/>
    </row>
    <row r="25" customFormat="false" ht="15" hidden="false" customHeight="false" outlineLevel="0" collapsed="false">
      <c r="A25" s="2" t="s">
        <v>134</v>
      </c>
      <c r="B25" s="13" t="s">
        <v>135</v>
      </c>
      <c r="C25" s="14" t="n">
        <f aca="false">INDEX(Модель!$E$8:$E$101,MATCH($A25,Модель!$A$8:$A$101,0))</f>
        <v>507125</v>
      </c>
      <c r="D25" s="14" t="n">
        <f aca="false">INDEX(Модель!$F$8:$F$101,MATCH($A25,Модель!$A$8:$A$101,0))</f>
        <v>15110</v>
      </c>
      <c r="E25" s="14" t="n">
        <f aca="false">INDEX(Модель!$G$8:$G$101,MATCH($A25,Модель!$A$8:$A$101,0))</f>
        <v>402</v>
      </c>
      <c r="F25" s="14" t="n">
        <f aca="false">INDEX(Модель!$H$8:$H$101,MATCH($A25,Модель!$A$8:$A$101,0))</f>
        <v>522637</v>
      </c>
    </row>
    <row r="26" customFormat="false" ht="15" hidden="false" customHeight="false" outlineLevel="0" collapsed="false">
      <c r="A26" s="2" t="s">
        <v>136</v>
      </c>
      <c r="B26" s="13" t="s">
        <v>137</v>
      </c>
      <c r="C26" s="14" t="n">
        <f aca="false">INDEX(Модель!$E$8:$E$101,MATCH($A26,Модель!$A$8:$A$101,0))</f>
        <v>74250</v>
      </c>
      <c r="D26" s="14" t="n">
        <f aca="false">INDEX(Модель!$F$8:$F$101,MATCH($A26,Модель!$A$8:$A$101,0))</f>
        <v>1120</v>
      </c>
      <c r="E26" s="14" t="n">
        <f aca="false">INDEX(Модель!$G$8:$G$101,MATCH($A26,Модель!$A$8:$A$101,0))</f>
        <v>36</v>
      </c>
      <c r="F26" s="14" t="n">
        <f aca="false">INDEX(Модель!$H$8:$H$101,MATCH($A26,Модель!$A$8:$A$101,0))</f>
        <v>75406</v>
      </c>
    </row>
    <row r="27" customFormat="false" ht="15" hidden="false" customHeight="false" outlineLevel="0" collapsed="false">
      <c r="A27" s="2" t="s">
        <v>138</v>
      </c>
      <c r="B27" s="13" t="s">
        <v>139</v>
      </c>
      <c r="C27" s="14" t="n">
        <f aca="false">INDEX(Модель!$E$8:$E$101,MATCH($A27,Модель!$A$8:$A$101,0))</f>
        <v>177493.75</v>
      </c>
      <c r="D27" s="14" t="n">
        <f aca="false">INDEX(Модель!$F$8:$F$101,MATCH($A27,Модель!$A$8:$A$101,0))</f>
        <v>8310.5</v>
      </c>
      <c r="E27" s="14" t="n">
        <f aca="false">INDEX(Модель!$G$8:$G$101,MATCH($A27,Модель!$A$8:$A$101,0))</f>
        <v>321.6</v>
      </c>
      <c r="F27" s="14" t="n">
        <f aca="false">INDEX(Модель!$H$8:$H$101,MATCH($A27,Модель!$A$8:$A$101,0))</f>
        <v>186125.85</v>
      </c>
    </row>
    <row r="28" customFormat="false" ht="15" hidden="false" customHeight="false" outlineLevel="0" collapsed="false">
      <c r="A28" s="2" t="s">
        <v>140</v>
      </c>
      <c r="B28" s="13" t="s">
        <v>141</v>
      </c>
      <c r="C28" s="14" t="n">
        <f aca="false">INDEX(Модель!$E$8:$E$101,MATCH($A28,Модель!$A$8:$A$101,0))</f>
        <v>4057000000</v>
      </c>
      <c r="D28" s="14" t="n">
        <f aca="false">INDEX(Модель!$F$8:$F$101,MATCH($A28,Модель!$A$8:$A$101,0))</f>
        <v>3022000000</v>
      </c>
      <c r="E28" s="14" t="n">
        <f aca="false">INDEX(Модель!$G$8:$G$101,MATCH($A28,Модель!$A$8:$A$101,0))</f>
        <v>10050000000</v>
      </c>
      <c r="F28" s="14" t="n">
        <f aca="false">INDEX(Модель!$H$8:$H$101,MATCH($A28,Модель!$A$8:$A$101,0))</f>
        <v>17129000000</v>
      </c>
    </row>
    <row r="29" customFormat="false" ht="15" hidden="false" customHeight="false" outlineLevel="0" collapsed="false">
      <c r="A29" s="2" t="s">
        <v>142</v>
      </c>
      <c r="B29" s="13" t="s">
        <v>143</v>
      </c>
      <c r="C29" s="14" t="n">
        <f aca="false">INDEX(Модель!$E$8:$E$101,MATCH($A29,Модель!$A$8:$A$101,0))</f>
        <v>10223640000</v>
      </c>
      <c r="D29" s="14" t="n">
        <f aca="false">INDEX(Модель!$F$8:$F$101,MATCH($A29,Модель!$A$8:$A$101,0))</f>
        <v>5235615000</v>
      </c>
      <c r="E29" s="14" t="n">
        <f aca="false">INDEX(Модель!$G$8:$G$101,MATCH($A29,Модель!$A$8:$A$101,0))</f>
        <v>50169600000</v>
      </c>
      <c r="F29" s="14" t="n">
        <f aca="false">INDEX(Модель!$H$8:$H$101,MATCH($A29,Модель!$A$8:$A$101,0))</f>
        <v>65628855000</v>
      </c>
    </row>
    <row r="30" customFormat="false" ht="15" hidden="false" customHeight="false" outlineLevel="0" collapsed="false">
      <c r="A30" s="2" t="s">
        <v>144</v>
      </c>
      <c r="B30" s="13" t="s">
        <v>145</v>
      </c>
      <c r="C30" s="14" t="n">
        <f aca="false">INDEX(Модель!$E$8:$E$101,MATCH($A30,Модель!$A$8:$A$101,0))</f>
        <v>202850000</v>
      </c>
      <c r="D30" s="14" t="n">
        <f aca="false">INDEX(Модель!$F$8:$F$101,MATCH($A30,Модель!$A$8:$A$101,0))</f>
        <v>226650000</v>
      </c>
      <c r="E30" s="14" t="n">
        <f aca="false">INDEX(Модель!$G$8:$G$101,MATCH($A30,Модель!$A$8:$A$101,0))</f>
        <v>402000000</v>
      </c>
      <c r="F30" s="14" t="n">
        <f aca="false">INDEX(Модель!$H$8:$H$101,MATCH($A30,Модель!$A$8:$A$101,0))</f>
        <v>831500000</v>
      </c>
    </row>
    <row r="31" customFormat="false" ht="15" hidden="false" customHeight="false" outlineLevel="0" collapsed="false">
      <c r="A31" s="2" t="s">
        <v>146</v>
      </c>
      <c r="B31" s="13" t="s">
        <v>147</v>
      </c>
      <c r="C31" s="14" t="n">
        <f aca="false">INDEX(Модель!$E$8:$E$101,MATCH($A31,Модель!$A$8:$A$101,0))</f>
        <v>86.092</v>
      </c>
      <c r="D31" s="14" t="n">
        <f aca="false">INDEX(Модель!$F$8:$F$101,MATCH($A31,Модель!$A$8:$A$101,0))</f>
        <v>2183.2</v>
      </c>
      <c r="E31" s="14" t="n">
        <f aca="false">INDEX(Модель!$G$8:$G$101,MATCH($A31,Модель!$A$8:$A$101,0))</f>
        <v>80726</v>
      </c>
      <c r="F31" s="14" t="n">
        <f aca="false">INDEX(Модель!$H$8:$H$101,MATCH($A31,Модель!$A$8:$A$101,0))</f>
        <v>208.747963691817</v>
      </c>
    </row>
    <row r="32" customFormat="false" ht="15" hidden="false" customHeight="false" outlineLevel="0" collapsed="false">
      <c r="A32" s="2" t="s">
        <v>148</v>
      </c>
      <c r="B32" s="13" t="s">
        <v>149</v>
      </c>
      <c r="C32" s="19" t="n">
        <f aca="false">INDEX(Модель!$E$8:$E$101,MATCH($A32,Модель!$A$8:$A$101,0))</f>
        <v>107.615</v>
      </c>
      <c r="D32" s="19" t="n">
        <f aca="false">INDEX(Модель!$F$8:$F$101,MATCH($A32,Модель!$A$8:$A$101,0))</f>
        <v>109.16</v>
      </c>
      <c r="E32" s="19" t="n">
        <f aca="false">INDEX(Модель!$G$8:$G$101,MATCH($A32,Модель!$A$8:$A$101,0))</f>
        <v>32.2904</v>
      </c>
      <c r="F32" s="19" t="n">
        <f aca="false">INDEX(Модель!$H$8:$H$101,MATCH($A32,Модель!$A$8:$A$101,0))</f>
        <v>63.6928072275089</v>
      </c>
    </row>
    <row r="33" customFormat="false" ht="15" hidden="false" customHeight="false" outlineLevel="0" collapsed="false">
      <c r="A33" s="2" t="s">
        <v>150</v>
      </c>
      <c r="B33" s="13" t="s">
        <v>151</v>
      </c>
      <c r="C33" s="20" t="n">
        <f aca="false">INDEX(Модель!$E$8:$E$101,MATCH($A33,Модель!$A$8:$A$101,0))</f>
        <v>0.728060887132327</v>
      </c>
      <c r="D33" s="20" t="n">
        <f aca="false">INDEX(Модель!$F$8:$F$101,MATCH($A33,Модель!$A$8:$A$101,0))</f>
        <v>0.709657121744801</v>
      </c>
      <c r="E33" s="20" t="n">
        <f aca="false">INDEX(Модель!$G$8:$G$101,MATCH($A33,Модель!$A$8:$A$101,0))</f>
        <v>0.812161105628116</v>
      </c>
      <c r="F33" s="20" t="n">
        <f aca="false">INDEX(Модель!$H$8:$H$101,MATCH($A33,Модель!$A$8:$A$101,0))</f>
        <v>0.747511969805849</v>
      </c>
    </row>
    <row r="34" customFormat="false" ht="15" hidden="false" customHeight="false" outlineLevel="0" collapsed="false">
      <c r="A34" s="2" t="s">
        <v>152</v>
      </c>
      <c r="B34" s="13" t="s">
        <v>153</v>
      </c>
      <c r="C34" s="14" t="n">
        <f aca="false">INDEX(Модель!$E$8:$E$101,MATCH($A34,Модель!$A$8:$A$101,0))</f>
        <v>62.6802178949963</v>
      </c>
      <c r="D34" s="14" t="n">
        <f aca="false">INDEX(Модель!$F$8:$F$101,MATCH($A34,Модель!$A$8:$A$101,0))</f>
        <v>1549.32342819325</v>
      </c>
      <c r="E34" s="14" t="n">
        <f aca="false">INDEX(Модель!$G$8:$G$101,MATCH($A34,Модель!$A$8:$A$101,0))</f>
        <v>65562.5174129353</v>
      </c>
      <c r="F34" s="14" t="n">
        <f aca="false">INDEX(Модель!$H$8:$H$101,MATCH($A34,Модель!$A$8:$A$101,0))</f>
        <v>156.04160153223</v>
      </c>
    </row>
    <row r="35" customFormat="false" ht="15" hidden="false" customHeight="false" outlineLevel="0" collapsed="false">
      <c r="A35" s="2" t="s">
        <v>154</v>
      </c>
      <c r="B35" s="13" t="s">
        <v>155</v>
      </c>
      <c r="C35" s="14" t="n">
        <f aca="false">INDEX(Модель!$E$8:$E$101,MATCH($A35,Модель!$A$8:$A$101,0))</f>
        <v>619.944219866897</v>
      </c>
      <c r="D35" s="14" t="n">
        <f aca="false">INDEX(Модель!$F$8:$F$101,MATCH($A35,Модель!$A$8:$A$101,0))</f>
        <v>27675.1345687183</v>
      </c>
      <c r="E35" s="14" t="n">
        <f aca="false">INDEX(Модель!$G$8:$G$101,MATCH($A35,Модель!$A$8:$A$101,0))</f>
        <v>836322.512437811</v>
      </c>
      <c r="F35" s="14" t="n">
        <f aca="false">INDEX(Модель!$H$8:$H$101,MATCH($A35,Модель!$A$8:$A$101,0))</f>
        <v>1451.96036893459</v>
      </c>
    </row>
    <row r="36" customFormat="false" ht="15" hidden="false" customHeight="false" outlineLevel="0" collapsed="false">
      <c r="A36" s="2" t="s">
        <v>156</v>
      </c>
      <c r="B36" s="13" t="s">
        <v>157</v>
      </c>
      <c r="C36" s="21" t="n">
        <f aca="false">INDEX(Модель!$E$8:$E$101,MATCH($A36,Модель!$A$8:$A$101,0))</f>
        <v>7.74930274833621</v>
      </c>
      <c r="D36" s="21" t="n">
        <f aca="false">INDEX(Модель!$F$8:$F$101,MATCH($A36,Модель!$A$8:$A$101,0))</f>
        <v>18.4500897124789</v>
      </c>
      <c r="E36" s="21" t="n">
        <f aca="false">INDEX(Модель!$G$8:$G$101,MATCH($A36,Модель!$A$8:$A$101,0))</f>
        <v>55.7548341625208</v>
      </c>
      <c r="F36" s="21" t="n">
        <f aca="false">INDEX(Модель!$H$8:$H$101,MATCH($A36,Модель!$A$8:$A$101,0))</f>
        <v>13.4174661249855</v>
      </c>
    </row>
    <row r="37" customFormat="false" ht="15" hidden="false" customHeight="false" outlineLevel="0" collapsed="false">
      <c r="A37" s="2" t="s">
        <v>158</v>
      </c>
      <c r="B37" s="13" t="s">
        <v>159</v>
      </c>
      <c r="C37" s="19" t="n">
        <f aca="false">INDEX(Модель!$E$8:$E$101,MATCH($A37,Модель!$A$8:$A$101,0))</f>
        <v>12.9043867877623</v>
      </c>
      <c r="D37" s="19" t="n">
        <f aca="false">INDEX(Модель!$F$8:$F$101,MATCH($A37,Модель!$A$8:$A$101,0))</f>
        <v>10.8400556916928</v>
      </c>
      <c r="E37" s="19" t="n">
        <f aca="false">INDEX(Модель!$G$8:$G$101,MATCH($A37,Модель!$A$8:$A$101,0))</f>
        <v>2.6903496755593</v>
      </c>
      <c r="F37" s="19" t="n">
        <f aca="false">INDEX(Модель!$H$8:$H$101,MATCH($A37,Модель!$A$8:$A$101,0))</f>
        <v>7.56501370866101</v>
      </c>
    </row>
    <row r="38" customFormat="false" ht="15" hidden="false" customHeight="false" outlineLevel="0" collapsed="false">
      <c r="A38" s="2" t="s">
        <v>160</v>
      </c>
      <c r="B38" s="13" t="s">
        <v>161</v>
      </c>
      <c r="C38" s="20" t="n">
        <f aca="false">INDEX(Модель!$E$8:$E$101,MATCH($A38,Модель!$A$8:$A$101,0))</f>
        <v>0.511081168982019</v>
      </c>
      <c r="D38" s="20" t="n">
        <f aca="false">INDEX(Модель!$F$8:$F$101,MATCH($A38,Модель!$A$8:$A$101,0))</f>
        <v>0.352693294246977</v>
      </c>
      <c r="E38" s="20" t="n">
        <f aca="false">INDEX(Модель!$G$8:$G$101,MATCH($A38,Модель!$A$8:$A$101,0))</f>
        <v>0.340658523895647</v>
      </c>
      <c r="F38" s="20" t="n">
        <f aca="false">INDEX(Модель!$H$8:$H$101,MATCH($A38,Модель!$A$8:$A$101,0))</f>
        <v>0.412497191380307</v>
      </c>
    </row>
    <row r="40" customFormat="false" ht="30" hidden="false" customHeight="true" outlineLevel="0" collapsed="false">
      <c r="A40" s="12" t="s">
        <v>90</v>
      </c>
      <c r="B40" s="12" t="s">
        <v>162</v>
      </c>
      <c r="C40" s="12" t="s">
        <v>92</v>
      </c>
      <c r="D40" s="12" t="s">
        <v>93</v>
      </c>
      <c r="E40" s="12" t="s">
        <v>94</v>
      </c>
      <c r="F40" s="12" t="s">
        <v>95</v>
      </c>
      <c r="G40" s="12"/>
    </row>
    <row r="41" customFormat="false" ht="15" hidden="false" customHeight="false" outlineLevel="0" collapsed="false">
      <c r="A41" s="2" t="s">
        <v>134</v>
      </c>
      <c r="B41" s="13" t="s">
        <v>135</v>
      </c>
      <c r="C41" s="14" t="n">
        <f aca="false">INDEX(Модель!$J$16:$JA$16,MATCH("MR|BASE|3",Модель!$J$6:$JA$6,0))</f>
        <v>618750</v>
      </c>
      <c r="D41" s="14" t="n">
        <f aca="false">INDEX(Модель!$J$16:$JA$16,MATCH("AF|BASE|3",Модель!$J$6:$JA$6,0))</f>
        <v>18666.6666666667</v>
      </c>
      <c r="E41" s="14" t="n">
        <f aca="false">INDEX(Модель!$J$16:$JA$16,MATCH("IC|BASE|3",Модель!$J$6:$JA$6,0))</f>
        <v>450</v>
      </c>
      <c r="F41" s="22" t="n">
        <f aca="false">SUM(C41:E41)</f>
        <v>637866.666666667</v>
      </c>
    </row>
    <row r="42" customFormat="false" ht="15" hidden="false" customHeight="false" outlineLevel="0" collapsed="false">
      <c r="A42" s="2" t="s">
        <v>111</v>
      </c>
      <c r="B42" s="13" t="s">
        <v>112</v>
      </c>
      <c r="C42" s="14" t="n">
        <f aca="false">INDEX(Модель!$J$65:$JA$65,MATCH("MR|BASE|3",Модель!$J$6:$JA$6,0))</f>
        <v>53269425</v>
      </c>
      <c r="D42" s="14" t="n">
        <f aca="false">INDEX(Модель!$J$65:$JA$65,MATCH("AF|BASE|3",Модель!$J$6:$JA$6,0))</f>
        <v>40753066.6666667</v>
      </c>
      <c r="E42" s="14" t="n">
        <f aca="false">INDEX(Модель!$J$65:$JA$65,MATCH("IC|BASE|3",Модель!$J$6:$JA$6,0))</f>
        <v>36326700</v>
      </c>
      <c r="F42" s="22" t="n">
        <f aca="false">SUM(C42:E42)</f>
        <v>130349191.666667</v>
      </c>
    </row>
    <row r="43" customFormat="false" ht="15" hidden="false" customHeight="false" outlineLevel="0" collapsed="false">
      <c r="A43" s="2" t="s">
        <v>131</v>
      </c>
      <c r="B43" s="13" t="s">
        <v>132</v>
      </c>
      <c r="C43" s="14" t="n">
        <f aca="false">INDEX(Модель!$J$91:$JA$91,MATCH("MR|BASE|3",Модель!$J$6:$JA$6,0))</f>
        <v>40414425</v>
      </c>
      <c r="D43" s="14" t="n">
        <f aca="false">INDEX(Модель!$J$91:$JA$91,MATCH("AF|BASE|3",Модель!$J$6:$JA$6,0))</f>
        <v>29352400</v>
      </c>
      <c r="E43" s="14" t="n">
        <f aca="false">INDEX(Модель!$J$91:$JA$91,MATCH("IC|BASE|3",Модель!$J$6:$JA$6,0))</f>
        <v>29613700</v>
      </c>
      <c r="F43" s="22" t="n">
        <f aca="false">SUM(C43:E43)</f>
        <v>99380525</v>
      </c>
    </row>
    <row r="45" customFormat="false" ht="30" hidden="false" customHeight="true" outlineLevel="0" collapsed="false">
      <c r="A45" s="12" t="s">
        <v>163</v>
      </c>
      <c r="B45" s="12" t="s">
        <v>164</v>
      </c>
      <c r="C45" s="12" t="s">
        <v>90</v>
      </c>
      <c r="D45" s="12" t="s">
        <v>165</v>
      </c>
      <c r="E45" s="12" t="s">
        <v>166</v>
      </c>
      <c r="F45" s="12" t="s">
        <v>167</v>
      </c>
      <c r="G45" s="12" t="s">
        <v>168</v>
      </c>
    </row>
    <row r="46" customFormat="false" ht="15" hidden="false" customHeight="false" outlineLevel="0" collapsed="false">
      <c r="A46" s="13" t="n">
        <v>1</v>
      </c>
      <c r="B46" s="23" t="str">
        <f aca="false">INDEX(Чувствительность!$B$5:$B$45,MATCH(LARGE(Чувствительность!$X$5:$X$45,1),Чувствительность!$X$5:$X$45,0))</f>
        <v>Годовой отток фондированных клиентов (вывели активы ниже порога или закрыли счёт)</v>
      </c>
      <c r="C46" s="23" t="str">
        <f aca="false">INDEX(Чувствительность!$A$5:$A$45,MATCH(LARGE(Чувствительность!$X$5:$X$45,1),Чувствительность!$X$5:$X$45,0))</f>
        <v>CHURN</v>
      </c>
      <c r="D46" s="14" t="n">
        <f aca="false">INDEX(Чувствительность!$Q$5:$Q$45,MATCH(LARGE(Чувствительность!$X$5:$X$45,1),Чувствительность!$X$5:$X$45,0))</f>
        <v>1106570.95959597</v>
      </c>
      <c r="E46" s="14" t="n">
        <f aca="false">INDEX(Чувствительность!$M$5:$M$45,MATCH(LARGE(Чувствительность!$X$5:$X$45,1),Чувствительность!$X$5:$X$45,0))</f>
        <v>41564.3099999987</v>
      </c>
      <c r="F46" s="23" t="str">
        <f aca="false">INDEX(Чувствительность!$F$5:$F$45,MATCH(LARGE(Чувствительность!$X$5:$X$45,1),Чувствительность!$X$5:$X$45,0))</f>
        <v>Объёмный</v>
      </c>
      <c r="G46" s="23" t="str">
        <f aca="false">INDEX(Чувствительность!$E$5:$E$45,MATCH(LARGE(Чувствительность!$X$5:$X$45,1),Чувствительность!$X$5:$X$45,0))</f>
        <v>Управляемый</v>
      </c>
    </row>
    <row r="47" customFormat="false" ht="15" hidden="false" customHeight="false" outlineLevel="0" collapsed="false">
      <c r="A47" s="13" t="n">
        <v>2</v>
      </c>
      <c r="B47" s="23" t="str">
        <f aca="false">INDEX(Чувствительность!$B$5:$B$45,MATCH(LARGE(Чувствительность!$X$5:$X$45,2),Чувствительность!$X$5:$X$45,0))</f>
        <v>Конверсия: открытый счёт → фондированный (первое пополнение)</v>
      </c>
      <c r="C47" s="23" t="str">
        <f aca="false">INDEX(Чувствительность!$A$5:$A$45,MATCH(LARGE(Чувствительность!$X$5:$X$45,2),Чувствительность!$X$5:$X$45,0))</f>
        <v>CR_FUND</v>
      </c>
      <c r="D47" s="14" t="n">
        <f aca="false">INDEX(Чувствительность!$Q$5:$Q$45,MATCH(LARGE(Чувствительность!$X$5:$X$45,2),Чувствительность!$X$5:$X$45,0))</f>
        <v>1013905.25000003</v>
      </c>
      <c r="E47" s="14" t="n">
        <f aca="false">INDEX(Чувствительность!$M$5:$M$45,MATCH(LARGE(Чувствительность!$X$5:$X$45,2),Чувствительность!$X$5:$X$45,0))</f>
        <v>-31333.5449999943</v>
      </c>
      <c r="F47" s="23" t="str">
        <f aca="false">INDEX(Чувствительность!$F$5:$F$45,MATCH(LARGE(Чувствительность!$X$5:$X$45,2),Чувствительность!$X$5:$X$45,0))</f>
        <v>Объёмный</v>
      </c>
      <c r="G47" s="23" t="str">
        <f aca="false">INDEX(Чувствительность!$E$5:$E$45,MATCH(LARGE(Чувствительность!$X$5:$X$45,2),Чувствительность!$X$5:$X$45,0))</f>
        <v>Управляемый</v>
      </c>
    </row>
    <row r="48" customFormat="false" ht="15" hidden="false" customHeight="false" outlineLevel="0" collapsed="false">
      <c r="A48" s="13" t="n">
        <v>3</v>
      </c>
      <c r="B48" s="23" t="str">
        <f aca="false">INDEX(Чувствительность!$B$5:$B$45,MATCH(LARGE(Чувствительность!$X$5:$X$45,3),Чувствительность!$X$5:$X$45,0))</f>
        <v>Конверсия: заявка → открытый счёт (KYC пройден; ИК — договор подписан)</v>
      </c>
      <c r="C48" s="23" t="str">
        <f aca="false">INDEX(Чувствительность!$A$5:$A$45,MATCH(LARGE(Чувствительность!$X$5:$X$45,3),Чувствительность!$X$5:$X$45,0))</f>
        <v>CR_OPEN</v>
      </c>
      <c r="D48" s="14" t="n">
        <f aca="false">INDEX(Чувствительность!$Q$5:$Q$45,MATCH(LARGE(Чувствительность!$X$5:$X$45,3),Чувствительность!$X$5:$X$45,0))</f>
        <v>1013905.25000001</v>
      </c>
      <c r="E48" s="14" t="n">
        <f aca="false">INDEX(Чувствительность!$M$5:$M$45,MATCH(LARGE(Чувствительность!$X$5:$X$45,3),Чувствительность!$X$5:$X$45,0))</f>
        <v>-31333.5449999943</v>
      </c>
      <c r="F48" s="23" t="str">
        <f aca="false">INDEX(Чувствительность!$F$5:$F$45,MATCH(LARGE(Чувствительность!$X$5:$X$45,3),Чувствительность!$X$5:$X$45,0))</f>
        <v>Объёмный</v>
      </c>
      <c r="G48" s="23" t="str">
        <f aca="false">INDEX(Чувствительность!$E$5:$E$45,MATCH(LARGE(Чувствительность!$X$5:$X$45,3),Чувствительность!$X$5:$X$45,0))</f>
        <v>Управляемый</v>
      </c>
    </row>
    <row r="49" customFormat="false" ht="15" hidden="false" customHeight="false" outlineLevel="0" collapsed="false">
      <c r="A49" s="13" t="n">
        <v>4</v>
      </c>
      <c r="B49" s="23" t="str">
        <f aca="false">INDEX(Чувствительность!$B$5:$B$45,MATCH(LARGE(Чувствительность!$X$5:$X$45,4),Чувствительность!$X$5:$X$45,0))</f>
        <v>Заявки на открытие счёта за период (ИК — потенциальные клиенты в воронке продаж)</v>
      </c>
      <c r="C49" s="23" t="str">
        <f aca="false">INDEX(Чувствительность!$A$5:$A$45,MATCH(LARGE(Чувствительность!$X$5:$X$45,4),Чувствительность!$X$5:$X$45,0))</f>
        <v>LEADS</v>
      </c>
      <c r="D49" s="14" t="n">
        <f aca="false">INDEX(Чувствительность!$Q$5:$Q$45,MATCH(LARGE(Чувствительность!$X$5:$X$45,4),Чувствительность!$X$5:$X$45,0))</f>
        <v>999805.250000011</v>
      </c>
      <c r="E49" s="14" t="n">
        <f aca="false">INDEX(Чувствительность!$M$5:$M$45,MATCH(LARGE(Чувствительность!$X$5:$X$45,4),Чувствительность!$X$5:$X$45,0))</f>
        <v>-45433.5449999943</v>
      </c>
      <c r="F49" s="23" t="str">
        <f aca="false">INDEX(Чувствительность!$F$5:$F$45,MATCH(LARGE(Чувствительность!$X$5:$X$45,4),Чувствительность!$X$5:$X$45,0))</f>
        <v>Объёмный</v>
      </c>
      <c r="G49" s="23" t="str">
        <f aca="false">INDEX(Чувствительность!$E$5:$E$45,MATCH(LARGE(Чувствительность!$X$5:$X$45,4),Чувствительность!$X$5:$X$45,0))</f>
        <v>Управляемый</v>
      </c>
    </row>
    <row r="50" customFormat="false" ht="15" hidden="false" customHeight="false" outlineLevel="0" collapsed="false">
      <c r="A50" s="13" t="n">
        <v>5</v>
      </c>
      <c r="B50" s="23" t="str">
        <f aca="false">INDEX(Чувствительность!$B$5:$B$45,MATCH(LARGE(Чувствительность!$X$5:$X$45,5),Чувствительность!$X$5:$X$45,0))</f>
        <v>Средние активы на фондированного клиента</v>
      </c>
      <c r="C50" s="23" t="str">
        <f aca="false">INDEX(Чувствительность!$A$5:$A$45,MATCH(LARGE(Чувствительность!$X$5:$X$45,5),Чувствительность!$X$5:$X$45,0))</f>
        <v>AUC_PC</v>
      </c>
      <c r="D50" s="14" t="n">
        <f aca="false">INDEX(Чувствительность!$Q$5:$Q$45,MATCH(LARGE(Чувствительность!$X$5:$X$45,5),Чувствительность!$X$5:$X$45,0))</f>
        <v>428241.666666679</v>
      </c>
      <c r="E50" s="14" t="n">
        <f aca="false">INDEX(Чувствительность!$M$5:$M$45,MATCH(LARGE(Чувствительность!$X$5:$X$45,5),Чувствительность!$X$5:$X$45,0))</f>
        <v>357315</v>
      </c>
      <c r="F50" s="23" t="str">
        <f aca="false">INDEX(Чувствительность!$F$5:$F$45,MATCH(LARGE(Чувствительность!$X$5:$X$45,5),Чувствительность!$X$5:$X$45,0))</f>
        <v>Объёмный</v>
      </c>
      <c r="G50" s="23" t="str">
        <f aca="false">INDEX(Чувствительность!$E$5:$E$45,MATCH(LARGE(Чувствительность!$X$5:$X$45,5),Чувствительность!$X$5:$X$45,0))</f>
        <v>Частично</v>
      </c>
    </row>
    <row r="51" customFormat="false" ht="15" hidden="false" customHeight="false" outlineLevel="0" collapsed="false">
      <c r="A51" s="13" t="n">
        <v>6</v>
      </c>
      <c r="B51" s="23" t="str">
        <f aca="false">INDEX(Чувствительность!$B$5:$B$45,MATCH(LARGE(Чувствительность!$X$5:$X$45,6),Чувствительность!$X$5:$X$45,0))</f>
        <v>Средний объём сделки</v>
      </c>
      <c r="C51" s="23" t="str">
        <f aca="false">INDEX(Чувствительность!$A$5:$A$45,MATCH(LARGE(Чувствительность!$X$5:$X$45,6),Чувствительность!$X$5:$X$45,0))</f>
        <v>TICKET</v>
      </c>
      <c r="D51" s="14" t="n">
        <f aca="false">INDEX(Чувствительность!$Q$5:$Q$45,MATCH(LARGE(Чувствительность!$X$5:$X$45,6),Чувствительность!$X$5:$X$45,0))</f>
        <v>268824</v>
      </c>
      <c r="E51" s="14" t="n">
        <f aca="false">INDEX(Чувствительность!$M$5:$M$45,MATCH(LARGE(Чувствительность!$X$5:$X$45,6),Чувствительность!$X$5:$X$45,0))</f>
        <v>224772.119999997</v>
      </c>
      <c r="F51" s="23" t="str">
        <f aca="false">INDEX(Чувствительность!$F$5:$F$45,MATCH(LARGE(Чувствительность!$X$5:$X$45,6),Чувствительность!$X$5:$X$45,0))</f>
        <v>Объёмный</v>
      </c>
      <c r="G51" s="23" t="str">
        <f aca="false">INDEX(Чувствительность!$E$5:$E$45,MATCH(LARGE(Чувствительность!$X$5:$X$45,6),Чувствительность!$X$5:$X$45,0))</f>
        <v>Частично</v>
      </c>
    </row>
    <row r="52" customFormat="false" ht="15" hidden="false" customHeight="false" outlineLevel="0" collapsed="false">
      <c r="A52" s="13" t="n">
        <v>7</v>
      </c>
      <c r="B52" s="23" t="str">
        <f aca="false">INDEX(Чувствительность!$B$5:$B$45,MATCH(LARGE(Чувствительность!$X$5:$X$45,7),Чувствительность!$X$5:$X$45,0))</f>
        <v>Сделок в месяц на активного клиента</v>
      </c>
      <c r="C52" s="23" t="str">
        <f aca="false">INDEX(Чувствительность!$A$5:$A$45,MATCH(LARGE(Чувствительность!$X$5:$X$45,7),Чувствительность!$X$5:$X$45,0))</f>
        <v>TPA</v>
      </c>
      <c r="D52" s="14" t="n">
        <f aca="false">INDEX(Чувствительность!$Q$5:$Q$45,MATCH(LARGE(Чувствительность!$X$5:$X$45,7),Чувствительность!$X$5:$X$45,0))</f>
        <v>268824</v>
      </c>
      <c r="E52" s="14" t="n">
        <f aca="false">INDEX(Чувствительность!$M$5:$M$45,MATCH(LARGE(Чувствительность!$X$5:$X$45,7),Чувствительность!$X$5:$X$45,0))</f>
        <v>224772.119999997</v>
      </c>
      <c r="F52" s="23" t="str">
        <f aca="false">INDEX(Чувствительность!$F$5:$F$45,MATCH(LARGE(Чувствительность!$X$5:$X$45,7),Чувствительность!$X$5:$X$45,0))</f>
        <v>Объёмный</v>
      </c>
      <c r="G52" s="23" t="str">
        <f aca="false">INDEX(Чувствительность!$E$5:$E$45,MATCH(LARGE(Чувствительность!$X$5:$X$45,7),Чувствительность!$X$5:$X$45,0))</f>
        <v>Частично</v>
      </c>
    </row>
    <row r="53" customFormat="false" ht="15" hidden="false" customHeight="false" outlineLevel="0" collapsed="false">
      <c r="A53" s="13" t="n">
        <v>8</v>
      </c>
      <c r="B53" s="23" t="str">
        <f aca="false">INDEX(Чувствительность!$B$5:$B$45,MATCH(LARGE(Чувствительность!$X$5:$X$45,8),Чувствительность!$X$5:$X$45,0))</f>
        <v>Доля активных: среднемесячная доля фондированных клиентов с ≥1 операцией (сделка, пополнение, покупка продукта или подписки)</v>
      </c>
      <c r="C53" s="23" t="str">
        <f aca="false">INDEX(Чувствительность!$A$5:$A$45,MATCH(LARGE(Чувствительность!$X$5:$X$45,8),Чувствительность!$X$5:$X$45,0))</f>
        <v>ACT</v>
      </c>
      <c r="D53" s="14" t="n">
        <f aca="false">INDEX(Чувствительность!$Q$5:$Q$45,MATCH(LARGE(Чувствительность!$X$5:$X$45,8),Чувствительность!$X$5:$X$45,0))</f>
        <v>268824</v>
      </c>
      <c r="E53" s="14" t="n">
        <f aca="false">INDEX(Чувствительность!$M$5:$M$45,MATCH(LARGE(Чувствительность!$X$5:$X$45,8),Чувствительность!$X$5:$X$45,0))</f>
        <v>224772.119999997</v>
      </c>
      <c r="F53" s="23" t="str">
        <f aca="false">INDEX(Чувствительность!$F$5:$F$45,MATCH(LARGE(Чувствительность!$X$5:$X$45,8),Чувствительность!$X$5:$X$45,0))</f>
        <v>Объёмный</v>
      </c>
      <c r="G53" s="23" t="str">
        <f aca="false">INDEX(Чувствительность!$E$5:$E$45,MATCH(LARGE(Чувствительность!$X$5:$X$45,8),Чувствительность!$X$5:$X$45,0))</f>
        <v>Управляемый</v>
      </c>
    </row>
    <row r="54" customFormat="false" ht="15" hidden="false" customHeight="false" outlineLevel="0" collapsed="false">
      <c r="A54" s="13" t="n">
        <v>9</v>
      </c>
      <c r="B54" s="23" t="str">
        <f aca="false">INDEX(Чувствительность!$B$5:$B$45,MATCH(LARGE(Чувствительность!$X$5:$X$45,9),Чувствительность!$X$5:$X$45,0))</f>
        <v>Доля свободных денежных средств в активах клиентов</v>
      </c>
      <c r="C54" s="23" t="str">
        <f aca="false">INDEX(Чувствительность!$A$5:$A$45,MATCH(LARGE(Чувствительность!$X$5:$X$45,9),Чувствительность!$X$5:$X$45,0))</f>
        <v>CASH</v>
      </c>
      <c r="D54" s="14" t="n">
        <f aca="false">INDEX(Чувствительность!$Q$5:$Q$45,MATCH(LARGE(Чувствительность!$X$5:$X$45,9),Чувствительность!$X$5:$X$45,0))</f>
        <v>264483.333333343</v>
      </c>
      <c r="E54" s="14" t="n">
        <f aca="false">INDEX(Чувствительность!$M$5:$M$45,MATCH(LARGE(Чувствительность!$X$5:$X$45,9),Чувствительность!$X$5:$X$45,0))</f>
        <v>220312</v>
      </c>
      <c r="F54" s="23" t="str">
        <f aca="false">INDEX(Чувствительность!$F$5:$F$45,MATCH(LARGE(Чувствительность!$X$5:$X$45,9),Чувствительность!$X$5:$X$45,0))</f>
        <v>Объёмный</v>
      </c>
      <c r="G54" s="23" t="str">
        <f aca="false">INDEX(Чувствительность!$E$5:$E$45,MATCH(LARGE(Чувствительность!$X$5:$X$45,9),Чувствительность!$X$5:$X$45,0))</f>
        <v>Частично</v>
      </c>
    </row>
    <row r="55" customFormat="false" ht="15" hidden="false" customHeight="false" outlineLevel="0" collapsed="false">
      <c r="A55" s="13" t="n">
        <v>10</v>
      </c>
      <c r="B55" s="23" t="str">
        <f aca="false">INDEX(Чувствительность!$B$5:$B$45,MATCH(LARGE(Чувствительность!$X$5:$X$45,10),Чувствительность!$X$5:$X$45,0))</f>
        <v>Средняя задолженность маржинального клиента</v>
      </c>
      <c r="C55" s="23" t="str">
        <f aca="false">INDEX(Чувствительность!$A$5:$A$45,MATCH(LARGE(Чувствительность!$X$5:$X$45,10),Чувствительность!$X$5:$X$45,0))</f>
        <v>MRG_DEBT</v>
      </c>
      <c r="D55" s="14" t="n">
        <f aca="false">INDEX(Чувствительность!$Q$5:$Q$45,MATCH(LARGE(Чувствительность!$X$5:$X$45,10),Чувствительность!$X$5:$X$45,0))</f>
        <v>252775</v>
      </c>
      <c r="E55" s="14" t="n">
        <f aca="false">INDEX(Чувствительность!$M$5:$M$45,MATCH(LARGE(Чувствительность!$X$5:$X$45,10),Чувствительность!$X$5:$X$45,0))</f>
        <v>211024.5</v>
      </c>
      <c r="F55" s="23" t="str">
        <f aca="false">INDEX(Чувствительность!$F$5:$F$45,MATCH(LARGE(Чувствительность!$X$5:$X$45,10),Чувствительность!$X$5:$X$45,0))</f>
        <v>Объёмный</v>
      </c>
      <c r="G55" s="23" t="str">
        <f aca="false">INDEX(Чувствительность!$E$5:$E$45,MATCH(LARGE(Чувствительность!$X$5:$X$45,10),Чувствительность!$X$5:$X$45,0))</f>
        <v>Частично</v>
      </c>
    </row>
    <row r="57" customFormat="false" ht="30" hidden="false" customHeight="true" outlineLevel="0" collapsed="false">
      <c r="A57" s="12" t="s">
        <v>163</v>
      </c>
      <c r="B57" s="12" t="s">
        <v>169</v>
      </c>
      <c r="C57" s="12" t="s">
        <v>90</v>
      </c>
      <c r="D57" s="12" t="s">
        <v>165</v>
      </c>
      <c r="E57" s="12" t="s">
        <v>166</v>
      </c>
      <c r="F57" s="12" t="s">
        <v>167</v>
      </c>
      <c r="G57" s="12" t="s">
        <v>168</v>
      </c>
    </row>
    <row r="58" customFormat="false" ht="15" hidden="false" customHeight="false" outlineLevel="0" collapsed="false">
      <c r="A58" s="13" t="n">
        <v>1</v>
      </c>
      <c r="B58" s="23" t="str">
        <f aca="false">INDEX(Чувствительность!$B$5:$B$45,MATCH(LARGE(Чувствительность!$Y$5:$Y$45,1),Чувствительность!$Y$5:$Y$45,0))</f>
        <v>Ставка для клиента по маржинальному кредиту (деньги и ценные бумаги)</v>
      </c>
      <c r="C58" s="23" t="str">
        <f aca="false">INDEX(Чувствительность!$A$5:$A$45,MATCH(LARGE(Чувствительность!$Y$5:$Y$45,1),Чувствительность!$Y$5:$Y$45,0))</f>
        <v>MRG_RATE</v>
      </c>
      <c r="D58" s="14" t="n">
        <f aca="false">INDEX(Чувствительность!$Q$5:$Q$45,MATCH(LARGE(Чувствительность!$Y$5:$Y$45,1),Чувствительность!$Y$5:$Y$45,0))</f>
        <v>937000</v>
      </c>
      <c r="E58" s="14" t="n">
        <f aca="false">INDEX(Чувствительность!$M$5:$M$45,MATCH(LARGE(Чувствительность!$Y$5:$Y$45,1),Чувствительность!$Y$5:$Y$45,0))</f>
        <v>791669.999999993</v>
      </c>
      <c r="F58" s="23" t="str">
        <f aca="false">INDEX(Чувствительность!$F$5:$F$45,MATCH(LARGE(Чувствительность!$Y$5:$Y$45,1),Чувствительность!$Y$5:$Y$45,0))</f>
        <v>Ценовой</v>
      </c>
      <c r="G58" s="23" t="str">
        <f aca="false">INDEX(Чувствительность!$E$5:$E$45,MATCH(LARGE(Чувствительность!$Y$5:$Y$45,1),Чувствительность!$Y$5:$Y$45,0))</f>
        <v>Управляемый</v>
      </c>
    </row>
    <row r="59" customFormat="false" ht="15" hidden="false" customHeight="false" outlineLevel="0" collapsed="false">
      <c r="A59" s="13" t="n">
        <v>2</v>
      </c>
      <c r="B59" s="23" t="str">
        <f aca="false">INDEX(Чувствительность!$B$5:$B$45,MATCH(LARGE(Чувствительность!$Y$5:$Y$45,2),Чувствительность!$Y$5:$Y$45,0))</f>
        <v>Ставка, выплачиваемая клиентам на свободные остатки</v>
      </c>
      <c r="C59" s="23" t="str">
        <f aca="false">INDEX(Чувствительность!$A$5:$A$45,MATCH(LARGE(Чувствительность!$Y$5:$Y$45,2),Чувствительность!$Y$5:$Y$45,0))</f>
        <v>FLOAT_P</v>
      </c>
      <c r="D59" s="14" t="n">
        <f aca="false">INDEX(Чувствительность!$Q$5:$Q$45,MATCH(LARGE(Чувствительность!$Y$5:$Y$45,2),Чувствительность!$Y$5:$Y$45,0))</f>
        <v>390341.666666672</v>
      </c>
      <c r="E59" s="14" t="n">
        <f aca="false">INDEX(Чувствительность!$M$5:$M$45,MATCH(LARGE(Чувствительность!$Y$5:$Y$45,2),Чувствительность!$Y$5:$Y$45,0))</f>
        <v>333683</v>
      </c>
      <c r="F59" s="23" t="str">
        <f aca="false">INDEX(Чувствительность!$F$5:$F$45,MATCH(LARGE(Чувствительность!$Y$5:$Y$45,2),Чувствительность!$Y$5:$Y$45,0))</f>
        <v>Ценовой</v>
      </c>
      <c r="G59" s="23" t="str">
        <f aca="false">INDEX(Чувствительность!$E$5:$E$45,MATCH(LARGE(Чувствительность!$Y$5:$Y$45,2),Чувствительность!$Y$5:$Y$45,0))</f>
        <v>Управляемый</v>
      </c>
    </row>
    <row r="60" customFormat="false" ht="15" hidden="false" customHeight="false" outlineLevel="0" collapsed="false">
      <c r="A60" s="13" t="n">
        <v>3</v>
      </c>
      <c r="B60" s="23" t="str">
        <f aca="false">INDEX(Чувствительность!$B$5:$B$45,MATCH(LARGE(Чувствительность!$Y$5:$Y$45,3),Чувствительность!$Y$5:$Y$45,0))</f>
        <v>Комиссия брокера, % от оборота (эффективная, с учётом тарифов и скидок)</v>
      </c>
      <c r="C60" s="23" t="str">
        <f aca="false">INDEX(Чувствительность!$A$5:$A$45,MATCH(LARGE(Чувствительность!$Y$5:$Y$45,3),Чувствительность!$Y$5:$Y$45,0))</f>
        <v>TAKE</v>
      </c>
      <c r="D60" s="14" t="n">
        <f aca="false">INDEX(Чувствительность!$Q$5:$Q$45,MATCH(LARGE(Чувствительность!$Y$5:$Y$45,3),Чувствительность!$Y$5:$Y$45,0))</f>
        <v>364110</v>
      </c>
      <c r="E60" s="14" t="n">
        <f aca="false">INDEX(Чувствительность!$M$5:$M$45,MATCH(LARGE(Чувствительность!$Y$5:$Y$45,3),Чувствительность!$Y$5:$Y$45,0))</f>
        <v>306049.949999999</v>
      </c>
      <c r="F60" s="23" t="str">
        <f aca="false">INDEX(Чувствительность!$F$5:$F$45,MATCH(LARGE(Чувствительность!$Y$5:$Y$45,3),Чувствительность!$Y$5:$Y$45,0))</f>
        <v>Ценовой</v>
      </c>
      <c r="G60" s="23" t="str">
        <f aca="false">INDEX(Чувствительность!$E$5:$E$45,MATCH(LARGE(Чувствительность!$Y$5:$Y$45,3),Чувствительность!$Y$5:$Y$45,0))</f>
        <v>Управляемый</v>
      </c>
    </row>
    <row r="61" customFormat="false" ht="15" hidden="false" customHeight="false" outlineLevel="0" collapsed="false">
      <c r="A61" s="13" t="n">
        <v>4</v>
      </c>
      <c r="B61" s="23" t="str">
        <f aca="false">INDEX(Чувствительность!$B$5:$B$45,MATCH(LARGE(Чувствительность!$Y$5:$Y$45,4),Чувствительность!$Y$5:$Y$45,0))</f>
        <v>Средняя комиссия или маржа по продуктам и размещениям, % от объёма</v>
      </c>
      <c r="C61" s="23" t="str">
        <f aca="false">INDEX(Чувствительность!$A$5:$A$45,MATCH(LARGE(Чувствительность!$Y$5:$Y$45,4),Чувствительность!$Y$5:$Y$45,0))</f>
        <v>PRD_FEE</v>
      </c>
      <c r="D61" s="14" t="n">
        <f aca="false">INDEX(Чувствительность!$Q$5:$Q$45,MATCH(LARGE(Чувствительность!$Y$5:$Y$45,4),Чувствительность!$Y$5:$Y$45,0))</f>
        <v>190070</v>
      </c>
      <c r="E61" s="14" t="n">
        <f aca="false">INDEX(Чувствительность!$M$5:$M$45,MATCH(LARGE(Чувствительность!$Y$5:$Y$45,4),Чувствительность!$Y$5:$Y$45,0))</f>
        <v>163440.599999998</v>
      </c>
      <c r="F61" s="23" t="str">
        <f aca="false">INDEX(Чувствительность!$F$5:$F$45,MATCH(LARGE(Чувствительность!$Y$5:$Y$45,4),Чувствительность!$Y$5:$Y$45,0))</f>
        <v>Ценовой</v>
      </c>
      <c r="G61" s="23" t="str">
        <f aca="false">INDEX(Чувствительность!$E$5:$E$45,MATCH(LARGE(Чувствительность!$Y$5:$Y$45,4),Чувствительность!$Y$5:$Y$45,0))</f>
        <v>Управляемый</v>
      </c>
    </row>
    <row r="62" customFormat="false" ht="15" hidden="false" customHeight="false" outlineLevel="0" collapsed="false">
      <c r="A62" s="13" t="n">
        <v>5</v>
      </c>
      <c r="B62" s="23" t="str">
        <f aca="false">INDEX(Чувствительность!$B$5:$B$45,MATCH(LARGE(Чувствительность!$Y$5:$Y$45,5),Чувствительность!$Y$5:$Y$45,0))</f>
        <v>Комиссия за управление и консультирование, % годовых (вкл. success fee)</v>
      </c>
      <c r="C62" s="23" t="str">
        <f aca="false">INDEX(Чувствительность!$A$5:$A$45,MATCH(LARGE(Чувствительность!$Y$5:$Y$45,5),Чувствительность!$Y$5:$Y$45,0))</f>
        <v>AM_FEE</v>
      </c>
      <c r="D62" s="14" t="n">
        <f aca="false">INDEX(Чувствительность!$Q$5:$Q$45,MATCH(LARGE(Чувствительность!$Y$5:$Y$45,5),Чувствительность!$Y$5:$Y$45,0))</f>
        <v>101441.666666672</v>
      </c>
      <c r="E62" s="14" t="n">
        <f aca="false">INDEX(Чувствительность!$M$5:$M$45,MATCH(LARGE(Чувствительность!$Y$5:$Y$45,5),Чувствительность!$Y$5:$Y$45,0))</f>
        <v>83629</v>
      </c>
      <c r="F62" s="23" t="str">
        <f aca="false">INDEX(Чувствительность!$F$5:$F$45,MATCH(LARGE(Чувствительность!$Y$5:$Y$45,5),Чувствительность!$Y$5:$Y$45,0))</f>
        <v>Ценовой</v>
      </c>
      <c r="G62" s="23" t="str">
        <f aca="false">INDEX(Чувствительность!$E$5:$E$45,MATCH(LARGE(Чувствительность!$Y$5:$Y$45,5),Чувствительность!$Y$5:$Y$45,0))</f>
        <v>Управляемый</v>
      </c>
    </row>
    <row r="63" customFormat="false" ht="15" hidden="false" customHeight="false" outlineLevel="0" collapsed="false">
      <c r="A63" s="13" t="n">
        <v>6</v>
      </c>
      <c r="B63" s="23" t="str">
        <f aca="false">INDEX(Чувствительность!$B$5:$B$45,MATCH(LARGE(Чувствительность!$Y$5:$Y$45,6),Чувствительность!$Y$5:$Y$45,0))</f>
        <v>Комиссия и спред за конвертацию, % от объёма</v>
      </c>
      <c r="C63" s="23" t="str">
        <f aca="false">INDEX(Чувствительность!$A$5:$A$45,MATCH(LARGE(Чувствительность!$Y$5:$Y$45,6),Чувствительность!$Y$5:$Y$45,0))</f>
        <v>FX_SPREAD</v>
      </c>
      <c r="D63" s="14" t="n">
        <f aca="false">INDEX(Чувствительность!$Q$5:$Q$45,MATCH(LARGE(Чувствительность!$Y$5:$Y$45,6),Чувствительность!$Y$5:$Y$45,0))</f>
        <v>83406.25</v>
      </c>
      <c r="E63" s="14" t="n">
        <f aca="false">INDEX(Чувствительность!$M$5:$M$45,MATCH(LARGE(Чувствительность!$Y$5:$Y$45,6),Чувствительность!$Y$5:$Y$45,0))</f>
        <v>68739.375</v>
      </c>
      <c r="F63" s="23" t="str">
        <f aca="false">INDEX(Чувствительность!$F$5:$F$45,MATCH(LARGE(Чувствительность!$Y$5:$Y$45,6),Чувствительность!$Y$5:$Y$45,0))</f>
        <v>Ценовой</v>
      </c>
      <c r="G63" s="23" t="str">
        <f aca="false">INDEX(Чувствительность!$E$5:$E$45,MATCH(LARGE(Чувствительность!$Y$5:$Y$45,6),Чувствительность!$Y$5:$Y$45,0))</f>
        <v>Управляемый</v>
      </c>
    </row>
    <row r="64" customFormat="false" ht="15" hidden="false" customHeight="false" outlineLevel="0" collapsed="false">
      <c r="A64" s="13" t="n">
        <v>7</v>
      </c>
      <c r="B64" s="23" t="str">
        <f aca="false">INDEX(Чувствительность!$B$5:$B$45,MATCH(LARGE(Чувствительность!$Y$5:$Y$45,7),Чувствительность!$Y$5:$Y$45,0))</f>
        <v>Депозитарная и кастодиальная комиссия, % от активов в год</v>
      </c>
      <c r="C64" s="23" t="str">
        <f aca="false">INDEX(Чувствительность!$A$5:$A$45,MATCH(LARGE(Чувствительность!$Y$5:$Y$45,7),Чувствительность!$Y$5:$Y$45,0))</f>
        <v>CUST_FEE</v>
      </c>
      <c r="D64" s="14" t="n">
        <f aca="false">INDEX(Чувствительность!$Q$5:$Q$45,MATCH(LARGE(Чувствительность!$Y$5:$Y$45,7),Чувствительность!$Y$5:$Y$45,0))</f>
        <v>62316.6666666716</v>
      </c>
      <c r="E64" s="14" t="n">
        <f aca="false">INDEX(Чувствительность!$M$5:$M$45,MATCH(LARGE(Чувствительность!$Y$5:$Y$45,7),Чувствительность!$Y$5:$Y$45,0))</f>
        <v>53374</v>
      </c>
      <c r="F64" s="23" t="str">
        <f aca="false">INDEX(Чувствительность!$F$5:$F$45,MATCH(LARGE(Чувствительность!$Y$5:$Y$45,7),Чувствительность!$Y$5:$Y$45,0))</f>
        <v>Ценовой</v>
      </c>
      <c r="G64" s="23" t="str">
        <f aca="false">INDEX(Чувствительность!$E$5:$E$45,MATCH(LARGE(Чувствительность!$Y$5:$Y$45,7),Чувствительность!$Y$5:$Y$45,0))</f>
        <v>Управляемый</v>
      </c>
    </row>
    <row r="65" customFormat="false" ht="15" hidden="false" customHeight="false" outlineLevel="0" collapsed="false">
      <c r="A65" s="13" t="n">
        <v>8</v>
      </c>
      <c r="B65" s="23" t="str">
        <f aca="false">INDEX(Чувствительность!$B$5:$B$45,MATCH(LARGE(Чувствительность!$Y$5:$Y$45,8),Чувствительность!$Y$5:$Y$45,0))</f>
        <v>Стоимость подписки или премиального обслуживания в год</v>
      </c>
      <c r="C65" s="23" t="str">
        <f aca="false">INDEX(Чувствительность!$A$5:$A$45,MATCH(LARGE(Чувствительность!$Y$5:$Y$45,8),Чувствительность!$Y$5:$Y$45,0))</f>
        <v>SUB_PRICE</v>
      </c>
      <c r="D65" s="14" t="n">
        <f aca="false">INDEX(Чувствительность!$Q$5:$Q$45,MATCH(LARGE(Чувствительность!$Y$5:$Y$45,8),Чувствительность!$Y$5:$Y$45,0))</f>
        <v>57700</v>
      </c>
      <c r="E65" s="14" t="n">
        <f aca="false">INDEX(Чувствительность!$M$5:$M$45,MATCH(LARGE(Чувствительность!$Y$5:$Y$45,8),Чувствительность!$Y$5:$Y$45,0))</f>
        <v>47007</v>
      </c>
      <c r="F65" s="23" t="str">
        <f aca="false">INDEX(Чувствительность!$F$5:$F$45,MATCH(LARGE(Чувствительность!$Y$5:$Y$45,8),Чувствительность!$Y$5:$Y$45,0))</f>
        <v>Ценовой</v>
      </c>
      <c r="G65" s="23" t="str">
        <f aca="false">INDEX(Чувствительность!$E$5:$E$45,MATCH(LARGE(Чувствительность!$Y$5:$Y$45,8),Чувствительность!$Y$5:$Y$45,0))</f>
        <v>Управляемый</v>
      </c>
    </row>
    <row r="67" customFormat="false" ht="15" hidden="false" customHeight="false" outlineLevel="0" collapsed="false">
      <c r="A67" s="8" t="s">
        <v>170</v>
      </c>
    </row>
    <row r="68" customFormat="false" ht="15" hidden="false" customHeight="false" outlineLevel="0" collapsed="false">
      <c r="A68" s="8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36"/>
    <col collapsed="false" customWidth="true" hidden="false" outlineLevel="0" max="5" min="5" style="0" width="7"/>
    <col collapsed="false" customWidth="true" hidden="false" outlineLevel="0" max="7" min="6" style="0" width="15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8" t="s">
        <v>173</v>
      </c>
    </row>
    <row r="4" customFormat="false" ht="30" hidden="false" customHeight="true" outlineLevel="0" collapsed="false">
      <c r="A4" s="12" t="s">
        <v>174</v>
      </c>
      <c r="B4" s="12" t="s">
        <v>90</v>
      </c>
      <c r="C4" s="12" t="s">
        <v>175</v>
      </c>
      <c r="D4" s="12" t="s">
        <v>38</v>
      </c>
      <c r="E4" s="12" t="s">
        <v>176</v>
      </c>
      <c r="F4" s="12" t="s">
        <v>92</v>
      </c>
      <c r="G4" s="12" t="s">
        <v>93</v>
      </c>
      <c r="H4" s="12" t="s">
        <v>94</v>
      </c>
      <c r="I4" s="12" t="s">
        <v>95</v>
      </c>
      <c r="J4" s="12" t="s">
        <v>177</v>
      </c>
    </row>
    <row r="5" customFormat="false" ht="15" hidden="false" customHeight="false" outlineLevel="0" collapsed="false">
      <c r="A5" s="24" t="n">
        <v>0</v>
      </c>
      <c r="B5" s="16" t="s">
        <v>131</v>
      </c>
      <c r="C5" s="25" t="s">
        <v>132</v>
      </c>
      <c r="D5" s="24" t="s">
        <v>178</v>
      </c>
      <c r="E5" s="26" t="s">
        <v>179</v>
      </c>
      <c r="F5" s="27" t="n">
        <f aca="false">INDEX(Модель!$E$8:$E$101,MATCH($B5,Модель!$A$8:$A$101,0))</f>
        <v>31786705.5</v>
      </c>
      <c r="G5" s="27" t="n">
        <f aca="false">INDEX(Модель!$F$8:$F$101,MATCH($B5,Модель!$A$8:$A$101,0))</f>
        <v>23410277</v>
      </c>
      <c r="H5" s="27" t="n">
        <f aca="false">INDEX(Модель!$G$8:$G$101,MATCH($B5,Модель!$A$8:$A$101,0))</f>
        <v>26356132</v>
      </c>
      <c r="I5" s="27" t="n">
        <f aca="false">INDEX(Модель!$H$8:$H$101,MATCH($B5,Модель!$A$8:$A$101,0))</f>
        <v>81553114.5</v>
      </c>
      <c r="J5" s="24" t="s">
        <v>180</v>
      </c>
    </row>
    <row r="6" customFormat="false" ht="15" hidden="false" customHeight="false" outlineLevel="0" collapsed="false">
      <c r="A6" s="24" t="n">
        <v>1</v>
      </c>
      <c r="B6" s="16" t="s">
        <v>111</v>
      </c>
      <c r="C6" s="28" t="s">
        <v>112</v>
      </c>
      <c r="D6" s="24" t="s">
        <v>181</v>
      </c>
      <c r="E6" s="26" t="s">
        <v>179</v>
      </c>
      <c r="F6" s="27" t="n">
        <f aca="false">INDEX(Модель!$E$8:$E$101,MATCH($B6,Модель!$A$8:$A$101,0))</f>
        <v>43659405.5</v>
      </c>
      <c r="G6" s="27" t="n">
        <f aca="false">INDEX(Модель!$F$8:$F$101,MATCH($B6,Модель!$A$8:$A$101,0))</f>
        <v>32988152</v>
      </c>
      <c r="H6" s="27" t="n">
        <f aca="false">INDEX(Модель!$G$8:$G$101,MATCH($B6,Модель!$A$8:$A$101,0))</f>
        <v>32451852</v>
      </c>
      <c r="I6" s="27" t="n">
        <f aca="false">INDEX(Модель!$H$8:$H$101,MATCH($B6,Модель!$A$8:$A$101,0))</f>
        <v>109099409.5</v>
      </c>
      <c r="J6" s="24" t="s">
        <v>180</v>
      </c>
    </row>
    <row r="7" customFormat="false" ht="15" hidden="false" customHeight="false" outlineLevel="0" collapsed="false">
      <c r="A7" s="9" t="n">
        <v>2</v>
      </c>
      <c r="B7" s="13" t="s">
        <v>97</v>
      </c>
      <c r="C7" s="29" t="s">
        <v>98</v>
      </c>
      <c r="D7" s="9" t="s">
        <v>182</v>
      </c>
      <c r="E7" s="13" t="s">
        <v>179</v>
      </c>
      <c r="F7" s="14" t="n">
        <f aca="false">INDEX(Модель!$E$8:$E$101,MATCH($B7,Модель!$A$8:$A$101,0))</f>
        <v>12268368</v>
      </c>
      <c r="G7" s="14" t="n">
        <f aca="false">INDEX(Модель!$F$8:$F$101,MATCH($B7,Модель!$A$8:$A$101,0))</f>
        <v>4188492</v>
      </c>
      <c r="H7" s="14" t="n">
        <f aca="false">INDEX(Модель!$G$8:$G$101,MATCH($B7,Модель!$A$8:$A$101,0))</f>
        <v>6020352</v>
      </c>
      <c r="I7" s="14" t="n">
        <f aca="false">INDEX(Модель!$H$8:$H$101,MATCH($B7,Модель!$A$8:$A$101,0))</f>
        <v>22477212</v>
      </c>
      <c r="J7" s="9" t="s">
        <v>180</v>
      </c>
    </row>
    <row r="8" customFormat="false" ht="15" hidden="false" customHeight="false" outlineLevel="0" collapsed="false">
      <c r="A8" s="9" t="n">
        <v>3</v>
      </c>
      <c r="B8" s="13" t="s">
        <v>142</v>
      </c>
      <c r="C8" s="30" t="s">
        <v>143</v>
      </c>
      <c r="D8" s="9" t="s">
        <v>183</v>
      </c>
      <c r="E8" s="13" t="s">
        <v>179</v>
      </c>
      <c r="F8" s="14" t="n">
        <f aca="false">INDEX(Модель!$E$8:$E$101,MATCH($B8,Модель!$A$8:$A$101,0))</f>
        <v>10223640000</v>
      </c>
      <c r="G8" s="14" t="n">
        <f aca="false">INDEX(Модель!$F$8:$F$101,MATCH($B8,Модель!$A$8:$A$101,0))</f>
        <v>5235615000</v>
      </c>
      <c r="H8" s="14" t="n">
        <f aca="false">INDEX(Модель!$G$8:$G$101,MATCH($B8,Модель!$A$8:$A$101,0))</f>
        <v>50169600000</v>
      </c>
      <c r="I8" s="14" t="n">
        <f aca="false">INDEX(Модель!$H$8:$H$101,MATCH($B8,Модель!$A$8:$A$101,0))</f>
        <v>65628855000</v>
      </c>
      <c r="J8" s="9" t="s">
        <v>180</v>
      </c>
    </row>
    <row r="9" customFormat="false" ht="15" hidden="false" customHeight="false" outlineLevel="0" collapsed="false">
      <c r="A9" s="9" t="n">
        <v>4</v>
      </c>
      <c r="B9" s="13" t="s">
        <v>138</v>
      </c>
      <c r="C9" s="31" t="s">
        <v>139</v>
      </c>
      <c r="D9" s="9" t="s">
        <v>184</v>
      </c>
      <c r="E9" s="13" t="s">
        <v>185</v>
      </c>
      <c r="F9" s="14" t="n">
        <f aca="false">INDEX(Модель!$E$8:$E$101,MATCH($B9,Модель!$A$8:$A$101,0))</f>
        <v>177493.75</v>
      </c>
      <c r="G9" s="14" t="n">
        <f aca="false">INDEX(Модель!$F$8:$F$101,MATCH($B9,Модель!$A$8:$A$101,0))</f>
        <v>8310.5</v>
      </c>
      <c r="H9" s="14" t="n">
        <f aca="false">INDEX(Модель!$G$8:$G$101,MATCH($B9,Модель!$A$8:$A$101,0))</f>
        <v>321.6</v>
      </c>
      <c r="I9" s="14" t="n">
        <f aca="false">INDEX(Модель!$H$8:$H$101,MATCH($B9,Модель!$A$8:$A$101,0))</f>
        <v>186125.85</v>
      </c>
      <c r="J9" s="9" t="s">
        <v>180</v>
      </c>
    </row>
    <row r="10" customFormat="false" ht="15" hidden="false" customHeight="false" outlineLevel="0" collapsed="false">
      <c r="A10" s="9" t="n">
        <v>4</v>
      </c>
      <c r="B10" s="13" t="s">
        <v>186</v>
      </c>
      <c r="C10" s="31" t="s">
        <v>187</v>
      </c>
      <c r="D10" s="9" t="s">
        <v>36</v>
      </c>
      <c r="E10" s="13" t="s">
        <v>188</v>
      </c>
      <c r="F10" s="19" t="n">
        <f aca="false">INDEX(Модель!$E$8:$E$101,MATCH($B10,Модель!$A$8:$A$101,0))</f>
        <v>6</v>
      </c>
      <c r="G10" s="19" t="n">
        <f aca="false">INDEX(Модель!$F$8:$F$101,MATCH($B10,Модель!$A$8:$A$101,0))</f>
        <v>3.5</v>
      </c>
      <c r="H10" s="19" t="n">
        <f aca="false">INDEX(Модель!$G$8:$G$101,MATCH($B10,Модель!$A$8:$A$101,0))</f>
        <v>130</v>
      </c>
      <c r="J10" s="9" t="s">
        <v>189</v>
      </c>
    </row>
    <row r="11" customFormat="false" ht="15" hidden="false" customHeight="false" outlineLevel="0" collapsed="false">
      <c r="A11" s="9" t="n">
        <v>4</v>
      </c>
      <c r="B11" s="13" t="s">
        <v>190</v>
      </c>
      <c r="C11" s="31" t="s">
        <v>191</v>
      </c>
      <c r="D11" s="9" t="s">
        <v>36</v>
      </c>
      <c r="E11" s="13" t="s">
        <v>179</v>
      </c>
      <c r="F11" s="14" t="n">
        <f aca="false">INDEX(Модель!$E$8:$E$101,MATCH($B11,Модель!$A$8:$A$101,0))</f>
        <v>800</v>
      </c>
      <c r="G11" s="14" t="n">
        <f aca="false">INDEX(Модель!$F$8:$F$101,MATCH($B11,Модель!$A$8:$A$101,0))</f>
        <v>15000</v>
      </c>
      <c r="H11" s="14" t="n">
        <f aca="false">INDEX(Модель!$G$8:$G$101,MATCH($B11,Модель!$A$8:$A$101,0))</f>
        <v>100000</v>
      </c>
      <c r="J11" s="9" t="s">
        <v>189</v>
      </c>
    </row>
    <row r="12" customFormat="false" ht="15" hidden="false" customHeight="false" outlineLevel="0" collapsed="false">
      <c r="A12" s="9" t="n">
        <v>3</v>
      </c>
      <c r="B12" s="13" t="s">
        <v>192</v>
      </c>
      <c r="C12" s="30" t="s">
        <v>193</v>
      </c>
      <c r="D12" s="9" t="s">
        <v>36</v>
      </c>
      <c r="E12" s="13" t="s">
        <v>194</v>
      </c>
      <c r="F12" s="32" t="n">
        <f aca="false">INDEX(Модель!$E$8:$E$101,MATCH($B12,Модель!$A$8:$A$101,0))</f>
        <v>0.0015</v>
      </c>
      <c r="G12" s="32" t="n">
        <f aca="false">INDEX(Модель!$F$8:$F$101,MATCH($B12,Модель!$A$8:$A$101,0))</f>
        <v>0.001</v>
      </c>
      <c r="H12" s="32" t="n">
        <f aca="false">INDEX(Модель!$G$8:$G$101,MATCH($B12,Модель!$A$8:$A$101,0))</f>
        <v>0.0002</v>
      </c>
      <c r="J12" s="9" t="s">
        <v>195</v>
      </c>
    </row>
    <row r="13" customFormat="false" ht="15" hidden="false" customHeight="false" outlineLevel="0" collapsed="false">
      <c r="A13" s="9" t="n">
        <v>3</v>
      </c>
      <c r="B13" s="13" t="s">
        <v>196</v>
      </c>
      <c r="C13" s="30" t="s">
        <v>197</v>
      </c>
      <c r="D13" s="9" t="s">
        <v>36</v>
      </c>
      <c r="E13" s="13" t="s">
        <v>194</v>
      </c>
      <c r="F13" s="32" t="n">
        <f aca="false">INDEX(Модель!$E$8:$E$101,MATCH($B13,Модель!$A$8:$A$101,0))</f>
        <v>0.0003</v>
      </c>
      <c r="G13" s="32" t="n">
        <f aca="false">INDEX(Модель!$F$8:$F$101,MATCH($B13,Модель!$A$8:$A$101,0))</f>
        <v>0.0002</v>
      </c>
      <c r="H13" s="32" t="n">
        <f aca="false">INDEX(Модель!$G$8:$G$101,MATCH($B13,Модель!$A$8:$A$101,0))</f>
        <v>8E-005</v>
      </c>
      <c r="J13" s="9" t="s">
        <v>198</v>
      </c>
    </row>
    <row r="14" customFormat="false" ht="15" hidden="false" customHeight="false" outlineLevel="0" collapsed="false">
      <c r="A14" s="9" t="n">
        <v>2</v>
      </c>
      <c r="B14" s="13" t="s">
        <v>99</v>
      </c>
      <c r="C14" s="29" t="s">
        <v>100</v>
      </c>
      <c r="D14" s="9" t="s">
        <v>199</v>
      </c>
      <c r="E14" s="13" t="s">
        <v>179</v>
      </c>
      <c r="F14" s="14" t="n">
        <f aca="false">INDEX(Модель!$E$8:$E$101,MATCH($B14,Модель!$A$8:$A$101,0))</f>
        <v>10142500</v>
      </c>
      <c r="G14" s="14" t="n">
        <f aca="false">INDEX(Модель!$F$8:$F$101,MATCH($B14,Модель!$A$8:$A$101,0))</f>
        <v>6799500</v>
      </c>
      <c r="H14" s="14" t="n">
        <f aca="false">INDEX(Модель!$G$8:$G$101,MATCH($B14,Модель!$A$8:$A$101,0))</f>
        <v>6030000</v>
      </c>
      <c r="I14" s="14" t="n">
        <f aca="false">INDEX(Модель!$H$8:$H$101,MATCH($B14,Модель!$A$8:$A$101,0))</f>
        <v>22972000</v>
      </c>
      <c r="J14" s="9" t="s">
        <v>180</v>
      </c>
    </row>
    <row r="15" customFormat="false" ht="15" hidden="false" customHeight="false" outlineLevel="0" collapsed="false">
      <c r="A15" s="9" t="n">
        <v>3</v>
      </c>
      <c r="B15" s="13" t="s">
        <v>144</v>
      </c>
      <c r="C15" s="30" t="s">
        <v>145</v>
      </c>
      <c r="D15" s="9" t="s">
        <v>200</v>
      </c>
      <c r="E15" s="13" t="s">
        <v>179</v>
      </c>
      <c r="F15" s="14" t="n">
        <f aca="false">INDEX(Модель!$E$8:$E$101,MATCH($B15,Модель!$A$8:$A$101,0))</f>
        <v>202850000</v>
      </c>
      <c r="G15" s="14" t="n">
        <f aca="false">INDEX(Модель!$F$8:$F$101,MATCH($B15,Модель!$A$8:$A$101,0))</f>
        <v>226650000</v>
      </c>
      <c r="H15" s="14" t="n">
        <f aca="false">INDEX(Модель!$G$8:$G$101,MATCH($B15,Модель!$A$8:$A$101,0))</f>
        <v>402000000</v>
      </c>
      <c r="I15" s="14" t="n">
        <f aca="false">INDEX(Модель!$H$8:$H$101,MATCH($B15,Модель!$A$8:$A$101,0))</f>
        <v>831500000</v>
      </c>
      <c r="J15" s="9" t="s">
        <v>180</v>
      </c>
    </row>
    <row r="16" customFormat="false" ht="15" hidden="false" customHeight="false" outlineLevel="0" collapsed="false">
      <c r="A16" s="9" t="n">
        <v>4</v>
      </c>
      <c r="B16" s="13" t="s">
        <v>201</v>
      </c>
      <c r="C16" s="31" t="s">
        <v>202</v>
      </c>
      <c r="D16" s="9" t="s">
        <v>36</v>
      </c>
      <c r="E16" s="13" t="s">
        <v>194</v>
      </c>
      <c r="F16" s="32" t="n">
        <f aca="false">INDEX(Модель!$E$8:$E$101,MATCH($B16,Модель!$A$8:$A$101,0))</f>
        <v>0.05</v>
      </c>
      <c r="G16" s="32" t="n">
        <f aca="false">INDEX(Модель!$F$8:$F$101,MATCH($B16,Модель!$A$8:$A$101,0))</f>
        <v>0.1</v>
      </c>
      <c r="H16" s="32" t="n">
        <f aca="false">INDEX(Модель!$G$8:$G$101,MATCH($B16,Модель!$A$8:$A$101,0))</f>
        <v>0.2</v>
      </c>
      <c r="J16" s="9" t="s">
        <v>189</v>
      </c>
    </row>
    <row r="17" customFormat="false" ht="15" hidden="false" customHeight="false" outlineLevel="0" collapsed="false">
      <c r="A17" s="9" t="n">
        <v>4</v>
      </c>
      <c r="B17" s="13" t="s">
        <v>203</v>
      </c>
      <c r="C17" s="31" t="s">
        <v>204</v>
      </c>
      <c r="D17" s="9" t="s">
        <v>36</v>
      </c>
      <c r="E17" s="13" t="s">
        <v>179</v>
      </c>
      <c r="F17" s="14" t="n">
        <f aca="false">INDEX(Модель!$E$8:$E$101,MATCH($B17,Модель!$A$8:$A$101,0))</f>
        <v>8000</v>
      </c>
      <c r="G17" s="14" t="n">
        <f aca="false">INDEX(Модель!$F$8:$F$101,MATCH($B17,Модель!$A$8:$A$101,0))</f>
        <v>150000</v>
      </c>
      <c r="H17" s="14" t="n">
        <f aca="false">INDEX(Модель!$G$8:$G$101,MATCH($B17,Модель!$A$8:$A$101,0))</f>
        <v>5000000</v>
      </c>
      <c r="J17" s="9" t="s">
        <v>189</v>
      </c>
    </row>
    <row r="18" customFormat="false" ht="15" hidden="false" customHeight="false" outlineLevel="0" collapsed="false">
      <c r="A18" s="9" t="n">
        <v>3</v>
      </c>
      <c r="B18" s="13" t="s">
        <v>205</v>
      </c>
      <c r="C18" s="30" t="s">
        <v>206</v>
      </c>
      <c r="D18" s="9" t="s">
        <v>36</v>
      </c>
      <c r="E18" s="13" t="s">
        <v>194</v>
      </c>
      <c r="F18" s="32" t="n">
        <f aca="false">INDEX(Модель!$E$8:$E$101,MATCH($B18,Модель!$A$8:$A$101,0))</f>
        <v>0.12</v>
      </c>
      <c r="G18" s="32" t="n">
        <f aca="false">INDEX(Модель!$F$8:$F$101,MATCH($B18,Модель!$A$8:$A$101,0))</f>
        <v>0.1</v>
      </c>
      <c r="H18" s="32" t="n">
        <f aca="false">INDEX(Модель!$G$8:$G$101,MATCH($B18,Модель!$A$8:$A$101,0))</f>
        <v>0.08</v>
      </c>
      <c r="J18" s="9" t="s">
        <v>195</v>
      </c>
    </row>
    <row r="19" customFormat="false" ht="15" hidden="false" customHeight="false" outlineLevel="0" collapsed="false">
      <c r="A19" s="9" t="n">
        <v>3</v>
      </c>
      <c r="B19" s="13" t="s">
        <v>207</v>
      </c>
      <c r="C19" s="30" t="s">
        <v>208</v>
      </c>
      <c r="D19" s="9" t="s">
        <v>36</v>
      </c>
      <c r="E19" s="13" t="s">
        <v>194</v>
      </c>
      <c r="F19" s="32" t="n">
        <f aca="false">INDEX(Модель!$E$8:$E$101,MATCH($B19,Модель!$A$8:$A$101,0))</f>
        <v>0.07</v>
      </c>
      <c r="G19" s="32" t="n">
        <f aca="false">INDEX(Модель!$F$8:$F$101,MATCH($B19,Модель!$A$8:$A$101,0))</f>
        <v>0.07</v>
      </c>
      <c r="H19" s="32" t="n">
        <f aca="false">INDEX(Модель!$G$8:$G$101,MATCH($B19,Модель!$A$8:$A$101,0))</f>
        <v>0.065</v>
      </c>
      <c r="J19" s="9" t="s">
        <v>209</v>
      </c>
    </row>
    <row r="20" customFormat="false" ht="15" hidden="false" customHeight="false" outlineLevel="0" collapsed="false">
      <c r="A20" s="9" t="n">
        <v>2</v>
      </c>
      <c r="B20" s="13" t="s">
        <v>101</v>
      </c>
      <c r="C20" s="29" t="s">
        <v>102</v>
      </c>
      <c r="D20" s="9" t="s">
        <v>210</v>
      </c>
      <c r="E20" s="13" t="s">
        <v>179</v>
      </c>
      <c r="F20" s="14" t="n">
        <f aca="false">INDEX(Модель!$E$8:$E$101,MATCH($B20,Модель!$A$8:$A$101,0))</f>
        <v>12171000</v>
      </c>
      <c r="G20" s="14" t="n">
        <f aca="false">INDEX(Модель!$F$8:$F$101,MATCH($B20,Модель!$A$8:$A$101,0))</f>
        <v>4835200</v>
      </c>
      <c r="H20" s="14" t="n">
        <f aca="false">INDEX(Модель!$G$8:$G$101,MATCH($B20,Модель!$A$8:$A$101,0))</f>
        <v>5025000</v>
      </c>
      <c r="I20" s="14" t="n">
        <f aca="false">INDEX(Модель!$H$8:$H$101,MATCH($B20,Модель!$A$8:$A$101,0))</f>
        <v>22031200</v>
      </c>
      <c r="J20" s="9" t="s">
        <v>180</v>
      </c>
    </row>
    <row r="21" customFormat="false" ht="15" hidden="false" customHeight="false" outlineLevel="0" collapsed="false">
      <c r="A21" s="9" t="n">
        <v>3</v>
      </c>
      <c r="B21" s="13" t="s">
        <v>211</v>
      </c>
      <c r="C21" s="30" t="s">
        <v>212</v>
      </c>
      <c r="D21" s="9" t="s">
        <v>213</v>
      </c>
      <c r="E21" s="13" t="s">
        <v>179</v>
      </c>
      <c r="F21" s="14" t="n">
        <f aca="false">INDEX(Модель!$E$8:$E$101,MATCH($B21,Модель!$A$8:$A$101,0))</f>
        <v>486840000</v>
      </c>
      <c r="G21" s="14" t="n">
        <f aca="false">INDEX(Модель!$F$8:$F$101,MATCH($B21,Модель!$A$8:$A$101,0))</f>
        <v>241760000</v>
      </c>
      <c r="H21" s="14" t="n">
        <f aca="false">INDEX(Модель!$G$8:$G$101,MATCH($B21,Модель!$A$8:$A$101,0))</f>
        <v>502500000</v>
      </c>
      <c r="I21" s="14" t="n">
        <f aca="false">INDEX(Модель!$H$8:$H$101,MATCH($B21,Модель!$A$8:$A$101,0))</f>
        <v>1231100000</v>
      </c>
      <c r="J21" s="9" t="s">
        <v>180</v>
      </c>
    </row>
    <row r="22" customFormat="false" ht="15" hidden="false" customHeight="false" outlineLevel="0" collapsed="false">
      <c r="A22" s="9" t="n">
        <v>4</v>
      </c>
      <c r="B22" s="13" t="s">
        <v>140</v>
      </c>
      <c r="C22" s="31" t="s">
        <v>141</v>
      </c>
      <c r="D22" s="9" t="s">
        <v>214</v>
      </c>
      <c r="E22" s="13" t="s">
        <v>179</v>
      </c>
      <c r="F22" s="14" t="n">
        <f aca="false">INDEX(Модель!$E$8:$E$101,MATCH($B22,Модель!$A$8:$A$101,0))</f>
        <v>4057000000</v>
      </c>
      <c r="G22" s="14" t="n">
        <f aca="false">INDEX(Модель!$F$8:$F$101,MATCH($B22,Модель!$A$8:$A$101,0))</f>
        <v>3022000000</v>
      </c>
      <c r="H22" s="14" t="n">
        <f aca="false">INDEX(Модель!$G$8:$G$101,MATCH($B22,Модель!$A$8:$A$101,0))</f>
        <v>10050000000</v>
      </c>
      <c r="I22" s="14" t="n">
        <f aca="false">INDEX(Модель!$H$8:$H$101,MATCH($B22,Модель!$A$8:$A$101,0))</f>
        <v>17129000000</v>
      </c>
      <c r="J22" s="9" t="s">
        <v>180</v>
      </c>
    </row>
    <row r="23" customFormat="false" ht="15" hidden="false" customHeight="false" outlineLevel="0" collapsed="false">
      <c r="A23" s="9" t="n">
        <v>5</v>
      </c>
      <c r="B23" s="13" t="s">
        <v>215</v>
      </c>
      <c r="C23" s="33" t="s">
        <v>216</v>
      </c>
      <c r="D23" s="9" t="s">
        <v>36</v>
      </c>
      <c r="E23" s="13" t="s">
        <v>179</v>
      </c>
      <c r="F23" s="14" t="n">
        <f aca="false">INDEX(Модель!$E$8:$E$101,MATCH($B23,Модель!$A$8:$A$101,0))</f>
        <v>8000</v>
      </c>
      <c r="G23" s="14" t="n">
        <f aca="false">INDEX(Модель!$F$8:$F$101,MATCH($B23,Модель!$A$8:$A$101,0))</f>
        <v>200000</v>
      </c>
      <c r="H23" s="14" t="n">
        <f aca="false">INDEX(Модель!$G$8:$G$101,MATCH($B23,Модель!$A$8:$A$101,0))</f>
        <v>25000000</v>
      </c>
      <c r="J23" s="9" t="s">
        <v>189</v>
      </c>
    </row>
    <row r="24" customFormat="false" ht="15" hidden="false" customHeight="false" outlineLevel="0" collapsed="false">
      <c r="A24" s="9" t="n">
        <v>4</v>
      </c>
      <c r="B24" s="13" t="s">
        <v>217</v>
      </c>
      <c r="C24" s="31" t="s">
        <v>218</v>
      </c>
      <c r="D24" s="9" t="s">
        <v>36</v>
      </c>
      <c r="E24" s="13" t="s">
        <v>194</v>
      </c>
      <c r="F24" s="32" t="n">
        <f aca="false">INDEX(Модель!$E$8:$E$101,MATCH($B24,Модель!$A$8:$A$101,0))</f>
        <v>0.12</v>
      </c>
      <c r="G24" s="32" t="n">
        <f aca="false">INDEX(Модель!$F$8:$F$101,MATCH($B24,Модель!$A$8:$A$101,0))</f>
        <v>0.08</v>
      </c>
      <c r="H24" s="32" t="n">
        <f aca="false">INDEX(Модель!$G$8:$G$101,MATCH($B24,Модель!$A$8:$A$101,0))</f>
        <v>0.05</v>
      </c>
      <c r="J24" s="9" t="s">
        <v>189</v>
      </c>
    </row>
    <row r="25" customFormat="false" ht="15" hidden="false" customHeight="false" outlineLevel="0" collapsed="false">
      <c r="A25" s="9" t="n">
        <v>3</v>
      </c>
      <c r="B25" s="13" t="s">
        <v>219</v>
      </c>
      <c r="C25" s="30" t="s">
        <v>220</v>
      </c>
      <c r="D25" s="9" t="s">
        <v>36</v>
      </c>
      <c r="E25" s="13" t="s">
        <v>194</v>
      </c>
      <c r="F25" s="32" t="n">
        <f aca="false">INDEX(Модель!$E$8:$E$101,MATCH($B25,Модель!$A$8:$A$101,0))</f>
        <v>0.05</v>
      </c>
      <c r="G25" s="32" t="n">
        <f aca="false">INDEX(Модель!$F$8:$F$101,MATCH($B25,Модель!$A$8:$A$101,0))</f>
        <v>0.05</v>
      </c>
      <c r="H25" s="32" t="n">
        <f aca="false">INDEX(Модель!$G$8:$G$101,MATCH($B25,Модель!$A$8:$A$101,0))</f>
        <v>0.05</v>
      </c>
      <c r="J25" s="9" t="s">
        <v>209</v>
      </c>
    </row>
    <row r="26" customFormat="false" ht="15" hidden="false" customHeight="false" outlineLevel="0" collapsed="false">
      <c r="A26" s="9" t="n">
        <v>3</v>
      </c>
      <c r="B26" s="13" t="s">
        <v>221</v>
      </c>
      <c r="C26" s="30" t="s">
        <v>222</v>
      </c>
      <c r="D26" s="9" t="s">
        <v>36</v>
      </c>
      <c r="E26" s="13" t="s">
        <v>194</v>
      </c>
      <c r="F26" s="32" t="n">
        <f aca="false">INDEX(Модель!$E$8:$E$101,MATCH($B26,Модель!$A$8:$A$101,0))</f>
        <v>0.02</v>
      </c>
      <c r="G26" s="32" t="n">
        <f aca="false">INDEX(Модель!$F$8:$F$101,MATCH($B26,Модель!$A$8:$A$101,0))</f>
        <v>0.025</v>
      </c>
      <c r="H26" s="32" t="n">
        <f aca="false">INDEX(Модель!$G$8:$G$101,MATCH($B26,Модель!$A$8:$A$101,0))</f>
        <v>0.035</v>
      </c>
      <c r="J26" s="9" t="s">
        <v>195</v>
      </c>
    </row>
    <row r="27" customFormat="false" ht="15" hidden="false" customHeight="false" outlineLevel="0" collapsed="false">
      <c r="A27" s="9" t="n">
        <v>2</v>
      </c>
      <c r="B27" s="13" t="s">
        <v>103</v>
      </c>
      <c r="C27" s="29" t="s">
        <v>104</v>
      </c>
      <c r="D27" s="9" t="s">
        <v>223</v>
      </c>
      <c r="E27" s="13" t="s">
        <v>179</v>
      </c>
      <c r="F27" s="14" t="n">
        <f aca="false">INDEX(Модель!$E$8:$E$101,MATCH($B27,Модель!$A$8:$A$101,0))</f>
        <v>3803437.5</v>
      </c>
      <c r="G27" s="14" t="n">
        <f aca="false">INDEX(Модель!$F$8:$F$101,MATCH($B27,Модель!$A$8:$A$101,0))</f>
        <v>2266500</v>
      </c>
      <c r="H27" s="14" t="n">
        <f aca="false">INDEX(Модель!$G$8:$G$101,MATCH($B27,Модель!$A$8:$A$101,0))</f>
        <v>804000</v>
      </c>
      <c r="I27" s="14" t="n">
        <f aca="false">INDEX(Модель!$H$8:$H$101,MATCH($B27,Модель!$A$8:$A$101,0))</f>
        <v>6873937.5</v>
      </c>
      <c r="J27" s="9" t="s">
        <v>180</v>
      </c>
    </row>
    <row r="28" customFormat="false" ht="15" hidden="false" customHeight="false" outlineLevel="0" collapsed="false">
      <c r="A28" s="9" t="n">
        <v>3</v>
      </c>
      <c r="B28" s="13" t="s">
        <v>224</v>
      </c>
      <c r="C28" s="30" t="s">
        <v>225</v>
      </c>
      <c r="D28" s="9" t="s">
        <v>226</v>
      </c>
      <c r="E28" s="13" t="s">
        <v>179</v>
      </c>
      <c r="F28" s="14" t="n">
        <f aca="false">INDEX(Модель!$E$8:$E$101,MATCH($B28,Модель!$A$8:$A$101,0))</f>
        <v>760687500</v>
      </c>
      <c r="G28" s="14" t="n">
        <f aca="false">INDEX(Модель!$F$8:$F$101,MATCH($B28,Модель!$A$8:$A$101,0))</f>
        <v>755500000</v>
      </c>
      <c r="H28" s="14" t="n">
        <f aca="false">INDEX(Модель!$G$8:$G$101,MATCH($B28,Модель!$A$8:$A$101,0))</f>
        <v>1608000000</v>
      </c>
      <c r="I28" s="14" t="n">
        <f aca="false">INDEX(Модель!$H$8:$H$101,MATCH($B28,Модель!$A$8:$A$101,0))</f>
        <v>3124187500</v>
      </c>
      <c r="J28" s="9" t="s">
        <v>180</v>
      </c>
    </row>
    <row r="29" customFormat="false" ht="15" hidden="false" customHeight="false" outlineLevel="0" collapsed="false">
      <c r="A29" s="9" t="n">
        <v>4</v>
      </c>
      <c r="B29" s="13" t="s">
        <v>227</v>
      </c>
      <c r="C29" s="31" t="s">
        <v>228</v>
      </c>
      <c r="D29" s="9" t="s">
        <v>36</v>
      </c>
      <c r="E29" s="13" t="s">
        <v>194</v>
      </c>
      <c r="F29" s="32" t="n">
        <f aca="false">INDEX(Модель!$E$8:$E$101,MATCH($B29,Модель!$A$8:$A$101,0))</f>
        <v>0.3</v>
      </c>
      <c r="G29" s="32" t="n">
        <f aca="false">INDEX(Модель!$F$8:$F$101,MATCH($B29,Модель!$A$8:$A$101,0))</f>
        <v>0.5</v>
      </c>
      <c r="H29" s="32" t="n">
        <f aca="false">INDEX(Модель!$G$8:$G$101,MATCH($B29,Модель!$A$8:$A$101,0))</f>
        <v>0.4</v>
      </c>
      <c r="J29" s="9" t="s">
        <v>189</v>
      </c>
    </row>
    <row r="30" customFormat="false" ht="15" hidden="false" customHeight="false" outlineLevel="0" collapsed="false">
      <c r="A30" s="9" t="n">
        <v>4</v>
      </c>
      <c r="B30" s="13" t="s">
        <v>229</v>
      </c>
      <c r="C30" s="31" t="s">
        <v>230</v>
      </c>
      <c r="D30" s="9" t="s">
        <v>36</v>
      </c>
      <c r="E30" s="13" t="s">
        <v>179</v>
      </c>
      <c r="F30" s="14" t="n">
        <f aca="false">INDEX(Модель!$E$8:$E$101,MATCH($B30,Модель!$A$8:$A$101,0))</f>
        <v>5000</v>
      </c>
      <c r="G30" s="14" t="n">
        <f aca="false">INDEX(Модель!$F$8:$F$101,MATCH($B30,Модель!$A$8:$A$101,0))</f>
        <v>100000</v>
      </c>
      <c r="H30" s="14" t="n">
        <f aca="false">INDEX(Модель!$G$8:$G$101,MATCH($B30,Модель!$A$8:$A$101,0))</f>
        <v>10000000</v>
      </c>
      <c r="J30" s="9" t="s">
        <v>189</v>
      </c>
    </row>
    <row r="31" customFormat="false" ht="15" hidden="false" customHeight="false" outlineLevel="0" collapsed="false">
      <c r="A31" s="9" t="n">
        <v>3</v>
      </c>
      <c r="B31" s="13" t="s">
        <v>231</v>
      </c>
      <c r="C31" s="30" t="s">
        <v>232</v>
      </c>
      <c r="D31" s="9" t="s">
        <v>36</v>
      </c>
      <c r="E31" s="13" t="s">
        <v>194</v>
      </c>
      <c r="F31" s="32" t="n">
        <f aca="false">INDEX(Модель!$E$8:$E$101,MATCH($B31,Модель!$A$8:$A$101,0))</f>
        <v>0.005</v>
      </c>
      <c r="G31" s="32" t="n">
        <f aca="false">INDEX(Модель!$F$8:$F$101,MATCH($B31,Модель!$A$8:$A$101,0))</f>
        <v>0.003</v>
      </c>
      <c r="H31" s="32" t="n">
        <f aca="false">INDEX(Модель!$G$8:$G$101,MATCH($B31,Модель!$A$8:$A$101,0))</f>
        <v>0.0005</v>
      </c>
      <c r="J31" s="9" t="s">
        <v>195</v>
      </c>
    </row>
    <row r="32" customFormat="false" ht="15" hidden="false" customHeight="false" outlineLevel="0" collapsed="false">
      <c r="A32" s="9" t="n">
        <v>2</v>
      </c>
      <c r="B32" s="13" t="s">
        <v>105</v>
      </c>
      <c r="C32" s="29" t="s">
        <v>106</v>
      </c>
      <c r="D32" s="9" t="s">
        <v>233</v>
      </c>
      <c r="E32" s="13" t="s">
        <v>179</v>
      </c>
      <c r="F32" s="14" t="n">
        <f aca="false">INDEX(Модель!$E$8:$E$101,MATCH($B32,Модель!$A$8:$A$101,0))</f>
        <v>1217100</v>
      </c>
      <c r="G32" s="14" t="n">
        <f aca="false">INDEX(Модель!$F$8:$F$101,MATCH($B32,Модель!$A$8:$A$101,0))</f>
        <v>5076960</v>
      </c>
      <c r="H32" s="14" t="n">
        <f aca="false">INDEX(Модель!$G$8:$G$101,MATCH($B32,Модель!$A$8:$A$101,0))</f>
        <v>10050000</v>
      </c>
      <c r="I32" s="14" t="n">
        <f aca="false">INDEX(Модель!$H$8:$H$101,MATCH($B32,Модель!$A$8:$A$101,0))</f>
        <v>16344060</v>
      </c>
      <c r="J32" s="9" t="s">
        <v>180</v>
      </c>
    </row>
    <row r="33" customFormat="false" ht="15" hidden="false" customHeight="false" outlineLevel="0" collapsed="false">
      <c r="A33" s="9" t="n">
        <v>3</v>
      </c>
      <c r="B33" s="13" t="s">
        <v>234</v>
      </c>
      <c r="C33" s="30" t="s">
        <v>235</v>
      </c>
      <c r="D33" s="9" t="s">
        <v>236</v>
      </c>
      <c r="E33" s="13" t="s">
        <v>179</v>
      </c>
      <c r="F33" s="14" t="n">
        <f aca="false">INDEX(Модель!$E$8:$E$101,MATCH($B33,Модель!$A$8:$A$101,0))</f>
        <v>121710000</v>
      </c>
      <c r="G33" s="14" t="n">
        <f aca="false">INDEX(Модель!$F$8:$F$101,MATCH($B33,Модель!$A$8:$A$101,0))</f>
        <v>423080000</v>
      </c>
      <c r="H33" s="14" t="n">
        <f aca="false">INDEX(Модель!$G$8:$G$101,MATCH($B33,Модель!$A$8:$A$101,0))</f>
        <v>1005000000</v>
      </c>
      <c r="I33" s="14" t="n">
        <f aca="false">INDEX(Модель!$H$8:$H$101,MATCH($B33,Модель!$A$8:$A$101,0))</f>
        <v>1549790000</v>
      </c>
      <c r="J33" s="9" t="s">
        <v>180</v>
      </c>
    </row>
    <row r="34" customFormat="false" ht="15" hidden="false" customHeight="false" outlineLevel="0" collapsed="false">
      <c r="A34" s="9" t="n">
        <v>4</v>
      </c>
      <c r="B34" s="13" t="s">
        <v>237</v>
      </c>
      <c r="C34" s="31" t="s">
        <v>238</v>
      </c>
      <c r="D34" s="9" t="s">
        <v>36</v>
      </c>
      <c r="E34" s="13" t="s">
        <v>194</v>
      </c>
      <c r="F34" s="32" t="n">
        <f aca="false">INDEX(Модель!$E$8:$E$101,MATCH($B34,Модель!$A$8:$A$101,0))</f>
        <v>0.08</v>
      </c>
      <c r="G34" s="32" t="n">
        <f aca="false">INDEX(Модель!$F$8:$F$101,MATCH($B34,Модель!$A$8:$A$101,0))</f>
        <v>0.35</v>
      </c>
      <c r="H34" s="32" t="n">
        <f aca="false">INDEX(Модель!$G$8:$G$101,MATCH($B34,Модель!$A$8:$A$101,0))</f>
        <v>0.05</v>
      </c>
      <c r="J34" s="9" t="s">
        <v>189</v>
      </c>
    </row>
    <row r="35" customFormat="false" ht="15" hidden="false" customHeight="false" outlineLevel="0" collapsed="false">
      <c r="A35" s="9" t="n">
        <v>4</v>
      </c>
      <c r="B35" s="13" t="s">
        <v>239</v>
      </c>
      <c r="C35" s="31" t="s">
        <v>240</v>
      </c>
      <c r="D35" s="9" t="s">
        <v>36</v>
      </c>
      <c r="E35" s="13" t="s">
        <v>179</v>
      </c>
      <c r="F35" s="14" t="n">
        <f aca="false">INDEX(Модель!$E$8:$E$101,MATCH($B35,Модель!$A$8:$A$101,0))</f>
        <v>3000</v>
      </c>
      <c r="G35" s="14" t="n">
        <f aca="false">INDEX(Модель!$F$8:$F$101,MATCH($B35,Модель!$A$8:$A$101,0))</f>
        <v>80000</v>
      </c>
      <c r="H35" s="14" t="n">
        <f aca="false">INDEX(Модель!$G$8:$G$101,MATCH($B35,Модель!$A$8:$A$101,0))</f>
        <v>50000000</v>
      </c>
      <c r="J35" s="9" t="s">
        <v>189</v>
      </c>
    </row>
    <row r="36" customFormat="false" ht="15" hidden="false" customHeight="false" outlineLevel="0" collapsed="false">
      <c r="A36" s="9" t="n">
        <v>3</v>
      </c>
      <c r="B36" s="13" t="s">
        <v>241</v>
      </c>
      <c r="C36" s="30" t="s">
        <v>242</v>
      </c>
      <c r="D36" s="9" t="s">
        <v>36</v>
      </c>
      <c r="E36" s="13" t="s">
        <v>194</v>
      </c>
      <c r="F36" s="32" t="n">
        <f aca="false">INDEX(Модель!$E$8:$E$101,MATCH($B36,Модель!$A$8:$A$101,0))</f>
        <v>0.01</v>
      </c>
      <c r="G36" s="32" t="n">
        <f aca="false">INDEX(Модель!$F$8:$F$101,MATCH($B36,Модель!$A$8:$A$101,0))</f>
        <v>0.012</v>
      </c>
      <c r="H36" s="32" t="n">
        <f aca="false">INDEX(Модель!$G$8:$G$101,MATCH($B36,Модель!$A$8:$A$101,0))</f>
        <v>0.01</v>
      </c>
      <c r="J36" s="9" t="s">
        <v>195</v>
      </c>
    </row>
    <row r="37" customFormat="false" ht="15" hidden="false" customHeight="false" outlineLevel="0" collapsed="false">
      <c r="A37" s="9" t="n">
        <v>2</v>
      </c>
      <c r="B37" s="13" t="s">
        <v>107</v>
      </c>
      <c r="C37" s="29" t="s">
        <v>108</v>
      </c>
      <c r="D37" s="9" t="s">
        <v>243</v>
      </c>
      <c r="E37" s="13" t="s">
        <v>179</v>
      </c>
      <c r="F37" s="14" t="n">
        <f aca="false">INDEX(Модель!$E$8:$E$101,MATCH($B37,Модель!$A$8:$A$101,0))</f>
        <v>811400</v>
      </c>
      <c r="G37" s="14" t="n">
        <f aca="false">INDEX(Модель!$F$8:$F$101,MATCH($B37,Модель!$A$8:$A$101,0))</f>
        <v>6044000</v>
      </c>
      <c r="H37" s="14" t="n">
        <f aca="false">INDEX(Модель!$G$8:$G$101,MATCH($B37,Модель!$A$8:$A$101,0))</f>
        <v>1507500</v>
      </c>
      <c r="I37" s="14" t="n">
        <f aca="false">INDEX(Модель!$H$8:$H$101,MATCH($B37,Модель!$A$8:$A$101,0))</f>
        <v>8362900</v>
      </c>
      <c r="J37" s="9" t="s">
        <v>180</v>
      </c>
    </row>
    <row r="38" customFormat="false" ht="15" hidden="false" customHeight="false" outlineLevel="0" collapsed="false">
      <c r="A38" s="9" t="n">
        <v>3</v>
      </c>
      <c r="B38" s="13" t="s">
        <v>244</v>
      </c>
      <c r="C38" s="30" t="s">
        <v>245</v>
      </c>
      <c r="D38" s="9" t="s">
        <v>246</v>
      </c>
      <c r="E38" s="13" t="s">
        <v>179</v>
      </c>
      <c r="F38" s="14" t="n">
        <f aca="false">INDEX(Модель!$E$8:$E$101,MATCH($B38,Модель!$A$8:$A$101,0))</f>
        <v>81140000</v>
      </c>
      <c r="G38" s="14" t="n">
        <f aca="false">INDEX(Модель!$F$8:$F$101,MATCH($B38,Модель!$A$8:$A$101,0))</f>
        <v>604400000</v>
      </c>
      <c r="H38" s="14" t="n">
        <f aca="false">INDEX(Модель!$G$8:$G$101,MATCH($B38,Модель!$A$8:$A$101,0))</f>
        <v>502500000</v>
      </c>
      <c r="I38" s="14" t="n">
        <f aca="false">INDEX(Модель!$H$8:$H$101,MATCH($B38,Модель!$A$8:$A$101,0))</f>
        <v>1188040000</v>
      </c>
      <c r="J38" s="9" t="s">
        <v>180</v>
      </c>
    </row>
    <row r="39" customFormat="false" ht="15" hidden="false" customHeight="false" outlineLevel="0" collapsed="false">
      <c r="A39" s="9" t="n">
        <v>4</v>
      </c>
      <c r="B39" s="13" t="s">
        <v>247</v>
      </c>
      <c r="C39" s="31" t="s">
        <v>248</v>
      </c>
      <c r="D39" s="9" t="s">
        <v>36</v>
      </c>
      <c r="E39" s="13" t="s">
        <v>194</v>
      </c>
      <c r="F39" s="32" t="n">
        <f aca="false">INDEX(Модель!$E$8:$E$101,MATCH($B39,Модель!$A$8:$A$101,0))</f>
        <v>0.02</v>
      </c>
      <c r="G39" s="32" t="n">
        <f aca="false">INDEX(Модель!$F$8:$F$101,MATCH($B39,Модель!$A$8:$A$101,0))</f>
        <v>0.2</v>
      </c>
      <c r="H39" s="32" t="n">
        <f aca="false">INDEX(Модель!$G$8:$G$101,MATCH($B39,Модель!$A$8:$A$101,0))</f>
        <v>0.05</v>
      </c>
      <c r="J39" s="9" t="s">
        <v>189</v>
      </c>
    </row>
    <row r="40" customFormat="false" ht="15" hidden="false" customHeight="false" outlineLevel="0" collapsed="false">
      <c r="A40" s="9" t="n">
        <v>3</v>
      </c>
      <c r="B40" s="13" t="s">
        <v>249</v>
      </c>
      <c r="C40" s="30" t="s">
        <v>250</v>
      </c>
      <c r="D40" s="9" t="s">
        <v>36</v>
      </c>
      <c r="E40" s="13" t="s">
        <v>194</v>
      </c>
      <c r="F40" s="32" t="n">
        <f aca="false">INDEX(Модель!$E$8:$E$101,MATCH($B40,Модель!$A$8:$A$101,0))</f>
        <v>0.01</v>
      </c>
      <c r="G40" s="32" t="n">
        <f aca="false">INDEX(Модель!$F$8:$F$101,MATCH($B40,Модель!$A$8:$A$101,0))</f>
        <v>0.01</v>
      </c>
      <c r="H40" s="32" t="n">
        <f aca="false">INDEX(Модель!$G$8:$G$101,MATCH($B40,Модель!$A$8:$A$101,0))</f>
        <v>0.003</v>
      </c>
      <c r="J40" s="9" t="s">
        <v>195</v>
      </c>
    </row>
    <row r="41" customFormat="false" ht="15" hidden="false" customHeight="false" outlineLevel="0" collapsed="false">
      <c r="A41" s="9" t="n">
        <v>2</v>
      </c>
      <c r="B41" s="13" t="s">
        <v>109</v>
      </c>
      <c r="C41" s="29" t="s">
        <v>110</v>
      </c>
      <c r="D41" s="9" t="s">
        <v>251</v>
      </c>
      <c r="E41" s="13" t="s">
        <v>179</v>
      </c>
      <c r="F41" s="14" t="n">
        <f aca="false">INDEX(Модель!$E$8:$E$101,MATCH($B41,Модель!$A$8:$A$101,0))</f>
        <v>3245600</v>
      </c>
      <c r="G41" s="14" t="n">
        <f aca="false">INDEX(Модель!$F$8:$F$101,MATCH($B41,Модель!$A$8:$A$101,0))</f>
        <v>3777500</v>
      </c>
      <c r="H41" s="14" t="n">
        <f aca="false">INDEX(Модель!$G$8:$G$101,MATCH($B41,Модель!$A$8:$A$101,0))</f>
        <v>3015000</v>
      </c>
      <c r="I41" s="14" t="n">
        <f aca="false">INDEX(Модель!$H$8:$H$101,MATCH($B41,Модель!$A$8:$A$101,0))</f>
        <v>10038100</v>
      </c>
      <c r="J41" s="9" t="s">
        <v>180</v>
      </c>
    </row>
    <row r="42" customFormat="false" ht="15" hidden="false" customHeight="false" outlineLevel="0" collapsed="false">
      <c r="A42" s="9" t="n">
        <v>3</v>
      </c>
      <c r="B42" s="13" t="s">
        <v>252</v>
      </c>
      <c r="C42" s="30" t="s">
        <v>253</v>
      </c>
      <c r="D42" s="9" t="s">
        <v>254</v>
      </c>
      <c r="E42" s="13" t="s">
        <v>185</v>
      </c>
      <c r="F42" s="14" t="n">
        <f aca="false">INDEX(Модель!$E$8:$E$101,MATCH($B42,Модель!$A$8:$A$101,0))</f>
        <v>40570</v>
      </c>
      <c r="G42" s="14" t="n">
        <f aca="false">INDEX(Модель!$F$8:$F$101,MATCH($B42,Модель!$A$8:$A$101,0))</f>
        <v>2266.5</v>
      </c>
      <c r="H42" s="14" t="n">
        <f aca="false">INDEX(Модель!$G$8:$G$101,MATCH($B42,Модель!$A$8:$A$101,0))</f>
        <v>0</v>
      </c>
      <c r="I42" s="14" t="n">
        <f aca="false">INDEX(Модель!$H$8:$H$101,MATCH($B42,Модель!$A$8:$A$101,0))</f>
        <v>42836.5</v>
      </c>
      <c r="J42" s="9" t="s">
        <v>180</v>
      </c>
    </row>
    <row r="43" customFormat="false" ht="15" hidden="false" customHeight="false" outlineLevel="0" collapsed="false">
      <c r="A43" s="9" t="n">
        <v>4</v>
      </c>
      <c r="B43" s="13" t="s">
        <v>255</v>
      </c>
      <c r="C43" s="31" t="s">
        <v>256</v>
      </c>
      <c r="D43" s="9" t="s">
        <v>36</v>
      </c>
      <c r="E43" s="13" t="s">
        <v>194</v>
      </c>
      <c r="F43" s="32" t="n">
        <f aca="false">INDEX(Модель!$E$8:$E$101,MATCH($B43,Модель!$A$8:$A$101,0))</f>
        <v>0.08</v>
      </c>
      <c r="G43" s="32" t="n">
        <f aca="false">INDEX(Модель!$F$8:$F$101,MATCH($B43,Модель!$A$8:$A$101,0))</f>
        <v>0.15</v>
      </c>
      <c r="H43" s="32" t="n">
        <f aca="false">INDEX(Модель!$G$8:$G$101,MATCH($B43,Модель!$A$8:$A$101,0))</f>
        <v>0</v>
      </c>
      <c r="J43" s="9" t="s">
        <v>189</v>
      </c>
    </row>
    <row r="44" customFormat="false" ht="15" hidden="false" customHeight="false" outlineLevel="0" collapsed="false">
      <c r="A44" s="9" t="n">
        <v>3</v>
      </c>
      <c r="B44" s="13" t="s">
        <v>257</v>
      </c>
      <c r="C44" s="30" t="s">
        <v>258</v>
      </c>
      <c r="D44" s="9" t="s">
        <v>36</v>
      </c>
      <c r="E44" s="13" t="s">
        <v>179</v>
      </c>
      <c r="F44" s="14" t="n">
        <f aca="false">INDEX(Модель!$E$8:$E$101,MATCH($B44,Модель!$A$8:$A$101,0))</f>
        <v>60</v>
      </c>
      <c r="G44" s="14" t="n">
        <f aca="false">INDEX(Модель!$F$8:$F$101,MATCH($B44,Модель!$A$8:$A$101,0))</f>
        <v>1000</v>
      </c>
      <c r="H44" s="14" t="n">
        <f aca="false">INDEX(Модель!$G$8:$G$101,MATCH($B44,Модель!$A$8:$A$101,0))</f>
        <v>0</v>
      </c>
      <c r="J44" s="9" t="s">
        <v>195</v>
      </c>
    </row>
    <row r="45" customFormat="false" ht="15" hidden="false" customHeight="false" outlineLevel="0" collapsed="false">
      <c r="A45" s="9" t="n">
        <v>3</v>
      </c>
      <c r="B45" s="13" t="s">
        <v>259</v>
      </c>
      <c r="C45" s="30" t="s">
        <v>260</v>
      </c>
      <c r="D45" s="9" t="s">
        <v>36</v>
      </c>
      <c r="E45" s="13" t="s">
        <v>194</v>
      </c>
      <c r="F45" s="32" t="n">
        <f aca="false">INDEX(Модель!$E$8:$E$101,MATCH($B45,Модель!$A$8:$A$101,0))</f>
        <v>0.0002</v>
      </c>
      <c r="G45" s="32" t="n">
        <f aca="false">INDEX(Модель!$F$8:$F$101,MATCH($B45,Модель!$A$8:$A$101,0))</f>
        <v>0.0005</v>
      </c>
      <c r="H45" s="32" t="n">
        <f aca="false">INDEX(Модель!$G$8:$G$101,MATCH($B45,Модель!$A$8:$A$101,0))</f>
        <v>0.0003</v>
      </c>
      <c r="J45" s="9" t="s">
        <v>195</v>
      </c>
    </row>
    <row r="46" customFormat="false" ht="15" hidden="false" customHeight="false" outlineLevel="0" collapsed="false">
      <c r="A46" s="24" t="n">
        <v>1</v>
      </c>
      <c r="B46" s="16" t="s">
        <v>121</v>
      </c>
      <c r="C46" s="28" t="s">
        <v>122</v>
      </c>
      <c r="D46" s="24" t="s">
        <v>261</v>
      </c>
      <c r="E46" s="26" t="s">
        <v>179</v>
      </c>
      <c r="F46" s="27" t="n">
        <f aca="false">INDEX(Модель!$E$8:$E$101,MATCH($B46,Модель!$A$8:$A$101,0))</f>
        <v>4618450</v>
      </c>
      <c r="G46" s="27" t="n">
        <f aca="false">INDEX(Модель!$F$8:$F$101,MATCH($B46,Модель!$A$8:$A$101,0))</f>
        <v>7344575</v>
      </c>
      <c r="H46" s="27" t="n">
        <f aca="false">INDEX(Модель!$G$8:$G$101,MATCH($B46,Модель!$A$8:$A$101,0))</f>
        <v>4953720</v>
      </c>
      <c r="I46" s="27" t="n">
        <f aca="false">INDEX(Модель!$H$8:$H$101,MATCH($B46,Модель!$A$8:$A$101,0))</f>
        <v>16916745</v>
      </c>
      <c r="J46" s="24" t="s">
        <v>180</v>
      </c>
    </row>
    <row r="47" customFormat="false" ht="15" hidden="false" customHeight="false" outlineLevel="0" collapsed="false">
      <c r="A47" s="9" t="n">
        <v>2</v>
      </c>
      <c r="B47" s="13" t="s">
        <v>113</v>
      </c>
      <c r="C47" s="29" t="s">
        <v>114</v>
      </c>
      <c r="D47" s="9" t="s">
        <v>262</v>
      </c>
      <c r="E47" s="13" t="s">
        <v>179</v>
      </c>
      <c r="F47" s="14" t="n">
        <f aca="false">INDEX(Модель!$E$8:$E$101,MATCH($B47,Модель!$A$8:$A$101,0))</f>
        <v>2535625</v>
      </c>
      <c r="G47" s="14" t="n">
        <f aca="false">INDEX(Модель!$F$8:$F$101,MATCH($B47,Модель!$A$8:$A$101,0))</f>
        <v>679950</v>
      </c>
      <c r="H47" s="14" t="n">
        <f aca="false">INDEX(Модель!$G$8:$G$101,MATCH($B47,Модель!$A$8:$A$101,0))</f>
        <v>144720</v>
      </c>
      <c r="I47" s="14" t="n">
        <f aca="false">INDEX(Модель!$H$8:$H$101,MATCH($B47,Модель!$A$8:$A$101,0))</f>
        <v>3360295</v>
      </c>
      <c r="J47" s="9" t="s">
        <v>180</v>
      </c>
    </row>
    <row r="48" customFormat="false" ht="15" hidden="false" customHeight="false" outlineLevel="0" collapsed="false">
      <c r="A48" s="9" t="n">
        <v>3</v>
      </c>
      <c r="B48" s="13" t="s">
        <v>263</v>
      </c>
      <c r="C48" s="30" t="s">
        <v>264</v>
      </c>
      <c r="D48" s="9" t="s">
        <v>36</v>
      </c>
      <c r="E48" s="13" t="s">
        <v>188</v>
      </c>
      <c r="F48" s="19" t="n">
        <f aca="false">INDEX(Модель!$E$8:$E$101,MATCH($B48,Модель!$A$8:$A$101,0))</f>
        <v>1</v>
      </c>
      <c r="G48" s="19" t="n">
        <f aca="false">INDEX(Модель!$F$8:$F$101,MATCH($B48,Модель!$A$8:$A$101,0))</f>
        <v>3</v>
      </c>
      <c r="H48" s="19" t="n">
        <f aca="false">INDEX(Модель!$G$8:$G$101,MATCH($B48,Модель!$A$8:$A$101,0))</f>
        <v>12</v>
      </c>
      <c r="J48" s="9" t="s">
        <v>198</v>
      </c>
    </row>
    <row r="49" customFormat="false" ht="15" hidden="false" customHeight="false" outlineLevel="0" collapsed="false">
      <c r="A49" s="9" t="n">
        <v>3</v>
      </c>
      <c r="B49" s="13" t="s">
        <v>265</v>
      </c>
      <c r="C49" s="30" t="s">
        <v>266</v>
      </c>
      <c r="D49" s="9" t="s">
        <v>36</v>
      </c>
      <c r="E49" s="13" t="s">
        <v>179</v>
      </c>
      <c r="F49" s="14" t="n">
        <f aca="false">INDEX(Модель!$E$8:$E$101,MATCH($B49,Модель!$A$8:$A$101,0))</f>
        <v>5</v>
      </c>
      <c r="G49" s="14" t="n">
        <f aca="false">INDEX(Модель!$F$8:$F$101,MATCH($B49,Модель!$A$8:$A$101,0))</f>
        <v>15</v>
      </c>
      <c r="H49" s="14" t="n">
        <f aca="false">INDEX(Модель!$G$8:$G$101,MATCH($B49,Модель!$A$8:$A$101,0))</f>
        <v>30</v>
      </c>
      <c r="J49" s="9" t="s">
        <v>198</v>
      </c>
    </row>
    <row r="50" customFormat="false" ht="15" hidden="false" customHeight="false" outlineLevel="0" collapsed="false">
      <c r="A50" s="9" t="n">
        <v>2</v>
      </c>
      <c r="B50" s="13" t="s">
        <v>115</v>
      </c>
      <c r="C50" s="29" t="s">
        <v>116</v>
      </c>
      <c r="D50" s="9" t="s">
        <v>267</v>
      </c>
      <c r="E50" s="13" t="s">
        <v>179</v>
      </c>
      <c r="F50" s="14" t="n">
        <f aca="false">INDEX(Модель!$E$8:$E$101,MATCH($B50,Модель!$A$8:$A$101,0))</f>
        <v>1170000</v>
      </c>
      <c r="G50" s="14" t="n">
        <f aca="false">INDEX(Модель!$F$8:$F$101,MATCH($B50,Модель!$A$8:$A$101,0))</f>
        <v>54000</v>
      </c>
      <c r="H50" s="14" t="n">
        <f aca="false">INDEX(Модель!$G$8:$G$101,MATCH($B50,Модель!$A$8:$A$101,0))</f>
        <v>186000</v>
      </c>
      <c r="I50" s="14" t="n">
        <f aca="false">INDEX(Модель!$H$8:$H$101,MATCH($B50,Модель!$A$8:$A$101,0))</f>
        <v>1410000</v>
      </c>
      <c r="J50" s="9" t="s">
        <v>180</v>
      </c>
    </row>
    <row r="51" customFormat="false" ht="15" hidden="false" customHeight="false" outlineLevel="0" collapsed="false">
      <c r="A51" s="9" t="n">
        <v>3</v>
      </c>
      <c r="B51" s="13" t="s">
        <v>268</v>
      </c>
      <c r="C51" s="30" t="s">
        <v>269</v>
      </c>
      <c r="D51" s="9" t="s">
        <v>36</v>
      </c>
      <c r="E51" s="13" t="s">
        <v>270</v>
      </c>
      <c r="F51" s="14" t="n">
        <f aca="false">INDEX(Модель!$E$8:$E$101,MATCH($B51,Модель!$A$8:$A$101,0))</f>
        <v>300000</v>
      </c>
      <c r="G51" s="14" t="n">
        <f aca="false">INDEX(Модель!$F$8:$F$101,MATCH($B51,Модель!$A$8:$A$101,0))</f>
        <v>2000</v>
      </c>
      <c r="H51" s="14" t="n">
        <f aca="false">INDEX(Модель!$G$8:$G$101,MATCH($B51,Модель!$A$8:$A$101,0))</f>
        <v>120</v>
      </c>
      <c r="I51" s="14" t="n">
        <f aca="false">INDEX(Модель!$H$8:$H$101,MATCH($B51,Модель!$A$8:$A$101,0))</f>
        <v>302120</v>
      </c>
      <c r="J51" s="9" t="s">
        <v>189</v>
      </c>
    </row>
    <row r="52" customFormat="false" ht="15" hidden="false" customHeight="false" outlineLevel="0" collapsed="false">
      <c r="A52" s="9" t="n">
        <v>3</v>
      </c>
      <c r="B52" s="13" t="s">
        <v>271</v>
      </c>
      <c r="C52" s="30" t="s">
        <v>272</v>
      </c>
      <c r="D52" s="9" t="s">
        <v>36</v>
      </c>
      <c r="E52" s="13" t="s">
        <v>179</v>
      </c>
      <c r="F52" s="14" t="n">
        <f aca="false">INDEX(Модель!$E$8:$E$101,MATCH($B52,Модель!$A$8:$A$101,0))</f>
        <v>1.5</v>
      </c>
      <c r="G52" s="14" t="n">
        <f aca="false">INDEX(Модель!$F$8:$F$101,MATCH($B52,Модель!$A$8:$A$101,0))</f>
        <v>3</v>
      </c>
      <c r="H52" s="14" t="n">
        <f aca="false">INDEX(Модель!$G$8:$G$101,MATCH($B52,Модель!$A$8:$A$101,0))</f>
        <v>50</v>
      </c>
      <c r="J52" s="9" t="s">
        <v>198</v>
      </c>
    </row>
    <row r="53" customFormat="false" ht="15" hidden="false" customHeight="false" outlineLevel="0" collapsed="false">
      <c r="A53" s="9" t="n">
        <v>3</v>
      </c>
      <c r="B53" s="13" t="s">
        <v>273</v>
      </c>
      <c r="C53" s="30" t="s">
        <v>274</v>
      </c>
      <c r="D53" s="9" t="s">
        <v>36</v>
      </c>
      <c r="E53" s="13" t="s">
        <v>194</v>
      </c>
      <c r="F53" s="32" t="n">
        <f aca="false">INDEX(Модель!$E$8:$E$101,MATCH($B53,Модель!$A$8:$A$101,0))</f>
        <v>0.3</v>
      </c>
      <c r="G53" s="32" t="n">
        <f aca="false">INDEX(Модель!$F$8:$F$101,MATCH($B53,Модель!$A$8:$A$101,0))</f>
        <v>0.6</v>
      </c>
      <c r="H53" s="32" t="n">
        <f aca="false">INDEX(Модель!$G$8:$G$101,MATCH($B53,Модель!$A$8:$A$101,0))</f>
        <v>1</v>
      </c>
      <c r="J53" s="9" t="s">
        <v>198</v>
      </c>
    </row>
    <row r="54" customFormat="false" ht="15" hidden="false" customHeight="false" outlineLevel="0" collapsed="false">
      <c r="A54" s="9" t="n">
        <v>3</v>
      </c>
      <c r="B54" s="13" t="s">
        <v>275</v>
      </c>
      <c r="C54" s="30" t="s">
        <v>276</v>
      </c>
      <c r="D54" s="9" t="s">
        <v>36</v>
      </c>
      <c r="E54" s="13" t="s">
        <v>179</v>
      </c>
      <c r="F54" s="14" t="n">
        <f aca="false">INDEX(Модель!$E$8:$E$101,MATCH($B54,Модель!$A$8:$A$101,0))</f>
        <v>8</v>
      </c>
      <c r="G54" s="14" t="n">
        <f aca="false">INDEX(Модель!$F$8:$F$101,MATCH($B54,Модель!$A$8:$A$101,0))</f>
        <v>40</v>
      </c>
      <c r="H54" s="14" t="n">
        <f aca="false">INDEX(Модель!$G$8:$G$101,MATCH($B54,Модель!$A$8:$A$101,0))</f>
        <v>1500</v>
      </c>
      <c r="J54" s="9" t="s">
        <v>198</v>
      </c>
    </row>
    <row r="55" customFormat="false" ht="15" hidden="false" customHeight="false" outlineLevel="0" collapsed="false">
      <c r="A55" s="9" t="n">
        <v>2</v>
      </c>
      <c r="B55" s="13" t="s">
        <v>117</v>
      </c>
      <c r="C55" s="29" t="s">
        <v>118</v>
      </c>
      <c r="D55" s="9" t="s">
        <v>277</v>
      </c>
      <c r="E55" s="13" t="s">
        <v>179</v>
      </c>
      <c r="F55" s="14" t="n">
        <f aca="false">INDEX(Модель!$E$8:$E$101,MATCH($B55,Модель!$A$8:$A$101,0))</f>
        <v>912825</v>
      </c>
      <c r="G55" s="14" t="n">
        <f aca="false">INDEX(Модель!$F$8:$F$101,MATCH($B55,Модель!$A$8:$A$101,0))</f>
        <v>566625</v>
      </c>
      <c r="H55" s="14" t="n">
        <f aca="false">INDEX(Модель!$G$8:$G$101,MATCH($B55,Модель!$A$8:$A$101,0))</f>
        <v>603000</v>
      </c>
      <c r="I55" s="14" t="n">
        <f aca="false">INDEX(Модель!$H$8:$H$101,MATCH($B55,Модель!$A$8:$A$101,0))</f>
        <v>2082450</v>
      </c>
      <c r="J55" s="9" t="s">
        <v>180</v>
      </c>
    </row>
    <row r="56" customFormat="false" ht="15" hidden="false" customHeight="false" outlineLevel="0" collapsed="false">
      <c r="A56" s="9" t="n">
        <v>3</v>
      </c>
      <c r="B56" s="13" t="s">
        <v>278</v>
      </c>
      <c r="C56" s="30" t="s">
        <v>279</v>
      </c>
      <c r="D56" s="9" t="s">
        <v>36</v>
      </c>
      <c r="E56" s="13" t="s">
        <v>188</v>
      </c>
      <c r="F56" s="19" t="n">
        <f aca="false">INDEX(Модель!$E$8:$E$101,MATCH($B56,Модель!$A$8:$A$101,0))</f>
        <v>6</v>
      </c>
      <c r="G56" s="19" t="n">
        <f aca="false">INDEX(Модель!$F$8:$F$101,MATCH($B56,Модель!$A$8:$A$101,0))</f>
        <v>15</v>
      </c>
      <c r="H56" s="19" t="n">
        <f aca="false">INDEX(Модель!$G$8:$G$101,MATCH($B56,Модель!$A$8:$A$101,0))</f>
        <v>200</v>
      </c>
      <c r="J56" s="9" t="s">
        <v>198</v>
      </c>
    </row>
    <row r="57" customFormat="false" ht="15" hidden="false" customHeight="false" outlineLevel="0" collapsed="false">
      <c r="A57" s="9" t="n">
        <v>3</v>
      </c>
      <c r="B57" s="13" t="s">
        <v>280</v>
      </c>
      <c r="C57" s="30" t="s">
        <v>281</v>
      </c>
      <c r="D57" s="9" t="s">
        <v>36</v>
      </c>
      <c r="E57" s="13" t="s">
        <v>194</v>
      </c>
      <c r="F57" s="32" t="n">
        <f aca="false">INDEX(Модель!$E$8:$E$101,MATCH($B57,Модель!$A$8:$A$101,0))</f>
        <v>0.1</v>
      </c>
      <c r="G57" s="32" t="n">
        <f aca="false">INDEX(Модель!$F$8:$F$101,MATCH($B57,Модель!$A$8:$A$101,0))</f>
        <v>0.25</v>
      </c>
      <c r="H57" s="32" t="n">
        <f aca="false">INDEX(Модель!$G$8:$G$101,MATCH($B57,Модель!$A$8:$A$101,0))</f>
        <v>0.3</v>
      </c>
      <c r="J57" s="9" t="s">
        <v>198</v>
      </c>
    </row>
    <row r="58" customFormat="false" ht="15" hidden="false" customHeight="false" outlineLevel="0" collapsed="false">
      <c r="A58" s="9" t="n">
        <v>3</v>
      </c>
      <c r="B58" s="13" t="s">
        <v>282</v>
      </c>
      <c r="C58" s="30" t="s">
        <v>283</v>
      </c>
      <c r="D58" s="9" t="s">
        <v>36</v>
      </c>
      <c r="E58" s="13" t="s">
        <v>179</v>
      </c>
      <c r="F58" s="14" t="n">
        <f aca="false">INDEX(Модель!$E$8:$E$101,MATCH($B58,Модель!$A$8:$A$101,0))</f>
        <v>3</v>
      </c>
      <c r="G58" s="14" t="n">
        <f aca="false">INDEX(Модель!$F$8:$F$101,MATCH($B58,Модель!$A$8:$A$101,0))</f>
        <v>10</v>
      </c>
      <c r="H58" s="14" t="n">
        <f aca="false">INDEX(Модель!$G$8:$G$101,MATCH($B58,Модель!$A$8:$A$101,0))</f>
        <v>25</v>
      </c>
      <c r="J58" s="9" t="s">
        <v>198</v>
      </c>
    </row>
    <row r="59" customFormat="false" ht="15" hidden="false" customHeight="false" outlineLevel="0" collapsed="false">
      <c r="A59" s="9" t="n">
        <v>2</v>
      </c>
      <c r="B59" s="13" t="s">
        <v>119</v>
      </c>
      <c r="C59" s="29" t="s">
        <v>120</v>
      </c>
      <c r="D59" s="9" t="s">
        <v>284</v>
      </c>
      <c r="E59" s="13" t="s">
        <v>179</v>
      </c>
      <c r="F59" s="14" t="n">
        <f aca="false">INDEX(Модель!$E$8:$E$101,MATCH($B59,Модель!$A$8:$A$101,0))</f>
        <v>0</v>
      </c>
      <c r="G59" s="14" t="n">
        <f aca="false">INDEX(Модель!$F$8:$F$101,MATCH($B59,Модель!$A$8:$A$101,0))</f>
        <v>6044000</v>
      </c>
      <c r="H59" s="14" t="n">
        <f aca="false">INDEX(Модель!$G$8:$G$101,MATCH($B59,Модель!$A$8:$A$101,0))</f>
        <v>4020000</v>
      </c>
      <c r="I59" s="14" t="n">
        <f aca="false">INDEX(Модель!$H$8:$H$101,MATCH($B59,Модель!$A$8:$A$101,0))</f>
        <v>10064000</v>
      </c>
      <c r="J59" s="9" t="s">
        <v>180</v>
      </c>
    </row>
    <row r="60" customFormat="false" ht="15" hidden="false" customHeight="false" outlineLevel="0" collapsed="false">
      <c r="A60" s="9" t="n">
        <v>3</v>
      </c>
      <c r="B60" s="13" t="s">
        <v>285</v>
      </c>
      <c r="C60" s="30" t="s">
        <v>286</v>
      </c>
      <c r="D60" s="9" t="s">
        <v>36</v>
      </c>
      <c r="E60" s="13" t="s">
        <v>185</v>
      </c>
      <c r="F60" s="14" t="n">
        <f aca="false">INDEX(Модель!$E$8:$E$101,MATCH($B60,Модель!$A$8:$A$101,0))</f>
        <v>0</v>
      </c>
      <c r="G60" s="14" t="n">
        <f aca="false">INDEX(Модель!$F$8:$F$101,MATCH($B60,Модель!$A$8:$A$101,0))</f>
        <v>150</v>
      </c>
      <c r="H60" s="14" t="n">
        <f aca="false">INDEX(Модель!$G$8:$G$101,MATCH($B60,Модель!$A$8:$A$101,0))</f>
        <v>15</v>
      </c>
      <c r="J60" s="9" t="s">
        <v>198</v>
      </c>
    </row>
    <row r="61" customFormat="false" ht="15" hidden="false" customHeight="false" outlineLevel="0" collapsed="false">
      <c r="A61" s="9" t="n">
        <v>3</v>
      </c>
      <c r="B61" s="13" t="s">
        <v>287</v>
      </c>
      <c r="C61" s="30" t="s">
        <v>288</v>
      </c>
      <c r="D61" s="9" t="s">
        <v>36</v>
      </c>
      <c r="E61" s="13" t="s">
        <v>179</v>
      </c>
      <c r="F61" s="14" t="n">
        <f aca="false">INDEX(Модель!$E$8:$E$101,MATCH($B61,Модель!$A$8:$A$101,0))</f>
        <v>0</v>
      </c>
      <c r="G61" s="14" t="n">
        <f aca="false">INDEX(Модель!$F$8:$F$101,MATCH($B61,Модель!$A$8:$A$101,0))</f>
        <v>60000</v>
      </c>
      <c r="H61" s="14" t="n">
        <f aca="false">INDEX(Модель!$G$8:$G$101,MATCH($B61,Модель!$A$8:$A$101,0))</f>
        <v>150000</v>
      </c>
      <c r="J61" s="9" t="s">
        <v>198</v>
      </c>
    </row>
    <row r="62" customFormat="false" ht="15" hidden="false" customHeight="false" outlineLevel="0" collapsed="false">
      <c r="A62" s="24" t="n">
        <v>1</v>
      </c>
      <c r="B62" s="16" t="s">
        <v>123</v>
      </c>
      <c r="C62" s="28" t="s">
        <v>124</v>
      </c>
      <c r="D62" s="24" t="s">
        <v>289</v>
      </c>
      <c r="E62" s="26" t="s">
        <v>179</v>
      </c>
      <c r="F62" s="27" t="n">
        <f aca="false">INDEX(Модель!$E$8:$E$101,MATCH($B62,Модель!$A$8:$A$101,0))</f>
        <v>5940000</v>
      </c>
      <c r="G62" s="27" t="n">
        <f aca="false">INDEX(Модель!$F$8:$F$101,MATCH($B62,Модель!$A$8:$A$101,0))</f>
        <v>1680000</v>
      </c>
      <c r="H62" s="27" t="n">
        <f aca="false">INDEX(Модель!$G$8:$G$101,MATCH($B62,Модель!$A$8:$A$101,0))</f>
        <v>540000</v>
      </c>
      <c r="I62" s="27" t="n">
        <f aca="false">INDEX(Модель!$H$8:$H$101,MATCH($B62,Модель!$A$8:$A$101,0))</f>
        <v>8160000</v>
      </c>
      <c r="J62" s="24" t="s">
        <v>180</v>
      </c>
    </row>
    <row r="63" customFormat="false" ht="15" hidden="false" customHeight="false" outlineLevel="0" collapsed="false">
      <c r="A63" s="9" t="n">
        <v>2</v>
      </c>
      <c r="B63" s="13" t="s">
        <v>136</v>
      </c>
      <c r="C63" s="29" t="s">
        <v>137</v>
      </c>
      <c r="D63" s="9" t="s">
        <v>290</v>
      </c>
      <c r="E63" s="13" t="s">
        <v>185</v>
      </c>
      <c r="F63" s="14" t="n">
        <f aca="false">INDEX(Модель!$E$8:$E$101,MATCH($B63,Модель!$A$8:$A$101,0))</f>
        <v>74250</v>
      </c>
      <c r="G63" s="14" t="n">
        <f aca="false">INDEX(Модель!$F$8:$F$101,MATCH($B63,Модель!$A$8:$A$101,0))</f>
        <v>1120</v>
      </c>
      <c r="H63" s="14" t="n">
        <f aca="false">INDEX(Модель!$G$8:$G$101,MATCH($B63,Модель!$A$8:$A$101,0))</f>
        <v>36</v>
      </c>
      <c r="I63" s="14" t="n">
        <f aca="false">INDEX(Модель!$H$8:$H$101,MATCH($B63,Модель!$A$8:$A$101,0))</f>
        <v>75406</v>
      </c>
      <c r="J63" s="9" t="s">
        <v>180</v>
      </c>
    </row>
    <row r="64" customFormat="false" ht="15" hidden="false" customHeight="false" outlineLevel="0" collapsed="false">
      <c r="A64" s="9" t="n">
        <v>2</v>
      </c>
      <c r="B64" s="13" t="s">
        <v>291</v>
      </c>
      <c r="C64" s="29" t="s">
        <v>292</v>
      </c>
      <c r="D64" s="9" t="s">
        <v>36</v>
      </c>
      <c r="E64" s="13" t="s">
        <v>179</v>
      </c>
      <c r="F64" s="14" t="n">
        <f aca="false">INDEX(Модель!$E$8:$E$101,MATCH($B64,Модель!$A$8:$A$101,0))</f>
        <v>80</v>
      </c>
      <c r="G64" s="14" t="n">
        <f aca="false">INDEX(Модель!$F$8:$F$101,MATCH($B64,Модель!$A$8:$A$101,0))</f>
        <v>1500</v>
      </c>
      <c r="H64" s="14" t="n">
        <f aca="false">INDEX(Модель!$G$8:$G$101,MATCH($B64,Модель!$A$8:$A$101,0))</f>
        <v>15000</v>
      </c>
      <c r="J64" s="9" t="s">
        <v>198</v>
      </c>
    </row>
    <row r="65" customFormat="false" ht="15" hidden="false" customHeight="false" outlineLevel="0" collapsed="false">
      <c r="A65" s="24" t="n">
        <v>1</v>
      </c>
      <c r="B65" s="16" t="s">
        <v>129</v>
      </c>
      <c r="C65" s="28" t="s">
        <v>130</v>
      </c>
      <c r="D65" s="24" t="s">
        <v>293</v>
      </c>
      <c r="E65" s="26" t="s">
        <v>179</v>
      </c>
      <c r="F65" s="27" t="n">
        <f aca="false">INDEX(Модель!$E$8:$E$101,MATCH($B65,Модель!$A$8:$A$101,0))</f>
        <v>1314250</v>
      </c>
      <c r="G65" s="27" t="n">
        <f aca="false">INDEX(Модель!$F$8:$F$101,MATCH($B65,Модель!$A$8:$A$101,0))</f>
        <v>553300</v>
      </c>
      <c r="H65" s="27" t="n">
        <f aca="false">INDEX(Модель!$G$8:$G$101,MATCH($B65,Модель!$A$8:$A$101,0))</f>
        <v>602000</v>
      </c>
      <c r="I65" s="27" t="n">
        <f aca="false">INDEX(Модель!$H$8:$H$101,MATCH($B65,Модель!$A$8:$A$101,0))</f>
        <v>2469550</v>
      </c>
      <c r="J65" s="24" t="s">
        <v>180</v>
      </c>
    </row>
    <row r="66" customFormat="false" ht="15" hidden="false" customHeight="false" outlineLevel="0" collapsed="false">
      <c r="A66" s="9" t="n">
        <v>2</v>
      </c>
      <c r="B66" s="13" t="s">
        <v>125</v>
      </c>
      <c r="C66" s="29" t="s">
        <v>126</v>
      </c>
      <c r="D66" s="9" t="s">
        <v>294</v>
      </c>
      <c r="E66" s="13" t="s">
        <v>179</v>
      </c>
      <c r="F66" s="14" t="n">
        <f aca="false">INDEX(Модель!$E$8:$E$101,MATCH($B66,Модель!$A$8:$A$101,0))</f>
        <v>1014250</v>
      </c>
      <c r="G66" s="14" t="n">
        <f aca="false">INDEX(Модель!$F$8:$F$101,MATCH($B66,Модель!$A$8:$A$101,0))</f>
        <v>453300</v>
      </c>
      <c r="H66" s="14" t="n">
        <f aca="false">INDEX(Модель!$G$8:$G$101,MATCH($B66,Модель!$A$8:$A$101,0))</f>
        <v>402000</v>
      </c>
      <c r="I66" s="14" t="n">
        <f aca="false">INDEX(Модель!$H$8:$H$101,MATCH($B66,Модель!$A$8:$A$101,0))</f>
        <v>1869550</v>
      </c>
      <c r="J66" s="9" t="s">
        <v>180</v>
      </c>
    </row>
    <row r="67" customFormat="false" ht="15" hidden="false" customHeight="false" outlineLevel="0" collapsed="false">
      <c r="A67" s="9" t="n">
        <v>3</v>
      </c>
      <c r="B67" s="13" t="s">
        <v>295</v>
      </c>
      <c r="C67" s="30" t="s">
        <v>296</v>
      </c>
      <c r="D67" s="9" t="s">
        <v>36</v>
      </c>
      <c r="E67" s="13" t="s">
        <v>194</v>
      </c>
      <c r="F67" s="32" t="n">
        <f aca="false">INDEX(Модель!$E$8:$E$101,MATCH($B67,Модель!$A$8:$A$101,0))</f>
        <v>0.005</v>
      </c>
      <c r="G67" s="32" t="n">
        <f aca="false">INDEX(Модель!$F$8:$F$101,MATCH($B67,Модель!$A$8:$A$101,0))</f>
        <v>0.002</v>
      </c>
      <c r="H67" s="32" t="n">
        <f aca="false">INDEX(Модель!$G$8:$G$101,MATCH($B67,Модель!$A$8:$A$101,0))</f>
        <v>0.001</v>
      </c>
      <c r="J67" s="9" t="s">
        <v>198</v>
      </c>
    </row>
    <row r="68" customFormat="false" ht="15" hidden="false" customHeight="false" outlineLevel="0" collapsed="false">
      <c r="A68" s="9" t="n">
        <v>2</v>
      </c>
      <c r="B68" s="13" t="s">
        <v>127</v>
      </c>
      <c r="C68" s="29" t="s">
        <v>128</v>
      </c>
      <c r="D68" s="9" t="s">
        <v>297</v>
      </c>
      <c r="E68" s="13" t="s">
        <v>179</v>
      </c>
      <c r="F68" s="14" t="n">
        <f aca="false">INDEX(Модель!$E$8:$E$101,MATCH($B68,Модель!$A$8:$A$101,0))</f>
        <v>300000</v>
      </c>
      <c r="G68" s="14" t="n">
        <f aca="false">INDEX(Модель!$F$8:$F$101,MATCH($B68,Модель!$A$8:$A$101,0))</f>
        <v>100000</v>
      </c>
      <c r="H68" s="14" t="n">
        <f aca="false">INDEX(Модель!$G$8:$G$101,MATCH($B68,Модель!$A$8:$A$101,0))</f>
        <v>200000</v>
      </c>
      <c r="I68" s="14" t="n">
        <f aca="false">INDEX(Модель!$H$8:$H$101,MATCH($B68,Модель!$A$8:$A$101,0))</f>
        <v>600000</v>
      </c>
      <c r="J68" s="9" t="s">
        <v>180</v>
      </c>
    </row>
    <row r="69" customFormat="false" ht="15" hidden="false" customHeight="false" outlineLevel="0" collapsed="false">
      <c r="A69" s="9" t="n">
        <v>3</v>
      </c>
      <c r="B69" s="13" t="s">
        <v>297</v>
      </c>
      <c r="C69" s="30" t="s">
        <v>298</v>
      </c>
      <c r="D69" s="9" t="s">
        <v>36</v>
      </c>
      <c r="E69" s="13" t="s">
        <v>179</v>
      </c>
      <c r="F69" s="14" t="n">
        <f aca="false">INDEX(Модель!$E$8:$E$101,MATCH($B69,Модель!$A$8:$A$101,0))</f>
        <v>300000</v>
      </c>
      <c r="G69" s="14" t="n">
        <f aca="false">INDEX(Модель!$F$8:$F$101,MATCH($B69,Модель!$A$8:$A$101,0))</f>
        <v>100000</v>
      </c>
      <c r="H69" s="14" t="n">
        <f aca="false">INDEX(Модель!$G$8:$G$101,MATCH($B69,Модель!$A$8:$A$101,0))</f>
        <v>200000</v>
      </c>
      <c r="I69" s="14" t="n">
        <f aca="false">INDEX(Модель!$H$8:$H$101,MATCH($B69,Модель!$A$8:$A$101,0))</f>
        <v>600000</v>
      </c>
      <c r="J69" s="9" t="s">
        <v>198</v>
      </c>
    </row>
    <row r="70" customFormat="false" ht="15" hidden="false" customHeight="false" outlineLevel="0" collapsed="false">
      <c r="A70" s="4" t="s">
        <v>299</v>
      </c>
      <c r="B70" s="5"/>
      <c r="C70" s="5"/>
      <c r="D70" s="5"/>
      <c r="E70" s="5"/>
      <c r="F70" s="5"/>
      <c r="G70" s="5"/>
      <c r="H70" s="5"/>
      <c r="I70" s="5"/>
      <c r="J70" s="5"/>
    </row>
    <row r="71" customFormat="false" ht="15" hidden="false" customHeight="false" outlineLevel="0" collapsed="false">
      <c r="A71" s="24" t="n">
        <v>1</v>
      </c>
      <c r="B71" s="16" t="s">
        <v>134</v>
      </c>
      <c r="C71" s="28" t="s">
        <v>135</v>
      </c>
      <c r="D71" s="24" t="s">
        <v>300</v>
      </c>
      <c r="E71" s="26" t="s">
        <v>185</v>
      </c>
      <c r="F71" s="27" t="n">
        <f aca="false">INDEX(Модель!$E$8:$E$101,MATCH($B71,Модель!$A$8:$A$101,0))</f>
        <v>507125</v>
      </c>
      <c r="G71" s="27" t="n">
        <f aca="false">INDEX(Модель!$F$8:$F$101,MATCH($B71,Модель!$A$8:$A$101,0))</f>
        <v>15110</v>
      </c>
      <c r="H71" s="27" t="n">
        <f aca="false">INDEX(Модель!$G$8:$G$101,MATCH($B71,Модель!$A$8:$A$101,0))</f>
        <v>402</v>
      </c>
      <c r="I71" s="27" t="n">
        <f aca="false">INDEX(Модель!$H$8:$H$101,MATCH($B71,Модель!$A$8:$A$101,0))</f>
        <v>522637</v>
      </c>
      <c r="J71" s="24" t="s">
        <v>180</v>
      </c>
    </row>
    <row r="72" customFormat="false" ht="15" hidden="false" customHeight="false" outlineLevel="0" collapsed="false">
      <c r="A72" s="9" t="n">
        <v>2</v>
      </c>
      <c r="B72" s="13" t="s">
        <v>301</v>
      </c>
      <c r="C72" s="29" t="s">
        <v>302</v>
      </c>
      <c r="D72" s="9" t="s">
        <v>36</v>
      </c>
      <c r="E72" s="13" t="s">
        <v>185</v>
      </c>
      <c r="F72" s="14" t="n">
        <f aca="false">INDEX(Модель!$E$8:$E$101,MATCH($B72,Модель!$A$8:$A$101,0))</f>
        <v>500000</v>
      </c>
      <c r="G72" s="14" t="n">
        <f aca="false">INDEX(Модель!$F$8:$F$101,MATCH($B72,Модель!$A$8:$A$101,0))</f>
        <v>15000</v>
      </c>
      <c r="H72" s="14" t="n">
        <f aca="false">INDEX(Модель!$G$8:$G$101,MATCH($B72,Модель!$A$8:$A$101,0))</f>
        <v>400</v>
      </c>
      <c r="I72" s="14" t="n">
        <f aca="false">INDEX(Модель!$H$8:$H$101,MATCH($B72,Модель!$A$8:$A$101,0))</f>
        <v>515400</v>
      </c>
      <c r="J72" s="9" t="s">
        <v>303</v>
      </c>
    </row>
    <row r="73" customFormat="false" ht="15" hidden="false" customHeight="false" outlineLevel="0" collapsed="false">
      <c r="A73" s="9" t="n">
        <v>2</v>
      </c>
      <c r="B73" s="13" t="s">
        <v>136</v>
      </c>
      <c r="C73" s="29" t="s">
        <v>137</v>
      </c>
      <c r="D73" s="9" t="s">
        <v>290</v>
      </c>
      <c r="E73" s="13" t="s">
        <v>185</v>
      </c>
      <c r="F73" s="14" t="n">
        <f aca="false">INDEX(Модель!$E$8:$E$101,MATCH($B73,Модель!$A$8:$A$101,0))</f>
        <v>74250</v>
      </c>
      <c r="G73" s="14" t="n">
        <f aca="false">INDEX(Модель!$F$8:$F$101,MATCH($B73,Модель!$A$8:$A$101,0))</f>
        <v>1120</v>
      </c>
      <c r="H73" s="14" t="n">
        <f aca="false">INDEX(Модель!$G$8:$G$101,MATCH($B73,Модель!$A$8:$A$101,0))</f>
        <v>36</v>
      </c>
      <c r="I73" s="14" t="n">
        <f aca="false">INDEX(Модель!$H$8:$H$101,MATCH($B73,Модель!$A$8:$A$101,0))</f>
        <v>75406</v>
      </c>
      <c r="J73" s="9" t="s">
        <v>180</v>
      </c>
    </row>
    <row r="74" customFormat="false" ht="15" hidden="false" customHeight="false" outlineLevel="0" collapsed="false">
      <c r="A74" s="9" t="n">
        <v>3</v>
      </c>
      <c r="B74" s="13" t="s">
        <v>268</v>
      </c>
      <c r="C74" s="30" t="s">
        <v>269</v>
      </c>
      <c r="D74" s="9" t="s">
        <v>36</v>
      </c>
      <c r="E74" s="13" t="s">
        <v>270</v>
      </c>
      <c r="F74" s="14" t="n">
        <f aca="false">INDEX(Модель!$E$8:$E$101,MATCH($B74,Модель!$A$8:$A$101,0))</f>
        <v>300000</v>
      </c>
      <c r="G74" s="14" t="n">
        <f aca="false">INDEX(Модель!$F$8:$F$101,MATCH($B74,Модель!$A$8:$A$101,0))</f>
        <v>2000</v>
      </c>
      <c r="H74" s="14" t="n">
        <f aca="false">INDEX(Модель!$G$8:$G$101,MATCH($B74,Модель!$A$8:$A$101,0))</f>
        <v>120</v>
      </c>
      <c r="I74" s="14" t="n">
        <f aca="false">INDEX(Модель!$H$8:$H$101,MATCH($B74,Модель!$A$8:$A$101,0))</f>
        <v>302120</v>
      </c>
      <c r="J74" s="9" t="s">
        <v>189</v>
      </c>
    </row>
    <row r="75" customFormat="false" ht="15" hidden="false" customHeight="false" outlineLevel="0" collapsed="false">
      <c r="A75" s="9" t="n">
        <v>3</v>
      </c>
      <c r="B75" s="13" t="s">
        <v>304</v>
      </c>
      <c r="C75" s="30" t="s">
        <v>305</v>
      </c>
      <c r="D75" s="9" t="s">
        <v>36</v>
      </c>
      <c r="E75" s="13" t="s">
        <v>194</v>
      </c>
      <c r="F75" s="32" t="n">
        <f aca="false">INDEX(Модель!$E$8:$E$101,MATCH($B75,Модель!$A$8:$A$101,0))</f>
        <v>0.45</v>
      </c>
      <c r="G75" s="32" t="n">
        <f aca="false">INDEX(Модель!$F$8:$F$101,MATCH($B75,Модель!$A$8:$A$101,0))</f>
        <v>0.7</v>
      </c>
      <c r="H75" s="32" t="n">
        <f aca="false">INDEX(Модель!$G$8:$G$101,MATCH($B75,Модель!$A$8:$A$101,0))</f>
        <v>0.4</v>
      </c>
      <c r="J75" s="9" t="s">
        <v>189</v>
      </c>
    </row>
    <row r="76" customFormat="false" ht="15" hidden="false" customHeight="false" outlineLevel="0" collapsed="false">
      <c r="A76" s="9" t="n">
        <v>3</v>
      </c>
      <c r="B76" s="13" t="s">
        <v>306</v>
      </c>
      <c r="C76" s="30" t="s">
        <v>307</v>
      </c>
      <c r="D76" s="9" t="s">
        <v>36</v>
      </c>
      <c r="E76" s="13" t="s">
        <v>194</v>
      </c>
      <c r="F76" s="32" t="n">
        <f aca="false">INDEX(Модель!$E$8:$E$101,MATCH($B76,Модель!$A$8:$A$101,0))</f>
        <v>0.55</v>
      </c>
      <c r="G76" s="32" t="n">
        <f aca="false">INDEX(Модель!$F$8:$F$101,MATCH($B76,Модель!$A$8:$A$101,0))</f>
        <v>0.8</v>
      </c>
      <c r="H76" s="32" t="n">
        <f aca="false">INDEX(Модель!$G$8:$G$101,MATCH($B76,Модель!$A$8:$A$101,0))</f>
        <v>0.75</v>
      </c>
      <c r="J76" s="9" t="s">
        <v>189</v>
      </c>
    </row>
    <row r="77" customFormat="false" ht="15" hidden="false" customHeight="false" outlineLevel="0" collapsed="false">
      <c r="A77" s="9" t="n">
        <v>2</v>
      </c>
      <c r="B77" s="13" t="s">
        <v>308</v>
      </c>
      <c r="C77" s="29" t="s">
        <v>309</v>
      </c>
      <c r="D77" s="9" t="s">
        <v>310</v>
      </c>
      <c r="E77" s="13" t="s">
        <v>185</v>
      </c>
      <c r="F77" s="14" t="n">
        <f aca="false">INDEX(Модель!$E$8:$E$101,MATCH($B77,Модель!$A$8:$A$101,0))</f>
        <v>60000</v>
      </c>
      <c r="G77" s="14" t="n">
        <f aca="false">INDEX(Модель!$F$8:$F$101,MATCH($B77,Модель!$A$8:$A$101,0))</f>
        <v>900</v>
      </c>
      <c r="H77" s="14" t="n">
        <f aca="false">INDEX(Модель!$G$8:$G$101,MATCH($B77,Модель!$A$8:$A$101,0))</f>
        <v>32</v>
      </c>
      <c r="I77" s="14" t="n">
        <f aca="false">INDEX(Модель!$H$8:$H$101,MATCH($B77,Модель!$A$8:$A$101,0))</f>
        <v>60932</v>
      </c>
      <c r="J77" s="9" t="s">
        <v>180</v>
      </c>
    </row>
    <row r="78" customFormat="false" ht="15" hidden="false" customHeight="false" outlineLevel="0" collapsed="false">
      <c r="A78" s="9" t="n">
        <v>3</v>
      </c>
      <c r="B78" s="13" t="s">
        <v>311</v>
      </c>
      <c r="C78" s="30" t="s">
        <v>312</v>
      </c>
      <c r="D78" s="9" t="s">
        <v>36</v>
      </c>
      <c r="E78" s="13" t="s">
        <v>194</v>
      </c>
      <c r="F78" s="32" t="n">
        <f aca="false">INDEX(Модель!$E$8:$E$101,MATCH($B78,Модель!$A$8:$A$101,0))</f>
        <v>0.12</v>
      </c>
      <c r="G78" s="32" t="n">
        <f aca="false">INDEX(Модель!$F$8:$F$101,MATCH($B78,Модель!$A$8:$A$101,0))</f>
        <v>0.06</v>
      </c>
      <c r="H78" s="32" t="n">
        <f aca="false">INDEX(Модель!$G$8:$G$101,MATCH($B78,Модель!$A$8:$A$101,0))</f>
        <v>0.08</v>
      </c>
      <c r="J78" s="9" t="s">
        <v>189</v>
      </c>
    </row>
    <row r="79" customFormat="false" ht="15" hidden="false" customHeight="false" outlineLevel="0" collapsed="false">
      <c r="A79" s="24" t="n">
        <v>1</v>
      </c>
      <c r="B79" s="16" t="s">
        <v>138</v>
      </c>
      <c r="C79" s="28" t="s">
        <v>139</v>
      </c>
      <c r="D79" s="24" t="s">
        <v>184</v>
      </c>
      <c r="E79" s="26" t="s">
        <v>185</v>
      </c>
      <c r="F79" s="27" t="n">
        <f aca="false">INDEX(Модель!$E$8:$E$101,MATCH($B79,Модель!$A$8:$A$101,0))</f>
        <v>177493.75</v>
      </c>
      <c r="G79" s="27" t="n">
        <f aca="false">INDEX(Модель!$F$8:$F$101,MATCH($B79,Модель!$A$8:$A$101,0))</f>
        <v>8310.5</v>
      </c>
      <c r="H79" s="27" t="n">
        <f aca="false">INDEX(Модель!$G$8:$G$101,MATCH($B79,Модель!$A$8:$A$101,0))</f>
        <v>321.6</v>
      </c>
      <c r="I79" s="27" t="n">
        <f aca="false">INDEX(Модель!$H$8:$H$101,MATCH($B79,Модель!$A$8:$A$101,0))</f>
        <v>186125.85</v>
      </c>
      <c r="J79" s="24" t="s">
        <v>180</v>
      </c>
    </row>
    <row r="80" customFormat="false" ht="15" hidden="false" customHeight="false" outlineLevel="0" collapsed="false">
      <c r="A80" s="9" t="n">
        <v>2</v>
      </c>
      <c r="B80" s="13" t="s">
        <v>313</v>
      </c>
      <c r="C80" s="29" t="s">
        <v>314</v>
      </c>
      <c r="D80" s="9" t="s">
        <v>36</v>
      </c>
      <c r="E80" s="13" t="s">
        <v>194</v>
      </c>
      <c r="F80" s="32" t="n">
        <f aca="false">INDEX(Модель!$E$8:$E$101,MATCH($B80,Модель!$A$8:$A$101,0))</f>
        <v>0.35</v>
      </c>
      <c r="G80" s="32" t="n">
        <f aca="false">INDEX(Модель!$F$8:$F$101,MATCH($B80,Модель!$A$8:$A$101,0))</f>
        <v>0.55</v>
      </c>
      <c r="H80" s="32" t="n">
        <f aca="false">INDEX(Модель!$G$8:$G$101,MATCH($B80,Модель!$A$8:$A$101,0))</f>
        <v>0.8</v>
      </c>
      <c r="J80" s="9" t="s">
        <v>189</v>
      </c>
    </row>
    <row r="81" customFormat="false" ht="15" hidden="false" customHeight="false" outlineLevel="0" collapsed="false">
      <c r="A81" s="4" t="s">
        <v>315</v>
      </c>
      <c r="B81" s="5"/>
      <c r="C81" s="5"/>
      <c r="D81" s="5"/>
      <c r="E81" s="5"/>
      <c r="F81" s="5"/>
      <c r="G81" s="5"/>
      <c r="H81" s="5"/>
      <c r="I81" s="5"/>
      <c r="J81" s="5"/>
    </row>
    <row r="82" customFormat="false" ht="15" hidden="false" customHeight="false" outlineLevel="0" collapsed="false">
      <c r="A82" s="24" t="n">
        <v>1</v>
      </c>
      <c r="B82" s="16" t="s">
        <v>146</v>
      </c>
      <c r="C82" s="28" t="s">
        <v>147</v>
      </c>
      <c r="D82" s="24" t="s">
        <v>316</v>
      </c>
      <c r="E82" s="26" t="s">
        <v>179</v>
      </c>
      <c r="F82" s="27" t="n">
        <f aca="false">INDEX(Модель!$E$8:$E$101,MATCH($B82,Модель!$A$8:$A$101,0))</f>
        <v>86.092</v>
      </c>
      <c r="G82" s="27" t="n">
        <f aca="false">INDEX(Модель!$F$8:$F$101,MATCH($B82,Модель!$A$8:$A$101,0))</f>
        <v>2183.2</v>
      </c>
      <c r="H82" s="27" t="n">
        <f aca="false">INDEX(Модель!$G$8:$G$101,MATCH($B82,Модель!$A$8:$A$101,0))</f>
        <v>80726</v>
      </c>
      <c r="I82" s="27" t="n">
        <f aca="false">INDEX(Модель!$H$8:$H$101,MATCH($B82,Модель!$A$8:$A$101,0))</f>
        <v>208.747963691817</v>
      </c>
      <c r="J82" s="24" t="s">
        <v>180</v>
      </c>
    </row>
    <row r="83" customFormat="false" ht="15" hidden="false" customHeight="false" outlineLevel="0" collapsed="false">
      <c r="A83" s="24" t="n">
        <v>1</v>
      </c>
      <c r="B83" s="16" t="s">
        <v>148</v>
      </c>
      <c r="C83" s="28" t="s">
        <v>149</v>
      </c>
      <c r="D83" s="24" t="s">
        <v>317</v>
      </c>
      <c r="E83" s="26" t="s">
        <v>318</v>
      </c>
      <c r="F83" s="34" t="n">
        <f aca="false">INDEX(Модель!$E$8:$E$101,MATCH($B83,Модель!$A$8:$A$101,0))</f>
        <v>107.615</v>
      </c>
      <c r="G83" s="34" t="n">
        <f aca="false">INDEX(Модель!$F$8:$F$101,MATCH($B83,Модель!$A$8:$A$101,0))</f>
        <v>109.16</v>
      </c>
      <c r="H83" s="34" t="n">
        <f aca="false">INDEX(Модель!$G$8:$G$101,MATCH($B83,Модель!$A$8:$A$101,0))</f>
        <v>32.2904</v>
      </c>
      <c r="I83" s="34" t="n">
        <f aca="false">INDEX(Модель!$H$8:$H$101,MATCH($B83,Модель!$A$8:$A$101,0))</f>
        <v>63.6928072275089</v>
      </c>
      <c r="J83" s="24" t="s">
        <v>180</v>
      </c>
    </row>
    <row r="84" customFormat="false" ht="15" hidden="false" customHeight="false" outlineLevel="0" collapsed="false">
      <c r="A84" s="24" t="n">
        <v>1</v>
      </c>
      <c r="B84" s="16" t="s">
        <v>150</v>
      </c>
      <c r="C84" s="28" t="s">
        <v>151</v>
      </c>
      <c r="D84" s="24" t="s">
        <v>319</v>
      </c>
      <c r="E84" s="26" t="s">
        <v>194</v>
      </c>
      <c r="F84" s="35" t="n">
        <f aca="false">INDEX(Модель!$E$8:$E$101,MATCH($B84,Модель!$A$8:$A$101,0))</f>
        <v>0.728060887132327</v>
      </c>
      <c r="G84" s="35" t="n">
        <f aca="false">INDEX(Модель!$F$8:$F$101,MATCH($B84,Модель!$A$8:$A$101,0))</f>
        <v>0.709657121744801</v>
      </c>
      <c r="H84" s="35" t="n">
        <f aca="false">INDEX(Модель!$G$8:$G$101,MATCH($B84,Модель!$A$8:$A$101,0))</f>
        <v>0.812161105628116</v>
      </c>
      <c r="I84" s="35" t="n">
        <f aca="false">INDEX(Модель!$H$8:$H$101,MATCH($B84,Модель!$A$8:$A$101,0))</f>
        <v>0.747511969805849</v>
      </c>
      <c r="J84" s="24" t="s">
        <v>180</v>
      </c>
    </row>
    <row r="85" customFormat="false" ht="15" hidden="false" customHeight="false" outlineLevel="0" collapsed="false">
      <c r="A85" s="24" t="n">
        <v>1</v>
      </c>
      <c r="B85" s="16" t="s">
        <v>152</v>
      </c>
      <c r="C85" s="28" t="s">
        <v>153</v>
      </c>
      <c r="D85" s="24" t="s">
        <v>320</v>
      </c>
      <c r="E85" s="26" t="s">
        <v>179</v>
      </c>
      <c r="F85" s="27" t="n">
        <f aca="false">INDEX(Модель!$E$8:$E$101,MATCH($B85,Модель!$A$8:$A$101,0))</f>
        <v>62.6802178949963</v>
      </c>
      <c r="G85" s="27" t="n">
        <f aca="false">INDEX(Модель!$F$8:$F$101,MATCH($B85,Модель!$A$8:$A$101,0))</f>
        <v>1549.32342819325</v>
      </c>
      <c r="H85" s="27" t="n">
        <f aca="false">INDEX(Модель!$G$8:$G$101,MATCH($B85,Модель!$A$8:$A$101,0))</f>
        <v>65562.5174129353</v>
      </c>
      <c r="I85" s="27" t="n">
        <f aca="false">INDEX(Модель!$H$8:$H$101,MATCH($B85,Модель!$A$8:$A$101,0))</f>
        <v>156.04160153223</v>
      </c>
      <c r="J85" s="24" t="s">
        <v>180</v>
      </c>
    </row>
    <row r="86" customFormat="false" ht="15" hidden="false" customHeight="false" outlineLevel="0" collapsed="false">
      <c r="A86" s="24" t="n">
        <v>1</v>
      </c>
      <c r="B86" s="16" t="s">
        <v>321</v>
      </c>
      <c r="C86" s="28" t="s">
        <v>322</v>
      </c>
      <c r="D86" s="24" t="s">
        <v>323</v>
      </c>
      <c r="E86" s="26" t="s">
        <v>179</v>
      </c>
      <c r="F86" s="27" t="n">
        <f aca="false">INDEX(Модель!$E$8:$E$101,MATCH($B86,Модель!$A$8:$A$101,0))</f>
        <v>74.3933063840276</v>
      </c>
      <c r="G86" s="27" t="n">
        <f aca="false">INDEX(Модель!$F$8:$F$101,MATCH($B86,Модель!$A$8:$A$101,0))</f>
        <v>1660.5080741231</v>
      </c>
      <c r="H86" s="27" t="n">
        <f aca="false">INDEX(Модель!$G$8:$G$101,MATCH($B86,Модель!$A$8:$A$101,0))</f>
        <v>66905.8009950249</v>
      </c>
      <c r="I86" s="27" t="n">
        <f aca="false">INDEX(Модель!$H$8:$H$101,MATCH($B86,Модель!$A$8:$A$101,0))</f>
        <v>171.654732634697</v>
      </c>
      <c r="J86" s="24" t="s">
        <v>180</v>
      </c>
    </row>
    <row r="87" customFormat="false" ht="15" hidden="false" customHeight="false" outlineLevel="0" collapsed="false">
      <c r="A87" s="24" t="n">
        <v>1</v>
      </c>
      <c r="B87" s="16" t="s">
        <v>154</v>
      </c>
      <c r="C87" s="28" t="s">
        <v>155</v>
      </c>
      <c r="D87" s="24" t="s">
        <v>324</v>
      </c>
      <c r="E87" s="26" t="s">
        <v>179</v>
      </c>
      <c r="F87" s="27" t="n">
        <f aca="false">INDEX(Модель!$E$8:$E$101,MATCH($B87,Модель!$A$8:$A$101,0))</f>
        <v>619.944219866897</v>
      </c>
      <c r="G87" s="27" t="n">
        <f aca="false">INDEX(Модель!$F$8:$F$101,MATCH($B87,Модель!$A$8:$A$101,0))</f>
        <v>27675.1345687183</v>
      </c>
      <c r="H87" s="27" t="n">
        <f aca="false">INDEX(Модель!$G$8:$G$101,MATCH($B87,Модель!$A$8:$A$101,0))</f>
        <v>836322.512437811</v>
      </c>
      <c r="I87" s="27" t="n">
        <f aca="false">INDEX(Модель!$H$8:$H$101,MATCH($B87,Модель!$A$8:$A$101,0))</f>
        <v>1451.96036893459</v>
      </c>
      <c r="J87" s="24" t="s">
        <v>180</v>
      </c>
    </row>
    <row r="88" customFormat="false" ht="15" hidden="false" customHeight="false" outlineLevel="0" collapsed="false">
      <c r="A88" s="24" t="n">
        <v>1</v>
      </c>
      <c r="B88" s="16" t="s">
        <v>156</v>
      </c>
      <c r="C88" s="28" t="s">
        <v>157</v>
      </c>
      <c r="D88" s="24" t="s">
        <v>325</v>
      </c>
      <c r="E88" s="26" t="s">
        <v>326</v>
      </c>
      <c r="F88" s="36" t="n">
        <f aca="false">INDEX(Модель!$E$8:$E$101,MATCH($B88,Модель!$A$8:$A$101,0))</f>
        <v>7.74930274833621</v>
      </c>
      <c r="G88" s="36" t="n">
        <f aca="false">INDEX(Модель!$F$8:$F$101,MATCH($B88,Модель!$A$8:$A$101,0))</f>
        <v>18.4500897124789</v>
      </c>
      <c r="H88" s="36" t="n">
        <f aca="false">INDEX(Модель!$G$8:$G$101,MATCH($B88,Модель!$A$8:$A$101,0))</f>
        <v>55.7548341625208</v>
      </c>
      <c r="I88" s="36" t="n">
        <f aca="false">INDEX(Модель!$H$8:$H$101,MATCH($B88,Модель!$A$8:$A$101,0))</f>
        <v>13.4174661249855</v>
      </c>
      <c r="J88" s="24" t="s">
        <v>180</v>
      </c>
    </row>
    <row r="89" customFormat="false" ht="15" hidden="false" customHeight="false" outlineLevel="0" collapsed="false">
      <c r="A89" s="24" t="n">
        <v>1</v>
      </c>
      <c r="B89" s="16" t="s">
        <v>158</v>
      </c>
      <c r="C89" s="28" t="s">
        <v>159</v>
      </c>
      <c r="D89" s="24" t="s">
        <v>327</v>
      </c>
      <c r="E89" s="26" t="s">
        <v>328</v>
      </c>
      <c r="F89" s="34" t="n">
        <f aca="false">INDEX(Модель!$E$8:$E$101,MATCH($B89,Модель!$A$8:$A$101,0))</f>
        <v>12.9043867877623</v>
      </c>
      <c r="G89" s="34" t="n">
        <f aca="false">INDEX(Модель!$F$8:$F$101,MATCH($B89,Модель!$A$8:$A$101,0))</f>
        <v>10.8400556916928</v>
      </c>
      <c r="H89" s="34" t="n">
        <f aca="false">INDEX(Модель!$G$8:$G$101,MATCH($B89,Модель!$A$8:$A$101,0))</f>
        <v>2.6903496755593</v>
      </c>
      <c r="I89" s="34" t="n">
        <f aca="false">INDEX(Модель!$H$8:$H$101,MATCH($B89,Модель!$A$8:$A$101,0))</f>
        <v>7.56501370866101</v>
      </c>
      <c r="J89" s="24" t="s">
        <v>180</v>
      </c>
    </row>
    <row r="90" customFormat="false" ht="15" hidden="false" customHeight="false" outlineLevel="0" collapsed="false">
      <c r="A90" s="24" t="n">
        <v>1</v>
      </c>
      <c r="B90" s="16" t="s">
        <v>160</v>
      </c>
      <c r="C90" s="28" t="s">
        <v>161</v>
      </c>
      <c r="D90" s="24" t="s">
        <v>329</v>
      </c>
      <c r="E90" s="26" t="s">
        <v>194</v>
      </c>
      <c r="F90" s="35" t="n">
        <f aca="false">INDEX(Модель!$E$8:$E$101,MATCH($B90,Модель!$A$8:$A$101,0))</f>
        <v>0.511081168982019</v>
      </c>
      <c r="G90" s="35" t="n">
        <f aca="false">INDEX(Модель!$F$8:$F$101,MATCH($B90,Модель!$A$8:$A$101,0))</f>
        <v>0.352693294246977</v>
      </c>
      <c r="H90" s="35" t="n">
        <f aca="false">INDEX(Модель!$G$8:$G$101,MATCH($B90,Модель!$A$8:$A$101,0))</f>
        <v>0.340658523895647</v>
      </c>
      <c r="I90" s="35" t="n">
        <f aca="false">INDEX(Модель!$H$8:$H$101,MATCH($B90,Модель!$A$8:$A$101,0))</f>
        <v>0.412497191380307</v>
      </c>
      <c r="J90" s="24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42"/>
    <col collapsed="false" customWidth="true" hidden="false" outlineLevel="0" max="12" min="12" style="0" width="48"/>
  </cols>
  <sheetData>
    <row r="1" customFormat="false" ht="17.35" hidden="false" customHeight="false" outlineLevel="0" collapsed="false">
      <c r="A1" s="1" t="s">
        <v>330</v>
      </c>
    </row>
    <row r="2" customFormat="false" ht="15" hidden="false" customHeight="false" outlineLevel="0" collapsed="false">
      <c r="A2" s="8" t="s">
        <v>331</v>
      </c>
    </row>
    <row r="4" customFormat="false" ht="15" hidden="false" customHeight="false" outlineLevel="0" collapsed="false">
      <c r="A4" s="4" t="s">
        <v>332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5" hidden="false" customHeight="false" outlineLevel="0" collapsed="false">
      <c r="A5" s="2" t="s">
        <v>333</v>
      </c>
      <c r="B5" s="13" t="s">
        <v>334</v>
      </c>
      <c r="C5" s="13" t="s">
        <v>194</v>
      </c>
      <c r="D5" s="37" t="n">
        <v>0.01</v>
      </c>
      <c r="L5" s="8" t="s">
        <v>335</v>
      </c>
    </row>
    <row r="6" customFormat="false" ht="15" hidden="false" customHeight="false" outlineLevel="0" collapsed="false">
      <c r="A6" s="2" t="s">
        <v>336</v>
      </c>
      <c r="B6" s="13" t="s">
        <v>337</v>
      </c>
      <c r="C6" s="13" t="s">
        <v>338</v>
      </c>
      <c r="D6" s="38" t="n">
        <v>1</v>
      </c>
      <c r="L6" s="8" t="s">
        <v>339</v>
      </c>
    </row>
    <row r="7" customFormat="false" ht="15" hidden="false" customHeight="false" outlineLevel="0" collapsed="false">
      <c r="A7" s="2" t="s">
        <v>340</v>
      </c>
      <c r="B7" s="13" t="s">
        <v>341</v>
      </c>
      <c r="C7" s="13" t="s">
        <v>342</v>
      </c>
      <c r="D7" s="39" t="n">
        <v>-0.01</v>
      </c>
      <c r="L7" s="8" t="s">
        <v>343</v>
      </c>
    </row>
    <row r="8" customFormat="false" ht="15" hidden="false" customHeight="false" outlineLevel="0" collapsed="false">
      <c r="A8" s="2" t="s">
        <v>344</v>
      </c>
      <c r="B8" s="13" t="s">
        <v>345</v>
      </c>
      <c r="C8" s="13" t="s">
        <v>346</v>
      </c>
      <c r="D8" s="40" t="n">
        <v>1</v>
      </c>
      <c r="L8" s="8" t="s">
        <v>347</v>
      </c>
    </row>
    <row r="9" customFormat="false" ht="15" hidden="false" customHeight="false" outlineLevel="0" collapsed="false">
      <c r="A9" s="2" t="s">
        <v>348</v>
      </c>
      <c r="B9" s="13" t="s">
        <v>349</v>
      </c>
      <c r="C9" s="13" t="s">
        <v>346</v>
      </c>
      <c r="D9" s="40" t="n">
        <v>0.5</v>
      </c>
      <c r="L9" s="8" t="s">
        <v>350</v>
      </c>
    </row>
    <row r="11" customFormat="false" ht="15" hidden="false" customHeight="false" outlineLevel="0" collapsed="false">
      <c r="A11" s="41" t="s">
        <v>351</v>
      </c>
      <c r="D11" s="41" t="s">
        <v>352</v>
      </c>
      <c r="E11" s="41" t="s">
        <v>353</v>
      </c>
      <c r="F11" s="41" t="s">
        <v>354</v>
      </c>
    </row>
    <row r="12" customFormat="false" ht="30" hidden="false" customHeight="true" outlineLevel="0" collapsed="false">
      <c r="A12" s="12" t="s">
        <v>90</v>
      </c>
      <c r="B12" s="12" t="s">
        <v>355</v>
      </c>
      <c r="C12" s="12" t="s">
        <v>176</v>
      </c>
      <c r="D12" s="12" t="s">
        <v>92</v>
      </c>
      <c r="E12" s="12" t="s">
        <v>93</v>
      </c>
      <c r="F12" s="12" t="s">
        <v>94</v>
      </c>
      <c r="G12" s="12" t="s">
        <v>356</v>
      </c>
      <c r="H12" s="12" t="s">
        <v>168</v>
      </c>
      <c r="I12" s="12" t="s">
        <v>167</v>
      </c>
      <c r="J12" s="12" t="s">
        <v>357</v>
      </c>
      <c r="K12" s="12" t="s">
        <v>358</v>
      </c>
      <c r="L12" s="12" t="s">
        <v>359</v>
      </c>
    </row>
    <row r="13" customFormat="false" ht="15" hidden="false" customHeight="false" outlineLevel="0" collapsed="false">
      <c r="A13" s="4" t="s">
        <v>360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23.85" hidden="false" customHeight="false" outlineLevel="0" collapsed="false">
      <c r="A14" s="42" t="s">
        <v>301</v>
      </c>
      <c r="B14" s="3" t="s">
        <v>302</v>
      </c>
      <c r="C14" s="3" t="s">
        <v>185</v>
      </c>
      <c r="D14" s="43" t="n">
        <v>500000</v>
      </c>
      <c r="E14" s="43" t="n">
        <v>15000</v>
      </c>
      <c r="F14" s="43" t="n">
        <v>400</v>
      </c>
      <c r="G14" s="44" t="n">
        <v>1</v>
      </c>
      <c r="H14" s="3" t="s">
        <v>361</v>
      </c>
      <c r="I14" s="3" t="s">
        <v>362</v>
      </c>
      <c r="J14" s="3" t="s">
        <v>363</v>
      </c>
      <c r="K14" s="45" t="s">
        <v>364</v>
      </c>
      <c r="L14" s="45" t="s">
        <v>365</v>
      </c>
    </row>
    <row r="15" customFormat="false" ht="23.85" hidden="false" customHeight="false" outlineLevel="0" collapsed="false">
      <c r="A15" s="42" t="s">
        <v>268</v>
      </c>
      <c r="B15" s="3" t="s">
        <v>269</v>
      </c>
      <c r="C15" s="3" t="s">
        <v>270</v>
      </c>
      <c r="D15" s="43" t="n">
        <v>300000</v>
      </c>
      <c r="E15" s="43" t="n">
        <v>2000</v>
      </c>
      <c r="F15" s="43" t="n">
        <v>120</v>
      </c>
      <c r="G15" s="44" t="n">
        <v>1</v>
      </c>
      <c r="H15" s="3" t="s">
        <v>366</v>
      </c>
      <c r="I15" s="3" t="s">
        <v>367</v>
      </c>
      <c r="J15" s="3" t="s">
        <v>368</v>
      </c>
      <c r="K15" s="45" t="s">
        <v>364</v>
      </c>
      <c r="L15" s="45"/>
    </row>
    <row r="16" customFormat="false" ht="46.25" hidden="false" customHeight="false" outlineLevel="0" collapsed="false">
      <c r="A16" s="42" t="s">
        <v>304</v>
      </c>
      <c r="B16" s="3" t="s">
        <v>305</v>
      </c>
      <c r="C16" s="3" t="s">
        <v>194</v>
      </c>
      <c r="D16" s="46" t="n">
        <v>0.45</v>
      </c>
      <c r="E16" s="46" t="n">
        <v>0.7</v>
      </c>
      <c r="F16" s="46" t="n">
        <v>0.4</v>
      </c>
      <c r="G16" s="44" t="n">
        <v>1</v>
      </c>
      <c r="H16" s="3" t="s">
        <v>366</v>
      </c>
      <c r="I16" s="3" t="s">
        <v>367</v>
      </c>
      <c r="J16" s="3" t="s">
        <v>136</v>
      </c>
      <c r="K16" s="45" t="s">
        <v>369</v>
      </c>
      <c r="L16" s="45"/>
    </row>
    <row r="17" customFormat="false" ht="35.05" hidden="false" customHeight="false" outlineLevel="0" collapsed="false">
      <c r="A17" s="42" t="s">
        <v>306</v>
      </c>
      <c r="B17" s="3" t="s">
        <v>307</v>
      </c>
      <c r="C17" s="3" t="s">
        <v>194</v>
      </c>
      <c r="D17" s="46" t="n">
        <v>0.55</v>
      </c>
      <c r="E17" s="46" t="n">
        <v>0.8</v>
      </c>
      <c r="F17" s="46" t="n">
        <v>0.75</v>
      </c>
      <c r="G17" s="44" t="n">
        <v>1</v>
      </c>
      <c r="H17" s="3" t="s">
        <v>366</v>
      </c>
      <c r="I17" s="3" t="s">
        <v>367</v>
      </c>
      <c r="J17" s="3" t="s">
        <v>136</v>
      </c>
      <c r="K17" s="45" t="s">
        <v>370</v>
      </c>
      <c r="L17" s="45"/>
    </row>
    <row r="18" customFormat="false" ht="35.05" hidden="false" customHeight="false" outlineLevel="0" collapsed="false">
      <c r="A18" s="42" t="s">
        <v>311</v>
      </c>
      <c r="B18" s="3" t="s">
        <v>312</v>
      </c>
      <c r="C18" s="3" t="s">
        <v>194</v>
      </c>
      <c r="D18" s="46" t="n">
        <v>0.12</v>
      </c>
      <c r="E18" s="46" t="n">
        <v>0.06</v>
      </c>
      <c r="F18" s="46" t="n">
        <v>0.08</v>
      </c>
      <c r="G18" s="44" t="n">
        <v>-1</v>
      </c>
      <c r="H18" s="3" t="s">
        <v>366</v>
      </c>
      <c r="I18" s="3" t="s">
        <v>367</v>
      </c>
      <c r="J18" s="3" t="s">
        <v>371</v>
      </c>
      <c r="K18" s="45" t="s">
        <v>372</v>
      </c>
      <c r="L18" s="45"/>
    </row>
    <row r="19" customFormat="false" ht="57.45" hidden="false" customHeight="false" outlineLevel="0" collapsed="false">
      <c r="A19" s="42" t="s">
        <v>313</v>
      </c>
      <c r="B19" s="3" t="s">
        <v>314</v>
      </c>
      <c r="C19" s="3" t="s">
        <v>194</v>
      </c>
      <c r="D19" s="46" t="n">
        <v>0.35</v>
      </c>
      <c r="E19" s="46" t="n">
        <v>0.55</v>
      </c>
      <c r="F19" s="46" t="n">
        <v>0.8</v>
      </c>
      <c r="G19" s="44" t="n">
        <v>1</v>
      </c>
      <c r="H19" s="3" t="s">
        <v>366</v>
      </c>
      <c r="I19" s="3" t="s">
        <v>367</v>
      </c>
      <c r="J19" s="3" t="s">
        <v>373</v>
      </c>
      <c r="K19" s="45" t="s">
        <v>374</v>
      </c>
      <c r="L19" s="45"/>
    </row>
    <row r="20" customFormat="false" ht="15" hidden="false" customHeight="false" outlineLevel="0" collapsed="false">
      <c r="A20" s="4" t="s">
        <v>375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35.05" hidden="false" customHeight="false" outlineLevel="0" collapsed="false">
      <c r="A21" s="42" t="s">
        <v>186</v>
      </c>
      <c r="B21" s="3" t="s">
        <v>187</v>
      </c>
      <c r="C21" s="3" t="s">
        <v>188</v>
      </c>
      <c r="D21" s="47" t="n">
        <v>6</v>
      </c>
      <c r="E21" s="47" t="n">
        <v>3.5</v>
      </c>
      <c r="F21" s="47" t="n">
        <v>130</v>
      </c>
      <c r="G21" s="44" t="n">
        <v>1</v>
      </c>
      <c r="H21" s="3" t="s">
        <v>376</v>
      </c>
      <c r="I21" s="3" t="s">
        <v>367</v>
      </c>
      <c r="J21" s="3" t="s">
        <v>377</v>
      </c>
      <c r="K21" s="45" t="s">
        <v>378</v>
      </c>
      <c r="L21" s="45" t="s">
        <v>379</v>
      </c>
    </row>
    <row r="22" customFormat="false" ht="15" hidden="false" customHeight="false" outlineLevel="0" collapsed="false">
      <c r="A22" s="42" t="s">
        <v>190</v>
      </c>
      <c r="B22" s="3" t="s">
        <v>191</v>
      </c>
      <c r="C22" s="3" t="s">
        <v>179</v>
      </c>
      <c r="D22" s="43" t="n">
        <v>800</v>
      </c>
      <c r="E22" s="43" t="n">
        <v>15000</v>
      </c>
      <c r="F22" s="43" t="n">
        <v>100000</v>
      </c>
      <c r="G22" s="44" t="n">
        <v>1</v>
      </c>
      <c r="H22" s="3" t="s">
        <v>376</v>
      </c>
      <c r="I22" s="3" t="s">
        <v>367</v>
      </c>
      <c r="J22" s="3" t="s">
        <v>377</v>
      </c>
      <c r="K22" s="45" t="s">
        <v>380</v>
      </c>
      <c r="L22" s="45"/>
    </row>
    <row r="23" customFormat="false" ht="46.25" hidden="false" customHeight="false" outlineLevel="0" collapsed="false">
      <c r="A23" s="42" t="s">
        <v>192</v>
      </c>
      <c r="B23" s="3" t="s">
        <v>193</v>
      </c>
      <c r="C23" s="3" t="s">
        <v>194</v>
      </c>
      <c r="D23" s="46" t="n">
        <v>0.0015</v>
      </c>
      <c r="E23" s="46" t="n">
        <v>0.001</v>
      </c>
      <c r="F23" s="46" t="n">
        <v>0.0002</v>
      </c>
      <c r="G23" s="44" t="n">
        <v>1</v>
      </c>
      <c r="H23" s="3" t="s">
        <v>366</v>
      </c>
      <c r="I23" s="3" t="s">
        <v>381</v>
      </c>
      <c r="J23" s="3" t="s">
        <v>97</v>
      </c>
      <c r="K23" s="45" t="s">
        <v>382</v>
      </c>
      <c r="L23" s="45" t="s">
        <v>383</v>
      </c>
    </row>
    <row r="24" customFormat="false" ht="23.85" hidden="false" customHeight="false" outlineLevel="0" collapsed="false">
      <c r="A24" s="42" t="s">
        <v>196</v>
      </c>
      <c r="B24" s="3" t="s">
        <v>197</v>
      </c>
      <c r="C24" s="3" t="s">
        <v>194</v>
      </c>
      <c r="D24" s="46" t="n">
        <v>0.0003</v>
      </c>
      <c r="E24" s="46" t="n">
        <v>0.0002</v>
      </c>
      <c r="F24" s="46" t="n">
        <v>8E-005</v>
      </c>
      <c r="G24" s="44" t="n">
        <v>-1</v>
      </c>
      <c r="H24" s="3" t="s">
        <v>376</v>
      </c>
      <c r="I24" s="3" t="s">
        <v>384</v>
      </c>
      <c r="J24" s="3" t="s">
        <v>97</v>
      </c>
      <c r="K24" s="45" t="s">
        <v>385</v>
      </c>
      <c r="L24" s="45"/>
    </row>
    <row r="25" customFormat="false" ht="15" hidden="false" customHeight="false" outlineLevel="0" collapsed="false">
      <c r="A25" s="4" t="s">
        <v>386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57.45" hidden="false" customHeight="false" outlineLevel="0" collapsed="false">
      <c r="A26" s="42" t="s">
        <v>215</v>
      </c>
      <c r="B26" s="3" t="s">
        <v>216</v>
      </c>
      <c r="C26" s="3" t="s">
        <v>179</v>
      </c>
      <c r="D26" s="43" t="n">
        <v>8000</v>
      </c>
      <c r="E26" s="43" t="n">
        <v>200000</v>
      </c>
      <c r="F26" s="43" t="n">
        <v>25000000</v>
      </c>
      <c r="G26" s="44" t="n">
        <v>1</v>
      </c>
      <c r="H26" s="3" t="s">
        <v>376</v>
      </c>
      <c r="I26" s="3" t="s">
        <v>367</v>
      </c>
      <c r="J26" s="3" t="s">
        <v>387</v>
      </c>
      <c r="K26" s="45" t="s">
        <v>388</v>
      </c>
      <c r="L26" s="45" t="s">
        <v>389</v>
      </c>
    </row>
    <row r="27" customFormat="false" ht="35.05" hidden="false" customHeight="false" outlineLevel="0" collapsed="false">
      <c r="A27" s="42" t="s">
        <v>217</v>
      </c>
      <c r="B27" s="3" t="s">
        <v>218</v>
      </c>
      <c r="C27" s="3" t="s">
        <v>194</v>
      </c>
      <c r="D27" s="46" t="n">
        <v>0.12</v>
      </c>
      <c r="E27" s="46" t="n">
        <v>0.08</v>
      </c>
      <c r="F27" s="46" t="n">
        <v>0.05</v>
      </c>
      <c r="G27" s="44" t="n">
        <v>1</v>
      </c>
      <c r="H27" s="3" t="s">
        <v>376</v>
      </c>
      <c r="I27" s="3" t="s">
        <v>367</v>
      </c>
      <c r="J27" s="3" t="s">
        <v>390</v>
      </c>
      <c r="K27" s="45" t="s">
        <v>391</v>
      </c>
      <c r="L27" s="45" t="s">
        <v>392</v>
      </c>
    </row>
    <row r="28" customFormat="false" ht="35.05" hidden="false" customHeight="false" outlineLevel="0" collapsed="false">
      <c r="A28" s="42" t="s">
        <v>219</v>
      </c>
      <c r="B28" s="3" t="s">
        <v>220</v>
      </c>
      <c r="C28" s="3" t="s">
        <v>194</v>
      </c>
      <c r="D28" s="46" t="n">
        <v>0.05</v>
      </c>
      <c r="E28" s="46" t="n">
        <v>0.05</v>
      </c>
      <c r="F28" s="46" t="n">
        <v>0.05</v>
      </c>
      <c r="G28" s="44" t="n">
        <v>1</v>
      </c>
      <c r="H28" s="3" t="s">
        <v>393</v>
      </c>
      <c r="I28" s="3" t="s">
        <v>393</v>
      </c>
      <c r="J28" s="3" t="s">
        <v>101</v>
      </c>
      <c r="K28" s="45" t="s">
        <v>394</v>
      </c>
      <c r="L28" s="45" t="s">
        <v>395</v>
      </c>
    </row>
    <row r="29" customFormat="false" ht="23.85" hidden="false" customHeight="false" outlineLevel="0" collapsed="false">
      <c r="A29" s="42" t="s">
        <v>221</v>
      </c>
      <c r="B29" s="3" t="s">
        <v>222</v>
      </c>
      <c r="C29" s="3" t="s">
        <v>194</v>
      </c>
      <c r="D29" s="46" t="n">
        <v>0.02</v>
      </c>
      <c r="E29" s="46" t="n">
        <v>0.025</v>
      </c>
      <c r="F29" s="46" t="n">
        <v>0.035</v>
      </c>
      <c r="G29" s="44" t="n">
        <v>-1</v>
      </c>
      <c r="H29" s="3" t="s">
        <v>366</v>
      </c>
      <c r="I29" s="3" t="s">
        <v>381</v>
      </c>
      <c r="J29" s="3" t="s">
        <v>101</v>
      </c>
      <c r="K29" s="45" t="s">
        <v>396</v>
      </c>
      <c r="L29" s="45" t="s">
        <v>397</v>
      </c>
    </row>
    <row r="30" customFormat="false" ht="15" hidden="false" customHeight="false" outlineLevel="0" collapsed="false">
      <c r="A30" s="4" t="s">
        <v>398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customFormat="false" ht="46.25" hidden="false" customHeight="false" outlineLevel="0" collapsed="false">
      <c r="A31" s="42" t="s">
        <v>201</v>
      </c>
      <c r="B31" s="3" t="s">
        <v>202</v>
      </c>
      <c r="C31" s="3" t="s">
        <v>194</v>
      </c>
      <c r="D31" s="46" t="n">
        <v>0.05</v>
      </c>
      <c r="E31" s="46" t="n">
        <v>0.1</v>
      </c>
      <c r="F31" s="46" t="n">
        <v>0.2</v>
      </c>
      <c r="G31" s="44" t="n">
        <v>1</v>
      </c>
      <c r="H31" s="3" t="s">
        <v>366</v>
      </c>
      <c r="I31" s="3" t="s">
        <v>367</v>
      </c>
      <c r="J31" s="3" t="s">
        <v>399</v>
      </c>
      <c r="K31" s="45" t="s">
        <v>400</v>
      </c>
      <c r="L31" s="45"/>
    </row>
    <row r="32" customFormat="false" ht="15" hidden="false" customHeight="false" outlineLevel="0" collapsed="false">
      <c r="A32" s="42" t="s">
        <v>203</v>
      </c>
      <c r="B32" s="3" t="s">
        <v>204</v>
      </c>
      <c r="C32" s="3" t="s">
        <v>179</v>
      </c>
      <c r="D32" s="43" t="n">
        <v>8000</v>
      </c>
      <c r="E32" s="43" t="n">
        <v>150000</v>
      </c>
      <c r="F32" s="43" t="n">
        <v>5000000</v>
      </c>
      <c r="G32" s="44" t="n">
        <v>1</v>
      </c>
      <c r="H32" s="3" t="s">
        <v>376</v>
      </c>
      <c r="I32" s="3" t="s">
        <v>367</v>
      </c>
      <c r="J32" s="3" t="s">
        <v>399</v>
      </c>
      <c r="K32" s="45" t="s">
        <v>401</v>
      </c>
      <c r="L32" s="45"/>
    </row>
    <row r="33" customFormat="false" ht="35.05" hidden="false" customHeight="false" outlineLevel="0" collapsed="false">
      <c r="A33" s="42" t="s">
        <v>205</v>
      </c>
      <c r="B33" s="3" t="s">
        <v>206</v>
      </c>
      <c r="C33" s="3" t="s">
        <v>194</v>
      </c>
      <c r="D33" s="46" t="n">
        <v>0.12</v>
      </c>
      <c r="E33" s="46" t="n">
        <v>0.1</v>
      </c>
      <c r="F33" s="46" t="n">
        <v>0.08</v>
      </c>
      <c r="G33" s="44" t="n">
        <v>1</v>
      </c>
      <c r="H33" s="3" t="s">
        <v>366</v>
      </c>
      <c r="I33" s="3" t="s">
        <v>381</v>
      </c>
      <c r="J33" s="3" t="s">
        <v>99</v>
      </c>
      <c r="K33" s="45" t="s">
        <v>402</v>
      </c>
      <c r="L33" s="45" t="s">
        <v>403</v>
      </c>
    </row>
    <row r="34" customFormat="false" ht="35.05" hidden="false" customHeight="false" outlineLevel="0" collapsed="false">
      <c r="A34" s="42" t="s">
        <v>207</v>
      </c>
      <c r="B34" s="3" t="s">
        <v>208</v>
      </c>
      <c r="C34" s="3" t="s">
        <v>194</v>
      </c>
      <c r="D34" s="46" t="n">
        <v>0.07</v>
      </c>
      <c r="E34" s="46" t="n">
        <v>0.07</v>
      </c>
      <c r="F34" s="46" t="n">
        <v>0.065</v>
      </c>
      <c r="G34" s="44" t="n">
        <v>-1</v>
      </c>
      <c r="H34" s="3" t="s">
        <v>393</v>
      </c>
      <c r="I34" s="3" t="s">
        <v>393</v>
      </c>
      <c r="J34" s="3" t="s">
        <v>99</v>
      </c>
      <c r="K34" s="45" t="s">
        <v>404</v>
      </c>
      <c r="L34" s="45"/>
    </row>
    <row r="35" customFormat="false" ht="23.85" hidden="false" customHeight="false" outlineLevel="0" collapsed="false">
      <c r="A35" s="42" t="s">
        <v>295</v>
      </c>
      <c r="B35" s="3" t="s">
        <v>296</v>
      </c>
      <c r="C35" s="3" t="s">
        <v>194</v>
      </c>
      <c r="D35" s="46" t="n">
        <v>0.005</v>
      </c>
      <c r="E35" s="46" t="n">
        <v>0.002</v>
      </c>
      <c r="F35" s="46" t="n">
        <v>0.001</v>
      </c>
      <c r="G35" s="44" t="n">
        <v>-1</v>
      </c>
      <c r="H35" s="3" t="s">
        <v>376</v>
      </c>
      <c r="I35" s="3" t="s">
        <v>384</v>
      </c>
      <c r="J35" s="3" t="s">
        <v>125</v>
      </c>
      <c r="K35" s="45" t="s">
        <v>405</v>
      </c>
      <c r="L35" s="45"/>
    </row>
    <row r="36" customFormat="false" ht="15" hidden="false" customHeight="false" outlineLevel="0" collapsed="false">
      <c r="A36" s="4" t="s">
        <v>406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false" ht="23.85" hidden="false" customHeight="false" outlineLevel="0" collapsed="false">
      <c r="A37" s="42" t="s">
        <v>227</v>
      </c>
      <c r="B37" s="3" t="s">
        <v>228</v>
      </c>
      <c r="C37" s="3" t="s">
        <v>194</v>
      </c>
      <c r="D37" s="46" t="n">
        <v>0.3</v>
      </c>
      <c r="E37" s="46" t="n">
        <v>0.5</v>
      </c>
      <c r="F37" s="46" t="n">
        <v>0.4</v>
      </c>
      <c r="G37" s="44" t="n">
        <v>1</v>
      </c>
      <c r="H37" s="3" t="s">
        <v>366</v>
      </c>
      <c r="I37" s="3" t="s">
        <v>367</v>
      </c>
      <c r="J37" s="3" t="s">
        <v>407</v>
      </c>
      <c r="K37" s="45" t="s">
        <v>408</v>
      </c>
      <c r="L37" s="45"/>
    </row>
    <row r="38" customFormat="false" ht="15" hidden="false" customHeight="false" outlineLevel="0" collapsed="false">
      <c r="A38" s="42" t="s">
        <v>229</v>
      </c>
      <c r="B38" s="3" t="s">
        <v>230</v>
      </c>
      <c r="C38" s="3" t="s">
        <v>179</v>
      </c>
      <c r="D38" s="43" t="n">
        <v>5000</v>
      </c>
      <c r="E38" s="43" t="n">
        <v>100000</v>
      </c>
      <c r="F38" s="43" t="n">
        <v>10000000</v>
      </c>
      <c r="G38" s="44" t="n">
        <v>1</v>
      </c>
      <c r="H38" s="3" t="s">
        <v>376</v>
      </c>
      <c r="I38" s="3" t="s">
        <v>367</v>
      </c>
      <c r="J38" s="3" t="s">
        <v>407</v>
      </c>
      <c r="K38" s="45" t="s">
        <v>380</v>
      </c>
      <c r="L38" s="45"/>
    </row>
    <row r="39" customFormat="false" ht="23.85" hidden="false" customHeight="false" outlineLevel="0" collapsed="false">
      <c r="A39" s="42" t="s">
        <v>231</v>
      </c>
      <c r="B39" s="3" t="s">
        <v>232</v>
      </c>
      <c r="C39" s="3" t="s">
        <v>194</v>
      </c>
      <c r="D39" s="46" t="n">
        <v>0.005</v>
      </c>
      <c r="E39" s="46" t="n">
        <v>0.003</v>
      </c>
      <c r="F39" s="46" t="n">
        <v>0.0005</v>
      </c>
      <c r="G39" s="44" t="n">
        <v>1</v>
      </c>
      <c r="H39" s="3" t="s">
        <v>366</v>
      </c>
      <c r="I39" s="3" t="s">
        <v>381</v>
      </c>
      <c r="J39" s="3" t="s">
        <v>103</v>
      </c>
      <c r="K39" s="45" t="s">
        <v>409</v>
      </c>
      <c r="L39" s="45"/>
    </row>
    <row r="40" customFormat="false" ht="15" hidden="false" customHeight="false" outlineLevel="0" collapsed="false">
      <c r="A40" s="4" t="s">
        <v>106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customFormat="false" ht="35.05" hidden="false" customHeight="false" outlineLevel="0" collapsed="false">
      <c r="A41" s="42" t="s">
        <v>237</v>
      </c>
      <c r="B41" s="3" t="s">
        <v>238</v>
      </c>
      <c r="C41" s="3" t="s">
        <v>194</v>
      </c>
      <c r="D41" s="46" t="n">
        <v>0.08</v>
      </c>
      <c r="E41" s="46" t="n">
        <v>0.35</v>
      </c>
      <c r="F41" s="46" t="n">
        <v>0.05</v>
      </c>
      <c r="G41" s="44" t="n">
        <v>1</v>
      </c>
      <c r="H41" s="3" t="s">
        <v>366</v>
      </c>
      <c r="I41" s="3" t="s">
        <v>367</v>
      </c>
      <c r="J41" s="3" t="s">
        <v>410</v>
      </c>
      <c r="K41" s="45" t="s">
        <v>411</v>
      </c>
      <c r="L41" s="45"/>
    </row>
    <row r="42" customFormat="false" ht="23.85" hidden="false" customHeight="false" outlineLevel="0" collapsed="false">
      <c r="A42" s="42" t="s">
        <v>239</v>
      </c>
      <c r="B42" s="3" t="s">
        <v>240</v>
      </c>
      <c r="C42" s="3" t="s">
        <v>179</v>
      </c>
      <c r="D42" s="43" t="n">
        <v>3000</v>
      </c>
      <c r="E42" s="43" t="n">
        <v>80000</v>
      </c>
      <c r="F42" s="43" t="n">
        <v>50000000</v>
      </c>
      <c r="G42" s="44" t="n">
        <v>1</v>
      </c>
      <c r="H42" s="3" t="s">
        <v>376</v>
      </c>
      <c r="I42" s="3" t="s">
        <v>367</v>
      </c>
      <c r="J42" s="3" t="s">
        <v>410</v>
      </c>
      <c r="K42" s="45" t="s">
        <v>380</v>
      </c>
      <c r="L42" s="45"/>
    </row>
    <row r="43" customFormat="false" ht="23.85" hidden="false" customHeight="false" outlineLevel="0" collapsed="false">
      <c r="A43" s="42" t="s">
        <v>241</v>
      </c>
      <c r="B43" s="3" t="s">
        <v>242</v>
      </c>
      <c r="C43" s="3" t="s">
        <v>194</v>
      </c>
      <c r="D43" s="46" t="n">
        <v>0.01</v>
      </c>
      <c r="E43" s="46" t="n">
        <v>0.012</v>
      </c>
      <c r="F43" s="46" t="n">
        <v>0.01</v>
      </c>
      <c r="G43" s="44" t="n">
        <v>1</v>
      </c>
      <c r="H43" s="3" t="s">
        <v>366</v>
      </c>
      <c r="I43" s="3" t="s">
        <v>381</v>
      </c>
      <c r="J43" s="3" t="s">
        <v>105</v>
      </c>
      <c r="K43" s="45" t="s">
        <v>412</v>
      </c>
      <c r="L43" s="45"/>
    </row>
    <row r="44" customFormat="false" ht="15" hidden="false" customHeight="false" outlineLevel="0" collapsed="false">
      <c r="A44" s="4" t="s">
        <v>108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23.85" hidden="false" customHeight="false" outlineLevel="0" collapsed="false">
      <c r="A45" s="42" t="s">
        <v>247</v>
      </c>
      <c r="B45" s="3" t="s">
        <v>248</v>
      </c>
      <c r="C45" s="3" t="s">
        <v>194</v>
      </c>
      <c r="D45" s="46" t="n">
        <v>0.02</v>
      </c>
      <c r="E45" s="46" t="n">
        <v>0.2</v>
      </c>
      <c r="F45" s="46" t="n">
        <v>0.05</v>
      </c>
      <c r="G45" s="44" t="n">
        <v>1</v>
      </c>
      <c r="H45" s="3" t="s">
        <v>366</v>
      </c>
      <c r="I45" s="3" t="s">
        <v>367</v>
      </c>
      <c r="J45" s="3" t="s">
        <v>413</v>
      </c>
      <c r="K45" s="45" t="s">
        <v>414</v>
      </c>
      <c r="L45" s="45"/>
    </row>
    <row r="46" customFormat="false" ht="23.85" hidden="false" customHeight="false" outlineLevel="0" collapsed="false">
      <c r="A46" s="42" t="s">
        <v>249</v>
      </c>
      <c r="B46" s="3" t="s">
        <v>250</v>
      </c>
      <c r="C46" s="3" t="s">
        <v>194</v>
      </c>
      <c r="D46" s="46" t="n">
        <v>0.01</v>
      </c>
      <c r="E46" s="46" t="n">
        <v>0.01</v>
      </c>
      <c r="F46" s="46" t="n">
        <v>0.003</v>
      </c>
      <c r="G46" s="44" t="n">
        <v>1</v>
      </c>
      <c r="H46" s="3" t="s">
        <v>366</v>
      </c>
      <c r="I46" s="3" t="s">
        <v>381</v>
      </c>
      <c r="J46" s="3" t="s">
        <v>107</v>
      </c>
      <c r="K46" s="45" t="s">
        <v>415</v>
      </c>
      <c r="L46" s="45"/>
    </row>
    <row r="47" customFormat="false" ht="15" hidden="false" customHeight="false" outlineLevel="0" collapsed="false">
      <c r="A47" s="4" t="s">
        <v>110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customFormat="false" ht="35.05" hidden="false" customHeight="false" outlineLevel="0" collapsed="false">
      <c r="A48" s="42" t="s">
        <v>255</v>
      </c>
      <c r="B48" s="3" t="s">
        <v>256</v>
      </c>
      <c r="C48" s="3" t="s">
        <v>194</v>
      </c>
      <c r="D48" s="46" t="n">
        <v>0.08</v>
      </c>
      <c r="E48" s="46" t="n">
        <v>0.15</v>
      </c>
      <c r="F48" s="46" t="n">
        <v>0</v>
      </c>
      <c r="G48" s="44" t="n">
        <v>1</v>
      </c>
      <c r="H48" s="3" t="s">
        <v>366</v>
      </c>
      <c r="I48" s="3" t="s">
        <v>367</v>
      </c>
      <c r="J48" s="3" t="s">
        <v>416</v>
      </c>
      <c r="K48" s="45" t="s">
        <v>417</v>
      </c>
      <c r="L48" s="45"/>
    </row>
    <row r="49" customFormat="false" ht="23.85" hidden="false" customHeight="false" outlineLevel="0" collapsed="false">
      <c r="A49" s="42" t="s">
        <v>257</v>
      </c>
      <c r="B49" s="3" t="s">
        <v>258</v>
      </c>
      <c r="C49" s="3" t="s">
        <v>179</v>
      </c>
      <c r="D49" s="43" t="n">
        <v>60</v>
      </c>
      <c r="E49" s="43" t="n">
        <v>1000</v>
      </c>
      <c r="F49" s="43" t="n">
        <v>0</v>
      </c>
      <c r="G49" s="44" t="n">
        <v>1</v>
      </c>
      <c r="H49" s="3" t="s">
        <v>366</v>
      </c>
      <c r="I49" s="3" t="s">
        <v>381</v>
      </c>
      <c r="J49" s="3" t="s">
        <v>109</v>
      </c>
      <c r="K49" s="45" t="s">
        <v>418</v>
      </c>
      <c r="L49" s="45"/>
    </row>
    <row r="50" customFormat="false" ht="23.85" hidden="false" customHeight="false" outlineLevel="0" collapsed="false">
      <c r="A50" s="42" t="s">
        <v>259</v>
      </c>
      <c r="B50" s="3" t="s">
        <v>260</v>
      </c>
      <c r="C50" s="3" t="s">
        <v>194</v>
      </c>
      <c r="D50" s="46" t="n">
        <v>0.0002</v>
      </c>
      <c r="E50" s="46" t="n">
        <v>0.0005</v>
      </c>
      <c r="F50" s="46" t="n">
        <v>0.0003</v>
      </c>
      <c r="G50" s="44" t="n">
        <v>1</v>
      </c>
      <c r="H50" s="3" t="s">
        <v>366</v>
      </c>
      <c r="I50" s="3" t="s">
        <v>381</v>
      </c>
      <c r="J50" s="3" t="s">
        <v>109</v>
      </c>
      <c r="K50" s="45" t="s">
        <v>419</v>
      </c>
      <c r="L50" s="45"/>
    </row>
    <row r="51" customFormat="false" ht="15" hidden="false" customHeight="false" outlineLevel="0" collapsed="false">
      <c r="A51" s="4" t="s">
        <v>420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customFormat="false" ht="23.85" hidden="false" customHeight="false" outlineLevel="0" collapsed="false">
      <c r="A52" s="42" t="s">
        <v>263</v>
      </c>
      <c r="B52" s="3" t="s">
        <v>264</v>
      </c>
      <c r="C52" s="3" t="s">
        <v>188</v>
      </c>
      <c r="D52" s="47" t="n">
        <v>1</v>
      </c>
      <c r="E52" s="47" t="n">
        <v>3</v>
      </c>
      <c r="F52" s="47" t="n">
        <v>12</v>
      </c>
      <c r="G52" s="44" t="n">
        <v>-1</v>
      </c>
      <c r="H52" s="3" t="s">
        <v>366</v>
      </c>
      <c r="I52" s="3" t="s">
        <v>384</v>
      </c>
      <c r="J52" s="3" t="s">
        <v>113</v>
      </c>
      <c r="K52" s="45" t="s">
        <v>421</v>
      </c>
      <c r="L52" s="45"/>
    </row>
    <row r="53" customFormat="false" ht="23.85" hidden="false" customHeight="false" outlineLevel="0" collapsed="false">
      <c r="A53" s="42" t="s">
        <v>265</v>
      </c>
      <c r="B53" s="3" t="s">
        <v>266</v>
      </c>
      <c r="C53" s="3" t="s">
        <v>179</v>
      </c>
      <c r="D53" s="43" t="n">
        <v>5</v>
      </c>
      <c r="E53" s="43" t="n">
        <v>15</v>
      </c>
      <c r="F53" s="43" t="n">
        <v>30</v>
      </c>
      <c r="G53" s="44" t="n">
        <v>-1</v>
      </c>
      <c r="H53" s="3" t="s">
        <v>366</v>
      </c>
      <c r="I53" s="3" t="s">
        <v>384</v>
      </c>
      <c r="J53" s="3" t="s">
        <v>113</v>
      </c>
      <c r="K53" s="45" t="s">
        <v>422</v>
      </c>
      <c r="L53" s="45"/>
    </row>
    <row r="54" customFormat="false" ht="23.85" hidden="false" customHeight="false" outlineLevel="0" collapsed="false">
      <c r="A54" s="42" t="s">
        <v>271</v>
      </c>
      <c r="B54" s="3" t="s">
        <v>272</v>
      </c>
      <c r="C54" s="3" t="s">
        <v>179</v>
      </c>
      <c r="D54" s="43" t="n">
        <v>1.5</v>
      </c>
      <c r="E54" s="43" t="n">
        <v>3</v>
      </c>
      <c r="F54" s="43" t="n">
        <v>50</v>
      </c>
      <c r="G54" s="44" t="n">
        <v>-1</v>
      </c>
      <c r="H54" s="3" t="s">
        <v>366</v>
      </c>
      <c r="I54" s="3" t="s">
        <v>384</v>
      </c>
      <c r="J54" s="3" t="s">
        <v>115</v>
      </c>
      <c r="K54" s="45" t="s">
        <v>423</v>
      </c>
      <c r="L54" s="45"/>
    </row>
    <row r="55" customFormat="false" ht="23.85" hidden="false" customHeight="false" outlineLevel="0" collapsed="false">
      <c r="A55" s="42" t="s">
        <v>273</v>
      </c>
      <c r="B55" s="3" t="s">
        <v>274</v>
      </c>
      <c r="C55" s="3" t="s">
        <v>194</v>
      </c>
      <c r="D55" s="46" t="n">
        <v>0.3</v>
      </c>
      <c r="E55" s="46" t="n">
        <v>0.6</v>
      </c>
      <c r="F55" s="46" t="n">
        <v>1</v>
      </c>
      <c r="G55" s="44" t="n">
        <v>-1</v>
      </c>
      <c r="H55" s="3" t="s">
        <v>366</v>
      </c>
      <c r="I55" s="3" t="s">
        <v>384</v>
      </c>
      <c r="J55" s="3" t="s">
        <v>115</v>
      </c>
      <c r="K55" s="45" t="s">
        <v>380</v>
      </c>
      <c r="L55" s="45" t="s">
        <v>424</v>
      </c>
    </row>
    <row r="56" customFormat="false" ht="23.85" hidden="false" customHeight="false" outlineLevel="0" collapsed="false">
      <c r="A56" s="42" t="s">
        <v>275</v>
      </c>
      <c r="B56" s="3" t="s">
        <v>276</v>
      </c>
      <c r="C56" s="3" t="s">
        <v>179</v>
      </c>
      <c r="D56" s="43" t="n">
        <v>8</v>
      </c>
      <c r="E56" s="43" t="n">
        <v>40</v>
      </c>
      <c r="F56" s="43" t="n">
        <v>1500</v>
      </c>
      <c r="G56" s="44" t="n">
        <v>-1</v>
      </c>
      <c r="H56" s="3" t="s">
        <v>366</v>
      </c>
      <c r="I56" s="3" t="s">
        <v>384</v>
      </c>
      <c r="J56" s="3" t="s">
        <v>115</v>
      </c>
      <c r="K56" s="45" t="s">
        <v>380</v>
      </c>
      <c r="L56" s="45"/>
    </row>
    <row r="57" customFormat="false" ht="23.85" hidden="false" customHeight="false" outlineLevel="0" collapsed="false">
      <c r="A57" s="42" t="s">
        <v>278</v>
      </c>
      <c r="B57" s="3" t="s">
        <v>279</v>
      </c>
      <c r="C57" s="3" t="s">
        <v>188</v>
      </c>
      <c r="D57" s="47" t="n">
        <v>6</v>
      </c>
      <c r="E57" s="47" t="n">
        <v>15</v>
      </c>
      <c r="F57" s="47" t="n">
        <v>200</v>
      </c>
      <c r="G57" s="44" t="n">
        <v>-1</v>
      </c>
      <c r="H57" s="3" t="s">
        <v>376</v>
      </c>
      <c r="I57" s="3" t="s">
        <v>384</v>
      </c>
      <c r="J57" s="3" t="s">
        <v>117</v>
      </c>
      <c r="K57" s="45" t="s">
        <v>380</v>
      </c>
      <c r="L57" s="45"/>
    </row>
    <row r="58" customFormat="false" ht="35.05" hidden="false" customHeight="false" outlineLevel="0" collapsed="false">
      <c r="A58" s="42" t="s">
        <v>280</v>
      </c>
      <c r="B58" s="3" t="s">
        <v>281</v>
      </c>
      <c r="C58" s="3" t="s">
        <v>194</v>
      </c>
      <c r="D58" s="46" t="n">
        <v>0.1</v>
      </c>
      <c r="E58" s="46" t="n">
        <v>0.25</v>
      </c>
      <c r="F58" s="46" t="n">
        <v>0.3</v>
      </c>
      <c r="G58" s="44" t="n">
        <v>-1</v>
      </c>
      <c r="H58" s="3" t="s">
        <v>366</v>
      </c>
      <c r="I58" s="3" t="s">
        <v>384</v>
      </c>
      <c r="J58" s="3" t="s">
        <v>117</v>
      </c>
      <c r="K58" s="45" t="s">
        <v>425</v>
      </c>
      <c r="L58" s="45"/>
    </row>
    <row r="59" customFormat="false" ht="15" hidden="false" customHeight="false" outlineLevel="0" collapsed="false">
      <c r="A59" s="42" t="s">
        <v>282</v>
      </c>
      <c r="B59" s="3" t="s">
        <v>283</v>
      </c>
      <c r="C59" s="3" t="s">
        <v>179</v>
      </c>
      <c r="D59" s="43" t="n">
        <v>3</v>
      </c>
      <c r="E59" s="43" t="n">
        <v>10</v>
      </c>
      <c r="F59" s="43" t="n">
        <v>25</v>
      </c>
      <c r="G59" s="44" t="n">
        <v>-1</v>
      </c>
      <c r="H59" s="3" t="s">
        <v>366</v>
      </c>
      <c r="I59" s="3" t="s">
        <v>384</v>
      </c>
      <c r="J59" s="3" t="s">
        <v>117</v>
      </c>
      <c r="K59" s="45" t="s">
        <v>380</v>
      </c>
      <c r="L59" s="45"/>
    </row>
    <row r="60" customFormat="false" ht="23.85" hidden="false" customHeight="false" outlineLevel="0" collapsed="false">
      <c r="A60" s="42" t="s">
        <v>285</v>
      </c>
      <c r="B60" s="3" t="s">
        <v>286</v>
      </c>
      <c r="C60" s="3" t="s">
        <v>185</v>
      </c>
      <c r="D60" s="43" t="n">
        <v>0</v>
      </c>
      <c r="E60" s="43" t="n">
        <v>150</v>
      </c>
      <c r="F60" s="43" t="n">
        <v>15</v>
      </c>
      <c r="G60" s="44" t="n">
        <v>1</v>
      </c>
      <c r="H60" s="3" t="s">
        <v>366</v>
      </c>
      <c r="I60" s="3" t="s">
        <v>384</v>
      </c>
      <c r="J60" s="3" t="s">
        <v>119</v>
      </c>
      <c r="K60" s="45" t="s">
        <v>426</v>
      </c>
      <c r="L60" s="45" t="s">
        <v>427</v>
      </c>
    </row>
    <row r="61" customFormat="false" ht="23.85" hidden="false" customHeight="false" outlineLevel="0" collapsed="false">
      <c r="A61" s="42" t="s">
        <v>287</v>
      </c>
      <c r="B61" s="3" t="s">
        <v>288</v>
      </c>
      <c r="C61" s="3" t="s">
        <v>179</v>
      </c>
      <c r="D61" s="43" t="n">
        <v>0</v>
      </c>
      <c r="E61" s="43" t="n">
        <v>60000</v>
      </c>
      <c r="F61" s="43" t="n">
        <v>150000</v>
      </c>
      <c r="G61" s="44" t="n">
        <v>-1</v>
      </c>
      <c r="H61" s="3" t="s">
        <v>376</v>
      </c>
      <c r="I61" s="3" t="s">
        <v>384</v>
      </c>
      <c r="J61" s="3" t="s">
        <v>119</v>
      </c>
      <c r="K61" s="45" t="s">
        <v>380</v>
      </c>
      <c r="L61" s="45"/>
    </row>
    <row r="62" customFormat="false" ht="15" hidden="false" customHeight="false" outlineLevel="0" collapsed="false">
      <c r="A62" s="4" t="s">
        <v>428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customFormat="false" ht="68.65" hidden="false" customHeight="false" outlineLevel="0" collapsed="false">
      <c r="A63" s="42" t="s">
        <v>291</v>
      </c>
      <c r="B63" s="3" t="s">
        <v>292</v>
      </c>
      <c r="C63" s="3" t="s">
        <v>179</v>
      </c>
      <c r="D63" s="43" t="n">
        <v>80</v>
      </c>
      <c r="E63" s="43" t="n">
        <v>1500</v>
      </c>
      <c r="F63" s="43" t="n">
        <v>15000</v>
      </c>
      <c r="G63" s="44" t="n">
        <v>-1</v>
      </c>
      <c r="H63" s="3" t="s">
        <v>366</v>
      </c>
      <c r="I63" s="3" t="s">
        <v>384</v>
      </c>
      <c r="J63" s="3" t="s">
        <v>123</v>
      </c>
      <c r="K63" s="45" t="s">
        <v>429</v>
      </c>
      <c r="L63" s="45"/>
    </row>
    <row r="64" customFormat="false" ht="23.85" hidden="false" customHeight="false" outlineLevel="0" collapsed="false">
      <c r="A64" s="42" t="s">
        <v>297</v>
      </c>
      <c r="B64" s="3" t="s">
        <v>298</v>
      </c>
      <c r="C64" s="3" t="s">
        <v>179</v>
      </c>
      <c r="D64" s="43" t="n">
        <v>300000</v>
      </c>
      <c r="E64" s="43" t="n">
        <v>100000</v>
      </c>
      <c r="F64" s="43" t="n">
        <v>200000</v>
      </c>
      <c r="G64" s="44" t="n">
        <v>-1</v>
      </c>
      <c r="H64" s="3" t="s">
        <v>366</v>
      </c>
      <c r="I64" s="3" t="s">
        <v>384</v>
      </c>
      <c r="J64" s="3" t="s">
        <v>127</v>
      </c>
      <c r="K64" s="45" t="s">
        <v>380</v>
      </c>
      <c r="L64" s="45"/>
    </row>
  </sheetData>
  <dataValidations count="1">
    <dataValidation allowBlank="false" errorStyle="stop" operator="between" showDropDown="false" showErrorMessage="false" showInputMessage="false" sqref="D6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12" min="9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20" min="19" style="0" width="10"/>
    <col collapsed="false" customWidth="true" hidden="false" outlineLevel="0" max="22" min="21" style="0" width="14"/>
    <col collapsed="false" customWidth="true" hidden="false" outlineLevel="0" max="23" min="23" style="0" width="46"/>
    <col collapsed="false" customWidth="true" hidden="true" outlineLevel="0" max="25" min="24" style="0" width="4"/>
  </cols>
  <sheetData>
    <row r="1" customFormat="false" ht="17.35" hidden="false" customHeight="false" outlineLevel="0" collapsed="false">
      <c r="A1" s="1" t="s">
        <v>430</v>
      </c>
    </row>
    <row r="2" customFormat="false" ht="15" hidden="false" customHeight="false" outlineLevel="0" collapsed="false">
      <c r="A2" s="8" t="s">
        <v>431</v>
      </c>
    </row>
    <row r="3" customFormat="false" ht="15" hidden="false" customHeight="false" outlineLevel="0" collapsed="false">
      <c r="J3" s="9" t="s">
        <v>432</v>
      </c>
      <c r="M3" s="48" t="n">
        <f aca="false">INDEX(Модель!$J$91:$JA$91,MATCH("MR|"&amp;"BASE"&amp;"|1",Модель!$J$6:$JA$6,0))+INDEX(Модель!$J$91:$JA$91,MATCH("AF|"&amp;"BASE"&amp;"|1",Модель!$J$6:$JA$6,0))+INDEX(Модель!$J$91:$JA$91,MATCH("IC|"&amp;"BASE"&amp;"|1",Модель!$J$6:$JA$6,0))</f>
        <v>81553114.5</v>
      </c>
      <c r="N3" s="9" t="s">
        <v>433</v>
      </c>
      <c r="Q3" s="48" t="n">
        <f aca="false">INDEX(Модель!$J$91:$JA$91,MATCH("MR|"&amp;"BASE"&amp;"|3",Модель!$J$6:$JA$6,0))+INDEX(Модель!$J$91:$JA$91,MATCH("AF|"&amp;"BASE"&amp;"|3",Модель!$J$6:$JA$6,0))+INDEX(Модель!$J$91:$JA$91,MATCH("IC|"&amp;"BASE"&amp;"|3",Модель!$J$6:$JA$6,0))</f>
        <v>99380525</v>
      </c>
    </row>
    <row r="4" customFormat="false" ht="55.5" hidden="false" customHeight="true" outlineLevel="0" collapsed="false">
      <c r="A4" s="12" t="s">
        <v>90</v>
      </c>
      <c r="B4" s="12" t="s">
        <v>434</v>
      </c>
      <c r="C4" s="12" t="s">
        <v>176</v>
      </c>
      <c r="D4" s="12" t="s">
        <v>356</v>
      </c>
      <c r="E4" s="12" t="s">
        <v>168</v>
      </c>
      <c r="F4" s="12" t="s">
        <v>167</v>
      </c>
      <c r="G4" s="12" t="s">
        <v>435</v>
      </c>
      <c r="H4" s="12" t="s">
        <v>436</v>
      </c>
      <c r="I4" s="12" t="s">
        <v>437</v>
      </c>
      <c r="J4" s="12" t="s">
        <v>438</v>
      </c>
      <c r="K4" s="12" t="s">
        <v>439</v>
      </c>
      <c r="L4" s="12" t="s">
        <v>440</v>
      </c>
      <c r="M4" s="12" t="s">
        <v>441</v>
      </c>
      <c r="N4" s="12" t="s">
        <v>442</v>
      </c>
      <c r="O4" s="12" t="s">
        <v>443</v>
      </c>
      <c r="P4" s="12" t="s">
        <v>444</v>
      </c>
      <c r="Q4" s="12" t="s">
        <v>445</v>
      </c>
      <c r="R4" s="12" t="s">
        <v>446</v>
      </c>
      <c r="S4" s="12" t="s">
        <v>447</v>
      </c>
      <c r="T4" s="12" t="s">
        <v>448</v>
      </c>
      <c r="U4" s="12" t="s">
        <v>449</v>
      </c>
      <c r="V4" s="12" t="s">
        <v>450</v>
      </c>
      <c r="W4" s="12" t="s">
        <v>359</v>
      </c>
      <c r="X4" s="12" t="s">
        <v>451</v>
      </c>
      <c r="Y4" s="12" t="s">
        <v>452</v>
      </c>
    </row>
    <row r="5" customFormat="false" ht="23.85" hidden="false" customHeight="false" outlineLevel="0" collapsed="false">
      <c r="A5" s="42" t="s">
        <v>268</v>
      </c>
      <c r="B5" s="3" t="s">
        <v>269</v>
      </c>
      <c r="C5" s="3" t="s">
        <v>270</v>
      </c>
      <c r="D5" s="44" t="n">
        <v>1</v>
      </c>
      <c r="E5" s="3" t="s">
        <v>366</v>
      </c>
      <c r="F5" s="3" t="s">
        <v>367</v>
      </c>
      <c r="G5" s="49" t="n">
        <f aca="false">INDEX(Вводные!$D$13:$D$64,MATCH($A5,Вводные!$A$13:$A$64,0))</f>
        <v>300000</v>
      </c>
      <c r="H5" s="49" t="n">
        <f aca="false">INDEX(Вводные!$E$13:$E$64,MATCH($A5,Вводные!$A$13:$A$64,0))</f>
        <v>2000</v>
      </c>
      <c r="I5" s="49" t="n">
        <f aca="false">INDEX(Вводные!$F$13:$F$64,MATCH($A5,Вводные!$A$13:$A$64,0))</f>
        <v>120</v>
      </c>
      <c r="J5" s="49" t="n">
        <f aca="false">INDEX(Модель!$J$91:$JA$91,MATCH("MR|"&amp;$A5&amp;"|1",Модель!$J$6:$JA$6,0))-INDEX(Модель!$J$91:$JA$91,MATCH("MR|"&amp;"BASE"&amp;"|1",Модель!$J$6:$JA$6,0))</f>
        <v>-42405.3449999988</v>
      </c>
      <c r="K5" s="49" t="n">
        <f aca="false">INDEX(Модель!$J$91:$JA$91,MATCH("AF|"&amp;$A5&amp;"|1",Модель!$J$6:$JA$6,0))-INDEX(Модель!$J$91:$JA$91,MATCH("AF|"&amp;"BASE"&amp;"|1",Модель!$J$6:$JA$6,0))</f>
        <v>-7984.07999999449</v>
      </c>
      <c r="L5" s="49" t="n">
        <f aca="false">INDEX(Модель!$J$91:$JA$91,MATCH("IC|"&amp;$A5&amp;"|1",Модель!$J$6:$JA$6,0))-INDEX(Модель!$J$91:$JA$91,MATCH("IC|"&amp;"BASE"&amp;"|1",Модель!$J$6:$JA$6,0))</f>
        <v>4955.87999999896</v>
      </c>
      <c r="M5" s="50" t="n">
        <f aca="false">SUM(J5:L5)</f>
        <v>-45433.5449999943</v>
      </c>
      <c r="N5" s="49" t="n">
        <f aca="false">INDEX(Модель!$J$91:$JA$91,MATCH("MR|"&amp;$A5&amp;"|3",Модель!$J$6:$JA$6,0))-INDEX(Модель!$J$91:$JA$91,MATCH("MR|"&amp;"BASE"&amp;"|3",Модель!$J$6:$JA$6,0))</f>
        <v>407144.25</v>
      </c>
      <c r="O5" s="49" t="n">
        <f aca="false">INDEX(Модель!$J$91:$JA$91,MATCH("AF|"&amp;$A5&amp;"|3",Модель!$J$6:$JA$6,0))-INDEX(Модель!$J$91:$JA$91,MATCH("AF|"&amp;"BASE"&amp;"|3",Модель!$J$6:$JA$6,0))</f>
        <v>294524.000000011</v>
      </c>
      <c r="P5" s="49" t="n">
        <f aca="false">INDEX(Модель!$J$91:$JA$91,MATCH("IC|"&amp;$A5&amp;"|3",Модель!$J$6:$JA$6,0))-INDEX(Модель!$J$91:$JA$91,MATCH("IC|"&amp;"BASE"&amp;"|3",Модель!$J$6:$JA$6,0))</f>
        <v>298137</v>
      </c>
      <c r="Q5" s="50" t="n">
        <f aca="false">SUM(N5:P5)</f>
        <v>999805.250000011</v>
      </c>
      <c r="R5" s="51" t="n">
        <f aca="false">IF($Q$3&lt;&gt;0,Q5/$Q$3,0)</f>
        <v>0.0100603740018481</v>
      </c>
      <c r="S5" s="3" t="n">
        <f aca="false">IF($E5="Внешний","",IF($F5="Ценовой",RANK(Y5,$Y$5:$Y$45),RANK(X5,$X$5:$X$45)))</f>
        <v>4</v>
      </c>
      <c r="T5" s="3"/>
      <c r="U5" s="52"/>
      <c r="V5" s="52"/>
      <c r="W5" s="53" t="s">
        <v>453</v>
      </c>
      <c r="X5" s="54" t="n">
        <f aca="false">IF(OR($E5="Внешний",$F5="Ценовой"),-1000000000000000,Q5)+ROW()/1000000000</f>
        <v>999805.250000016</v>
      </c>
      <c r="Y5" s="54" t="n">
        <f aca="false">IF($F5&lt;&gt;"Ценовой",-1000000000000000,Q5)+ROW()/1000000000</f>
        <v>-1000000000000000</v>
      </c>
    </row>
    <row r="6" customFormat="false" ht="23.85" hidden="false" customHeight="false" outlineLevel="0" collapsed="false">
      <c r="A6" s="42" t="s">
        <v>304</v>
      </c>
      <c r="B6" s="3" t="s">
        <v>305</v>
      </c>
      <c r="C6" s="3" t="s">
        <v>194</v>
      </c>
      <c r="D6" s="44" t="n">
        <v>1</v>
      </c>
      <c r="E6" s="3" t="s">
        <v>366</v>
      </c>
      <c r="F6" s="3" t="s">
        <v>367</v>
      </c>
      <c r="G6" s="55" t="n">
        <f aca="false">INDEX(Вводные!$D$13:$D$64,MATCH($A6,Вводные!$A$13:$A$64,0))</f>
        <v>0.45</v>
      </c>
      <c r="H6" s="55" t="n">
        <f aca="false">INDEX(Вводные!$E$13:$E$64,MATCH($A6,Вводные!$A$13:$A$64,0))</f>
        <v>0.7</v>
      </c>
      <c r="I6" s="55" t="n">
        <f aca="false">INDEX(Вводные!$F$13:$F$64,MATCH($A6,Вводные!$A$13:$A$64,0))</f>
        <v>0.4</v>
      </c>
      <c r="J6" s="49" t="n">
        <f aca="false">INDEX(Модель!$J$91:$JA$91,MATCH("MR|"&amp;$A6&amp;"|1",Модель!$J$6:$JA$6,0))-INDEX(Модель!$J$91:$JA$91,MATCH("MR|"&amp;"BASE"&amp;"|1",Модель!$J$6:$JA$6,0))</f>
        <v>-30705.3449999988</v>
      </c>
      <c r="K6" s="49" t="n">
        <f aca="false">INDEX(Модель!$J$91:$JA$91,MATCH("AF|"&amp;$A6&amp;"|1",Модель!$J$6:$JA$6,0))-INDEX(Модель!$J$91:$JA$91,MATCH("AF|"&amp;"BASE"&amp;"|1",Модель!$J$6:$JA$6,0))</f>
        <v>-7444.07999999449</v>
      </c>
      <c r="L6" s="49" t="n">
        <f aca="false">INDEX(Модель!$J$91:$JA$91,MATCH("IC|"&amp;$A6&amp;"|1",Модель!$J$6:$JA$6,0))-INDEX(Модель!$J$91:$JA$91,MATCH("IC|"&amp;"BASE"&amp;"|1",Модель!$J$6:$JA$6,0))</f>
        <v>6815.87999999896</v>
      </c>
      <c r="M6" s="50" t="n">
        <f aca="false">SUM(J6:L6)</f>
        <v>-31333.5449999943</v>
      </c>
      <c r="N6" s="49" t="n">
        <f aca="false">INDEX(Модель!$J$91:$JA$91,MATCH("MR|"&amp;$A6&amp;"|3",Модель!$J$6:$JA$6,0))-INDEX(Модель!$J$91:$JA$91,MATCH("MR|"&amp;"BASE"&amp;"|3",Модель!$J$6:$JA$6,0))</f>
        <v>418844.25</v>
      </c>
      <c r="O6" s="49" t="n">
        <f aca="false">INDEX(Модель!$J$91:$JA$91,MATCH("AF|"&amp;$A6&amp;"|3",Модель!$J$6:$JA$6,0))-INDEX(Модель!$J$91:$JA$91,MATCH("AF|"&amp;"BASE"&amp;"|3",Модель!$J$6:$JA$6,0))</f>
        <v>295064.000000011</v>
      </c>
      <c r="P6" s="49" t="n">
        <f aca="false">INDEX(Модель!$J$91:$JA$91,MATCH("IC|"&amp;$A6&amp;"|3",Модель!$J$6:$JA$6,0))-INDEX(Модель!$J$91:$JA$91,MATCH("IC|"&amp;"BASE"&amp;"|3",Модель!$J$6:$JA$6,0))</f>
        <v>299997</v>
      </c>
      <c r="Q6" s="50" t="n">
        <f aca="false">SUM(N6:P6)</f>
        <v>1013905.25000001</v>
      </c>
      <c r="R6" s="51" t="n">
        <f aca="false">IF($Q$3&lt;&gt;0,Q6/$Q$3,0)</f>
        <v>0.0102022529061907</v>
      </c>
      <c r="S6" s="3" t="n">
        <f aca="false">IF($E6="Внешний","",IF($F6="Ценовой",RANK(Y6,$Y$5:$Y$45),RANK(X6,$X$5:$X$45)))</f>
        <v>3</v>
      </c>
      <c r="T6" s="3" t="s">
        <v>454</v>
      </c>
      <c r="U6" s="56" t="n">
        <f aca="false">IF(G6&lt;&gt;0,J6*0.01/(G6*Вводные!$D$5),0)+IF(H6&lt;&gt;0,K6*0.01/(H6*Вводные!$D$5),0)+IF(I6&lt;&gt;0,L6*0.01/(I6*Вводные!$D$5),0)</f>
        <v>-61828.7999999921</v>
      </c>
      <c r="V6" s="50" t="n">
        <f aca="false">IF(G6&lt;&gt;0,N6*0.01/(G6*Вводные!$D$5),0)+IF(H6&lt;&gt;0,O6*0.01/(H6*Вводные!$D$5),0)+IF(I6&lt;&gt;0,P6*0.01/(I6*Вводные!$D$5),0)</f>
        <v>2102277.50000002</v>
      </c>
      <c r="W6" s="53" t="s">
        <v>453</v>
      </c>
      <c r="X6" s="54" t="n">
        <f aca="false">IF(OR($E6="Внешний",$F6="Ценовой"),-1000000000000000,Q6)+ROW()/1000000000</f>
        <v>1013905.25000002</v>
      </c>
      <c r="Y6" s="54" t="n">
        <f aca="false">IF($F6&lt;&gt;"Ценовой",-1000000000000000,Q6)+ROW()/1000000000</f>
        <v>-1000000000000000</v>
      </c>
    </row>
    <row r="7" customFormat="false" ht="23.85" hidden="false" customHeight="false" outlineLevel="0" collapsed="false">
      <c r="A7" s="42" t="s">
        <v>306</v>
      </c>
      <c r="B7" s="3" t="s">
        <v>307</v>
      </c>
      <c r="C7" s="3" t="s">
        <v>194</v>
      </c>
      <c r="D7" s="44" t="n">
        <v>1</v>
      </c>
      <c r="E7" s="3" t="s">
        <v>366</v>
      </c>
      <c r="F7" s="3" t="s">
        <v>367</v>
      </c>
      <c r="G7" s="55" t="n">
        <f aca="false">INDEX(Вводные!$D$13:$D$64,MATCH($A7,Вводные!$A$13:$A$64,0))</f>
        <v>0.55</v>
      </c>
      <c r="H7" s="55" t="n">
        <f aca="false">INDEX(Вводные!$E$13:$E$64,MATCH($A7,Вводные!$A$13:$A$64,0))</f>
        <v>0.8</v>
      </c>
      <c r="I7" s="55" t="n">
        <f aca="false">INDEX(Вводные!$F$13:$F$64,MATCH($A7,Вводные!$A$13:$A$64,0))</f>
        <v>0.75</v>
      </c>
      <c r="J7" s="49" t="n">
        <f aca="false">INDEX(Модель!$J$91:$JA$91,MATCH("MR|"&amp;$A7&amp;"|1",Модель!$J$6:$JA$6,0))-INDEX(Модель!$J$91:$JA$91,MATCH("MR|"&amp;"BASE"&amp;"|1",Модель!$J$6:$JA$6,0))</f>
        <v>-30705.3449999988</v>
      </c>
      <c r="K7" s="49" t="n">
        <f aca="false">INDEX(Модель!$J$91:$JA$91,MATCH("AF|"&amp;$A7&amp;"|1",Модель!$J$6:$JA$6,0))-INDEX(Модель!$J$91:$JA$91,MATCH("AF|"&amp;"BASE"&amp;"|1",Модель!$J$6:$JA$6,0))</f>
        <v>-7444.07999999449</v>
      </c>
      <c r="L7" s="49" t="n">
        <f aca="false">INDEX(Модель!$J$91:$JA$91,MATCH("IC|"&amp;$A7&amp;"|1",Модель!$J$6:$JA$6,0))-INDEX(Модель!$J$91:$JA$91,MATCH("IC|"&amp;"BASE"&amp;"|1",Модель!$J$6:$JA$6,0))</f>
        <v>6815.87999999896</v>
      </c>
      <c r="M7" s="50" t="n">
        <f aca="false">SUM(J7:L7)</f>
        <v>-31333.5449999943</v>
      </c>
      <c r="N7" s="49" t="n">
        <f aca="false">INDEX(Модель!$J$91:$JA$91,MATCH("MR|"&amp;$A7&amp;"|3",Модель!$J$6:$JA$6,0))-INDEX(Модель!$J$91:$JA$91,MATCH("MR|"&amp;"BASE"&amp;"|3",Модель!$J$6:$JA$6,0))</f>
        <v>418844.250000015</v>
      </c>
      <c r="O7" s="49" t="n">
        <f aca="false">INDEX(Модель!$J$91:$JA$91,MATCH("AF|"&amp;$A7&amp;"|3",Модель!$J$6:$JA$6,0))-INDEX(Модель!$J$91:$JA$91,MATCH("AF|"&amp;"BASE"&amp;"|3",Модель!$J$6:$JA$6,0))</f>
        <v>295064.000000011</v>
      </c>
      <c r="P7" s="49" t="n">
        <f aca="false">INDEX(Модель!$J$91:$JA$91,MATCH("IC|"&amp;$A7&amp;"|3",Модель!$J$6:$JA$6,0))-INDEX(Модель!$J$91:$JA$91,MATCH("IC|"&amp;"BASE"&amp;"|3",Модель!$J$6:$JA$6,0))</f>
        <v>299997</v>
      </c>
      <c r="Q7" s="50" t="n">
        <f aca="false">SUM(N7:P7)</f>
        <v>1013905.25000003</v>
      </c>
      <c r="R7" s="51" t="n">
        <f aca="false">IF($Q$3&lt;&gt;0,Q7/$Q$3,0)</f>
        <v>0.0102022529061909</v>
      </c>
      <c r="S7" s="3" t="n">
        <f aca="false">IF($E7="Внешний","",IF($F7="Ценовой",RANK(Y7,$Y$5:$Y$45),RANK(X7,$X$5:$X$45)))</f>
        <v>2</v>
      </c>
      <c r="T7" s="3" t="s">
        <v>454</v>
      </c>
      <c r="U7" s="56" t="n">
        <f aca="false">IF(G7&lt;&gt;0,J7*0.01/(G7*Вводные!$D$5),0)+IF(H7&lt;&gt;0,K7*0.01/(H7*Вводные!$D$5),0)+IF(I7&lt;&gt;0,L7*0.01/(I7*Вводные!$D$5),0)</f>
        <v>-56045.1599999923</v>
      </c>
      <c r="V7" s="50" t="n">
        <f aca="false">IF(G7&lt;&gt;0,N7*0.01/(G7*Вводные!$D$5),0)+IF(H7&lt;&gt;0,O7*0.01/(H7*Вводные!$D$5),0)+IF(I7&lt;&gt;0,P7*0.01/(I7*Вводные!$D$5),0)</f>
        <v>1530361.00000004</v>
      </c>
      <c r="W7" s="53" t="s">
        <v>453</v>
      </c>
      <c r="X7" s="54" t="n">
        <f aca="false">IF(OR($E7="Внешний",$F7="Ценовой"),-1000000000000000,Q7)+ROW()/1000000000</f>
        <v>1013905.25000003</v>
      </c>
      <c r="Y7" s="54" t="n">
        <f aca="false">IF($F7&lt;&gt;"Ценовой",-1000000000000000,Q7)+ROW()/1000000000</f>
        <v>-1000000000000000</v>
      </c>
    </row>
    <row r="8" customFormat="false" ht="23.85" hidden="false" customHeight="false" outlineLevel="0" collapsed="false">
      <c r="A8" s="42" t="s">
        <v>311</v>
      </c>
      <c r="B8" s="3" t="s">
        <v>312</v>
      </c>
      <c r="C8" s="3" t="s">
        <v>194</v>
      </c>
      <c r="D8" s="44" t="n">
        <v>-1</v>
      </c>
      <c r="E8" s="3" t="s">
        <v>366</v>
      </c>
      <c r="F8" s="3" t="s">
        <v>367</v>
      </c>
      <c r="G8" s="55" t="n">
        <f aca="false">INDEX(Вводные!$D$13:$D$64,MATCH($A8,Вводные!$A$13:$A$64,0))</f>
        <v>0.12</v>
      </c>
      <c r="H8" s="55" t="n">
        <f aca="false">INDEX(Вводные!$E$13:$E$64,MATCH($A8,Вводные!$A$13:$A$64,0))</f>
        <v>0.06</v>
      </c>
      <c r="I8" s="55" t="n">
        <f aca="false">INDEX(Вводные!$F$13:$F$64,MATCH($A8,Вводные!$A$13:$A$64,0))</f>
        <v>0.08</v>
      </c>
      <c r="J8" s="49" t="n">
        <f aca="false">INDEX(Модель!$J$91:$JA$91,MATCH("MR|"&amp;$A8&amp;"|1",Модель!$J$6:$JA$6,0))-INDEX(Модель!$J$91:$JA$91,MATCH("MR|"&amp;"BASE"&amp;"|1",Модель!$J$6:$JA$6,0))</f>
        <v>23187.6000000015</v>
      </c>
      <c r="K8" s="49" t="n">
        <f aca="false">INDEX(Модель!$J$91:$JA$91,MATCH("AF|"&amp;$A8&amp;"|1",Модель!$J$6:$JA$6,0))-INDEX(Модель!$J$91:$JA$91,MATCH("AF|"&amp;"BASE"&amp;"|1",Модель!$J$6:$JA$6,0))</f>
        <v>7518.15000000224</v>
      </c>
      <c r="L8" s="49" t="n">
        <f aca="false">INDEX(Модель!$J$91:$JA$91,MATCH("IC|"&amp;$A8&amp;"|1",Модель!$J$6:$JA$6,0))-INDEX(Модель!$J$91:$JA$91,MATCH("IC|"&amp;"BASE"&amp;"|1",Модель!$J$6:$JA$6,0))</f>
        <v>10858.5599999949</v>
      </c>
      <c r="M8" s="50" t="n">
        <f aca="false">SUM(J8:L8)</f>
        <v>41564.3099999987</v>
      </c>
      <c r="N8" s="49" t="n">
        <f aca="false">INDEX(Модель!$J$91:$JA$91,MATCH("MR|"&amp;$A8&amp;"|3",Модель!$J$6:$JA$6,0))-INDEX(Модель!$J$91:$JA$91,MATCH("MR|"&amp;"BASE"&amp;"|3",Модель!$J$6:$JA$6,0))</f>
        <v>483075</v>
      </c>
      <c r="O8" s="49" t="n">
        <f aca="false">INDEX(Модель!$J$91:$JA$91,MATCH("AF|"&amp;$A8&amp;"|3",Модель!$J$6:$JA$6,0))-INDEX(Модель!$J$91:$JA$91,MATCH("AF|"&amp;"BASE"&amp;"|3",Модель!$J$6:$JA$6,0))</f>
        <v>315014.141414147</v>
      </c>
      <c r="P8" s="49" t="n">
        <f aca="false">INDEX(Модель!$J$91:$JA$91,MATCH("IC|"&amp;$A8&amp;"|3",Модель!$J$6:$JA$6,0))-INDEX(Модель!$J$91:$JA$91,MATCH("IC|"&amp;"BASE"&amp;"|3",Модель!$J$6:$JA$6,0))</f>
        <v>308481.818181824</v>
      </c>
      <c r="Q8" s="50" t="n">
        <f aca="false">SUM(N8:P8)</f>
        <v>1106570.95959597</v>
      </c>
      <c r="R8" s="51" t="n">
        <f aca="false">IF($Q$3&lt;&gt;0,Q8/$Q$3,0)</f>
        <v>0.0111346861932554</v>
      </c>
      <c r="S8" s="3" t="n">
        <f aca="false">IF($E8="Внешний","",IF($F8="Ценовой",RANK(Y8,$Y$5:$Y$45),RANK(X8,$X$5:$X$45)))</f>
        <v>1</v>
      </c>
      <c r="T8" s="3" t="s">
        <v>454</v>
      </c>
      <c r="U8" s="56" t="n">
        <f aca="false">IF(G8&lt;&gt;0,J8*0.01/(G8*Вводные!$D$5),0)+IF(H8&lt;&gt;0,K8*0.01/(H8*Вводные!$D$5),0)+IF(I8&lt;&gt;0,L8*0.01/(I8*Вводные!$D$5),0)</f>
        <v>454264.499999986</v>
      </c>
      <c r="V8" s="50" t="n">
        <f aca="false">IF(G8&lt;&gt;0,N8*0.01/(G8*Вводные!$D$5),0)+IF(H8&lt;&gt;0,O8*0.01/(H8*Вводные!$D$5),0)+IF(I8&lt;&gt;0,P8*0.01/(I8*Вводные!$D$5),0)</f>
        <v>13131883.4175086</v>
      </c>
      <c r="W8" s="53" t="s">
        <v>455</v>
      </c>
      <c r="X8" s="54" t="n">
        <f aca="false">IF(OR($E8="Внешний",$F8="Ценовой"),-1000000000000000,Q8)+ROW()/1000000000</f>
        <v>1106570.95959598</v>
      </c>
      <c r="Y8" s="54" t="n">
        <f aca="false">IF($F8&lt;&gt;"Ценовой",-1000000000000000,Q8)+ROW()/1000000000</f>
        <v>-1000000000000000</v>
      </c>
    </row>
    <row r="9" customFormat="false" ht="35.05" hidden="false" customHeight="false" outlineLevel="0" collapsed="false">
      <c r="A9" s="42" t="s">
        <v>313</v>
      </c>
      <c r="B9" s="3" t="s">
        <v>314</v>
      </c>
      <c r="C9" s="3" t="s">
        <v>194</v>
      </c>
      <c r="D9" s="44" t="n">
        <v>1</v>
      </c>
      <c r="E9" s="3" t="s">
        <v>366</v>
      </c>
      <c r="F9" s="3" t="s">
        <v>367</v>
      </c>
      <c r="G9" s="55" t="n">
        <f aca="false">INDEX(Вводные!$D$13:$D$64,MATCH($A9,Вводные!$A$13:$A$64,0))</f>
        <v>0.35</v>
      </c>
      <c r="H9" s="55" t="n">
        <f aca="false">INDEX(Вводные!$E$13:$E$64,MATCH($A9,Вводные!$A$13:$A$64,0))</f>
        <v>0.55</v>
      </c>
      <c r="I9" s="55" t="n">
        <f aca="false">INDEX(Вводные!$F$13:$F$64,MATCH($A9,Вводные!$A$13:$A$64,0))</f>
        <v>0.8</v>
      </c>
      <c r="J9" s="49" t="n">
        <f aca="false">INDEX(Модель!$J$91:$JA$91,MATCH("MR|"&amp;$A9&amp;"|1",Модель!$J$6:$JA$6,0))-INDEX(Модель!$J$91:$JA$91,MATCH("MR|"&amp;"BASE"&amp;"|1",Модель!$J$6:$JA$6,0))</f>
        <v>122683.68</v>
      </c>
      <c r="K9" s="49" t="n">
        <f aca="false">INDEX(Модель!$J$91:$JA$91,MATCH("AF|"&amp;$A9&amp;"|1",Модель!$J$6:$JA$6,0))-INDEX(Модель!$J$91:$JA$91,MATCH("AF|"&amp;"BASE"&amp;"|1",Модель!$J$6:$JA$6,0))</f>
        <v>41884.9200000018</v>
      </c>
      <c r="L9" s="49" t="n">
        <f aca="false">INDEX(Модель!$J$91:$JA$91,MATCH("IC|"&amp;$A9&amp;"|1",Модель!$J$6:$JA$6,0))-INDEX(Модель!$J$91:$JA$91,MATCH("IC|"&amp;"BASE"&amp;"|1",Модель!$J$6:$JA$6,0))</f>
        <v>60203.5199999958</v>
      </c>
      <c r="M9" s="50" t="n">
        <f aca="false">SUM(J9:L9)</f>
        <v>224772.119999997</v>
      </c>
      <c r="N9" s="49" t="n">
        <f aca="false">INDEX(Модель!$J$91:$JA$91,MATCH("MR|"&amp;$A9&amp;"|3",Модель!$J$6:$JA$6,0))-INDEX(Модель!$J$91:$JA$91,MATCH("MR|"&amp;"BASE"&amp;"|3",Модель!$J$6:$JA$6,0))</f>
        <v>149688</v>
      </c>
      <c r="O9" s="49" t="n">
        <f aca="false">INDEX(Модель!$J$91:$JA$91,MATCH("AF|"&amp;$A9&amp;"|3",Модель!$J$6:$JA$6,0))-INDEX(Модель!$J$91:$JA$91,MATCH("AF|"&amp;"BASE"&amp;"|3",Модель!$J$6:$JA$6,0))</f>
        <v>51744</v>
      </c>
      <c r="P9" s="49" t="n">
        <f aca="false">INDEX(Модель!$J$91:$JA$91,MATCH("IC|"&amp;$A9&amp;"|3",Модель!$J$6:$JA$6,0))-INDEX(Модель!$J$91:$JA$91,MATCH("IC|"&amp;"BASE"&amp;"|3",Модель!$J$6:$JA$6,0))</f>
        <v>67392</v>
      </c>
      <c r="Q9" s="50" t="n">
        <f aca="false">SUM(N9:P9)</f>
        <v>268824</v>
      </c>
      <c r="R9" s="51" t="n">
        <f aca="false">IF($Q$3&lt;&gt;0,Q9/$Q$3,0)</f>
        <v>0.00270499677879544</v>
      </c>
      <c r="S9" s="3" t="n">
        <f aca="false">IF($E9="Внешний","",IF($F9="Ценовой",RANK(Y9,$Y$5:$Y$45),RANK(X9,$X$5:$X$45)))</f>
        <v>8</v>
      </c>
      <c r="T9" s="3" t="s">
        <v>454</v>
      </c>
      <c r="U9" s="56" t="n">
        <f aca="false">IF(G9&lt;&gt;0,J9*0.01/(G9*Вводные!$D$5),0)+IF(H9&lt;&gt;0,K9*0.01/(H9*Вводные!$D$5),0)+IF(I9&lt;&gt;0,L9*0.01/(I9*Вводные!$D$5),0)</f>
        <v>501933.599999997</v>
      </c>
      <c r="V9" s="50" t="n">
        <f aca="false">IF(G9&lt;&gt;0,N9*0.01/(G9*Вводные!$D$5),0)+IF(H9&lt;&gt;0,O9*0.01/(H9*Вводные!$D$5),0)+IF(I9&lt;&gt;0,P9*0.01/(I9*Вводные!$D$5),0)</f>
        <v>606000</v>
      </c>
      <c r="W9" s="53"/>
      <c r="X9" s="54" t="n">
        <f aca="false">IF(OR($E9="Внешний",$F9="Ценовой"),-1000000000000000,Q9)+ROW()/1000000000</f>
        <v>268824.000000009</v>
      </c>
      <c r="Y9" s="54" t="n">
        <f aca="false">IF($F9&lt;&gt;"Ценовой",-1000000000000000,Q9)+ROW()/1000000000</f>
        <v>-1000000000000000</v>
      </c>
    </row>
    <row r="10" customFormat="false" ht="23.85" hidden="false" customHeight="false" outlineLevel="0" collapsed="false">
      <c r="A10" s="42" t="s">
        <v>186</v>
      </c>
      <c r="B10" s="3" t="s">
        <v>187</v>
      </c>
      <c r="C10" s="3" t="s">
        <v>188</v>
      </c>
      <c r="D10" s="44" t="n">
        <v>1</v>
      </c>
      <c r="E10" s="3" t="s">
        <v>376</v>
      </c>
      <c r="F10" s="3" t="s">
        <v>367</v>
      </c>
      <c r="G10" s="57" t="n">
        <f aca="false">INDEX(Вводные!$D$13:$D$64,MATCH($A10,Вводные!$A$13:$A$64,0))</f>
        <v>6</v>
      </c>
      <c r="H10" s="57" t="n">
        <f aca="false">INDEX(Вводные!$E$13:$E$64,MATCH($A10,Вводные!$A$13:$A$64,0))</f>
        <v>3.5</v>
      </c>
      <c r="I10" s="57" t="n">
        <f aca="false">INDEX(Вводные!$F$13:$F$64,MATCH($A10,Вводные!$A$13:$A$64,0))</f>
        <v>130</v>
      </c>
      <c r="J10" s="49" t="n">
        <f aca="false">INDEX(Модель!$J$91:$JA$91,MATCH("MR|"&amp;$A10&amp;"|1",Модель!$J$6:$JA$6,0))-INDEX(Модель!$J$91:$JA$91,MATCH("MR|"&amp;"BASE"&amp;"|1",Модель!$J$6:$JA$6,0))</f>
        <v>122683.68</v>
      </c>
      <c r="K10" s="49" t="n">
        <f aca="false">INDEX(Модель!$J$91:$JA$91,MATCH("AF|"&amp;$A10&amp;"|1",Модель!$J$6:$JA$6,0))-INDEX(Модель!$J$91:$JA$91,MATCH("AF|"&amp;"BASE"&amp;"|1",Модель!$J$6:$JA$6,0))</f>
        <v>41884.9200000018</v>
      </c>
      <c r="L10" s="49" t="n">
        <f aca="false">INDEX(Модель!$J$91:$JA$91,MATCH("IC|"&amp;$A10&amp;"|1",Модель!$J$6:$JA$6,0))-INDEX(Модель!$J$91:$JA$91,MATCH("IC|"&amp;"BASE"&amp;"|1",Модель!$J$6:$JA$6,0))</f>
        <v>60203.5199999958</v>
      </c>
      <c r="M10" s="50" t="n">
        <f aca="false">SUM(J10:L10)</f>
        <v>224772.119999997</v>
      </c>
      <c r="N10" s="49" t="n">
        <f aca="false">INDEX(Модель!$J$91:$JA$91,MATCH("MR|"&amp;$A10&amp;"|3",Модель!$J$6:$JA$6,0))-INDEX(Модель!$J$91:$JA$91,MATCH("MR|"&amp;"BASE"&amp;"|3",Модель!$J$6:$JA$6,0))</f>
        <v>149688</v>
      </c>
      <c r="O10" s="49" t="n">
        <f aca="false">INDEX(Модель!$J$91:$JA$91,MATCH("AF|"&amp;$A10&amp;"|3",Модель!$J$6:$JA$6,0))-INDEX(Модель!$J$91:$JA$91,MATCH("AF|"&amp;"BASE"&amp;"|3",Модель!$J$6:$JA$6,0))</f>
        <v>51744</v>
      </c>
      <c r="P10" s="49" t="n">
        <f aca="false">INDEX(Модель!$J$91:$JA$91,MATCH("IC|"&amp;$A10&amp;"|3",Модель!$J$6:$JA$6,0))-INDEX(Модель!$J$91:$JA$91,MATCH("IC|"&amp;"BASE"&amp;"|3",Модель!$J$6:$JA$6,0))</f>
        <v>67392</v>
      </c>
      <c r="Q10" s="50" t="n">
        <f aca="false">SUM(N10:P10)</f>
        <v>268824</v>
      </c>
      <c r="R10" s="51" t="n">
        <f aca="false">IF($Q$3&lt;&gt;0,Q10/$Q$3,0)</f>
        <v>0.00270499677879544</v>
      </c>
      <c r="S10" s="3" t="n">
        <f aca="false">IF($E10="Внешний","",IF($F10="Ценовой",RANK(Y10,$Y$5:$Y$45),RANK(X10,$X$5:$X$45)))</f>
        <v>7</v>
      </c>
      <c r="T10" s="3"/>
      <c r="U10" s="52"/>
      <c r="V10" s="52"/>
      <c r="W10" s="53"/>
      <c r="X10" s="54" t="n">
        <f aca="false">IF(OR($E10="Внешний",$F10="Ценовой"),-1000000000000000,Q10)+ROW()/1000000000</f>
        <v>268824.00000001</v>
      </c>
      <c r="Y10" s="54" t="n">
        <f aca="false">IF($F10&lt;&gt;"Ценовой",-1000000000000000,Q10)+ROW()/1000000000</f>
        <v>-1000000000000000</v>
      </c>
    </row>
    <row r="11" customFormat="false" ht="15" hidden="false" customHeight="false" outlineLevel="0" collapsed="false">
      <c r="A11" s="42" t="s">
        <v>190</v>
      </c>
      <c r="B11" s="3" t="s">
        <v>191</v>
      </c>
      <c r="C11" s="3" t="s">
        <v>179</v>
      </c>
      <c r="D11" s="44" t="n">
        <v>1</v>
      </c>
      <c r="E11" s="3" t="s">
        <v>376</v>
      </c>
      <c r="F11" s="3" t="s">
        <v>367</v>
      </c>
      <c r="G11" s="49" t="n">
        <f aca="false">INDEX(Вводные!$D$13:$D$64,MATCH($A11,Вводные!$A$13:$A$64,0))</f>
        <v>800</v>
      </c>
      <c r="H11" s="49" t="n">
        <f aca="false">INDEX(Вводные!$E$13:$E$64,MATCH($A11,Вводные!$A$13:$A$64,0))</f>
        <v>15000</v>
      </c>
      <c r="I11" s="49" t="n">
        <f aca="false">INDEX(Вводные!$F$13:$F$64,MATCH($A11,Вводные!$A$13:$A$64,0))</f>
        <v>100000</v>
      </c>
      <c r="J11" s="49" t="n">
        <f aca="false">INDEX(Модель!$J$91:$JA$91,MATCH("MR|"&amp;$A11&amp;"|1",Модель!$J$6:$JA$6,0))-INDEX(Модель!$J$91:$JA$91,MATCH("MR|"&amp;"BASE"&amp;"|1",Модель!$J$6:$JA$6,0))</f>
        <v>122683.68</v>
      </c>
      <c r="K11" s="49" t="n">
        <f aca="false">INDEX(Модель!$J$91:$JA$91,MATCH("AF|"&amp;$A11&amp;"|1",Модель!$J$6:$JA$6,0))-INDEX(Модель!$J$91:$JA$91,MATCH("AF|"&amp;"BASE"&amp;"|1",Модель!$J$6:$JA$6,0))</f>
        <v>41884.9200000018</v>
      </c>
      <c r="L11" s="49" t="n">
        <f aca="false">INDEX(Модель!$J$91:$JA$91,MATCH("IC|"&amp;$A11&amp;"|1",Модель!$J$6:$JA$6,0))-INDEX(Модель!$J$91:$JA$91,MATCH("IC|"&amp;"BASE"&amp;"|1",Модель!$J$6:$JA$6,0))</f>
        <v>60203.5199999958</v>
      </c>
      <c r="M11" s="50" t="n">
        <f aca="false">SUM(J11:L11)</f>
        <v>224772.119999997</v>
      </c>
      <c r="N11" s="49" t="n">
        <f aca="false">INDEX(Модель!$J$91:$JA$91,MATCH("MR|"&amp;$A11&amp;"|3",Модель!$J$6:$JA$6,0))-INDEX(Модель!$J$91:$JA$91,MATCH("MR|"&amp;"BASE"&amp;"|3",Модель!$J$6:$JA$6,0))</f>
        <v>149688</v>
      </c>
      <c r="O11" s="49" t="n">
        <f aca="false">INDEX(Модель!$J$91:$JA$91,MATCH("AF|"&amp;$A11&amp;"|3",Модель!$J$6:$JA$6,0))-INDEX(Модель!$J$91:$JA$91,MATCH("AF|"&amp;"BASE"&amp;"|3",Модель!$J$6:$JA$6,0))</f>
        <v>51744</v>
      </c>
      <c r="P11" s="49" t="n">
        <f aca="false">INDEX(Модель!$J$91:$JA$91,MATCH("IC|"&amp;$A11&amp;"|3",Модель!$J$6:$JA$6,0))-INDEX(Модель!$J$91:$JA$91,MATCH("IC|"&amp;"BASE"&amp;"|3",Модель!$J$6:$JA$6,0))</f>
        <v>67392</v>
      </c>
      <c r="Q11" s="50" t="n">
        <f aca="false">SUM(N11:P11)</f>
        <v>268824</v>
      </c>
      <c r="R11" s="51" t="n">
        <f aca="false">IF($Q$3&lt;&gt;0,Q11/$Q$3,0)</f>
        <v>0.00270499677879544</v>
      </c>
      <c r="S11" s="3" t="n">
        <f aca="false">IF($E11="Внешний","",IF($F11="Ценовой",RANK(Y11,$Y$5:$Y$45),RANK(X11,$X$5:$X$45)))</f>
        <v>6</v>
      </c>
      <c r="T11" s="3"/>
      <c r="U11" s="52"/>
      <c r="V11" s="52"/>
      <c r="W11" s="53"/>
      <c r="X11" s="54" t="n">
        <f aca="false">IF(OR($E11="Внешний",$F11="Ценовой"),-1000000000000000,Q11)+ROW()/1000000000</f>
        <v>268824.000000011</v>
      </c>
      <c r="Y11" s="54" t="n">
        <f aca="false">IF($F11&lt;&gt;"Ценовой",-1000000000000000,Q11)+ROW()/1000000000</f>
        <v>-1000000000000000</v>
      </c>
    </row>
    <row r="12" customFormat="false" ht="23.85" hidden="false" customHeight="false" outlineLevel="0" collapsed="false">
      <c r="A12" s="42" t="s">
        <v>192</v>
      </c>
      <c r="B12" s="3" t="s">
        <v>193</v>
      </c>
      <c r="C12" s="3" t="s">
        <v>194</v>
      </c>
      <c r="D12" s="44" t="n">
        <v>1</v>
      </c>
      <c r="E12" s="3" t="s">
        <v>366</v>
      </c>
      <c r="F12" s="3" t="s">
        <v>381</v>
      </c>
      <c r="G12" s="55" t="n">
        <f aca="false">INDEX(Вводные!$D$13:$D$64,MATCH($A12,Вводные!$A$13:$A$64,0))</f>
        <v>0.0015</v>
      </c>
      <c r="H12" s="55" t="n">
        <f aca="false">INDEX(Вводные!$E$13:$E$64,MATCH($A12,Вводные!$A$13:$A$64,0))</f>
        <v>0.001</v>
      </c>
      <c r="I12" s="55" t="n">
        <f aca="false">INDEX(Вводные!$F$13:$F$64,MATCH($A12,Вводные!$A$13:$A$64,0))</f>
        <v>0.0002</v>
      </c>
      <c r="J12" s="49" t="n">
        <f aca="false">INDEX(Модель!$J$91:$JA$91,MATCH("MR|"&amp;$A12&amp;"|1",Модель!$J$6:$JA$6,0))-INDEX(Модель!$J$91:$JA$91,MATCH("MR|"&amp;"BASE"&amp;"|1",Модель!$J$6:$JA$6,0))</f>
        <v>153354.600000002</v>
      </c>
      <c r="K12" s="49" t="n">
        <f aca="false">INDEX(Модель!$J$91:$JA$91,MATCH("AF|"&amp;$A12&amp;"|1",Модель!$J$6:$JA$6,0))-INDEX(Модель!$J$91:$JA$91,MATCH("AF|"&amp;"BASE"&amp;"|1",Модель!$J$6:$JA$6,0))</f>
        <v>52356.1500000022</v>
      </c>
      <c r="L12" s="49" t="n">
        <f aca="false">INDEX(Модель!$J$91:$JA$91,MATCH("IC|"&amp;$A12&amp;"|1",Модель!$J$6:$JA$6,0))-INDEX(Модель!$J$91:$JA$91,MATCH("IC|"&amp;"BASE"&amp;"|1",Модель!$J$6:$JA$6,0))</f>
        <v>100339.199999996</v>
      </c>
      <c r="M12" s="50" t="n">
        <f aca="false">SUM(J12:L12)</f>
        <v>306049.949999999</v>
      </c>
      <c r="N12" s="49" t="n">
        <f aca="false">INDEX(Модель!$J$91:$JA$91,MATCH("MR|"&amp;$A12&amp;"|3",Модель!$J$6:$JA$6,0))-INDEX(Модель!$J$91:$JA$91,MATCH("MR|"&amp;"BASE"&amp;"|3",Модель!$J$6:$JA$6,0))</f>
        <v>187110</v>
      </c>
      <c r="O12" s="49" t="n">
        <f aca="false">INDEX(Модель!$J$91:$JA$91,MATCH("AF|"&amp;$A12&amp;"|3",Модель!$J$6:$JA$6,0))-INDEX(Модель!$J$91:$JA$91,MATCH("AF|"&amp;"BASE"&amp;"|3",Модель!$J$6:$JA$6,0))</f>
        <v>64680</v>
      </c>
      <c r="P12" s="49" t="n">
        <f aca="false">INDEX(Модель!$J$91:$JA$91,MATCH("IC|"&amp;$A12&amp;"|3",Модель!$J$6:$JA$6,0))-INDEX(Модель!$J$91:$JA$91,MATCH("IC|"&amp;"BASE"&amp;"|3",Модель!$J$6:$JA$6,0))</f>
        <v>112320</v>
      </c>
      <c r="Q12" s="50" t="n">
        <f aca="false">SUM(N12:P12)</f>
        <v>364110</v>
      </c>
      <c r="R12" s="51" t="n">
        <f aca="false">IF($Q$3&lt;&gt;0,Q12/$Q$3,0)</f>
        <v>0.0036637963021427</v>
      </c>
      <c r="S12" s="3" t="n">
        <f aca="false">IF($E12="Внешний","",IF($F12="Ценовой",RANK(Y12,$Y$5:$Y$45),RANK(X12,$X$5:$X$45)))</f>
        <v>3</v>
      </c>
      <c r="T12" s="3" t="s">
        <v>456</v>
      </c>
      <c r="U12" s="56" t="n">
        <f aca="false">IF(G12&lt;&gt;0,J12*0.0001/(G12*Вводные!$D$5),0)+IF(H12&lt;&gt;0,K12*0.0001/(H12*Вводные!$D$5),0)+IF(I12&lt;&gt;0,L12*0.0001/(I12*Вводные!$D$5),0)</f>
        <v>6562885.49999981</v>
      </c>
      <c r="V12" s="50" t="n">
        <f aca="false">IF(G12&lt;&gt;0,N12*0.0001/(G12*Вводные!$D$5),0)+IF(H12&lt;&gt;0,O12*0.0001/(H12*Вводные!$D$5),0)+IF(I12&lt;&gt;0,P12*0.0001/(I12*Вводные!$D$5),0)</f>
        <v>7510200</v>
      </c>
      <c r="W12" s="53" t="s">
        <v>457</v>
      </c>
      <c r="X12" s="54" t="n">
        <f aca="false">IF(OR($E12="Внешний",$F12="Ценовой"),-1000000000000000,Q12)+ROW()/1000000000</f>
        <v>-1000000000000000</v>
      </c>
      <c r="Y12" s="54" t="n">
        <f aca="false">IF($F12&lt;&gt;"Ценовой",-1000000000000000,Q12)+ROW()/1000000000</f>
        <v>364110.000000012</v>
      </c>
    </row>
    <row r="13" customFormat="false" ht="35.05" hidden="false" customHeight="false" outlineLevel="0" collapsed="false">
      <c r="A13" s="42" t="s">
        <v>196</v>
      </c>
      <c r="B13" s="3" t="s">
        <v>197</v>
      </c>
      <c r="C13" s="3" t="s">
        <v>194</v>
      </c>
      <c r="D13" s="44" t="n">
        <v>-1</v>
      </c>
      <c r="E13" s="3" t="s">
        <v>376</v>
      </c>
      <c r="F13" s="3" t="s">
        <v>384</v>
      </c>
      <c r="G13" s="55" t="n">
        <f aca="false">INDEX(Вводные!$D$13:$D$64,MATCH($A13,Вводные!$A$13:$A$64,0))</f>
        <v>0.0003</v>
      </c>
      <c r="H13" s="55" t="n">
        <f aca="false">INDEX(Вводные!$E$13:$E$64,MATCH($A13,Вводные!$A$13:$A$64,0))</f>
        <v>0.0002</v>
      </c>
      <c r="I13" s="55" t="n">
        <f aca="false">INDEX(Вводные!$F$13:$F$64,MATCH($A13,Вводные!$A$13:$A$64,0))</f>
        <v>8E-005</v>
      </c>
      <c r="J13" s="49" t="n">
        <f aca="false">INDEX(Модель!$J$91:$JA$91,MATCH("MR|"&amp;$A13&amp;"|1",Модель!$J$6:$JA$6,0))-INDEX(Модель!$J$91:$JA$91,MATCH("MR|"&amp;"BASE"&amp;"|1",Модель!$J$6:$JA$6,0))</f>
        <v>30670.9200000018</v>
      </c>
      <c r="K13" s="49" t="n">
        <f aca="false">INDEX(Модель!$J$91:$JA$91,MATCH("AF|"&amp;$A13&amp;"|1",Модель!$J$6:$JA$6,0))-INDEX(Модель!$J$91:$JA$91,MATCH("AF|"&amp;"BASE"&amp;"|1",Модель!$J$6:$JA$6,0))</f>
        <v>10471.2300000004</v>
      </c>
      <c r="L13" s="49" t="n">
        <f aca="false">INDEX(Модель!$J$91:$JA$91,MATCH("IC|"&amp;$A13&amp;"|1",Модель!$J$6:$JA$6,0))-INDEX(Модель!$J$91:$JA$91,MATCH("IC|"&amp;"BASE"&amp;"|1",Модель!$J$6:$JA$6,0))</f>
        <v>40135.6799999997</v>
      </c>
      <c r="M13" s="50" t="n">
        <f aca="false">SUM(J13:L13)</f>
        <v>81277.8300000019</v>
      </c>
      <c r="N13" s="49" t="n">
        <f aca="false">INDEX(Модель!$J$91:$JA$91,MATCH("MR|"&amp;$A13&amp;"|3",Модель!$J$6:$JA$6,0))-INDEX(Модель!$J$91:$JA$91,MATCH("MR|"&amp;"BASE"&amp;"|3",Модель!$J$6:$JA$6,0))</f>
        <v>37422</v>
      </c>
      <c r="O13" s="49" t="n">
        <f aca="false">INDEX(Модель!$J$91:$JA$91,MATCH("AF|"&amp;$A13&amp;"|3",Модель!$J$6:$JA$6,0))-INDEX(Модель!$J$91:$JA$91,MATCH("AF|"&amp;"BASE"&amp;"|3",Модель!$J$6:$JA$6,0))</f>
        <v>12936</v>
      </c>
      <c r="P13" s="49" t="n">
        <f aca="false">INDEX(Модель!$J$91:$JA$91,MATCH("IC|"&amp;$A13&amp;"|3",Модель!$J$6:$JA$6,0))-INDEX(Модель!$J$91:$JA$91,MATCH("IC|"&amp;"BASE"&amp;"|3",Модель!$J$6:$JA$6,0))</f>
        <v>44928</v>
      </c>
      <c r="Q13" s="50" t="n">
        <f aca="false">SUM(N13:P13)</f>
        <v>95286</v>
      </c>
      <c r="R13" s="51" t="n">
        <f aca="false">IF($Q$3&lt;&gt;0,Q13/$Q$3,0)</f>
        <v>0.000958799523347255</v>
      </c>
      <c r="S13" s="3" t="n">
        <f aca="false">IF($E13="Внешний","",IF($F13="Ценовой",RANK(Y13,$Y$5:$Y$45),RANK(X13,$X$5:$X$45)))</f>
        <v>17</v>
      </c>
      <c r="T13" s="3" t="s">
        <v>456</v>
      </c>
      <c r="U13" s="56" t="n">
        <f aca="false">IF(G13&lt;&gt;0,J13*0.0001/(G13*Вводные!$D$5),0)+IF(H13&lt;&gt;0,K13*0.0001/(H13*Вводные!$D$5),0)+IF(I13&lt;&gt;0,L13*0.0001/(I13*Вводные!$D$5),0)</f>
        <v>6562885.50000004</v>
      </c>
      <c r="V13" s="50" t="n">
        <f aca="false">IF(G13&lt;&gt;0,N13*0.0001/(G13*Вводные!$D$5),0)+IF(H13&lt;&gt;0,O13*0.0001/(H13*Вводные!$D$5),0)+IF(I13&lt;&gt;0,P13*0.0001/(I13*Вводные!$D$5),0)</f>
        <v>7510200</v>
      </c>
      <c r="W13" s="53"/>
      <c r="X13" s="54" t="n">
        <f aca="false">IF(OR($E13="Внешний",$F13="Ценовой"),-1000000000000000,Q13)+ROW()/1000000000</f>
        <v>95286.000000013</v>
      </c>
      <c r="Y13" s="54" t="n">
        <f aca="false">IF($F13&lt;&gt;"Ценовой",-1000000000000000,Q13)+ROW()/1000000000</f>
        <v>-1000000000000000</v>
      </c>
    </row>
    <row r="14" customFormat="false" ht="15" hidden="false" customHeight="false" outlineLevel="0" collapsed="false">
      <c r="A14" s="42" t="s">
        <v>215</v>
      </c>
      <c r="B14" s="3" t="s">
        <v>216</v>
      </c>
      <c r="C14" s="3" t="s">
        <v>179</v>
      </c>
      <c r="D14" s="44" t="n">
        <v>1</v>
      </c>
      <c r="E14" s="3" t="s">
        <v>376</v>
      </c>
      <c r="F14" s="3" t="s">
        <v>367</v>
      </c>
      <c r="G14" s="49" t="n">
        <f aca="false">INDEX(Вводные!$D$13:$D$64,MATCH($A14,Вводные!$A$13:$A$64,0))</f>
        <v>8000</v>
      </c>
      <c r="H14" s="49" t="n">
        <f aca="false">INDEX(Вводные!$E$13:$E$64,MATCH($A14,Вводные!$A$13:$A$64,0))</f>
        <v>200000</v>
      </c>
      <c r="I14" s="49" t="n">
        <f aca="false">INDEX(Вводные!$F$13:$F$64,MATCH($A14,Вводные!$A$13:$A$64,0))</f>
        <v>25000000</v>
      </c>
      <c r="J14" s="49" t="n">
        <f aca="false">INDEX(Модель!$J$91:$JA$91,MATCH("MR|"&amp;$A14&amp;"|1",Модель!$J$6:$JA$6,0))-INDEX(Модель!$J$91:$JA$91,MATCH("MR|"&amp;"BASE"&amp;"|1",Модель!$J$6:$JA$6,0))</f>
        <v>137938</v>
      </c>
      <c r="K14" s="49" t="n">
        <f aca="false">INDEX(Модель!$J$91:$JA$91,MATCH("AF|"&amp;$A14&amp;"|1",Модель!$J$6:$JA$6,0))-INDEX(Модель!$J$91:$JA$91,MATCH("AF|"&amp;"BASE"&amp;"|1",Модель!$J$6:$JA$6,0))</f>
        <v>123902</v>
      </c>
      <c r="L14" s="49" t="n">
        <f aca="false">INDEX(Модель!$J$91:$JA$91,MATCH("IC|"&amp;$A14&amp;"|1",Модель!$J$6:$JA$6,0))-INDEX(Модель!$J$91:$JA$91,MATCH("IC|"&amp;"BASE"&amp;"|1",Модель!$J$6:$JA$6,0))</f>
        <v>95475</v>
      </c>
      <c r="M14" s="50" t="n">
        <f aca="false">SUM(J14:L14)</f>
        <v>357315</v>
      </c>
      <c r="N14" s="49" t="n">
        <f aca="false">INDEX(Модель!$J$91:$JA$91,MATCH("MR|"&amp;$A14&amp;"|3",Модель!$J$6:$JA$6,0))-INDEX(Модель!$J$91:$JA$91,MATCH("MR|"&amp;"BASE"&amp;"|3",Модель!$J$6:$JA$6,0))</f>
        <v>168300</v>
      </c>
      <c r="O14" s="49" t="n">
        <f aca="false">INDEX(Модель!$J$91:$JA$91,MATCH("AF|"&amp;$A14&amp;"|3",Модель!$J$6:$JA$6,0))-INDEX(Модель!$J$91:$JA$91,MATCH("AF|"&amp;"BASE"&amp;"|3",Модель!$J$6:$JA$6,0))</f>
        <v>153066.666666679</v>
      </c>
      <c r="P14" s="49" t="n">
        <f aca="false">INDEX(Модель!$J$91:$JA$91,MATCH("IC|"&amp;$A14&amp;"|3",Модель!$J$6:$JA$6,0))-INDEX(Модель!$J$91:$JA$91,MATCH("IC|"&amp;"BASE"&amp;"|3",Модель!$J$6:$JA$6,0))</f>
        <v>106875</v>
      </c>
      <c r="Q14" s="50" t="n">
        <f aca="false">SUM(N14:P14)</f>
        <v>428241.666666679</v>
      </c>
      <c r="R14" s="51" t="n">
        <f aca="false">IF($Q$3&lt;&gt;0,Q14/$Q$3,0)</f>
        <v>0.00430911052911704</v>
      </c>
      <c r="S14" s="3" t="n">
        <f aca="false">IF($E14="Внешний","",IF($F14="Ценовой",RANK(Y14,$Y$5:$Y$45),RANK(X14,$X$5:$X$45)))</f>
        <v>5</v>
      </c>
      <c r="T14" s="3"/>
      <c r="U14" s="52"/>
      <c r="V14" s="52"/>
      <c r="W14" s="53"/>
      <c r="X14" s="54" t="n">
        <f aca="false">IF(OR($E14="Внешний",$F14="Ценовой"),-1000000000000000,Q14)+ROW()/1000000000</f>
        <v>428241.666666693</v>
      </c>
      <c r="Y14" s="54" t="n">
        <f aca="false">IF($F14&lt;&gt;"Ценовой",-1000000000000000,Q14)+ROW()/1000000000</f>
        <v>-1000000000000000</v>
      </c>
    </row>
    <row r="15" customFormat="false" ht="23.85" hidden="false" customHeight="false" outlineLevel="0" collapsed="false">
      <c r="A15" s="42" t="s">
        <v>217</v>
      </c>
      <c r="B15" s="3" t="s">
        <v>218</v>
      </c>
      <c r="C15" s="3" t="s">
        <v>194</v>
      </c>
      <c r="D15" s="44" t="n">
        <v>1</v>
      </c>
      <c r="E15" s="3" t="s">
        <v>376</v>
      </c>
      <c r="F15" s="3" t="s">
        <v>367</v>
      </c>
      <c r="G15" s="55" t="n">
        <f aca="false">INDEX(Вводные!$D$13:$D$64,MATCH($A15,Вводные!$A$13:$A$64,0))</f>
        <v>0.12</v>
      </c>
      <c r="H15" s="55" t="n">
        <f aca="false">INDEX(Вводные!$E$13:$E$64,MATCH($A15,Вводные!$A$13:$A$64,0))</f>
        <v>0.08</v>
      </c>
      <c r="I15" s="55" t="n">
        <f aca="false">INDEX(Вводные!$F$13:$F$64,MATCH($A15,Вводные!$A$13:$A$64,0))</f>
        <v>0.05</v>
      </c>
      <c r="J15" s="49" t="n">
        <f aca="false">INDEX(Модель!$J$91:$JA$91,MATCH("MR|"&amp;$A15&amp;"|1",Модель!$J$6:$JA$6,0))-INDEX(Модель!$J$91:$JA$91,MATCH("MR|"&amp;"BASE"&amp;"|1",Модель!$J$6:$JA$6,0))</f>
        <v>121710</v>
      </c>
      <c r="K15" s="49" t="n">
        <f aca="false">INDEX(Модель!$J$91:$JA$91,MATCH("AF|"&amp;$A15&amp;"|1",Модель!$J$6:$JA$6,0))-INDEX(Модель!$J$91:$JA$91,MATCH("AF|"&amp;"BASE"&amp;"|1",Модель!$J$6:$JA$6,0))</f>
        <v>48352</v>
      </c>
      <c r="L15" s="49" t="n">
        <f aca="false">INDEX(Модель!$J$91:$JA$91,MATCH("IC|"&amp;$A15&amp;"|1",Модель!$J$6:$JA$6,0))-INDEX(Модель!$J$91:$JA$91,MATCH("IC|"&amp;"BASE"&amp;"|1",Модель!$J$6:$JA$6,0))</f>
        <v>50250</v>
      </c>
      <c r="M15" s="50" t="n">
        <f aca="false">SUM(J15:L15)</f>
        <v>220312</v>
      </c>
      <c r="N15" s="49" t="n">
        <f aca="false">INDEX(Модель!$J$91:$JA$91,MATCH("MR|"&amp;$A15&amp;"|3",Модель!$J$6:$JA$6,0))-INDEX(Модель!$J$91:$JA$91,MATCH("MR|"&amp;"BASE"&amp;"|3",Модель!$J$6:$JA$6,0))</f>
        <v>148500</v>
      </c>
      <c r="O15" s="49" t="n">
        <f aca="false">INDEX(Модель!$J$91:$JA$91,MATCH("AF|"&amp;$A15&amp;"|3",Модель!$J$6:$JA$6,0))-INDEX(Модель!$J$91:$JA$91,MATCH("AF|"&amp;"BASE"&amp;"|3",Модель!$J$6:$JA$6,0))</f>
        <v>59733.3333333433</v>
      </c>
      <c r="P15" s="49" t="n">
        <f aca="false">INDEX(Модель!$J$91:$JA$91,MATCH("IC|"&amp;$A15&amp;"|3",Модель!$J$6:$JA$6,0))-INDEX(Модель!$J$91:$JA$91,MATCH("IC|"&amp;"BASE"&amp;"|3",Модель!$J$6:$JA$6,0))</f>
        <v>56250</v>
      </c>
      <c r="Q15" s="50" t="n">
        <f aca="false">SUM(N15:P15)</f>
        <v>264483.333333343</v>
      </c>
      <c r="R15" s="51" t="n">
        <f aca="false">IF($Q$3&lt;&gt;0,Q15/$Q$3,0)</f>
        <v>0.00266131954256977</v>
      </c>
      <c r="S15" s="3" t="n">
        <f aca="false">IF($E15="Внешний","",IF($F15="Ценовой",RANK(Y15,$Y$5:$Y$45),RANK(X15,$X$5:$X$45)))</f>
        <v>9</v>
      </c>
      <c r="T15" s="3" t="s">
        <v>454</v>
      </c>
      <c r="U15" s="56" t="n">
        <f aca="false">IF(G15&lt;&gt;0,J15*0.01/(G15*Вводные!$D$5),0)+IF(H15&lt;&gt;0,K15*0.01/(H15*Вводные!$D$5),0)+IF(I15&lt;&gt;0,L15*0.01/(I15*Вводные!$D$5),0)</f>
        <v>2623650</v>
      </c>
      <c r="V15" s="50" t="n">
        <f aca="false">IF(G15&lt;&gt;0,N15*0.01/(G15*Вводные!$D$5),0)+IF(H15&lt;&gt;0,O15*0.01/(H15*Вводные!$D$5),0)+IF(I15&lt;&gt;0,P15*0.01/(I15*Вводные!$D$5),0)</f>
        <v>3109166.66666679</v>
      </c>
      <c r="W15" s="53"/>
      <c r="X15" s="54" t="n">
        <f aca="false">IF(OR($E15="Внешний",$F15="Ценовой"),-1000000000000000,Q15)+ROW()/1000000000</f>
        <v>264483.333333358</v>
      </c>
      <c r="Y15" s="54" t="n">
        <f aca="false">IF($F15&lt;&gt;"Ценовой",-1000000000000000,Q15)+ROW()/1000000000</f>
        <v>-1000000000000000</v>
      </c>
    </row>
    <row r="16" customFormat="false" ht="23.85" hidden="false" customHeight="false" outlineLevel="0" collapsed="false">
      <c r="A16" s="42" t="s">
        <v>219</v>
      </c>
      <c r="B16" s="3" t="s">
        <v>220</v>
      </c>
      <c r="C16" s="3" t="s">
        <v>194</v>
      </c>
      <c r="D16" s="44" t="n">
        <v>1</v>
      </c>
      <c r="E16" s="3" t="s">
        <v>393</v>
      </c>
      <c r="F16" s="3" t="s">
        <v>393</v>
      </c>
      <c r="G16" s="55" t="n">
        <f aca="false">INDEX(Вводные!$D$13:$D$64,MATCH($A16,Вводные!$A$13:$A$64,0))</f>
        <v>0.05</v>
      </c>
      <c r="H16" s="55" t="n">
        <f aca="false">INDEX(Вводные!$E$13:$E$64,MATCH($A16,Вводные!$A$13:$A$64,0))</f>
        <v>0.05</v>
      </c>
      <c r="I16" s="55" t="n">
        <f aca="false">INDEX(Вводные!$F$13:$F$64,MATCH($A16,Вводные!$A$13:$A$64,0))</f>
        <v>0.05</v>
      </c>
      <c r="J16" s="49" t="n">
        <f aca="false">INDEX(Модель!$J$91:$JA$91,MATCH("MR|"&amp;$A16&amp;"|1",Модель!$J$6:$JA$6,0))-INDEX(Модель!$J$91:$JA$91,MATCH("MR|"&amp;"BASE"&amp;"|1",Модель!$J$6:$JA$6,0))</f>
        <v>243420</v>
      </c>
      <c r="K16" s="49" t="n">
        <f aca="false">INDEX(Модель!$J$91:$JA$91,MATCH("AF|"&amp;$A16&amp;"|1",Модель!$J$6:$JA$6,0))-INDEX(Модель!$J$91:$JA$91,MATCH("AF|"&amp;"BASE"&amp;"|1",Модель!$J$6:$JA$6,0))</f>
        <v>120880</v>
      </c>
      <c r="L16" s="49" t="n">
        <f aca="false">INDEX(Модель!$J$91:$JA$91,MATCH("IC|"&amp;$A16&amp;"|1",Модель!$J$6:$JA$6,0))-INDEX(Модель!$J$91:$JA$91,MATCH("IC|"&amp;"BASE"&amp;"|1",Модель!$J$6:$JA$6,0))</f>
        <v>251250</v>
      </c>
      <c r="M16" s="50" t="n">
        <f aca="false">SUM(J16:L16)</f>
        <v>615550</v>
      </c>
      <c r="N16" s="49" t="n">
        <f aca="false">INDEX(Модель!$J$91:$JA$91,MATCH("MR|"&amp;$A16&amp;"|3",Модель!$J$6:$JA$6,0))-INDEX(Модель!$J$91:$JA$91,MATCH("MR|"&amp;"BASE"&amp;"|3",Модель!$J$6:$JA$6,0))</f>
        <v>297000</v>
      </c>
      <c r="O16" s="49" t="n">
        <f aca="false">INDEX(Модель!$J$91:$JA$91,MATCH("AF|"&amp;$A16&amp;"|3",Модель!$J$6:$JA$6,0))-INDEX(Модель!$J$91:$JA$91,MATCH("AF|"&amp;"BASE"&amp;"|3",Модель!$J$6:$JA$6,0))</f>
        <v>149333.333333343</v>
      </c>
      <c r="P16" s="49" t="n">
        <f aca="false">INDEX(Модель!$J$91:$JA$91,MATCH("IC|"&amp;$A16&amp;"|3",Модель!$J$6:$JA$6,0))-INDEX(Модель!$J$91:$JA$91,MATCH("IC|"&amp;"BASE"&amp;"|3",Модель!$J$6:$JA$6,0))</f>
        <v>281250</v>
      </c>
      <c r="Q16" s="50" t="n">
        <f aca="false">SUM(N16:P16)</f>
        <v>727583.333333343</v>
      </c>
      <c r="R16" s="51" t="n">
        <f aca="false">IF($Q$3&lt;&gt;0,Q16/$Q$3,0)</f>
        <v>0.00732118625186719</v>
      </c>
      <c r="S16" s="3" t="str">
        <f aca="false">IF($E16="Внешний","",IF($F16="Ценовой",RANK(Y16,$Y$5:$Y$45),RANK(X16,$X$5:$X$45)))</f>
        <v/>
      </c>
      <c r="T16" s="3" t="s">
        <v>454</v>
      </c>
      <c r="U16" s="56" t="n">
        <f aca="false">IF(G16&lt;&gt;0,J16*0.01/(G16*Вводные!$D$5),0)+IF(H16&lt;&gt;0,K16*0.01/(H16*Вводные!$D$5),0)+IF(I16&lt;&gt;0,L16*0.01/(I16*Вводные!$D$5),0)</f>
        <v>12311000</v>
      </c>
      <c r="V16" s="50" t="n">
        <f aca="false">IF(G16&lt;&gt;0,N16*0.01/(G16*Вводные!$D$5),0)+IF(H16&lt;&gt;0,O16*0.01/(H16*Вводные!$D$5),0)+IF(I16&lt;&gt;0,P16*0.01/(I16*Вводные!$D$5),0)</f>
        <v>14551666.6666669</v>
      </c>
      <c r="W16" s="53" t="s">
        <v>458</v>
      </c>
      <c r="X16" s="54" t="n">
        <f aca="false">IF(OR($E16="Внешний",$F16="Ценовой"),-1000000000000000,Q16)+ROW()/1000000000</f>
        <v>-1000000000000000</v>
      </c>
      <c r="Y16" s="54" t="n">
        <f aca="false">IF($F16&lt;&gt;"Ценовой",-1000000000000000,Q16)+ROW()/1000000000</f>
        <v>-1000000000000000</v>
      </c>
    </row>
    <row r="17" customFormat="false" ht="23.85" hidden="false" customHeight="false" outlineLevel="0" collapsed="false">
      <c r="A17" s="42" t="s">
        <v>221</v>
      </c>
      <c r="B17" s="3" t="s">
        <v>222</v>
      </c>
      <c r="C17" s="3" t="s">
        <v>194</v>
      </c>
      <c r="D17" s="44" t="n">
        <v>-1</v>
      </c>
      <c r="E17" s="3" t="s">
        <v>366</v>
      </c>
      <c r="F17" s="3" t="s">
        <v>381</v>
      </c>
      <c r="G17" s="55" t="n">
        <f aca="false">INDEX(Вводные!$D$13:$D$64,MATCH($A17,Вводные!$A$13:$A$64,0))</f>
        <v>0.02</v>
      </c>
      <c r="H17" s="55" t="n">
        <f aca="false">INDEX(Вводные!$E$13:$E$64,MATCH($A17,Вводные!$A$13:$A$64,0))</f>
        <v>0.025</v>
      </c>
      <c r="I17" s="55" t="n">
        <f aca="false">INDEX(Вводные!$F$13:$F$64,MATCH($A17,Вводные!$A$13:$A$64,0))</f>
        <v>0.035</v>
      </c>
      <c r="J17" s="49" t="n">
        <f aca="false">INDEX(Модель!$J$91:$JA$91,MATCH("MR|"&amp;$A17&amp;"|1",Модель!$J$6:$JA$6,0))-INDEX(Модель!$J$91:$JA$91,MATCH("MR|"&amp;"BASE"&amp;"|1",Модель!$J$6:$JA$6,0))</f>
        <v>97368</v>
      </c>
      <c r="K17" s="49" t="n">
        <f aca="false">INDEX(Модель!$J$91:$JA$91,MATCH("AF|"&amp;$A17&amp;"|1",Модель!$J$6:$JA$6,0))-INDEX(Модель!$J$91:$JA$91,MATCH("AF|"&amp;"BASE"&amp;"|1",Модель!$J$6:$JA$6,0))</f>
        <v>60440</v>
      </c>
      <c r="L17" s="49" t="n">
        <f aca="false">INDEX(Модель!$J$91:$JA$91,MATCH("IC|"&amp;$A17&amp;"|1",Модель!$J$6:$JA$6,0))-INDEX(Модель!$J$91:$JA$91,MATCH("IC|"&amp;"BASE"&amp;"|1",Модель!$J$6:$JA$6,0))</f>
        <v>175875</v>
      </c>
      <c r="M17" s="50" t="n">
        <f aca="false">SUM(J17:L17)</f>
        <v>333683</v>
      </c>
      <c r="N17" s="49" t="n">
        <f aca="false">INDEX(Модель!$J$91:$JA$91,MATCH("MR|"&amp;$A17&amp;"|3",Модель!$J$6:$JA$6,0))-INDEX(Модель!$J$91:$JA$91,MATCH("MR|"&amp;"BASE"&amp;"|3",Модель!$J$6:$JA$6,0))</f>
        <v>118800</v>
      </c>
      <c r="O17" s="49" t="n">
        <f aca="false">INDEX(Модель!$J$91:$JA$91,MATCH("AF|"&amp;$A17&amp;"|3",Модель!$J$6:$JA$6,0))-INDEX(Модель!$J$91:$JA$91,MATCH("AF|"&amp;"BASE"&amp;"|3",Модель!$J$6:$JA$6,0))</f>
        <v>74666.6666666716</v>
      </c>
      <c r="P17" s="49" t="n">
        <f aca="false">INDEX(Модель!$J$91:$JA$91,MATCH("IC|"&amp;$A17&amp;"|3",Модель!$J$6:$JA$6,0))-INDEX(Модель!$J$91:$JA$91,MATCH("IC|"&amp;"BASE"&amp;"|3",Модель!$J$6:$JA$6,0))</f>
        <v>196875</v>
      </c>
      <c r="Q17" s="50" t="n">
        <f aca="false">SUM(N17:P17)</f>
        <v>390341.666666672</v>
      </c>
      <c r="R17" s="51" t="n">
        <f aca="false">IF($Q$3&lt;&gt;0,Q17/$Q$3,0)</f>
        <v>0.00392774808411076</v>
      </c>
      <c r="S17" s="3" t="n">
        <f aca="false">IF($E17="Внешний","",IF($F17="Ценовой",RANK(Y17,$Y$5:$Y$45),RANK(X17,$X$5:$X$45)))</f>
        <v>2</v>
      </c>
      <c r="T17" s="3" t="s">
        <v>454</v>
      </c>
      <c r="U17" s="56" t="n">
        <f aca="false">IF(G17&lt;&gt;0,J17*0.01/(G17*Вводные!$D$5),0)+IF(H17&lt;&gt;0,K17*0.01/(H17*Вводные!$D$5),0)+IF(I17&lt;&gt;0,L17*0.01/(I17*Вводные!$D$5),0)</f>
        <v>12311000</v>
      </c>
      <c r="V17" s="50" t="n">
        <f aca="false">IF(G17&lt;&gt;0,N17*0.01/(G17*Вводные!$D$5),0)+IF(H17&lt;&gt;0,O17*0.01/(H17*Вводные!$D$5),0)+IF(I17&lt;&gt;0,P17*0.01/(I17*Вводные!$D$5),0)</f>
        <v>14551666.6666669</v>
      </c>
      <c r="W17" s="53" t="s">
        <v>457</v>
      </c>
      <c r="X17" s="54" t="n">
        <f aca="false">IF(OR($E17="Внешний",$F17="Ценовой"),-1000000000000000,Q17)+ROW()/1000000000</f>
        <v>-1000000000000000</v>
      </c>
      <c r="Y17" s="54" t="n">
        <f aca="false">IF($F17&lt;&gt;"Ценовой",-1000000000000000,Q17)+ROW()/1000000000</f>
        <v>390341.666666689</v>
      </c>
    </row>
    <row r="18" customFormat="false" ht="23.85" hidden="false" customHeight="false" outlineLevel="0" collapsed="false">
      <c r="A18" s="42" t="s">
        <v>201</v>
      </c>
      <c r="B18" s="3" t="s">
        <v>202</v>
      </c>
      <c r="C18" s="3" t="s">
        <v>194</v>
      </c>
      <c r="D18" s="44" t="n">
        <v>1</v>
      </c>
      <c r="E18" s="3" t="s">
        <v>366</v>
      </c>
      <c r="F18" s="3" t="s">
        <v>367</v>
      </c>
      <c r="G18" s="55" t="n">
        <f aca="false">INDEX(Вводные!$D$13:$D$64,MATCH($A18,Вводные!$A$13:$A$64,0))</f>
        <v>0.05</v>
      </c>
      <c r="H18" s="55" t="n">
        <f aca="false">INDEX(Вводные!$E$13:$E$64,MATCH($A18,Вводные!$A$13:$A$64,0))</f>
        <v>0.1</v>
      </c>
      <c r="I18" s="55" t="n">
        <f aca="false">INDEX(Вводные!$F$13:$F$64,MATCH($A18,Вводные!$A$13:$A$64,0))</f>
        <v>0.2</v>
      </c>
      <c r="J18" s="49" t="n">
        <f aca="false">INDEX(Модель!$J$91:$JA$91,MATCH("MR|"&amp;$A18&amp;"|1",Модель!$J$6:$JA$6,0))-INDEX(Модель!$J$91:$JA$91,MATCH("MR|"&amp;"BASE"&amp;"|1",Модель!$J$6:$JA$6,0))</f>
        <v>91282.5</v>
      </c>
      <c r="K18" s="49" t="n">
        <f aca="false">INDEX(Модель!$J$91:$JA$91,MATCH("AF|"&amp;$A18&amp;"|1",Модель!$J$6:$JA$6,0))-INDEX(Модель!$J$91:$JA$91,MATCH("AF|"&amp;"BASE"&amp;"|1",Модель!$J$6:$JA$6,0))</f>
        <v>63462</v>
      </c>
      <c r="L18" s="49" t="n">
        <f aca="false">INDEX(Модель!$J$91:$JA$91,MATCH("IC|"&amp;$A18&amp;"|1",Модель!$J$6:$JA$6,0))-INDEX(Модель!$J$91:$JA$91,MATCH("IC|"&amp;"BASE"&amp;"|1",Модель!$J$6:$JA$6,0))</f>
        <v>56280</v>
      </c>
      <c r="M18" s="50" t="n">
        <f aca="false">SUM(J18:L18)</f>
        <v>211024.5</v>
      </c>
      <c r="N18" s="49" t="n">
        <f aca="false">INDEX(Модель!$J$91:$JA$91,MATCH("MR|"&amp;$A18&amp;"|3",Модель!$J$6:$JA$6,0))-INDEX(Модель!$J$91:$JA$91,MATCH("MR|"&amp;"BASE"&amp;"|3",Модель!$J$6:$JA$6,0))</f>
        <v>111375</v>
      </c>
      <c r="O18" s="49" t="n">
        <f aca="false">INDEX(Модель!$J$91:$JA$91,MATCH("AF|"&amp;$A18&amp;"|3",Модель!$J$6:$JA$6,0))-INDEX(Модель!$J$91:$JA$91,MATCH("AF|"&amp;"BASE"&amp;"|3",Модель!$J$6:$JA$6,0))</f>
        <v>78400</v>
      </c>
      <c r="P18" s="49" t="n">
        <f aca="false">INDEX(Модель!$J$91:$JA$91,MATCH("IC|"&amp;$A18&amp;"|3",Модель!$J$6:$JA$6,0))-INDEX(Модель!$J$91:$JA$91,MATCH("IC|"&amp;"BASE"&amp;"|3",Модель!$J$6:$JA$6,0))</f>
        <v>63000</v>
      </c>
      <c r="Q18" s="50" t="n">
        <f aca="false">SUM(N18:P18)</f>
        <v>252775</v>
      </c>
      <c r="R18" s="51" t="n">
        <f aca="false">IF($Q$3&lt;&gt;0,Q18/$Q$3,0)</f>
        <v>0.00254350638618582</v>
      </c>
      <c r="S18" s="3" t="n">
        <f aca="false">IF($E18="Внешний","",IF($F18="Ценовой",RANK(Y18,$Y$5:$Y$45),RANK(X18,$X$5:$X$45)))</f>
        <v>11</v>
      </c>
      <c r="T18" s="3" t="s">
        <v>454</v>
      </c>
      <c r="U18" s="56" t="n">
        <f aca="false">IF(G18&lt;&gt;0,J18*0.01/(G18*Вводные!$D$5),0)+IF(H18&lt;&gt;0,K18*0.01/(H18*Вводные!$D$5),0)+IF(I18&lt;&gt;0,L18*0.01/(I18*Вводные!$D$5),0)</f>
        <v>2741670</v>
      </c>
      <c r="V18" s="50" t="n">
        <f aca="false">IF(G18&lt;&gt;0,N18*0.01/(G18*Вводные!$D$5),0)+IF(H18&lt;&gt;0,O18*0.01/(H18*Вводные!$D$5),0)+IF(I18&lt;&gt;0,P18*0.01/(I18*Вводные!$D$5),0)</f>
        <v>3326500</v>
      </c>
      <c r="W18" s="53"/>
      <c r="X18" s="54" t="n">
        <f aca="false">IF(OR($E18="Внешний",$F18="Ценовой"),-1000000000000000,Q18)+ROW()/1000000000</f>
        <v>252775.000000018</v>
      </c>
      <c r="Y18" s="54" t="n">
        <f aca="false">IF($F18&lt;&gt;"Ценовой",-1000000000000000,Q18)+ROW()/1000000000</f>
        <v>-1000000000000000</v>
      </c>
    </row>
    <row r="19" customFormat="false" ht="15" hidden="false" customHeight="false" outlineLevel="0" collapsed="false">
      <c r="A19" s="42" t="s">
        <v>203</v>
      </c>
      <c r="B19" s="3" t="s">
        <v>204</v>
      </c>
      <c r="C19" s="3" t="s">
        <v>179</v>
      </c>
      <c r="D19" s="44" t="n">
        <v>1</v>
      </c>
      <c r="E19" s="3" t="s">
        <v>376</v>
      </c>
      <c r="F19" s="3" t="s">
        <v>367</v>
      </c>
      <c r="G19" s="49" t="n">
        <f aca="false">INDEX(Вводные!$D$13:$D$64,MATCH($A19,Вводные!$A$13:$A$64,0))</f>
        <v>8000</v>
      </c>
      <c r="H19" s="49" t="n">
        <f aca="false">INDEX(Вводные!$E$13:$E$64,MATCH($A19,Вводные!$A$13:$A$64,0))</f>
        <v>150000</v>
      </c>
      <c r="I19" s="49" t="n">
        <f aca="false">INDEX(Вводные!$F$13:$F$64,MATCH($A19,Вводные!$A$13:$A$64,0))</f>
        <v>5000000</v>
      </c>
      <c r="J19" s="49" t="n">
        <f aca="false">INDEX(Модель!$J$91:$JA$91,MATCH("MR|"&amp;$A19&amp;"|1",Модель!$J$6:$JA$6,0))-INDEX(Модель!$J$91:$JA$91,MATCH("MR|"&amp;"BASE"&amp;"|1",Модель!$J$6:$JA$6,0))</f>
        <v>91282.5</v>
      </c>
      <c r="K19" s="49" t="n">
        <f aca="false">INDEX(Модель!$J$91:$JA$91,MATCH("AF|"&amp;$A19&amp;"|1",Модель!$J$6:$JA$6,0))-INDEX(Модель!$J$91:$JA$91,MATCH("AF|"&amp;"BASE"&amp;"|1",Модель!$J$6:$JA$6,0))</f>
        <v>63462</v>
      </c>
      <c r="L19" s="49" t="n">
        <f aca="false">INDEX(Модель!$J$91:$JA$91,MATCH("IC|"&amp;$A19&amp;"|1",Модель!$J$6:$JA$6,0))-INDEX(Модель!$J$91:$JA$91,MATCH("IC|"&amp;"BASE"&amp;"|1",Модель!$J$6:$JA$6,0))</f>
        <v>56280</v>
      </c>
      <c r="M19" s="50" t="n">
        <f aca="false">SUM(J19:L19)</f>
        <v>211024.5</v>
      </c>
      <c r="N19" s="49" t="n">
        <f aca="false">INDEX(Модель!$J$91:$JA$91,MATCH("MR|"&amp;$A19&amp;"|3",Модель!$J$6:$JA$6,0))-INDEX(Модель!$J$91:$JA$91,MATCH("MR|"&amp;"BASE"&amp;"|3",Модель!$J$6:$JA$6,0))</f>
        <v>111375</v>
      </c>
      <c r="O19" s="49" t="n">
        <f aca="false">INDEX(Модель!$J$91:$JA$91,MATCH("AF|"&amp;$A19&amp;"|3",Модель!$J$6:$JA$6,0))-INDEX(Модель!$J$91:$JA$91,MATCH("AF|"&amp;"BASE"&amp;"|3",Модель!$J$6:$JA$6,0))</f>
        <v>78400</v>
      </c>
      <c r="P19" s="49" t="n">
        <f aca="false">INDEX(Модель!$J$91:$JA$91,MATCH("IC|"&amp;$A19&amp;"|3",Модель!$J$6:$JA$6,0))-INDEX(Модель!$J$91:$JA$91,MATCH("IC|"&amp;"BASE"&amp;"|3",Модель!$J$6:$JA$6,0))</f>
        <v>63000</v>
      </c>
      <c r="Q19" s="50" t="n">
        <f aca="false">SUM(N19:P19)</f>
        <v>252775</v>
      </c>
      <c r="R19" s="51" t="n">
        <f aca="false">IF($Q$3&lt;&gt;0,Q19/$Q$3,0)</f>
        <v>0.00254350638618582</v>
      </c>
      <c r="S19" s="3" t="n">
        <f aca="false">IF($E19="Внешний","",IF($F19="Ценовой",RANK(Y19,$Y$5:$Y$45),RANK(X19,$X$5:$X$45)))</f>
        <v>10</v>
      </c>
      <c r="T19" s="3"/>
      <c r="U19" s="52"/>
      <c r="V19" s="52"/>
      <c r="W19" s="53"/>
      <c r="X19" s="54" t="n">
        <f aca="false">IF(OR($E19="Внешний",$F19="Ценовой"),-1000000000000000,Q19)+ROW()/1000000000</f>
        <v>252775.000000019</v>
      </c>
      <c r="Y19" s="54" t="n">
        <f aca="false">IF($F19&lt;&gt;"Ценовой",-1000000000000000,Q19)+ROW()/1000000000</f>
        <v>-1000000000000000</v>
      </c>
    </row>
    <row r="20" customFormat="false" ht="23.85" hidden="false" customHeight="false" outlineLevel="0" collapsed="false">
      <c r="A20" s="42" t="s">
        <v>205</v>
      </c>
      <c r="B20" s="3" t="s">
        <v>206</v>
      </c>
      <c r="C20" s="3" t="s">
        <v>194</v>
      </c>
      <c r="D20" s="44" t="n">
        <v>1</v>
      </c>
      <c r="E20" s="3" t="s">
        <v>366</v>
      </c>
      <c r="F20" s="3" t="s">
        <v>381</v>
      </c>
      <c r="G20" s="55" t="n">
        <f aca="false">INDEX(Вводные!$D$13:$D$64,MATCH($A20,Вводные!$A$13:$A$64,0))</f>
        <v>0.12</v>
      </c>
      <c r="H20" s="55" t="n">
        <f aca="false">INDEX(Вводные!$E$13:$E$64,MATCH($A20,Вводные!$A$13:$A$64,0))</f>
        <v>0.1</v>
      </c>
      <c r="I20" s="55" t="n">
        <f aca="false">INDEX(Вводные!$F$13:$F$64,MATCH($A20,Вводные!$A$13:$A$64,0))</f>
        <v>0.08</v>
      </c>
      <c r="J20" s="49" t="n">
        <f aca="false">INDEX(Модель!$J$91:$JA$91,MATCH("MR|"&amp;$A20&amp;"|1",Модель!$J$6:$JA$6,0))-INDEX(Модель!$J$91:$JA$91,MATCH("MR|"&amp;"BASE"&amp;"|1",Модель!$J$6:$JA$6,0))</f>
        <v>243420</v>
      </c>
      <c r="K20" s="49" t="n">
        <f aca="false">INDEX(Модель!$J$91:$JA$91,MATCH("AF|"&amp;$A20&amp;"|1",Модель!$J$6:$JA$6,0))-INDEX(Модель!$J$91:$JA$91,MATCH("AF|"&amp;"BASE"&amp;"|1",Модель!$J$6:$JA$6,0))</f>
        <v>226650</v>
      </c>
      <c r="L20" s="49" t="n">
        <f aca="false">INDEX(Модель!$J$91:$JA$91,MATCH("IC|"&amp;$A20&amp;"|1",Модель!$J$6:$JA$6,0))-INDEX(Модель!$J$91:$JA$91,MATCH("IC|"&amp;"BASE"&amp;"|1",Модель!$J$6:$JA$6,0))</f>
        <v>321599.999999993</v>
      </c>
      <c r="M20" s="50" t="n">
        <f aca="false">SUM(J20:L20)</f>
        <v>791669.999999993</v>
      </c>
      <c r="N20" s="49" t="n">
        <f aca="false">INDEX(Модель!$J$91:$JA$91,MATCH("MR|"&amp;$A20&amp;"|3",Модель!$J$6:$JA$6,0))-INDEX(Модель!$J$91:$JA$91,MATCH("MR|"&amp;"BASE"&amp;"|3",Модель!$J$6:$JA$6,0))</f>
        <v>297000</v>
      </c>
      <c r="O20" s="49" t="n">
        <f aca="false">INDEX(Модель!$J$91:$JA$91,MATCH("AF|"&amp;$A20&amp;"|3",Модель!$J$6:$JA$6,0))-INDEX(Модель!$J$91:$JA$91,MATCH("AF|"&amp;"BASE"&amp;"|3",Модель!$J$6:$JA$6,0))</f>
        <v>280000</v>
      </c>
      <c r="P20" s="49" t="n">
        <f aca="false">INDEX(Модель!$J$91:$JA$91,MATCH("IC|"&amp;$A20&amp;"|3",Модель!$J$6:$JA$6,0))-INDEX(Модель!$J$91:$JA$91,MATCH("IC|"&amp;"BASE"&amp;"|3",Модель!$J$6:$JA$6,0))</f>
        <v>360000</v>
      </c>
      <c r="Q20" s="50" t="n">
        <f aca="false">SUM(N20:P20)</f>
        <v>937000</v>
      </c>
      <c r="R20" s="51" t="n">
        <f aca="false">IF($Q$3&lt;&gt;0,Q20/$Q$3,0)</f>
        <v>0.00942840662192115</v>
      </c>
      <c r="S20" s="3" t="n">
        <f aca="false">IF($E20="Внешний","",IF($F20="Ценовой",RANK(Y20,$Y$5:$Y$45),RANK(X20,$X$5:$X$45)))</f>
        <v>1</v>
      </c>
      <c r="T20" s="3" t="s">
        <v>454</v>
      </c>
      <c r="U20" s="56" t="n">
        <f aca="false">IF(G20&lt;&gt;0,J20*0.01/(G20*Вводные!$D$5),0)+IF(H20&lt;&gt;0,K20*0.01/(H20*Вводные!$D$5),0)+IF(I20&lt;&gt;0,L20*0.01/(I20*Вводные!$D$5),0)</f>
        <v>8314999.99999991</v>
      </c>
      <c r="V20" s="50" t="n">
        <f aca="false">IF(G20&lt;&gt;0,N20*0.01/(G20*Вводные!$D$5),0)+IF(H20&lt;&gt;0,O20*0.01/(H20*Вводные!$D$5),0)+IF(I20&lt;&gt;0,P20*0.01/(I20*Вводные!$D$5),0)</f>
        <v>9775000</v>
      </c>
      <c r="W20" s="53" t="s">
        <v>457</v>
      </c>
      <c r="X20" s="54" t="n">
        <f aca="false">IF(OR($E20="Внешний",$F20="Ценовой"),-1000000000000000,Q20)+ROW()/1000000000</f>
        <v>-1000000000000000</v>
      </c>
      <c r="Y20" s="54" t="n">
        <f aca="false">IF($F20&lt;&gt;"Ценовой",-1000000000000000,Q20)+ROW()/1000000000</f>
        <v>937000.00000002</v>
      </c>
    </row>
    <row r="21" customFormat="false" ht="23.85" hidden="false" customHeight="false" outlineLevel="0" collapsed="false">
      <c r="A21" s="42" t="s">
        <v>207</v>
      </c>
      <c r="B21" s="3" t="s">
        <v>208</v>
      </c>
      <c r="C21" s="3" t="s">
        <v>194</v>
      </c>
      <c r="D21" s="44" t="n">
        <v>-1</v>
      </c>
      <c r="E21" s="3" t="s">
        <v>393</v>
      </c>
      <c r="F21" s="3" t="s">
        <v>393</v>
      </c>
      <c r="G21" s="55" t="n">
        <f aca="false">INDEX(Вводные!$D$13:$D$64,MATCH($A21,Вводные!$A$13:$A$64,0))</f>
        <v>0.07</v>
      </c>
      <c r="H21" s="55" t="n">
        <f aca="false">INDEX(Вводные!$E$13:$E$64,MATCH($A21,Вводные!$A$13:$A$64,0))</f>
        <v>0.07</v>
      </c>
      <c r="I21" s="55" t="n">
        <f aca="false">INDEX(Вводные!$F$13:$F$64,MATCH($A21,Вводные!$A$13:$A$64,0))</f>
        <v>0.065</v>
      </c>
      <c r="J21" s="49" t="n">
        <f aca="false">INDEX(Модель!$J$91:$JA$91,MATCH("MR|"&amp;$A21&amp;"|1",Модель!$J$6:$JA$6,0))-INDEX(Модель!$J$91:$JA$91,MATCH("MR|"&amp;"BASE"&amp;"|1",Модель!$J$6:$JA$6,0))</f>
        <v>141995</v>
      </c>
      <c r="K21" s="49" t="n">
        <f aca="false">INDEX(Модель!$J$91:$JA$91,MATCH("AF|"&amp;$A21&amp;"|1",Модель!$J$6:$JA$6,0))-INDEX(Модель!$J$91:$JA$91,MATCH("AF|"&amp;"BASE"&amp;"|1",Модель!$J$6:$JA$6,0))</f>
        <v>158655.000000004</v>
      </c>
      <c r="L21" s="49" t="n">
        <f aca="false">INDEX(Модель!$J$91:$JA$91,MATCH("IC|"&amp;$A21&amp;"|1",Модель!$J$6:$JA$6,0))-INDEX(Модель!$J$91:$JA$91,MATCH("IC|"&amp;"BASE"&amp;"|1",Модель!$J$6:$JA$6,0))</f>
        <v>261299.999999993</v>
      </c>
      <c r="M21" s="50" t="n">
        <f aca="false">SUM(J21:L21)</f>
        <v>561949.999999996</v>
      </c>
      <c r="N21" s="49" t="n">
        <f aca="false">INDEX(Модель!$J$91:$JA$91,MATCH("MR|"&amp;$A21&amp;"|3",Модель!$J$6:$JA$6,0))-INDEX(Модель!$J$91:$JA$91,MATCH("MR|"&amp;"BASE"&amp;"|3",Модель!$J$6:$JA$6,0))</f>
        <v>173250</v>
      </c>
      <c r="O21" s="49" t="n">
        <f aca="false">INDEX(Модель!$J$91:$JA$91,MATCH("AF|"&amp;$A21&amp;"|3",Модель!$J$6:$JA$6,0))-INDEX(Модель!$J$91:$JA$91,MATCH("AF|"&amp;"BASE"&amp;"|3",Модель!$J$6:$JA$6,0))</f>
        <v>196000.000000007</v>
      </c>
      <c r="P21" s="49" t="n">
        <f aca="false">INDEX(Модель!$J$91:$JA$91,MATCH("IC|"&amp;$A21&amp;"|3",Модель!$J$6:$JA$6,0))-INDEX(Модель!$J$91:$JA$91,MATCH("IC|"&amp;"BASE"&amp;"|3",Модель!$J$6:$JA$6,0))</f>
        <v>292500</v>
      </c>
      <c r="Q21" s="50" t="n">
        <f aca="false">SUM(N21:P21)</f>
        <v>661750.000000008</v>
      </c>
      <c r="R21" s="51" t="n">
        <f aca="false">IF($Q$3&lt;&gt;0,Q21/$Q$3,0)</f>
        <v>0.00665874928714663</v>
      </c>
      <c r="S21" s="3" t="str">
        <f aca="false">IF($E21="Внешний","",IF($F21="Ценовой",RANK(Y21,$Y$5:$Y$45),RANK(X21,$X$5:$X$45)))</f>
        <v/>
      </c>
      <c r="T21" s="3" t="s">
        <v>454</v>
      </c>
      <c r="U21" s="56" t="n">
        <f aca="false">IF(G21&lt;&gt;0,J21*0.01/(G21*Вводные!$D$5),0)+IF(H21&lt;&gt;0,K21*0.01/(H21*Вводные!$D$5),0)+IF(I21&lt;&gt;0,L21*0.01/(I21*Вводные!$D$5),0)</f>
        <v>8314999.99999994</v>
      </c>
      <c r="V21" s="50" t="n">
        <f aca="false">IF(G21&lt;&gt;0,N21*0.01/(G21*Вводные!$D$5),0)+IF(H21&lt;&gt;0,O21*0.01/(H21*Вводные!$D$5),0)+IF(I21&lt;&gt;0,P21*0.01/(I21*Вводные!$D$5),0)</f>
        <v>9775000.0000001</v>
      </c>
      <c r="W21" s="53" t="s">
        <v>458</v>
      </c>
      <c r="X21" s="54" t="n">
        <f aca="false">IF(OR($E21="Внешний",$F21="Ценовой"),-1000000000000000,Q21)+ROW()/1000000000</f>
        <v>-1000000000000000</v>
      </c>
      <c r="Y21" s="54" t="n">
        <f aca="false">IF($F21&lt;&gt;"Ценовой",-1000000000000000,Q21)+ROW()/1000000000</f>
        <v>-1000000000000000</v>
      </c>
    </row>
    <row r="22" customFormat="false" ht="23.85" hidden="false" customHeight="false" outlineLevel="0" collapsed="false">
      <c r="A22" s="42" t="s">
        <v>295</v>
      </c>
      <c r="B22" s="3" t="s">
        <v>296</v>
      </c>
      <c r="C22" s="3" t="s">
        <v>194</v>
      </c>
      <c r="D22" s="44" t="n">
        <v>-1</v>
      </c>
      <c r="E22" s="3" t="s">
        <v>376</v>
      </c>
      <c r="F22" s="3" t="s">
        <v>384</v>
      </c>
      <c r="G22" s="55" t="n">
        <f aca="false">INDEX(Вводные!$D$13:$D$64,MATCH($A22,Вводные!$A$13:$A$64,0))</f>
        <v>0.005</v>
      </c>
      <c r="H22" s="55" t="n">
        <f aca="false">INDEX(Вводные!$E$13:$E$64,MATCH($A22,Вводные!$A$13:$A$64,0))</f>
        <v>0.002</v>
      </c>
      <c r="I22" s="55" t="n">
        <f aca="false">INDEX(Вводные!$F$13:$F$64,MATCH($A22,Вводные!$A$13:$A$64,0))</f>
        <v>0.001</v>
      </c>
      <c r="J22" s="49" t="n">
        <f aca="false">INDEX(Модель!$J$91:$JA$91,MATCH("MR|"&amp;$A22&amp;"|1",Модель!$J$6:$JA$6,0))-INDEX(Модель!$J$91:$JA$91,MATCH("MR|"&amp;"BASE"&amp;"|1",Модель!$J$6:$JA$6,0))</f>
        <v>10142.5</v>
      </c>
      <c r="K22" s="49" t="n">
        <f aca="false">INDEX(Модель!$J$91:$JA$91,MATCH("AF|"&amp;$A22&amp;"|1",Модель!$J$6:$JA$6,0))-INDEX(Модель!$J$91:$JA$91,MATCH("AF|"&amp;"BASE"&amp;"|1",Модель!$J$6:$JA$6,0))</f>
        <v>4533</v>
      </c>
      <c r="L22" s="49" t="n">
        <f aca="false">INDEX(Модель!$J$91:$JA$91,MATCH("IC|"&amp;$A22&amp;"|1",Модель!$J$6:$JA$6,0))-INDEX(Модель!$J$91:$JA$91,MATCH("IC|"&amp;"BASE"&amp;"|1",Модель!$J$6:$JA$6,0))</f>
        <v>4020</v>
      </c>
      <c r="M22" s="50" t="n">
        <f aca="false">SUM(J22:L22)</f>
        <v>18695.5</v>
      </c>
      <c r="N22" s="49" t="n">
        <f aca="false">INDEX(Модель!$J$91:$JA$91,MATCH("MR|"&amp;$A22&amp;"|3",Модель!$J$6:$JA$6,0))-INDEX(Модель!$J$91:$JA$91,MATCH("MR|"&amp;"BASE"&amp;"|3",Модель!$J$6:$JA$6,0))</f>
        <v>12375</v>
      </c>
      <c r="O22" s="49" t="n">
        <f aca="false">INDEX(Модель!$J$91:$JA$91,MATCH("AF|"&amp;$A22&amp;"|3",Модель!$J$6:$JA$6,0))-INDEX(Модель!$J$91:$JA$91,MATCH("AF|"&amp;"BASE"&amp;"|3",Модель!$J$6:$JA$6,0))</f>
        <v>5600</v>
      </c>
      <c r="P22" s="49" t="n">
        <f aca="false">INDEX(Модель!$J$91:$JA$91,MATCH("IC|"&amp;$A22&amp;"|3",Модель!$J$6:$JA$6,0))-INDEX(Модель!$J$91:$JA$91,MATCH("IC|"&amp;"BASE"&amp;"|3",Модель!$J$6:$JA$6,0))</f>
        <v>4500</v>
      </c>
      <c r="Q22" s="50" t="n">
        <f aca="false">SUM(N22:P22)</f>
        <v>22475</v>
      </c>
      <c r="R22" s="51" t="n">
        <f aca="false">IF($Q$3&lt;&gt;0,Q22/$Q$3,0)</f>
        <v>0.00022615094858877</v>
      </c>
      <c r="S22" s="3" t="n">
        <f aca="false">IF($E22="Внешний","",IF($F22="Ценовой",RANK(Y22,$Y$5:$Y$45),RANK(X22,$X$5:$X$45)))</f>
        <v>27</v>
      </c>
      <c r="T22" s="3" t="s">
        <v>459</v>
      </c>
      <c r="U22" s="56" t="n">
        <f aca="false">IF(G22&lt;&gt;0,J22*0.001/(G22*Вводные!$D$5),0)+IF(H22&lt;&gt;0,K22*0.001/(H22*Вводные!$D$5),0)+IF(I22&lt;&gt;0,L22*0.001/(I22*Вводные!$D$5),0)</f>
        <v>831500</v>
      </c>
      <c r="V22" s="50" t="n">
        <f aca="false">IF(G22&lt;&gt;0,N22*0.001/(G22*Вводные!$D$5),0)+IF(H22&lt;&gt;0,O22*0.001/(H22*Вводные!$D$5),0)+IF(I22&lt;&gt;0,P22*0.001/(I22*Вводные!$D$5),0)</f>
        <v>977500</v>
      </c>
      <c r="W22" s="53"/>
      <c r="X22" s="54" t="n">
        <f aca="false">IF(OR($E22="Внешний",$F22="Ценовой"),-1000000000000000,Q22)+ROW()/1000000000</f>
        <v>22475.000000022</v>
      </c>
      <c r="Y22" s="54" t="n">
        <f aca="false">IF($F22&lt;&gt;"Ценовой",-1000000000000000,Q22)+ROW()/1000000000</f>
        <v>-1000000000000000</v>
      </c>
    </row>
    <row r="23" customFormat="false" ht="23.85" hidden="false" customHeight="false" outlineLevel="0" collapsed="false">
      <c r="A23" s="42" t="s">
        <v>227</v>
      </c>
      <c r="B23" s="3" t="s">
        <v>228</v>
      </c>
      <c r="C23" s="3" t="s">
        <v>194</v>
      </c>
      <c r="D23" s="44" t="n">
        <v>1</v>
      </c>
      <c r="E23" s="3" t="s">
        <v>366</v>
      </c>
      <c r="F23" s="3" t="s">
        <v>367</v>
      </c>
      <c r="G23" s="55" t="n">
        <f aca="false">INDEX(Вводные!$D$13:$D$64,MATCH($A23,Вводные!$A$13:$A$64,0))</f>
        <v>0.3</v>
      </c>
      <c r="H23" s="55" t="n">
        <f aca="false">INDEX(Вводные!$E$13:$E$64,MATCH($A23,Вводные!$A$13:$A$64,0))</f>
        <v>0.5</v>
      </c>
      <c r="I23" s="55" t="n">
        <f aca="false">INDEX(Вводные!$F$13:$F$64,MATCH($A23,Вводные!$A$13:$A$64,0))</f>
        <v>0.4</v>
      </c>
      <c r="J23" s="49" t="n">
        <f aca="false">INDEX(Модель!$J$91:$JA$91,MATCH("MR|"&amp;$A23&amp;"|1",Модель!$J$6:$JA$6,0))-INDEX(Модель!$J$91:$JA$91,MATCH("MR|"&amp;"BASE"&amp;"|1",Модель!$J$6:$JA$6,0))</f>
        <v>38034.375</v>
      </c>
      <c r="K23" s="49" t="n">
        <f aca="false">INDEX(Модель!$J$91:$JA$91,MATCH("AF|"&amp;$A23&amp;"|1",Модель!$J$6:$JA$6,0))-INDEX(Модель!$J$91:$JA$91,MATCH("AF|"&amp;"BASE"&amp;"|1",Модель!$J$6:$JA$6,0))</f>
        <v>22665</v>
      </c>
      <c r="L23" s="49" t="n">
        <f aca="false">INDEX(Модель!$J$91:$JA$91,MATCH("IC|"&amp;$A23&amp;"|1",Модель!$J$6:$JA$6,0))-INDEX(Модель!$J$91:$JA$91,MATCH("IC|"&amp;"BASE"&amp;"|1",Модель!$J$6:$JA$6,0))</f>
        <v>8040</v>
      </c>
      <c r="M23" s="50" t="n">
        <f aca="false">SUM(J23:L23)</f>
        <v>68739.375</v>
      </c>
      <c r="N23" s="49" t="n">
        <f aca="false">INDEX(Модель!$J$91:$JA$91,MATCH("MR|"&amp;$A23&amp;"|3",Модель!$J$6:$JA$6,0))-INDEX(Модель!$J$91:$JA$91,MATCH("MR|"&amp;"BASE"&amp;"|3",Модель!$J$6:$JA$6,0))</f>
        <v>46406.25</v>
      </c>
      <c r="O23" s="49" t="n">
        <f aca="false">INDEX(Модель!$J$91:$JA$91,MATCH("AF|"&amp;$A23&amp;"|3",Модель!$J$6:$JA$6,0))-INDEX(Модель!$J$91:$JA$91,MATCH("AF|"&amp;"BASE"&amp;"|3",Модель!$J$6:$JA$6,0))</f>
        <v>28000</v>
      </c>
      <c r="P23" s="49" t="n">
        <f aca="false">INDEX(Модель!$J$91:$JA$91,MATCH("IC|"&amp;$A23&amp;"|3",Модель!$J$6:$JA$6,0))-INDEX(Модель!$J$91:$JA$91,MATCH("IC|"&amp;"BASE"&amp;"|3",Модель!$J$6:$JA$6,0))</f>
        <v>9000</v>
      </c>
      <c r="Q23" s="50" t="n">
        <f aca="false">SUM(N23:P23)</f>
        <v>83406.25</v>
      </c>
      <c r="R23" s="51" t="n">
        <f aca="false">IF($Q$3&lt;&gt;0,Q23/$Q$3,0)</f>
        <v>0.00083926151527173</v>
      </c>
      <c r="S23" s="3" t="n">
        <f aca="false">IF($E23="Внешний","",IF($F23="Ценовой",RANK(Y23,$Y$5:$Y$45),RANK(X23,$X$5:$X$45)))</f>
        <v>19</v>
      </c>
      <c r="T23" s="3" t="s">
        <v>454</v>
      </c>
      <c r="U23" s="56" t="n">
        <f aca="false">IF(G23&lt;&gt;0,J23*0.01/(G23*Вводные!$D$5),0)+IF(H23&lt;&gt;0,K23*0.01/(H23*Вводные!$D$5),0)+IF(I23&lt;&gt;0,L23*0.01/(I23*Вводные!$D$5),0)</f>
        <v>192211.25</v>
      </c>
      <c r="V23" s="50" t="n">
        <f aca="false">IF(G23&lt;&gt;0,N23*0.01/(G23*Вводные!$D$5),0)+IF(H23&lt;&gt;0,O23*0.01/(H23*Вводные!$D$5),0)+IF(I23&lt;&gt;0,P23*0.01/(I23*Вводные!$D$5),0)</f>
        <v>233187.5</v>
      </c>
      <c r="W23" s="53"/>
      <c r="X23" s="54" t="n">
        <f aca="false">IF(OR($E23="Внешний",$F23="Ценовой"),-1000000000000000,Q23)+ROW()/1000000000</f>
        <v>83406.250000023</v>
      </c>
      <c r="Y23" s="54" t="n">
        <f aca="false">IF($F23&lt;&gt;"Ценовой",-1000000000000000,Q23)+ROW()/1000000000</f>
        <v>-1000000000000000</v>
      </c>
    </row>
    <row r="24" customFormat="false" ht="23.85" hidden="false" customHeight="false" outlineLevel="0" collapsed="false">
      <c r="A24" s="42" t="s">
        <v>229</v>
      </c>
      <c r="B24" s="3" t="s">
        <v>230</v>
      </c>
      <c r="C24" s="3" t="s">
        <v>179</v>
      </c>
      <c r="D24" s="44" t="n">
        <v>1</v>
      </c>
      <c r="E24" s="3" t="s">
        <v>376</v>
      </c>
      <c r="F24" s="3" t="s">
        <v>367</v>
      </c>
      <c r="G24" s="49" t="n">
        <f aca="false">INDEX(Вводные!$D$13:$D$64,MATCH($A24,Вводные!$A$13:$A$64,0))</f>
        <v>5000</v>
      </c>
      <c r="H24" s="49" t="n">
        <f aca="false">INDEX(Вводные!$E$13:$E$64,MATCH($A24,Вводные!$A$13:$A$64,0))</f>
        <v>100000</v>
      </c>
      <c r="I24" s="49" t="n">
        <f aca="false">INDEX(Вводные!$F$13:$F$64,MATCH($A24,Вводные!$A$13:$A$64,0))</f>
        <v>10000000</v>
      </c>
      <c r="J24" s="49" t="n">
        <f aca="false">INDEX(Модель!$J$91:$JA$91,MATCH("MR|"&amp;$A24&amp;"|1",Модель!$J$6:$JA$6,0))-INDEX(Модель!$J$91:$JA$91,MATCH("MR|"&amp;"BASE"&amp;"|1",Модель!$J$6:$JA$6,0))</f>
        <v>38034.375</v>
      </c>
      <c r="K24" s="49" t="n">
        <f aca="false">INDEX(Модель!$J$91:$JA$91,MATCH("AF|"&amp;$A24&amp;"|1",Модель!$J$6:$JA$6,0))-INDEX(Модель!$J$91:$JA$91,MATCH("AF|"&amp;"BASE"&amp;"|1",Модель!$J$6:$JA$6,0))</f>
        <v>22665</v>
      </c>
      <c r="L24" s="49" t="n">
        <f aca="false">INDEX(Модель!$J$91:$JA$91,MATCH("IC|"&amp;$A24&amp;"|1",Модель!$J$6:$JA$6,0))-INDEX(Модель!$J$91:$JA$91,MATCH("IC|"&amp;"BASE"&amp;"|1",Модель!$J$6:$JA$6,0))</f>
        <v>8040</v>
      </c>
      <c r="M24" s="50" t="n">
        <f aca="false">SUM(J24:L24)</f>
        <v>68739.375</v>
      </c>
      <c r="N24" s="49" t="n">
        <f aca="false">INDEX(Модель!$J$91:$JA$91,MATCH("MR|"&amp;$A24&amp;"|3",Модель!$J$6:$JA$6,0))-INDEX(Модель!$J$91:$JA$91,MATCH("MR|"&amp;"BASE"&amp;"|3",Модель!$J$6:$JA$6,0))</f>
        <v>46406.25</v>
      </c>
      <c r="O24" s="49" t="n">
        <f aca="false">INDEX(Модель!$J$91:$JA$91,MATCH("AF|"&amp;$A24&amp;"|3",Модель!$J$6:$JA$6,0))-INDEX(Модель!$J$91:$JA$91,MATCH("AF|"&amp;"BASE"&amp;"|3",Модель!$J$6:$JA$6,0))</f>
        <v>28000</v>
      </c>
      <c r="P24" s="49" t="n">
        <f aca="false">INDEX(Модель!$J$91:$JA$91,MATCH("IC|"&amp;$A24&amp;"|3",Модель!$J$6:$JA$6,0))-INDEX(Модель!$J$91:$JA$91,MATCH("IC|"&amp;"BASE"&amp;"|3",Модель!$J$6:$JA$6,0))</f>
        <v>9000</v>
      </c>
      <c r="Q24" s="50" t="n">
        <f aca="false">SUM(N24:P24)</f>
        <v>83406.25</v>
      </c>
      <c r="R24" s="51" t="n">
        <f aca="false">IF($Q$3&lt;&gt;0,Q24/$Q$3,0)</f>
        <v>0.00083926151527173</v>
      </c>
      <c r="S24" s="3" t="n">
        <f aca="false">IF($E24="Внешний","",IF($F24="Ценовой",RANK(Y24,$Y$5:$Y$45),RANK(X24,$X$5:$X$45)))</f>
        <v>18</v>
      </c>
      <c r="T24" s="3"/>
      <c r="U24" s="52"/>
      <c r="V24" s="52"/>
      <c r="W24" s="53"/>
      <c r="X24" s="54" t="n">
        <f aca="false">IF(OR($E24="Внешний",$F24="Ценовой"),-1000000000000000,Q24)+ROW()/1000000000</f>
        <v>83406.250000024</v>
      </c>
      <c r="Y24" s="54" t="n">
        <f aca="false">IF($F24&lt;&gt;"Ценовой",-1000000000000000,Q24)+ROW()/1000000000</f>
        <v>-1000000000000000</v>
      </c>
    </row>
    <row r="25" customFormat="false" ht="23.85" hidden="false" customHeight="false" outlineLevel="0" collapsed="false">
      <c r="A25" s="42" t="s">
        <v>231</v>
      </c>
      <c r="B25" s="3" t="s">
        <v>232</v>
      </c>
      <c r="C25" s="3" t="s">
        <v>194</v>
      </c>
      <c r="D25" s="44" t="n">
        <v>1</v>
      </c>
      <c r="E25" s="3" t="s">
        <v>366</v>
      </c>
      <c r="F25" s="3" t="s">
        <v>381</v>
      </c>
      <c r="G25" s="55" t="n">
        <f aca="false">INDEX(Вводные!$D$13:$D$64,MATCH($A25,Вводные!$A$13:$A$64,0))</f>
        <v>0.005</v>
      </c>
      <c r="H25" s="55" t="n">
        <f aca="false">INDEX(Вводные!$E$13:$E$64,MATCH($A25,Вводные!$A$13:$A$64,0))</f>
        <v>0.003</v>
      </c>
      <c r="I25" s="55" t="n">
        <f aca="false">INDEX(Вводные!$F$13:$F$64,MATCH($A25,Вводные!$A$13:$A$64,0))</f>
        <v>0.0005</v>
      </c>
      <c r="J25" s="49" t="n">
        <f aca="false">INDEX(Модель!$J$91:$JA$91,MATCH("MR|"&amp;$A25&amp;"|1",Модель!$J$6:$JA$6,0))-INDEX(Модель!$J$91:$JA$91,MATCH("MR|"&amp;"BASE"&amp;"|1",Модель!$J$6:$JA$6,0))</f>
        <v>38034.375</v>
      </c>
      <c r="K25" s="49" t="n">
        <f aca="false">INDEX(Модель!$J$91:$JA$91,MATCH("AF|"&amp;$A25&amp;"|1",Модель!$J$6:$JA$6,0))-INDEX(Модель!$J$91:$JA$91,MATCH("AF|"&amp;"BASE"&amp;"|1",Модель!$J$6:$JA$6,0))</f>
        <v>22665</v>
      </c>
      <c r="L25" s="49" t="n">
        <f aca="false">INDEX(Модель!$J$91:$JA$91,MATCH("IC|"&amp;$A25&amp;"|1",Модель!$J$6:$JA$6,0))-INDEX(Модель!$J$91:$JA$91,MATCH("IC|"&amp;"BASE"&amp;"|1",Модель!$J$6:$JA$6,0))</f>
        <v>8040</v>
      </c>
      <c r="M25" s="50" t="n">
        <f aca="false">SUM(J25:L25)</f>
        <v>68739.375</v>
      </c>
      <c r="N25" s="49" t="n">
        <f aca="false">INDEX(Модель!$J$91:$JA$91,MATCH("MR|"&amp;$A25&amp;"|3",Модель!$J$6:$JA$6,0))-INDEX(Модель!$J$91:$JA$91,MATCH("MR|"&amp;"BASE"&amp;"|3",Модель!$J$6:$JA$6,0))</f>
        <v>46406.25</v>
      </c>
      <c r="O25" s="49" t="n">
        <f aca="false">INDEX(Модель!$J$91:$JA$91,MATCH("AF|"&amp;$A25&amp;"|3",Модель!$J$6:$JA$6,0))-INDEX(Модель!$J$91:$JA$91,MATCH("AF|"&amp;"BASE"&amp;"|3",Модель!$J$6:$JA$6,0))</f>
        <v>28000</v>
      </c>
      <c r="P25" s="49" t="n">
        <f aca="false">INDEX(Модель!$J$91:$JA$91,MATCH("IC|"&amp;$A25&amp;"|3",Модель!$J$6:$JA$6,0))-INDEX(Модель!$J$91:$JA$91,MATCH("IC|"&amp;"BASE"&amp;"|3",Модель!$J$6:$JA$6,0))</f>
        <v>9000</v>
      </c>
      <c r="Q25" s="50" t="n">
        <f aca="false">SUM(N25:P25)</f>
        <v>83406.25</v>
      </c>
      <c r="R25" s="51" t="n">
        <f aca="false">IF($Q$3&lt;&gt;0,Q25/$Q$3,0)</f>
        <v>0.00083926151527173</v>
      </c>
      <c r="S25" s="3" t="n">
        <f aca="false">IF($E25="Внешний","",IF($F25="Ценовой",RANK(Y25,$Y$5:$Y$45),RANK(X25,$X$5:$X$45)))</f>
        <v>6</v>
      </c>
      <c r="T25" s="3" t="s">
        <v>456</v>
      </c>
      <c r="U25" s="56" t="n">
        <f aca="false">IF(G25&lt;&gt;0,J25*0.0001/(G25*Вводные!$D$5),0)+IF(H25&lt;&gt;0,K25*0.0001/(H25*Вводные!$D$5),0)+IF(I25&lt;&gt;0,L25*0.0001/(I25*Вводные!$D$5),0)</f>
        <v>312418.75</v>
      </c>
      <c r="V25" s="50" t="n">
        <f aca="false">IF(G25&lt;&gt;0,N25*0.0001/(G25*Вводные!$D$5),0)+IF(H25&lt;&gt;0,O25*0.0001/(H25*Вводные!$D$5),0)+IF(I25&lt;&gt;0,P25*0.0001/(I25*Вводные!$D$5),0)</f>
        <v>366145.833333333</v>
      </c>
      <c r="W25" s="53" t="s">
        <v>457</v>
      </c>
      <c r="X25" s="54" t="n">
        <f aca="false">IF(OR($E25="Внешний",$F25="Ценовой"),-1000000000000000,Q25)+ROW()/1000000000</f>
        <v>-1000000000000000</v>
      </c>
      <c r="Y25" s="54" t="n">
        <f aca="false">IF($F25&lt;&gt;"Ценовой",-1000000000000000,Q25)+ROW()/1000000000</f>
        <v>83406.250000025</v>
      </c>
    </row>
    <row r="26" customFormat="false" ht="35.05" hidden="false" customHeight="false" outlineLevel="0" collapsed="false">
      <c r="A26" s="42" t="s">
        <v>237</v>
      </c>
      <c r="B26" s="3" t="s">
        <v>238</v>
      </c>
      <c r="C26" s="3" t="s">
        <v>194</v>
      </c>
      <c r="D26" s="44" t="n">
        <v>1</v>
      </c>
      <c r="E26" s="3" t="s">
        <v>366</v>
      </c>
      <c r="F26" s="3" t="s">
        <v>367</v>
      </c>
      <c r="G26" s="55" t="n">
        <f aca="false">INDEX(Вводные!$D$13:$D$64,MATCH($A26,Вводные!$A$13:$A$64,0))</f>
        <v>0.08</v>
      </c>
      <c r="H26" s="55" t="n">
        <f aca="false">INDEX(Вводные!$E$13:$E$64,MATCH($A26,Вводные!$A$13:$A$64,0))</f>
        <v>0.35</v>
      </c>
      <c r="I26" s="55" t="n">
        <f aca="false">INDEX(Вводные!$F$13:$F$64,MATCH($A26,Вводные!$A$13:$A$64,0))</f>
        <v>0.05</v>
      </c>
      <c r="J26" s="49" t="n">
        <f aca="false">INDEX(Модель!$J$91:$JA$91,MATCH("MR|"&amp;$A26&amp;"|1",Модель!$J$6:$JA$6,0))-INDEX(Модель!$J$91:$JA$91,MATCH("MR|"&amp;"BASE"&amp;"|1",Модель!$J$6:$JA$6,0))</f>
        <v>12171</v>
      </c>
      <c r="K26" s="49" t="n">
        <f aca="false">INDEX(Модель!$J$91:$JA$91,MATCH("AF|"&amp;$A26&amp;"|1",Модель!$J$6:$JA$6,0))-INDEX(Модель!$J$91:$JA$91,MATCH("AF|"&amp;"BASE"&amp;"|1",Модель!$J$6:$JA$6,0))</f>
        <v>50769.6000000015</v>
      </c>
      <c r="L26" s="49" t="n">
        <f aca="false">INDEX(Модель!$J$91:$JA$91,MATCH("IC|"&amp;$A26&amp;"|1",Модель!$J$6:$JA$6,0))-INDEX(Модель!$J$91:$JA$91,MATCH("IC|"&amp;"BASE"&amp;"|1",Модель!$J$6:$JA$6,0))</f>
        <v>100500</v>
      </c>
      <c r="M26" s="50" t="n">
        <f aca="false">SUM(J26:L26)</f>
        <v>163440.600000002</v>
      </c>
      <c r="N26" s="49" t="n">
        <f aca="false">INDEX(Модель!$J$91:$JA$91,MATCH("MR|"&amp;$A26&amp;"|3",Модель!$J$6:$JA$6,0))-INDEX(Модель!$J$91:$JA$91,MATCH("MR|"&amp;"BASE"&amp;"|3",Модель!$J$6:$JA$6,0))</f>
        <v>14850</v>
      </c>
      <c r="O26" s="49" t="n">
        <f aca="false">INDEX(Модель!$J$91:$JA$91,MATCH("AF|"&amp;$A26&amp;"|3",Модель!$J$6:$JA$6,0))-INDEX(Модель!$J$91:$JA$91,MATCH("AF|"&amp;"BASE"&amp;"|3",Модель!$J$6:$JA$6,0))</f>
        <v>62720</v>
      </c>
      <c r="P26" s="49" t="n">
        <f aca="false">INDEX(Модель!$J$91:$JA$91,MATCH("IC|"&amp;$A26&amp;"|3",Модель!$J$6:$JA$6,0))-INDEX(Модель!$J$91:$JA$91,MATCH("IC|"&amp;"BASE"&amp;"|3",Модель!$J$6:$JA$6,0))</f>
        <v>112500</v>
      </c>
      <c r="Q26" s="50" t="n">
        <f aca="false">SUM(N26:P26)</f>
        <v>190070</v>
      </c>
      <c r="R26" s="51" t="n">
        <f aca="false">IF($Q$3&lt;&gt;0,Q26/$Q$3,0)</f>
        <v>0.00191254775520657</v>
      </c>
      <c r="S26" s="3" t="n">
        <f aca="false">IF($E26="Внешний","",IF($F26="Ценовой",RANK(Y26,$Y$5:$Y$45),RANK(X26,$X$5:$X$45)))</f>
        <v>13</v>
      </c>
      <c r="T26" s="3" t="s">
        <v>454</v>
      </c>
      <c r="U26" s="56" t="n">
        <f aca="false">IF(G26&lt;&gt;0,J26*0.01/(G26*Вводные!$D$5),0)+IF(H26&lt;&gt;0,K26*0.01/(H26*Вводные!$D$5),0)+IF(I26&lt;&gt;0,L26*0.01/(I26*Вводные!$D$5),0)</f>
        <v>2307193.5</v>
      </c>
      <c r="V26" s="50" t="n">
        <f aca="false">IF(G26&lt;&gt;0,N26*0.01/(G26*Вводные!$D$5),0)+IF(H26&lt;&gt;0,O26*0.01/(H26*Вводные!$D$5),0)+IF(I26&lt;&gt;0,P26*0.01/(I26*Вводные!$D$5),0)</f>
        <v>2614825</v>
      </c>
      <c r="W26" s="53"/>
      <c r="X26" s="54" t="n">
        <f aca="false">IF(OR($E26="Внешний",$F26="Ценовой"),-1000000000000000,Q26)+ROW()/1000000000</f>
        <v>190070.000000026</v>
      </c>
      <c r="Y26" s="54" t="n">
        <f aca="false">IF($F26&lt;&gt;"Ценовой",-1000000000000000,Q26)+ROW()/1000000000</f>
        <v>-1000000000000000</v>
      </c>
    </row>
    <row r="27" customFormat="false" ht="23.85" hidden="false" customHeight="false" outlineLevel="0" collapsed="false">
      <c r="A27" s="42" t="s">
        <v>239</v>
      </c>
      <c r="B27" s="3" t="s">
        <v>240</v>
      </c>
      <c r="C27" s="3" t="s">
        <v>179</v>
      </c>
      <c r="D27" s="44" t="n">
        <v>1</v>
      </c>
      <c r="E27" s="3" t="s">
        <v>376</v>
      </c>
      <c r="F27" s="3" t="s">
        <v>367</v>
      </c>
      <c r="G27" s="49" t="n">
        <f aca="false">INDEX(Вводные!$D$13:$D$64,MATCH($A27,Вводные!$A$13:$A$64,0))</f>
        <v>3000</v>
      </c>
      <c r="H27" s="49" t="n">
        <f aca="false">INDEX(Вводные!$E$13:$E$64,MATCH($A27,Вводные!$A$13:$A$64,0))</f>
        <v>80000</v>
      </c>
      <c r="I27" s="49" t="n">
        <f aca="false">INDEX(Вводные!$F$13:$F$64,MATCH($A27,Вводные!$A$13:$A$64,0))</f>
        <v>50000000</v>
      </c>
      <c r="J27" s="49" t="n">
        <f aca="false">INDEX(Модель!$J$91:$JA$91,MATCH("MR|"&amp;$A27&amp;"|1",Модель!$J$6:$JA$6,0))-INDEX(Модель!$J$91:$JA$91,MATCH("MR|"&amp;"BASE"&amp;"|1",Модель!$J$6:$JA$6,0))</f>
        <v>12171</v>
      </c>
      <c r="K27" s="49" t="n">
        <f aca="false">INDEX(Модель!$J$91:$JA$91,MATCH("AF|"&amp;$A27&amp;"|1",Модель!$J$6:$JA$6,0))-INDEX(Модель!$J$91:$JA$91,MATCH("AF|"&amp;"BASE"&amp;"|1",Модель!$J$6:$JA$6,0))</f>
        <v>50769.6000000015</v>
      </c>
      <c r="L27" s="49" t="n">
        <f aca="false">INDEX(Модель!$J$91:$JA$91,MATCH("IC|"&amp;$A27&amp;"|1",Модель!$J$6:$JA$6,0))-INDEX(Модель!$J$91:$JA$91,MATCH("IC|"&amp;"BASE"&amp;"|1",Модель!$J$6:$JA$6,0))</f>
        <v>100500</v>
      </c>
      <c r="M27" s="50" t="n">
        <f aca="false">SUM(J27:L27)</f>
        <v>163440.600000002</v>
      </c>
      <c r="N27" s="49" t="n">
        <f aca="false">INDEX(Модель!$J$91:$JA$91,MATCH("MR|"&amp;$A27&amp;"|3",Модель!$J$6:$JA$6,0))-INDEX(Модель!$J$91:$JA$91,MATCH("MR|"&amp;"BASE"&amp;"|3",Модель!$J$6:$JA$6,0))</f>
        <v>14850</v>
      </c>
      <c r="O27" s="49" t="n">
        <f aca="false">INDEX(Модель!$J$91:$JA$91,MATCH("AF|"&amp;$A27&amp;"|3",Модель!$J$6:$JA$6,0))-INDEX(Модель!$J$91:$JA$91,MATCH("AF|"&amp;"BASE"&amp;"|3",Модель!$J$6:$JA$6,0))</f>
        <v>62720</v>
      </c>
      <c r="P27" s="49" t="n">
        <f aca="false">INDEX(Модель!$J$91:$JA$91,MATCH("IC|"&amp;$A27&amp;"|3",Модель!$J$6:$JA$6,0))-INDEX(Модель!$J$91:$JA$91,MATCH("IC|"&amp;"BASE"&amp;"|3",Модель!$J$6:$JA$6,0))</f>
        <v>112500</v>
      </c>
      <c r="Q27" s="50" t="n">
        <f aca="false">SUM(N27:P27)</f>
        <v>190070</v>
      </c>
      <c r="R27" s="51" t="n">
        <f aca="false">IF($Q$3&lt;&gt;0,Q27/$Q$3,0)</f>
        <v>0.00191254775520657</v>
      </c>
      <c r="S27" s="3" t="n">
        <f aca="false">IF($E27="Внешний","",IF($F27="Ценовой",RANK(Y27,$Y$5:$Y$45),RANK(X27,$X$5:$X$45)))</f>
        <v>12</v>
      </c>
      <c r="T27" s="3"/>
      <c r="U27" s="52"/>
      <c r="V27" s="52"/>
      <c r="W27" s="53"/>
      <c r="X27" s="54" t="n">
        <f aca="false">IF(OR($E27="Внешний",$F27="Ценовой"),-1000000000000000,Q27)+ROW()/1000000000</f>
        <v>190070.000000027</v>
      </c>
      <c r="Y27" s="54" t="n">
        <f aca="false">IF($F27&lt;&gt;"Ценовой",-1000000000000000,Q27)+ROW()/1000000000</f>
        <v>-1000000000000000</v>
      </c>
    </row>
    <row r="28" customFormat="false" ht="23.85" hidden="false" customHeight="false" outlineLevel="0" collapsed="false">
      <c r="A28" s="42" t="s">
        <v>241</v>
      </c>
      <c r="B28" s="3" t="s">
        <v>242</v>
      </c>
      <c r="C28" s="3" t="s">
        <v>194</v>
      </c>
      <c r="D28" s="44" t="n">
        <v>1</v>
      </c>
      <c r="E28" s="3" t="s">
        <v>366</v>
      </c>
      <c r="F28" s="3" t="s">
        <v>381</v>
      </c>
      <c r="G28" s="55" t="n">
        <f aca="false">INDEX(Вводные!$D$13:$D$64,MATCH($A28,Вводные!$A$13:$A$64,0))</f>
        <v>0.01</v>
      </c>
      <c r="H28" s="55" t="n">
        <f aca="false">INDEX(Вводные!$E$13:$E$64,MATCH($A28,Вводные!$A$13:$A$64,0))</f>
        <v>0.012</v>
      </c>
      <c r="I28" s="55" t="n">
        <f aca="false">INDEX(Вводные!$F$13:$F$64,MATCH($A28,Вводные!$A$13:$A$64,0))</f>
        <v>0.01</v>
      </c>
      <c r="J28" s="49" t="n">
        <f aca="false">INDEX(Модель!$J$91:$JA$91,MATCH("MR|"&amp;$A28&amp;"|1",Модель!$J$6:$JA$6,0))-INDEX(Модель!$J$91:$JA$91,MATCH("MR|"&amp;"BASE"&amp;"|1",Модель!$J$6:$JA$6,0))</f>
        <v>12171</v>
      </c>
      <c r="K28" s="49" t="n">
        <f aca="false">INDEX(Модель!$J$91:$JA$91,MATCH("AF|"&amp;$A28&amp;"|1",Модель!$J$6:$JA$6,0))-INDEX(Модель!$J$91:$JA$91,MATCH("AF|"&amp;"BASE"&amp;"|1",Модель!$J$6:$JA$6,0))</f>
        <v>50769.6000000015</v>
      </c>
      <c r="L28" s="49" t="n">
        <f aca="false">INDEX(Модель!$J$91:$JA$91,MATCH("IC|"&amp;$A28&amp;"|1",Модель!$J$6:$JA$6,0))-INDEX(Модель!$J$91:$JA$91,MATCH("IC|"&amp;"BASE"&amp;"|1",Модель!$J$6:$JA$6,0))</f>
        <v>100499.999999996</v>
      </c>
      <c r="M28" s="50" t="n">
        <f aca="false">SUM(J28:L28)</f>
        <v>163440.599999998</v>
      </c>
      <c r="N28" s="49" t="n">
        <f aca="false">INDEX(Модель!$J$91:$JA$91,MATCH("MR|"&amp;$A28&amp;"|3",Модель!$J$6:$JA$6,0))-INDEX(Модель!$J$91:$JA$91,MATCH("MR|"&amp;"BASE"&amp;"|3",Модель!$J$6:$JA$6,0))</f>
        <v>14850</v>
      </c>
      <c r="O28" s="49" t="n">
        <f aca="false">INDEX(Модель!$J$91:$JA$91,MATCH("AF|"&amp;$A28&amp;"|3",Модель!$J$6:$JA$6,0))-INDEX(Модель!$J$91:$JA$91,MATCH("AF|"&amp;"BASE"&amp;"|3",Модель!$J$6:$JA$6,0))</f>
        <v>62720</v>
      </c>
      <c r="P28" s="49" t="n">
        <f aca="false">INDEX(Модель!$J$91:$JA$91,MATCH("IC|"&amp;$A28&amp;"|3",Модель!$J$6:$JA$6,0))-INDEX(Модель!$J$91:$JA$91,MATCH("IC|"&amp;"BASE"&amp;"|3",Модель!$J$6:$JA$6,0))</f>
        <v>112500</v>
      </c>
      <c r="Q28" s="50" t="n">
        <f aca="false">SUM(N28:P28)</f>
        <v>190070</v>
      </c>
      <c r="R28" s="51" t="n">
        <f aca="false">IF($Q$3&lt;&gt;0,Q28/$Q$3,0)</f>
        <v>0.00191254775520657</v>
      </c>
      <c r="S28" s="3" t="n">
        <f aca="false">IF($E28="Внешний","",IF($F28="Ценовой",RANK(Y28,$Y$5:$Y$45),RANK(X28,$X$5:$X$45)))</f>
        <v>4</v>
      </c>
      <c r="T28" s="3" t="s">
        <v>460</v>
      </c>
      <c r="U28" s="56" t="n">
        <f aca="false">IF(G28&lt;&gt;0,J28*0.001/(G28*Вводные!$D$5),0)+IF(H28&lt;&gt;0,K28*0.001/(H28*Вводные!$D$5),0)+IF(I28&lt;&gt;0,L28*0.001/(I28*Вводные!$D$5),0)</f>
        <v>1549789.99999998</v>
      </c>
      <c r="V28" s="50" t="n">
        <f aca="false">IF(G28&lt;&gt;0,N28*0.001/(G28*Вводные!$D$5),0)+IF(H28&lt;&gt;0,O28*0.001/(H28*Вводные!$D$5),0)+IF(I28&lt;&gt;0,P28*0.001/(I28*Вводные!$D$5),0)</f>
        <v>1796166.66666667</v>
      </c>
      <c r="W28" s="53" t="s">
        <v>457</v>
      </c>
      <c r="X28" s="54" t="n">
        <f aca="false">IF(OR($E28="Внешний",$F28="Ценовой"),-1000000000000000,Q28)+ROW()/1000000000</f>
        <v>-1000000000000000</v>
      </c>
      <c r="Y28" s="54" t="n">
        <f aca="false">IF($F28&lt;&gt;"Ценовой",-1000000000000000,Q28)+ROW()/1000000000</f>
        <v>190070.000000028</v>
      </c>
    </row>
    <row r="29" customFormat="false" ht="23.85" hidden="false" customHeight="false" outlineLevel="0" collapsed="false">
      <c r="A29" s="42" t="s">
        <v>247</v>
      </c>
      <c r="B29" s="3" t="s">
        <v>248</v>
      </c>
      <c r="C29" s="3" t="s">
        <v>194</v>
      </c>
      <c r="D29" s="44" t="n">
        <v>1</v>
      </c>
      <c r="E29" s="3" t="s">
        <v>366</v>
      </c>
      <c r="F29" s="3" t="s">
        <v>367</v>
      </c>
      <c r="G29" s="55" t="n">
        <f aca="false">INDEX(Вводные!$D$13:$D$64,MATCH($A29,Вводные!$A$13:$A$64,0))</f>
        <v>0.02</v>
      </c>
      <c r="H29" s="55" t="n">
        <f aca="false">INDEX(Вводные!$E$13:$E$64,MATCH($A29,Вводные!$A$13:$A$64,0))</f>
        <v>0.2</v>
      </c>
      <c r="I29" s="55" t="n">
        <f aca="false">INDEX(Вводные!$F$13:$F$64,MATCH($A29,Вводные!$A$13:$A$64,0))</f>
        <v>0.05</v>
      </c>
      <c r="J29" s="49" t="n">
        <f aca="false">INDEX(Модель!$J$91:$JA$91,MATCH("MR|"&amp;$A29&amp;"|1",Модель!$J$6:$JA$6,0))-INDEX(Модель!$J$91:$JA$91,MATCH("MR|"&amp;"BASE"&amp;"|1",Модель!$J$6:$JA$6,0))</f>
        <v>8114</v>
      </c>
      <c r="K29" s="49" t="n">
        <f aca="false">INDEX(Модель!$J$91:$JA$91,MATCH("AF|"&amp;$A29&amp;"|1",Модель!$J$6:$JA$6,0))-INDEX(Модель!$J$91:$JA$91,MATCH("AF|"&amp;"BASE"&amp;"|1",Модель!$J$6:$JA$6,0))</f>
        <v>60440</v>
      </c>
      <c r="L29" s="49" t="n">
        <f aca="false">INDEX(Модель!$J$91:$JA$91,MATCH("IC|"&amp;$A29&amp;"|1",Модель!$J$6:$JA$6,0))-INDEX(Модель!$J$91:$JA$91,MATCH("IC|"&amp;"BASE"&amp;"|1",Модель!$J$6:$JA$6,0))</f>
        <v>15075</v>
      </c>
      <c r="M29" s="50" t="n">
        <f aca="false">SUM(J29:L29)</f>
        <v>83629</v>
      </c>
      <c r="N29" s="49" t="n">
        <f aca="false">INDEX(Модель!$J$91:$JA$91,MATCH("MR|"&amp;$A29&amp;"|3",Модель!$J$6:$JA$6,0))-INDEX(Модель!$J$91:$JA$91,MATCH("MR|"&amp;"BASE"&amp;"|3",Модель!$J$6:$JA$6,0))</f>
        <v>9900</v>
      </c>
      <c r="O29" s="49" t="n">
        <f aca="false">INDEX(Модель!$J$91:$JA$91,MATCH("AF|"&amp;$A29&amp;"|3",Модель!$J$6:$JA$6,0))-INDEX(Модель!$J$91:$JA$91,MATCH("AF|"&amp;"BASE"&amp;"|3",Модель!$J$6:$JA$6,0))</f>
        <v>74666.6666666716</v>
      </c>
      <c r="P29" s="49" t="n">
        <f aca="false">INDEX(Модель!$J$91:$JA$91,MATCH("IC|"&amp;$A29&amp;"|3",Модель!$J$6:$JA$6,0))-INDEX(Модель!$J$91:$JA$91,MATCH("IC|"&amp;"BASE"&amp;"|3",Модель!$J$6:$JA$6,0))</f>
        <v>16875</v>
      </c>
      <c r="Q29" s="50" t="n">
        <f aca="false">SUM(N29:P29)</f>
        <v>101441.666666672</v>
      </c>
      <c r="R29" s="51" t="n">
        <f aca="false">IF($Q$3&lt;&gt;0,Q29/$Q$3,0)</f>
        <v>0.00102073989513209</v>
      </c>
      <c r="S29" s="3" t="n">
        <f aca="false">IF($E29="Внешний","",IF($F29="Ценовой",RANK(Y29,$Y$5:$Y$45),RANK(X29,$X$5:$X$45)))</f>
        <v>16</v>
      </c>
      <c r="T29" s="3" t="s">
        <v>454</v>
      </c>
      <c r="U29" s="56" t="n">
        <f aca="false">IF(G29&lt;&gt;0,J29*0.01/(G29*Вводные!$D$5),0)+IF(H29&lt;&gt;0,K29*0.01/(H29*Вводные!$D$5),0)+IF(I29&lt;&gt;0,L29*0.01/(I29*Вводные!$D$5),0)</f>
        <v>1009400</v>
      </c>
      <c r="V29" s="50" t="n">
        <f aca="false">IF(G29&lt;&gt;0,N29*0.01/(G29*Вводные!$D$5),0)+IF(H29&lt;&gt;0,O29*0.01/(H29*Вводные!$D$5),0)+IF(I29&lt;&gt;0,P29*0.01/(I29*Вводные!$D$5),0)</f>
        <v>1205833.33333336</v>
      </c>
      <c r="W29" s="53"/>
      <c r="X29" s="54" t="n">
        <f aca="false">IF(OR($E29="Внешний",$F29="Ценовой"),-1000000000000000,Q29)+ROW()/1000000000</f>
        <v>101441.666666701</v>
      </c>
      <c r="Y29" s="54" t="n">
        <f aca="false">IF($F29&lt;&gt;"Ценовой",-1000000000000000,Q29)+ROW()/1000000000</f>
        <v>-1000000000000000</v>
      </c>
    </row>
    <row r="30" customFormat="false" ht="23.85" hidden="false" customHeight="false" outlineLevel="0" collapsed="false">
      <c r="A30" s="42" t="s">
        <v>249</v>
      </c>
      <c r="B30" s="3" t="s">
        <v>250</v>
      </c>
      <c r="C30" s="3" t="s">
        <v>194</v>
      </c>
      <c r="D30" s="44" t="n">
        <v>1</v>
      </c>
      <c r="E30" s="3" t="s">
        <v>366</v>
      </c>
      <c r="F30" s="3" t="s">
        <v>381</v>
      </c>
      <c r="G30" s="55" t="n">
        <f aca="false">INDEX(Вводные!$D$13:$D$64,MATCH($A30,Вводные!$A$13:$A$64,0))</f>
        <v>0.01</v>
      </c>
      <c r="H30" s="55" t="n">
        <f aca="false">INDEX(Вводные!$E$13:$E$64,MATCH($A30,Вводные!$A$13:$A$64,0))</f>
        <v>0.01</v>
      </c>
      <c r="I30" s="55" t="n">
        <f aca="false">INDEX(Вводные!$F$13:$F$64,MATCH($A30,Вводные!$A$13:$A$64,0))</f>
        <v>0.003</v>
      </c>
      <c r="J30" s="49" t="n">
        <f aca="false">INDEX(Модель!$J$91:$JA$91,MATCH("MR|"&amp;$A30&amp;"|1",Модель!$J$6:$JA$6,0))-INDEX(Модель!$J$91:$JA$91,MATCH("MR|"&amp;"BASE"&amp;"|1",Модель!$J$6:$JA$6,0))</f>
        <v>8114</v>
      </c>
      <c r="K30" s="49" t="n">
        <f aca="false">INDEX(Модель!$J$91:$JA$91,MATCH("AF|"&amp;$A30&amp;"|1",Модель!$J$6:$JA$6,0))-INDEX(Модель!$J$91:$JA$91,MATCH("AF|"&amp;"BASE"&amp;"|1",Модель!$J$6:$JA$6,0))</f>
        <v>60440</v>
      </c>
      <c r="L30" s="49" t="n">
        <f aca="false">INDEX(Модель!$J$91:$JA$91,MATCH("IC|"&amp;$A30&amp;"|1",Модель!$J$6:$JA$6,0))-INDEX(Модель!$J$91:$JA$91,MATCH("IC|"&amp;"BASE"&amp;"|1",Модель!$J$6:$JA$6,0))</f>
        <v>15075</v>
      </c>
      <c r="M30" s="50" t="n">
        <f aca="false">SUM(J30:L30)</f>
        <v>83629</v>
      </c>
      <c r="N30" s="49" t="n">
        <f aca="false">INDEX(Модель!$J$91:$JA$91,MATCH("MR|"&amp;$A30&amp;"|3",Модель!$J$6:$JA$6,0))-INDEX(Модель!$J$91:$JA$91,MATCH("MR|"&amp;"BASE"&amp;"|3",Модель!$J$6:$JA$6,0))</f>
        <v>9900</v>
      </c>
      <c r="O30" s="49" t="n">
        <f aca="false">INDEX(Модель!$J$91:$JA$91,MATCH("AF|"&amp;$A30&amp;"|3",Модель!$J$6:$JA$6,0))-INDEX(Модель!$J$91:$JA$91,MATCH("AF|"&amp;"BASE"&amp;"|3",Модель!$J$6:$JA$6,0))</f>
        <v>74666.6666666716</v>
      </c>
      <c r="P30" s="49" t="n">
        <f aca="false">INDEX(Модель!$J$91:$JA$91,MATCH("IC|"&amp;$A30&amp;"|3",Модель!$J$6:$JA$6,0))-INDEX(Модель!$J$91:$JA$91,MATCH("IC|"&amp;"BASE"&amp;"|3",Модель!$J$6:$JA$6,0))</f>
        <v>16875</v>
      </c>
      <c r="Q30" s="50" t="n">
        <f aca="false">SUM(N30:P30)</f>
        <v>101441.666666672</v>
      </c>
      <c r="R30" s="51" t="n">
        <f aca="false">IF($Q$3&lt;&gt;0,Q30/$Q$3,0)</f>
        <v>0.00102073989513209</v>
      </c>
      <c r="S30" s="3" t="n">
        <f aca="false">IF($E30="Внешний","",IF($F30="Ценовой",RANK(Y30,$Y$5:$Y$45),RANK(X30,$X$5:$X$45)))</f>
        <v>5</v>
      </c>
      <c r="T30" s="3" t="s">
        <v>460</v>
      </c>
      <c r="U30" s="56" t="n">
        <f aca="false">IF(G30&lt;&gt;0,J30*0.001/(G30*Вводные!$D$5),0)+IF(H30&lt;&gt;0,K30*0.001/(H30*Вводные!$D$5),0)+IF(I30&lt;&gt;0,L30*0.001/(I30*Вводные!$D$5),0)</f>
        <v>1188040</v>
      </c>
      <c r="V30" s="50" t="n">
        <f aca="false">IF(G30&lt;&gt;0,N30*0.001/(G30*Вводные!$D$5),0)+IF(H30&lt;&gt;0,O30*0.001/(H30*Вводные!$D$5),0)+IF(I30&lt;&gt;0,P30*0.001/(I30*Вводные!$D$5),0)</f>
        <v>1408166.66666672</v>
      </c>
      <c r="W30" s="53" t="s">
        <v>457</v>
      </c>
      <c r="X30" s="54" t="n">
        <f aca="false">IF(OR($E30="Внешний",$F30="Ценовой"),-1000000000000000,Q30)+ROW()/1000000000</f>
        <v>-1000000000000000</v>
      </c>
      <c r="Y30" s="54" t="n">
        <f aca="false">IF($F30&lt;&gt;"Ценовой",-1000000000000000,Q30)+ROW()/1000000000</f>
        <v>101441.666666702</v>
      </c>
    </row>
    <row r="31" customFormat="false" ht="23.85" hidden="false" customHeight="false" outlineLevel="0" collapsed="false">
      <c r="A31" s="42" t="s">
        <v>255</v>
      </c>
      <c r="B31" s="3" t="s">
        <v>256</v>
      </c>
      <c r="C31" s="3" t="s">
        <v>194</v>
      </c>
      <c r="D31" s="44" t="n">
        <v>1</v>
      </c>
      <c r="E31" s="3" t="s">
        <v>366</v>
      </c>
      <c r="F31" s="3" t="s">
        <v>367</v>
      </c>
      <c r="G31" s="55" t="n">
        <f aca="false">INDEX(Вводные!$D$13:$D$64,MATCH($A31,Вводные!$A$13:$A$64,0))</f>
        <v>0.08</v>
      </c>
      <c r="H31" s="55" t="n">
        <f aca="false">INDEX(Вводные!$E$13:$E$64,MATCH($A31,Вводные!$A$13:$A$64,0))</f>
        <v>0.15</v>
      </c>
      <c r="I31" s="55" t="n">
        <f aca="false">INDEX(Вводные!$F$13:$F$64,MATCH($A31,Вводные!$A$13:$A$64,0))</f>
        <v>0</v>
      </c>
      <c r="J31" s="49" t="n">
        <f aca="false">INDEX(Модель!$J$91:$JA$91,MATCH("MR|"&amp;$A31&amp;"|1",Модель!$J$6:$JA$6,0))-INDEX(Модель!$J$91:$JA$91,MATCH("MR|"&amp;"BASE"&amp;"|1",Модель!$J$6:$JA$6,0))</f>
        <v>24342</v>
      </c>
      <c r="K31" s="49" t="n">
        <f aca="false">INDEX(Модель!$J$91:$JA$91,MATCH("AF|"&amp;$A31&amp;"|1",Модель!$J$6:$JA$6,0))-INDEX(Модель!$J$91:$JA$91,MATCH("AF|"&amp;"BASE"&amp;"|1",Модель!$J$6:$JA$6,0))</f>
        <v>22665</v>
      </c>
      <c r="L31" s="49" t="n">
        <f aca="false">INDEX(Модель!$J$91:$JA$91,MATCH("IC|"&amp;$A31&amp;"|1",Модель!$J$6:$JA$6,0))-INDEX(Модель!$J$91:$JA$91,MATCH("IC|"&amp;"BASE"&amp;"|1",Модель!$J$6:$JA$6,0))</f>
        <v>0</v>
      </c>
      <c r="M31" s="50" t="n">
        <f aca="false">SUM(J31:L31)</f>
        <v>47007</v>
      </c>
      <c r="N31" s="49" t="n">
        <f aca="false">INDEX(Модель!$J$91:$JA$91,MATCH("MR|"&amp;$A31&amp;"|3",Модель!$J$6:$JA$6,0))-INDEX(Модель!$J$91:$JA$91,MATCH("MR|"&amp;"BASE"&amp;"|3",Модель!$J$6:$JA$6,0))</f>
        <v>29700</v>
      </c>
      <c r="O31" s="49" t="n">
        <f aca="false">INDEX(Модель!$J$91:$JA$91,MATCH("AF|"&amp;$A31&amp;"|3",Модель!$J$6:$JA$6,0))-INDEX(Модель!$J$91:$JA$91,MATCH("AF|"&amp;"BASE"&amp;"|3",Модель!$J$6:$JA$6,0))</f>
        <v>28000</v>
      </c>
      <c r="P31" s="49" t="n">
        <f aca="false">INDEX(Модель!$J$91:$JA$91,MATCH("IC|"&amp;$A31&amp;"|3",Модель!$J$6:$JA$6,0))-INDEX(Модель!$J$91:$JA$91,MATCH("IC|"&amp;"BASE"&amp;"|3",Модель!$J$6:$JA$6,0))</f>
        <v>0</v>
      </c>
      <c r="Q31" s="50" t="n">
        <f aca="false">SUM(N31:P31)</f>
        <v>57700</v>
      </c>
      <c r="R31" s="51" t="n">
        <f aca="false">IF($Q$3&lt;&gt;0,Q31/$Q$3,0)</f>
        <v>0.000580596651104429</v>
      </c>
      <c r="S31" s="3" t="n">
        <f aca="false">IF($E31="Внешний","",IF($F31="Ценовой",RANK(Y31,$Y$5:$Y$45),RANK(X31,$X$5:$X$45)))</f>
        <v>21</v>
      </c>
      <c r="T31" s="3" t="s">
        <v>454</v>
      </c>
      <c r="U31" s="56" t="n">
        <f aca="false">IF(G31&lt;&gt;0,J31*0.01/(G31*Вводные!$D$5),0)+IF(H31&lt;&gt;0,K31*0.01/(H31*Вводные!$D$5),0)+IF(I31&lt;&gt;0,L31*0.01/(I31*Вводные!$D$5),0)</f>
        <v>455375</v>
      </c>
      <c r="V31" s="50" t="n">
        <f aca="false">IF(G31&lt;&gt;0,N31*0.01/(G31*Вводные!$D$5),0)+IF(H31&lt;&gt;0,O31*0.01/(H31*Вводные!$D$5),0)+IF(I31&lt;&gt;0,P31*0.01/(I31*Вводные!$D$5),0)</f>
        <v>557916.666666667</v>
      </c>
      <c r="W31" s="53"/>
      <c r="X31" s="54" t="n">
        <f aca="false">IF(OR($E31="Внешний",$F31="Ценовой"),-1000000000000000,Q31)+ROW()/1000000000</f>
        <v>57700.000000031</v>
      </c>
      <c r="Y31" s="54" t="n">
        <f aca="false">IF($F31&lt;&gt;"Ценовой",-1000000000000000,Q31)+ROW()/1000000000</f>
        <v>-1000000000000000</v>
      </c>
    </row>
    <row r="32" customFormat="false" ht="23.85" hidden="false" customHeight="false" outlineLevel="0" collapsed="false">
      <c r="A32" s="42" t="s">
        <v>257</v>
      </c>
      <c r="B32" s="3" t="s">
        <v>258</v>
      </c>
      <c r="C32" s="3" t="s">
        <v>179</v>
      </c>
      <c r="D32" s="44" t="n">
        <v>1</v>
      </c>
      <c r="E32" s="3" t="s">
        <v>366</v>
      </c>
      <c r="F32" s="3" t="s">
        <v>381</v>
      </c>
      <c r="G32" s="49" t="n">
        <f aca="false">INDEX(Вводные!$D$13:$D$64,MATCH($A32,Вводные!$A$13:$A$64,0))</f>
        <v>60</v>
      </c>
      <c r="H32" s="49" t="n">
        <f aca="false">INDEX(Вводные!$E$13:$E$64,MATCH($A32,Вводные!$A$13:$A$64,0))</f>
        <v>1000</v>
      </c>
      <c r="I32" s="49" t="n">
        <f aca="false">INDEX(Вводные!$F$13:$F$64,MATCH($A32,Вводные!$A$13:$A$64,0))</f>
        <v>0</v>
      </c>
      <c r="J32" s="49" t="n">
        <f aca="false">INDEX(Модель!$J$91:$JA$91,MATCH("MR|"&amp;$A32&amp;"|1",Модель!$J$6:$JA$6,0))-INDEX(Модель!$J$91:$JA$91,MATCH("MR|"&amp;"BASE"&amp;"|1",Модель!$J$6:$JA$6,0))</f>
        <v>24342</v>
      </c>
      <c r="K32" s="49" t="n">
        <f aca="false">INDEX(Модель!$J$91:$JA$91,MATCH("AF|"&amp;$A32&amp;"|1",Модель!$J$6:$JA$6,0))-INDEX(Модель!$J$91:$JA$91,MATCH("AF|"&amp;"BASE"&amp;"|1",Модель!$J$6:$JA$6,0))</f>
        <v>22665</v>
      </c>
      <c r="L32" s="49" t="n">
        <f aca="false">INDEX(Модель!$J$91:$JA$91,MATCH("IC|"&amp;$A32&amp;"|1",Модель!$J$6:$JA$6,0))-INDEX(Модель!$J$91:$JA$91,MATCH("IC|"&amp;"BASE"&amp;"|1",Модель!$J$6:$JA$6,0))</f>
        <v>0</v>
      </c>
      <c r="M32" s="50" t="n">
        <f aca="false">SUM(J32:L32)</f>
        <v>47007</v>
      </c>
      <c r="N32" s="49" t="n">
        <f aca="false">INDEX(Модель!$J$91:$JA$91,MATCH("MR|"&amp;$A32&amp;"|3",Модель!$J$6:$JA$6,0))-INDEX(Модель!$J$91:$JA$91,MATCH("MR|"&amp;"BASE"&amp;"|3",Модель!$J$6:$JA$6,0))</f>
        <v>29700</v>
      </c>
      <c r="O32" s="49" t="n">
        <f aca="false">INDEX(Модель!$J$91:$JA$91,MATCH("AF|"&amp;$A32&amp;"|3",Модель!$J$6:$JA$6,0))-INDEX(Модель!$J$91:$JA$91,MATCH("AF|"&amp;"BASE"&amp;"|3",Модель!$J$6:$JA$6,0))</f>
        <v>28000</v>
      </c>
      <c r="P32" s="49" t="n">
        <f aca="false">INDEX(Модель!$J$91:$JA$91,MATCH("IC|"&amp;$A32&amp;"|3",Модель!$J$6:$JA$6,0))-INDEX(Модель!$J$91:$JA$91,MATCH("IC|"&amp;"BASE"&amp;"|3",Модель!$J$6:$JA$6,0))</f>
        <v>0</v>
      </c>
      <c r="Q32" s="50" t="n">
        <f aca="false">SUM(N32:P32)</f>
        <v>57700</v>
      </c>
      <c r="R32" s="51" t="n">
        <f aca="false">IF($Q$3&lt;&gt;0,Q32/$Q$3,0)</f>
        <v>0.000580596651104429</v>
      </c>
      <c r="S32" s="3" t="n">
        <f aca="false">IF($E32="Внешний","",IF($F32="Ценовой",RANK(Y32,$Y$5:$Y$45),RANK(X32,$X$5:$X$45)))</f>
        <v>8</v>
      </c>
      <c r="T32" s="3"/>
      <c r="U32" s="52"/>
      <c r="V32" s="52"/>
      <c r="W32" s="53" t="s">
        <v>457</v>
      </c>
      <c r="X32" s="54" t="n">
        <f aca="false">IF(OR($E32="Внешний",$F32="Ценовой"),-1000000000000000,Q32)+ROW()/1000000000</f>
        <v>-1000000000000000</v>
      </c>
      <c r="Y32" s="54" t="n">
        <f aca="false">IF($F32&lt;&gt;"Ценовой",-1000000000000000,Q32)+ROW()/1000000000</f>
        <v>57700.000000032</v>
      </c>
    </row>
    <row r="33" customFormat="false" ht="23.85" hidden="false" customHeight="false" outlineLevel="0" collapsed="false">
      <c r="A33" s="42" t="s">
        <v>259</v>
      </c>
      <c r="B33" s="3" t="s">
        <v>260</v>
      </c>
      <c r="C33" s="3" t="s">
        <v>194</v>
      </c>
      <c r="D33" s="44" t="n">
        <v>1</v>
      </c>
      <c r="E33" s="3" t="s">
        <v>366</v>
      </c>
      <c r="F33" s="3" t="s">
        <v>381</v>
      </c>
      <c r="G33" s="55" t="n">
        <f aca="false">INDEX(Вводные!$D$13:$D$64,MATCH($A33,Вводные!$A$13:$A$64,0))</f>
        <v>0.0002</v>
      </c>
      <c r="H33" s="55" t="n">
        <f aca="false">INDEX(Вводные!$E$13:$E$64,MATCH($A33,Вводные!$A$13:$A$64,0))</f>
        <v>0.0005</v>
      </c>
      <c r="I33" s="55" t="n">
        <f aca="false">INDEX(Вводные!$F$13:$F$64,MATCH($A33,Вводные!$A$13:$A$64,0))</f>
        <v>0.0003</v>
      </c>
      <c r="J33" s="49" t="n">
        <f aca="false">INDEX(Модель!$J$91:$JA$91,MATCH("MR|"&amp;$A33&amp;"|1",Модель!$J$6:$JA$6,0))-INDEX(Модель!$J$91:$JA$91,MATCH("MR|"&amp;"BASE"&amp;"|1",Модель!$J$6:$JA$6,0))</f>
        <v>8114</v>
      </c>
      <c r="K33" s="49" t="n">
        <f aca="false">INDEX(Модель!$J$91:$JA$91,MATCH("AF|"&amp;$A33&amp;"|1",Модель!$J$6:$JA$6,0))-INDEX(Модель!$J$91:$JA$91,MATCH("AF|"&amp;"BASE"&amp;"|1",Модель!$J$6:$JA$6,0))</f>
        <v>15110</v>
      </c>
      <c r="L33" s="49" t="n">
        <f aca="false">INDEX(Модель!$J$91:$JA$91,MATCH("IC|"&amp;$A33&amp;"|1",Модель!$J$6:$JA$6,0))-INDEX(Модель!$J$91:$JA$91,MATCH("IC|"&amp;"BASE"&amp;"|1",Модель!$J$6:$JA$6,0))</f>
        <v>30150</v>
      </c>
      <c r="M33" s="50" t="n">
        <f aca="false">SUM(J33:L33)</f>
        <v>53374</v>
      </c>
      <c r="N33" s="49" t="n">
        <f aca="false">INDEX(Модель!$J$91:$JA$91,MATCH("MR|"&amp;$A33&amp;"|3",Модель!$J$6:$JA$6,0))-INDEX(Модель!$J$91:$JA$91,MATCH("MR|"&amp;"BASE"&amp;"|3",Модель!$J$6:$JA$6,0))</f>
        <v>9900</v>
      </c>
      <c r="O33" s="49" t="n">
        <f aca="false">INDEX(Модель!$J$91:$JA$91,MATCH("AF|"&amp;$A33&amp;"|3",Модель!$J$6:$JA$6,0))-INDEX(Модель!$J$91:$JA$91,MATCH("AF|"&amp;"BASE"&amp;"|3",Модель!$J$6:$JA$6,0))</f>
        <v>18666.6666666716</v>
      </c>
      <c r="P33" s="49" t="n">
        <f aca="false">INDEX(Модель!$J$91:$JA$91,MATCH("IC|"&amp;$A33&amp;"|3",Модель!$J$6:$JA$6,0))-INDEX(Модель!$J$91:$JA$91,MATCH("IC|"&amp;"BASE"&amp;"|3",Модель!$J$6:$JA$6,0))</f>
        <v>33750</v>
      </c>
      <c r="Q33" s="50" t="n">
        <f aca="false">SUM(N33:P33)</f>
        <v>62316.6666666716</v>
      </c>
      <c r="R33" s="51" t="n">
        <f aca="false">IF($Q$3&lt;&gt;0,Q33/$Q$3,0)</f>
        <v>0.000627051091415261</v>
      </c>
      <c r="S33" s="3" t="n">
        <f aca="false">IF($E33="Внешний","",IF($F33="Ценовой",RANK(Y33,$Y$5:$Y$45),RANK(X33,$X$5:$X$45)))</f>
        <v>7</v>
      </c>
      <c r="T33" s="3" t="s">
        <v>456</v>
      </c>
      <c r="U33" s="56" t="n">
        <f aca="false">IF(G33&lt;&gt;0,J33*0.0001/(G33*Вводные!$D$5),0)+IF(H33&lt;&gt;0,K33*0.0001/(H33*Вводные!$D$5),0)+IF(I33&lt;&gt;0,L33*0.0001/(I33*Вводные!$D$5),0)</f>
        <v>1712900</v>
      </c>
      <c r="V33" s="50" t="n">
        <f aca="false">IF(G33&lt;&gt;0,N33*0.0001/(G33*Вводные!$D$5),0)+IF(H33&lt;&gt;0,O33*0.0001/(H33*Вводные!$D$5),0)+IF(I33&lt;&gt;0,P33*0.0001/(I33*Вводные!$D$5),0)</f>
        <v>1993333.33333343</v>
      </c>
      <c r="W33" s="53" t="s">
        <v>457</v>
      </c>
      <c r="X33" s="54" t="n">
        <f aca="false">IF(OR($E33="Внешний",$F33="Ценовой"),-1000000000000000,Q33)+ROW()/1000000000</f>
        <v>-1000000000000000</v>
      </c>
      <c r="Y33" s="54" t="n">
        <f aca="false">IF($F33&lt;&gt;"Ценовой",-1000000000000000,Q33)+ROW()/1000000000</f>
        <v>62316.6666667046</v>
      </c>
    </row>
    <row r="34" customFormat="false" ht="23.85" hidden="false" customHeight="false" outlineLevel="0" collapsed="false">
      <c r="A34" s="42" t="s">
        <v>263</v>
      </c>
      <c r="B34" s="3" t="s">
        <v>264</v>
      </c>
      <c r="C34" s="3" t="s">
        <v>188</v>
      </c>
      <c r="D34" s="44" t="n">
        <v>-1</v>
      </c>
      <c r="E34" s="3" t="s">
        <v>366</v>
      </c>
      <c r="F34" s="3" t="s">
        <v>384</v>
      </c>
      <c r="G34" s="57" t="n">
        <f aca="false">INDEX(Вводные!$D$13:$D$64,MATCH($A34,Вводные!$A$13:$A$64,0))</f>
        <v>1</v>
      </c>
      <c r="H34" s="57" t="n">
        <f aca="false">INDEX(Вводные!$E$13:$E$64,MATCH($A34,Вводные!$A$13:$A$64,0))</f>
        <v>3</v>
      </c>
      <c r="I34" s="57" t="n">
        <f aca="false">INDEX(Вводные!$F$13:$F$64,MATCH($A34,Вводные!$A$13:$A$64,0))</f>
        <v>12</v>
      </c>
      <c r="J34" s="49" t="n">
        <f aca="false">INDEX(Модель!$J$91:$JA$91,MATCH("MR|"&amp;$A34&amp;"|1",Модель!$J$6:$JA$6,0))-INDEX(Модель!$J$91:$JA$91,MATCH("MR|"&amp;"BASE"&amp;"|1",Модель!$J$6:$JA$6,0))</f>
        <v>25356.25</v>
      </c>
      <c r="K34" s="49" t="n">
        <f aca="false">INDEX(Модель!$J$91:$JA$91,MATCH("AF|"&amp;$A34&amp;"|1",Модель!$J$6:$JA$6,0))-INDEX(Модель!$J$91:$JA$91,MATCH("AF|"&amp;"BASE"&amp;"|1",Модель!$J$6:$JA$6,0))</f>
        <v>6799.5</v>
      </c>
      <c r="L34" s="49" t="n">
        <f aca="false">INDEX(Модель!$J$91:$JA$91,MATCH("IC|"&amp;$A34&amp;"|1",Модель!$J$6:$JA$6,0))-INDEX(Модель!$J$91:$JA$91,MATCH("IC|"&amp;"BASE"&amp;"|1",Модель!$J$6:$JA$6,0))</f>
        <v>1447.19999999926</v>
      </c>
      <c r="M34" s="50" t="n">
        <f aca="false">SUM(J34:L34)</f>
        <v>33602.9499999993</v>
      </c>
      <c r="N34" s="49" t="n">
        <f aca="false">INDEX(Модель!$J$91:$JA$91,MATCH("MR|"&amp;$A34&amp;"|3",Модель!$J$6:$JA$6,0))-INDEX(Модель!$J$91:$JA$91,MATCH("MR|"&amp;"BASE"&amp;"|3",Модель!$J$6:$JA$6,0))</f>
        <v>30937.5</v>
      </c>
      <c r="O34" s="49" t="n">
        <f aca="false">INDEX(Модель!$J$91:$JA$91,MATCH("AF|"&amp;$A34&amp;"|3",Модель!$J$6:$JA$6,0))-INDEX(Модель!$J$91:$JA$91,MATCH("AF|"&amp;"BASE"&amp;"|3",Модель!$J$6:$JA$6,0))</f>
        <v>8400</v>
      </c>
      <c r="P34" s="49" t="n">
        <f aca="false">INDEX(Модель!$J$91:$JA$91,MATCH("IC|"&amp;$A34&amp;"|3",Модель!$J$6:$JA$6,0))-INDEX(Модель!$J$91:$JA$91,MATCH("IC|"&amp;"BASE"&amp;"|3",Модель!$J$6:$JA$6,0))</f>
        <v>1620</v>
      </c>
      <c r="Q34" s="50" t="n">
        <f aca="false">SUM(N34:P34)</f>
        <v>40957.5</v>
      </c>
      <c r="R34" s="51" t="n">
        <f aca="false">IF($Q$3&lt;&gt;0,Q34/$Q$3,0)</f>
        <v>0.000412128030114552</v>
      </c>
      <c r="S34" s="3" t="n">
        <f aca="false">IF($E34="Внешний","",IF($F34="Ценовой",RANK(Y34,$Y$5:$Y$45),RANK(X34,$X$5:$X$45)))</f>
        <v>23</v>
      </c>
      <c r="T34" s="3"/>
      <c r="U34" s="52"/>
      <c r="V34" s="52"/>
      <c r="W34" s="53"/>
      <c r="X34" s="54" t="n">
        <f aca="false">IF(OR($E34="Внешний",$F34="Ценовой"),-1000000000000000,Q34)+ROW()/1000000000</f>
        <v>40957.500000034</v>
      </c>
      <c r="Y34" s="54" t="n">
        <f aca="false">IF($F34&lt;&gt;"Ценовой",-1000000000000000,Q34)+ROW()/1000000000</f>
        <v>-1000000000000000</v>
      </c>
    </row>
    <row r="35" customFormat="false" ht="15" hidden="false" customHeight="false" outlineLevel="0" collapsed="false">
      <c r="A35" s="42" t="s">
        <v>265</v>
      </c>
      <c r="B35" s="3" t="s">
        <v>266</v>
      </c>
      <c r="C35" s="3" t="s">
        <v>179</v>
      </c>
      <c r="D35" s="44" t="n">
        <v>-1</v>
      </c>
      <c r="E35" s="3" t="s">
        <v>366</v>
      </c>
      <c r="F35" s="3" t="s">
        <v>384</v>
      </c>
      <c r="G35" s="49" t="n">
        <f aca="false">INDEX(Вводные!$D$13:$D$64,MATCH($A35,Вводные!$A$13:$A$64,0))</f>
        <v>5</v>
      </c>
      <c r="H35" s="49" t="n">
        <f aca="false">INDEX(Вводные!$E$13:$E$64,MATCH($A35,Вводные!$A$13:$A$64,0))</f>
        <v>15</v>
      </c>
      <c r="I35" s="49" t="n">
        <f aca="false">INDEX(Вводные!$F$13:$F$64,MATCH($A35,Вводные!$A$13:$A$64,0))</f>
        <v>30</v>
      </c>
      <c r="J35" s="49" t="n">
        <f aca="false">INDEX(Модель!$J$91:$JA$91,MATCH("MR|"&amp;$A35&amp;"|1",Модель!$J$6:$JA$6,0))-INDEX(Модель!$J$91:$JA$91,MATCH("MR|"&amp;"BASE"&amp;"|1",Модель!$J$6:$JA$6,0))</f>
        <v>25356.25</v>
      </c>
      <c r="K35" s="49" t="n">
        <f aca="false">INDEX(Модель!$J$91:$JA$91,MATCH("AF|"&amp;$A35&amp;"|1",Модель!$J$6:$JA$6,0))-INDEX(Модель!$J$91:$JA$91,MATCH("AF|"&amp;"BASE"&amp;"|1",Модель!$J$6:$JA$6,0))</f>
        <v>6799.5</v>
      </c>
      <c r="L35" s="49" t="n">
        <f aca="false">INDEX(Модель!$J$91:$JA$91,MATCH("IC|"&amp;$A35&amp;"|1",Модель!$J$6:$JA$6,0))-INDEX(Модель!$J$91:$JA$91,MATCH("IC|"&amp;"BASE"&amp;"|1",Модель!$J$6:$JA$6,0))</f>
        <v>1447.19999999926</v>
      </c>
      <c r="M35" s="50" t="n">
        <f aca="false">SUM(J35:L35)</f>
        <v>33602.9499999993</v>
      </c>
      <c r="N35" s="49" t="n">
        <f aca="false">INDEX(Модель!$J$91:$JA$91,MATCH("MR|"&amp;$A35&amp;"|3",Модель!$J$6:$JA$6,0))-INDEX(Модель!$J$91:$JA$91,MATCH("MR|"&amp;"BASE"&amp;"|3",Модель!$J$6:$JA$6,0))</f>
        <v>30937.5</v>
      </c>
      <c r="O35" s="49" t="n">
        <f aca="false">INDEX(Модель!$J$91:$JA$91,MATCH("AF|"&amp;$A35&amp;"|3",Модель!$J$6:$JA$6,0))-INDEX(Модель!$J$91:$JA$91,MATCH("AF|"&amp;"BASE"&amp;"|3",Модель!$J$6:$JA$6,0))</f>
        <v>8400</v>
      </c>
      <c r="P35" s="49" t="n">
        <f aca="false">INDEX(Модель!$J$91:$JA$91,MATCH("IC|"&amp;$A35&amp;"|3",Модель!$J$6:$JA$6,0))-INDEX(Модель!$J$91:$JA$91,MATCH("IC|"&amp;"BASE"&amp;"|3",Модель!$J$6:$JA$6,0))</f>
        <v>1620</v>
      </c>
      <c r="Q35" s="50" t="n">
        <f aca="false">SUM(N35:P35)</f>
        <v>40957.5</v>
      </c>
      <c r="R35" s="51" t="n">
        <f aca="false">IF($Q$3&lt;&gt;0,Q35/$Q$3,0)</f>
        <v>0.000412128030114552</v>
      </c>
      <c r="S35" s="3" t="n">
        <f aca="false">IF($E35="Внешний","",IF($F35="Ценовой",RANK(Y35,$Y$5:$Y$45),RANK(X35,$X$5:$X$45)))</f>
        <v>22</v>
      </c>
      <c r="T35" s="3"/>
      <c r="U35" s="52"/>
      <c r="V35" s="52"/>
      <c r="W35" s="53"/>
      <c r="X35" s="54" t="n">
        <f aca="false">IF(OR($E35="Внешний",$F35="Ценовой"),-1000000000000000,Q35)+ROW()/1000000000</f>
        <v>40957.500000035</v>
      </c>
      <c r="Y35" s="54" t="n">
        <f aca="false">IF($F35&lt;&gt;"Ценовой",-1000000000000000,Q35)+ROW()/1000000000</f>
        <v>-1000000000000000</v>
      </c>
    </row>
    <row r="36" customFormat="false" ht="23.85" hidden="false" customHeight="false" outlineLevel="0" collapsed="false">
      <c r="A36" s="42" t="s">
        <v>271</v>
      </c>
      <c r="B36" s="3" t="s">
        <v>272</v>
      </c>
      <c r="C36" s="3" t="s">
        <v>179</v>
      </c>
      <c r="D36" s="44" t="n">
        <v>-1</v>
      </c>
      <c r="E36" s="3" t="s">
        <v>366</v>
      </c>
      <c r="F36" s="3" t="s">
        <v>384</v>
      </c>
      <c r="G36" s="49" t="n">
        <f aca="false">INDEX(Вводные!$D$13:$D$64,MATCH($A36,Вводные!$A$13:$A$64,0))</f>
        <v>1.5</v>
      </c>
      <c r="H36" s="49" t="n">
        <f aca="false">INDEX(Вводные!$E$13:$E$64,MATCH($A36,Вводные!$A$13:$A$64,0))</f>
        <v>3</v>
      </c>
      <c r="I36" s="49" t="n">
        <f aca="false">INDEX(Вводные!$F$13:$F$64,MATCH($A36,Вводные!$A$13:$A$64,0))</f>
        <v>50</v>
      </c>
      <c r="J36" s="49" t="n">
        <f aca="false">INDEX(Модель!$J$91:$JA$91,MATCH("MR|"&amp;$A36&amp;"|1",Модель!$J$6:$JA$6,0))-INDEX(Модель!$J$91:$JA$91,MATCH("MR|"&amp;"BASE"&amp;"|1",Модель!$J$6:$JA$6,0))</f>
        <v>4500</v>
      </c>
      <c r="K36" s="49" t="n">
        <f aca="false">INDEX(Модель!$J$91:$JA$91,MATCH("AF|"&amp;$A36&amp;"|1",Модель!$J$6:$JA$6,0))-INDEX(Модель!$J$91:$JA$91,MATCH("AF|"&amp;"BASE"&amp;"|1",Модель!$J$6:$JA$6,0))</f>
        <v>60</v>
      </c>
      <c r="L36" s="49" t="n">
        <f aca="false">INDEX(Модель!$J$91:$JA$91,MATCH("IC|"&amp;$A36&amp;"|1",Модель!$J$6:$JA$6,0))-INDEX(Модель!$J$91:$JA$91,MATCH("IC|"&amp;"BASE"&amp;"|1",Модель!$J$6:$JA$6,0))</f>
        <v>60</v>
      </c>
      <c r="M36" s="50" t="n">
        <f aca="false">SUM(J36:L36)</f>
        <v>4620</v>
      </c>
      <c r="N36" s="49" t="n">
        <f aca="false">INDEX(Модель!$J$91:$JA$91,MATCH("MR|"&amp;$A36&amp;"|3",Модель!$J$6:$JA$6,0))-INDEX(Модель!$J$91:$JA$91,MATCH("MR|"&amp;"BASE"&amp;"|3",Модель!$J$6:$JA$6,0))</f>
        <v>4500</v>
      </c>
      <c r="O36" s="49" t="n">
        <f aca="false">INDEX(Модель!$J$91:$JA$91,MATCH("AF|"&amp;$A36&amp;"|3",Модель!$J$6:$JA$6,0))-INDEX(Модель!$J$91:$JA$91,MATCH("AF|"&amp;"BASE"&amp;"|3",Модель!$J$6:$JA$6,0))</f>
        <v>60</v>
      </c>
      <c r="P36" s="49" t="n">
        <f aca="false">INDEX(Модель!$J$91:$JA$91,MATCH("IC|"&amp;$A36&amp;"|3",Модель!$J$6:$JA$6,0))-INDEX(Модель!$J$91:$JA$91,MATCH("IC|"&amp;"BASE"&amp;"|3",Модель!$J$6:$JA$6,0))</f>
        <v>60</v>
      </c>
      <c r="Q36" s="50" t="n">
        <f aca="false">SUM(N36:P36)</f>
        <v>4620</v>
      </c>
      <c r="R36" s="51" t="n">
        <f aca="false">IF($Q$3&lt;&gt;0,Q36/$Q$3,0)</f>
        <v>4.64879814229196E-005</v>
      </c>
      <c r="S36" s="3" t="n">
        <f aca="false">IF($E36="Внешний","",IF($F36="Ценовой",RANK(Y36,$Y$5:$Y$45),RANK(X36,$X$5:$X$45)))</f>
        <v>31</v>
      </c>
      <c r="T36" s="3"/>
      <c r="U36" s="52"/>
      <c r="V36" s="52"/>
      <c r="W36" s="53"/>
      <c r="X36" s="54" t="n">
        <f aca="false">IF(OR($E36="Внешний",$F36="Ценовой"),-1000000000000000,Q36)+ROW()/1000000000</f>
        <v>4620.000000036</v>
      </c>
      <c r="Y36" s="54" t="n">
        <f aca="false">IF($F36&lt;&gt;"Ценовой",-1000000000000000,Q36)+ROW()/1000000000</f>
        <v>-1000000000000000</v>
      </c>
    </row>
    <row r="37" customFormat="false" ht="15" hidden="false" customHeight="false" outlineLevel="0" collapsed="false">
      <c r="A37" s="42" t="s">
        <v>273</v>
      </c>
      <c r="B37" s="3" t="s">
        <v>274</v>
      </c>
      <c r="C37" s="3" t="s">
        <v>194</v>
      </c>
      <c r="D37" s="44" t="n">
        <v>-1</v>
      </c>
      <c r="E37" s="3" t="s">
        <v>366</v>
      </c>
      <c r="F37" s="3" t="s">
        <v>384</v>
      </c>
      <c r="G37" s="55" t="n">
        <f aca="false">INDEX(Вводные!$D$13:$D$64,MATCH($A37,Вводные!$A$13:$A$64,0))</f>
        <v>0.3</v>
      </c>
      <c r="H37" s="55" t="n">
        <f aca="false">INDEX(Вводные!$E$13:$E$64,MATCH($A37,Вводные!$A$13:$A$64,0))</f>
        <v>0.6</v>
      </c>
      <c r="I37" s="55" t="n">
        <f aca="false">INDEX(Вводные!$F$13:$F$64,MATCH($A37,Вводные!$A$13:$A$64,0))</f>
        <v>1</v>
      </c>
      <c r="J37" s="49" t="n">
        <f aca="false">INDEX(Модель!$J$91:$JA$91,MATCH("MR|"&amp;$A37&amp;"|1",Модель!$J$6:$JA$6,0))-INDEX(Модель!$J$91:$JA$91,MATCH("MR|"&amp;"BASE"&amp;"|1",Модель!$J$6:$JA$6,0))</f>
        <v>7200</v>
      </c>
      <c r="K37" s="49" t="n">
        <f aca="false">INDEX(Модель!$J$91:$JA$91,MATCH("AF|"&amp;$A37&amp;"|1",Модель!$J$6:$JA$6,0))-INDEX(Модель!$J$91:$JA$91,MATCH("AF|"&amp;"BASE"&amp;"|1",Модель!$J$6:$JA$6,0))</f>
        <v>480</v>
      </c>
      <c r="L37" s="49" t="n">
        <f aca="false">INDEX(Модель!$J$91:$JA$91,MATCH("IC|"&amp;$A37&amp;"|1",Модель!$J$6:$JA$6,0))-INDEX(Модель!$J$91:$JA$91,MATCH("IC|"&amp;"BASE"&amp;"|1",Модель!$J$6:$JA$6,0))</f>
        <v>1800</v>
      </c>
      <c r="M37" s="50" t="n">
        <f aca="false">SUM(J37:L37)</f>
        <v>9480</v>
      </c>
      <c r="N37" s="49" t="n">
        <f aca="false">INDEX(Модель!$J$91:$JA$91,MATCH("MR|"&amp;$A37&amp;"|3",Модель!$J$6:$JA$6,0))-INDEX(Модель!$J$91:$JA$91,MATCH("MR|"&amp;"BASE"&amp;"|3",Модель!$J$6:$JA$6,0))</f>
        <v>7200</v>
      </c>
      <c r="O37" s="49" t="n">
        <f aca="false">INDEX(Модель!$J$91:$JA$91,MATCH("AF|"&amp;$A37&amp;"|3",Модель!$J$6:$JA$6,0))-INDEX(Модель!$J$91:$JA$91,MATCH("AF|"&amp;"BASE"&amp;"|3",Модель!$J$6:$JA$6,0))</f>
        <v>480</v>
      </c>
      <c r="P37" s="49" t="n">
        <f aca="false">INDEX(Модель!$J$91:$JA$91,MATCH("IC|"&amp;$A37&amp;"|3",Модель!$J$6:$JA$6,0))-INDEX(Модель!$J$91:$JA$91,MATCH("IC|"&amp;"BASE"&amp;"|3",Модель!$J$6:$JA$6,0))</f>
        <v>1800</v>
      </c>
      <c r="Q37" s="50" t="n">
        <f aca="false">SUM(N37:P37)</f>
        <v>9480</v>
      </c>
      <c r="R37" s="51" t="n">
        <f aca="false">IF($Q$3&lt;&gt;0,Q37/$Q$3,0)</f>
        <v>9.53909229197572E-005</v>
      </c>
      <c r="S37" s="3" t="n">
        <f aca="false">IF($E37="Внешний","",IF($F37="Ценовой",RANK(Y37,$Y$5:$Y$45),RANK(X37,$X$5:$X$45)))</f>
        <v>29</v>
      </c>
      <c r="T37" s="3" t="s">
        <v>454</v>
      </c>
      <c r="U37" s="56" t="n">
        <f aca="false">IF(G37&lt;&gt;0,J37*0.01/(G37*Вводные!$D$5),0)+IF(H37&lt;&gt;0,K37*0.01/(H37*Вводные!$D$5),0)+IF(I37&lt;&gt;0,L37*0.01/(I37*Вводные!$D$5),0)</f>
        <v>26600</v>
      </c>
      <c r="V37" s="50" t="n">
        <f aca="false">IF(G37&lt;&gt;0,N37*0.01/(G37*Вводные!$D$5),0)+IF(H37&lt;&gt;0,O37*0.01/(H37*Вводные!$D$5),0)+IF(I37&lt;&gt;0,P37*0.01/(I37*Вводные!$D$5),0)</f>
        <v>26600</v>
      </c>
      <c r="W37" s="53"/>
      <c r="X37" s="54" t="n">
        <f aca="false">IF(OR($E37="Внешний",$F37="Ценовой"),-1000000000000000,Q37)+ROW()/1000000000</f>
        <v>9480.000000037</v>
      </c>
      <c r="Y37" s="54" t="n">
        <f aca="false">IF($F37&lt;&gt;"Ценовой",-1000000000000000,Q37)+ROW()/1000000000</f>
        <v>-1000000000000000</v>
      </c>
    </row>
    <row r="38" customFormat="false" ht="23.85" hidden="false" customHeight="false" outlineLevel="0" collapsed="false">
      <c r="A38" s="42" t="s">
        <v>275</v>
      </c>
      <c r="B38" s="3" t="s">
        <v>276</v>
      </c>
      <c r="C38" s="3" t="s">
        <v>179</v>
      </c>
      <c r="D38" s="44" t="n">
        <v>-1</v>
      </c>
      <c r="E38" s="3" t="s">
        <v>366</v>
      </c>
      <c r="F38" s="3" t="s">
        <v>384</v>
      </c>
      <c r="G38" s="49" t="n">
        <f aca="false">INDEX(Вводные!$D$13:$D$64,MATCH($A38,Вводные!$A$13:$A$64,0))</f>
        <v>8</v>
      </c>
      <c r="H38" s="49" t="n">
        <f aca="false">INDEX(Вводные!$E$13:$E$64,MATCH($A38,Вводные!$A$13:$A$64,0))</f>
        <v>40</v>
      </c>
      <c r="I38" s="49" t="n">
        <f aca="false">INDEX(Вводные!$F$13:$F$64,MATCH($A38,Вводные!$A$13:$A$64,0))</f>
        <v>1500</v>
      </c>
      <c r="J38" s="49" t="n">
        <f aca="false">INDEX(Модель!$J$91:$JA$91,MATCH("MR|"&amp;$A38&amp;"|1",Модель!$J$6:$JA$6,0))-INDEX(Модель!$J$91:$JA$91,MATCH("MR|"&amp;"BASE"&amp;"|1",Модель!$J$6:$JA$6,0))</f>
        <v>7200</v>
      </c>
      <c r="K38" s="49" t="n">
        <f aca="false">INDEX(Модель!$J$91:$JA$91,MATCH("AF|"&amp;$A38&amp;"|1",Модель!$J$6:$JA$6,0))-INDEX(Модель!$J$91:$JA$91,MATCH("AF|"&amp;"BASE"&amp;"|1",Модель!$J$6:$JA$6,0))</f>
        <v>480</v>
      </c>
      <c r="L38" s="49" t="n">
        <f aca="false">INDEX(Модель!$J$91:$JA$91,MATCH("IC|"&amp;$A38&amp;"|1",Модель!$J$6:$JA$6,0))-INDEX(Модель!$J$91:$JA$91,MATCH("IC|"&amp;"BASE"&amp;"|1",Модель!$J$6:$JA$6,0))</f>
        <v>1800</v>
      </c>
      <c r="M38" s="50" t="n">
        <f aca="false">SUM(J38:L38)</f>
        <v>9480</v>
      </c>
      <c r="N38" s="49" t="n">
        <f aca="false">INDEX(Модель!$J$91:$JA$91,MATCH("MR|"&amp;$A38&amp;"|3",Модель!$J$6:$JA$6,0))-INDEX(Модель!$J$91:$JA$91,MATCH("MR|"&amp;"BASE"&amp;"|3",Модель!$J$6:$JA$6,0))</f>
        <v>7200</v>
      </c>
      <c r="O38" s="49" t="n">
        <f aca="false">INDEX(Модель!$J$91:$JA$91,MATCH("AF|"&amp;$A38&amp;"|3",Модель!$J$6:$JA$6,0))-INDEX(Модель!$J$91:$JA$91,MATCH("AF|"&amp;"BASE"&amp;"|3",Модель!$J$6:$JA$6,0))</f>
        <v>480</v>
      </c>
      <c r="P38" s="49" t="n">
        <f aca="false">INDEX(Модель!$J$91:$JA$91,MATCH("IC|"&amp;$A38&amp;"|3",Модель!$J$6:$JA$6,0))-INDEX(Модель!$J$91:$JA$91,MATCH("IC|"&amp;"BASE"&amp;"|3",Модель!$J$6:$JA$6,0))</f>
        <v>1800</v>
      </c>
      <c r="Q38" s="50" t="n">
        <f aca="false">SUM(N38:P38)</f>
        <v>9480</v>
      </c>
      <c r="R38" s="51" t="n">
        <f aca="false">IF($Q$3&lt;&gt;0,Q38/$Q$3,0)</f>
        <v>9.53909229197572E-005</v>
      </c>
      <c r="S38" s="3" t="n">
        <f aca="false">IF($E38="Внешний","",IF($F38="Ценовой",RANK(Y38,$Y$5:$Y$45),RANK(X38,$X$5:$X$45)))</f>
        <v>28</v>
      </c>
      <c r="T38" s="3"/>
      <c r="U38" s="52"/>
      <c r="V38" s="52"/>
      <c r="W38" s="53"/>
      <c r="X38" s="54" t="n">
        <f aca="false">IF(OR($E38="Внешний",$F38="Ценовой"),-1000000000000000,Q38)+ROW()/1000000000</f>
        <v>9480.000000038</v>
      </c>
      <c r="Y38" s="54" t="n">
        <f aca="false">IF($F38&lt;&gt;"Ценовой",-1000000000000000,Q38)+ROW()/1000000000</f>
        <v>-1000000000000000</v>
      </c>
    </row>
    <row r="39" customFormat="false" ht="35.05" hidden="false" customHeight="false" outlineLevel="0" collapsed="false">
      <c r="A39" s="42" t="s">
        <v>278</v>
      </c>
      <c r="B39" s="3" t="s">
        <v>279</v>
      </c>
      <c r="C39" s="3" t="s">
        <v>188</v>
      </c>
      <c r="D39" s="44" t="n">
        <v>-1</v>
      </c>
      <c r="E39" s="3" t="s">
        <v>376</v>
      </c>
      <c r="F39" s="3" t="s">
        <v>384</v>
      </c>
      <c r="G39" s="57" t="n">
        <f aca="false">INDEX(Вводные!$D$13:$D$64,MATCH($A39,Вводные!$A$13:$A$64,0))</f>
        <v>6</v>
      </c>
      <c r="H39" s="57" t="n">
        <f aca="false">INDEX(Вводные!$E$13:$E$64,MATCH($A39,Вводные!$A$13:$A$64,0))</f>
        <v>15</v>
      </c>
      <c r="I39" s="57" t="n">
        <f aca="false">INDEX(Вводные!$F$13:$F$64,MATCH($A39,Вводные!$A$13:$A$64,0))</f>
        <v>200</v>
      </c>
      <c r="J39" s="49" t="n">
        <f aca="false">INDEX(Модель!$J$91:$JA$91,MATCH("MR|"&amp;$A39&amp;"|1",Модель!$J$6:$JA$6,0))-INDEX(Модель!$J$91:$JA$91,MATCH("MR|"&amp;"BASE"&amp;"|1",Модель!$J$6:$JA$6,0))</f>
        <v>9128.25</v>
      </c>
      <c r="K39" s="49" t="n">
        <f aca="false">INDEX(Модель!$J$91:$JA$91,MATCH("AF|"&amp;$A39&amp;"|1",Модель!$J$6:$JA$6,0))-INDEX(Модель!$J$91:$JA$91,MATCH("AF|"&amp;"BASE"&amp;"|1",Модель!$J$6:$JA$6,0))</f>
        <v>5666.25</v>
      </c>
      <c r="L39" s="49" t="n">
        <f aca="false">INDEX(Модель!$J$91:$JA$91,MATCH("IC|"&amp;$A39&amp;"|1",Модель!$J$6:$JA$6,0))-INDEX(Модель!$J$91:$JA$91,MATCH("IC|"&amp;"BASE"&amp;"|1",Модель!$J$6:$JA$6,0))</f>
        <v>6030</v>
      </c>
      <c r="M39" s="50" t="n">
        <f aca="false">SUM(J39:L39)</f>
        <v>20824.5</v>
      </c>
      <c r="N39" s="49" t="n">
        <f aca="false">INDEX(Модель!$J$91:$JA$91,MATCH("MR|"&amp;$A39&amp;"|3",Модель!$J$6:$JA$6,0))-INDEX(Модель!$J$91:$JA$91,MATCH("MR|"&amp;"BASE"&amp;"|3",Модель!$J$6:$JA$6,0))</f>
        <v>11137.5</v>
      </c>
      <c r="O39" s="49" t="n">
        <f aca="false">INDEX(Модель!$J$91:$JA$91,MATCH("AF|"&amp;$A39&amp;"|3",Модель!$J$6:$JA$6,0))-INDEX(Модель!$J$91:$JA$91,MATCH("AF|"&amp;"BASE"&amp;"|3",Модель!$J$6:$JA$6,0))</f>
        <v>7000</v>
      </c>
      <c r="P39" s="49" t="n">
        <f aca="false">INDEX(Модель!$J$91:$JA$91,MATCH("IC|"&amp;$A39&amp;"|3",Модель!$J$6:$JA$6,0))-INDEX(Модель!$J$91:$JA$91,MATCH("IC|"&amp;"BASE"&amp;"|3",Модель!$J$6:$JA$6,0))</f>
        <v>6750</v>
      </c>
      <c r="Q39" s="50" t="n">
        <f aca="false">SUM(N39:P39)</f>
        <v>24887.5</v>
      </c>
      <c r="R39" s="51" t="n">
        <f aca="false">IF($Q$3&lt;&gt;0,Q39/$Q$3,0)</f>
        <v>0.000250426328498466</v>
      </c>
      <c r="S39" s="3" t="n">
        <f aca="false">IF($E39="Внешний","",IF($F39="Ценовой",RANK(Y39,$Y$5:$Y$45),RANK(X39,$X$5:$X$45)))</f>
        <v>26</v>
      </c>
      <c r="T39" s="3"/>
      <c r="U39" s="52"/>
      <c r="V39" s="52"/>
      <c r="W39" s="53"/>
      <c r="X39" s="54" t="n">
        <f aca="false">IF(OR($E39="Внешний",$F39="Ценовой"),-1000000000000000,Q39)+ROW()/1000000000</f>
        <v>24887.500000039</v>
      </c>
      <c r="Y39" s="54" t="n">
        <f aca="false">IF($F39&lt;&gt;"Ценовой",-1000000000000000,Q39)+ROW()/1000000000</f>
        <v>-1000000000000000</v>
      </c>
    </row>
    <row r="40" customFormat="false" ht="15" hidden="false" customHeight="false" outlineLevel="0" collapsed="false">
      <c r="A40" s="42" t="s">
        <v>280</v>
      </c>
      <c r="B40" s="3" t="s">
        <v>281</v>
      </c>
      <c r="C40" s="3" t="s">
        <v>194</v>
      </c>
      <c r="D40" s="44" t="n">
        <v>-1</v>
      </c>
      <c r="E40" s="3" t="s">
        <v>366</v>
      </c>
      <c r="F40" s="3" t="s">
        <v>384</v>
      </c>
      <c r="G40" s="55" t="n">
        <f aca="false">INDEX(Вводные!$D$13:$D$64,MATCH($A40,Вводные!$A$13:$A$64,0))</f>
        <v>0.1</v>
      </c>
      <c r="H40" s="55" t="n">
        <f aca="false">INDEX(Вводные!$E$13:$E$64,MATCH($A40,Вводные!$A$13:$A$64,0))</f>
        <v>0.25</v>
      </c>
      <c r="I40" s="55" t="n">
        <f aca="false">INDEX(Вводные!$F$13:$F$64,MATCH($A40,Вводные!$A$13:$A$64,0))</f>
        <v>0.3</v>
      </c>
      <c r="J40" s="49" t="n">
        <f aca="false">INDEX(Модель!$J$91:$JA$91,MATCH("MR|"&amp;$A40&amp;"|1",Модель!$J$6:$JA$6,0))-INDEX(Модель!$J$91:$JA$91,MATCH("MR|"&amp;"BASE"&amp;"|1",Модель!$J$6:$JA$6,0))</f>
        <v>9128.25</v>
      </c>
      <c r="K40" s="49" t="n">
        <f aca="false">INDEX(Модель!$J$91:$JA$91,MATCH("AF|"&amp;$A40&amp;"|1",Модель!$J$6:$JA$6,0))-INDEX(Модель!$J$91:$JA$91,MATCH("AF|"&amp;"BASE"&amp;"|1",Модель!$J$6:$JA$6,0))</f>
        <v>5666.25</v>
      </c>
      <c r="L40" s="49" t="n">
        <f aca="false">INDEX(Модель!$J$91:$JA$91,MATCH("IC|"&amp;$A40&amp;"|1",Модель!$J$6:$JA$6,0))-INDEX(Модель!$J$91:$JA$91,MATCH("IC|"&amp;"BASE"&amp;"|1",Модель!$J$6:$JA$6,0))</f>
        <v>6030</v>
      </c>
      <c r="M40" s="50" t="n">
        <f aca="false">SUM(J40:L40)</f>
        <v>20824.5</v>
      </c>
      <c r="N40" s="49" t="n">
        <f aca="false">INDEX(Модель!$J$91:$JA$91,MATCH("MR|"&amp;$A40&amp;"|3",Модель!$J$6:$JA$6,0))-INDEX(Модель!$J$91:$JA$91,MATCH("MR|"&amp;"BASE"&amp;"|3",Модель!$J$6:$JA$6,0))</f>
        <v>11137.5</v>
      </c>
      <c r="O40" s="49" t="n">
        <f aca="false">INDEX(Модель!$J$91:$JA$91,MATCH("AF|"&amp;$A40&amp;"|3",Модель!$J$6:$JA$6,0))-INDEX(Модель!$J$91:$JA$91,MATCH("AF|"&amp;"BASE"&amp;"|3",Модель!$J$6:$JA$6,0))</f>
        <v>7000</v>
      </c>
      <c r="P40" s="49" t="n">
        <f aca="false">INDEX(Модель!$J$91:$JA$91,MATCH("IC|"&amp;$A40&amp;"|3",Модель!$J$6:$JA$6,0))-INDEX(Модель!$J$91:$JA$91,MATCH("IC|"&amp;"BASE"&amp;"|3",Модель!$J$6:$JA$6,0))</f>
        <v>6750</v>
      </c>
      <c r="Q40" s="50" t="n">
        <f aca="false">SUM(N40:P40)</f>
        <v>24887.5</v>
      </c>
      <c r="R40" s="51" t="n">
        <f aca="false">IF($Q$3&lt;&gt;0,Q40/$Q$3,0)</f>
        <v>0.000250426328498466</v>
      </c>
      <c r="S40" s="3" t="n">
        <f aca="false">IF($E40="Внешний","",IF($F40="Ценовой",RANK(Y40,$Y$5:$Y$45),RANK(X40,$X$5:$X$45)))</f>
        <v>25</v>
      </c>
      <c r="T40" s="3" t="s">
        <v>454</v>
      </c>
      <c r="U40" s="56" t="n">
        <f aca="false">IF(G40&lt;&gt;0,J40*0.01/(G40*Вводные!$D$5),0)+IF(H40&lt;&gt;0,K40*0.01/(H40*Вводные!$D$5),0)+IF(I40&lt;&gt;0,L40*0.01/(I40*Вводные!$D$5),0)</f>
        <v>134047.5</v>
      </c>
      <c r="V40" s="50" t="n">
        <f aca="false">IF(G40&lt;&gt;0,N40*0.01/(G40*Вводные!$D$5),0)+IF(H40&lt;&gt;0,O40*0.01/(H40*Вводные!$D$5),0)+IF(I40&lt;&gt;0,P40*0.01/(I40*Вводные!$D$5),0)</f>
        <v>161875</v>
      </c>
      <c r="W40" s="53"/>
      <c r="X40" s="54" t="n">
        <f aca="false">IF(OR($E40="Внешний",$F40="Ценовой"),-1000000000000000,Q40)+ROW()/1000000000</f>
        <v>24887.50000004</v>
      </c>
      <c r="Y40" s="54" t="n">
        <f aca="false">IF($F40&lt;&gt;"Ценовой",-1000000000000000,Q40)+ROW()/1000000000</f>
        <v>-1000000000000000</v>
      </c>
    </row>
    <row r="41" customFormat="false" ht="15" hidden="false" customHeight="false" outlineLevel="0" collapsed="false">
      <c r="A41" s="42" t="s">
        <v>282</v>
      </c>
      <c r="B41" s="3" t="s">
        <v>283</v>
      </c>
      <c r="C41" s="3" t="s">
        <v>179</v>
      </c>
      <c r="D41" s="44" t="n">
        <v>-1</v>
      </c>
      <c r="E41" s="3" t="s">
        <v>366</v>
      </c>
      <c r="F41" s="3" t="s">
        <v>384</v>
      </c>
      <c r="G41" s="49" t="n">
        <f aca="false">INDEX(Вводные!$D$13:$D$64,MATCH($A41,Вводные!$A$13:$A$64,0))</f>
        <v>3</v>
      </c>
      <c r="H41" s="49" t="n">
        <f aca="false">INDEX(Вводные!$E$13:$E$64,MATCH($A41,Вводные!$A$13:$A$64,0))</f>
        <v>10</v>
      </c>
      <c r="I41" s="49" t="n">
        <f aca="false">INDEX(Вводные!$F$13:$F$64,MATCH($A41,Вводные!$A$13:$A$64,0))</f>
        <v>25</v>
      </c>
      <c r="J41" s="49" t="n">
        <f aca="false">INDEX(Модель!$J$91:$JA$91,MATCH("MR|"&amp;$A41&amp;"|1",Модель!$J$6:$JA$6,0))-INDEX(Модель!$J$91:$JA$91,MATCH("MR|"&amp;"BASE"&amp;"|1",Модель!$J$6:$JA$6,0))</f>
        <v>9128.25</v>
      </c>
      <c r="K41" s="49" t="n">
        <f aca="false">INDEX(Модель!$J$91:$JA$91,MATCH("AF|"&amp;$A41&amp;"|1",Модель!$J$6:$JA$6,0))-INDEX(Модель!$J$91:$JA$91,MATCH("AF|"&amp;"BASE"&amp;"|1",Модель!$J$6:$JA$6,0))</f>
        <v>5666.25</v>
      </c>
      <c r="L41" s="49" t="n">
        <f aca="false">INDEX(Модель!$J$91:$JA$91,MATCH("IC|"&amp;$A41&amp;"|1",Модель!$J$6:$JA$6,0))-INDEX(Модель!$J$91:$JA$91,MATCH("IC|"&amp;"BASE"&amp;"|1",Модель!$J$6:$JA$6,0))</f>
        <v>6030</v>
      </c>
      <c r="M41" s="50" t="n">
        <f aca="false">SUM(J41:L41)</f>
        <v>20824.5</v>
      </c>
      <c r="N41" s="49" t="n">
        <f aca="false">INDEX(Модель!$J$91:$JA$91,MATCH("MR|"&amp;$A41&amp;"|3",Модель!$J$6:$JA$6,0))-INDEX(Модель!$J$91:$JA$91,MATCH("MR|"&amp;"BASE"&amp;"|3",Модель!$J$6:$JA$6,0))</f>
        <v>11137.5</v>
      </c>
      <c r="O41" s="49" t="n">
        <f aca="false">INDEX(Модель!$J$91:$JA$91,MATCH("AF|"&amp;$A41&amp;"|3",Модель!$J$6:$JA$6,0))-INDEX(Модель!$J$91:$JA$91,MATCH("AF|"&amp;"BASE"&amp;"|3",Модель!$J$6:$JA$6,0))</f>
        <v>7000</v>
      </c>
      <c r="P41" s="49" t="n">
        <f aca="false">INDEX(Модель!$J$91:$JA$91,MATCH("IC|"&amp;$A41&amp;"|3",Модель!$J$6:$JA$6,0))-INDEX(Модель!$J$91:$JA$91,MATCH("IC|"&amp;"BASE"&amp;"|3",Модель!$J$6:$JA$6,0))</f>
        <v>6750</v>
      </c>
      <c r="Q41" s="50" t="n">
        <f aca="false">SUM(N41:P41)</f>
        <v>24887.5</v>
      </c>
      <c r="R41" s="51" t="n">
        <f aca="false">IF($Q$3&lt;&gt;0,Q41/$Q$3,0)</f>
        <v>0.000250426328498466</v>
      </c>
      <c r="S41" s="3" t="n">
        <f aca="false">IF($E41="Внешний","",IF($F41="Ценовой",RANK(Y41,$Y$5:$Y$45),RANK(X41,$X$5:$X$45)))</f>
        <v>24</v>
      </c>
      <c r="T41" s="3"/>
      <c r="U41" s="52"/>
      <c r="V41" s="52"/>
      <c r="W41" s="53"/>
      <c r="X41" s="54" t="n">
        <f aca="false">IF(OR($E41="Внешний",$F41="Ценовой"),-1000000000000000,Q41)+ROW()/1000000000</f>
        <v>24887.500000041</v>
      </c>
      <c r="Y41" s="54" t="n">
        <f aca="false">IF($F41&lt;&gt;"Ценовой",-1000000000000000,Q41)+ROW()/1000000000</f>
        <v>-1000000000000000</v>
      </c>
    </row>
    <row r="42" customFormat="false" ht="23.85" hidden="false" customHeight="false" outlineLevel="0" collapsed="false">
      <c r="A42" s="42" t="s">
        <v>285</v>
      </c>
      <c r="B42" s="3" t="s">
        <v>286</v>
      </c>
      <c r="C42" s="3" t="s">
        <v>185</v>
      </c>
      <c r="D42" s="44" t="n">
        <v>1</v>
      </c>
      <c r="E42" s="3" t="s">
        <v>366</v>
      </c>
      <c r="F42" s="3" t="s">
        <v>384</v>
      </c>
      <c r="G42" s="49" t="n">
        <f aca="false">INDEX(Вводные!$D$13:$D$64,MATCH($A42,Вводные!$A$13:$A$64,0))</f>
        <v>0</v>
      </c>
      <c r="H42" s="49" t="n">
        <f aca="false">INDEX(Вводные!$E$13:$E$64,MATCH($A42,Вводные!$A$13:$A$64,0))</f>
        <v>150</v>
      </c>
      <c r="I42" s="49" t="n">
        <f aca="false">INDEX(Вводные!$F$13:$F$64,MATCH($A42,Вводные!$A$13:$A$64,0))</f>
        <v>15</v>
      </c>
      <c r="J42" s="49" t="n">
        <f aca="false">INDEX(Модель!$J$91:$JA$91,MATCH("MR|"&amp;$A42&amp;"|1",Модель!$J$6:$JA$6,0))-INDEX(Модель!$J$91:$JA$91,MATCH("MR|"&amp;"BASE"&amp;"|1",Модель!$J$6:$JA$6,0))</f>
        <v>0</v>
      </c>
      <c r="K42" s="49" t="n">
        <f aca="false">INDEX(Модель!$J$91:$JA$91,MATCH("AF|"&amp;$A42&amp;"|1",Модель!$J$6:$JA$6,0))-INDEX(Модель!$J$91:$JA$91,MATCH("AF|"&amp;"BASE"&amp;"|1",Модель!$J$6:$JA$6,0))</f>
        <v>59841.5841584168</v>
      </c>
      <c r="L42" s="49" t="n">
        <f aca="false">INDEX(Модель!$J$91:$JA$91,MATCH("IC|"&amp;$A42&amp;"|1",Модель!$J$6:$JA$6,0))-INDEX(Модель!$J$91:$JA$91,MATCH("IC|"&amp;"BASE"&amp;"|1",Модель!$J$6:$JA$6,0))</f>
        <v>39801.9801980183</v>
      </c>
      <c r="M42" s="50" t="n">
        <f aca="false">SUM(J42:L42)</f>
        <v>99643.5643564351</v>
      </c>
      <c r="N42" s="49" t="n">
        <f aca="false">INDEX(Модель!$J$91:$JA$91,MATCH("MR|"&amp;$A42&amp;"|3",Модель!$J$6:$JA$6,0))-INDEX(Модель!$J$91:$JA$91,MATCH("MR|"&amp;"BASE"&amp;"|3",Модель!$J$6:$JA$6,0))</f>
        <v>0</v>
      </c>
      <c r="O42" s="49" t="n">
        <f aca="false">INDEX(Модель!$J$91:$JA$91,MATCH("AF|"&amp;$A42&amp;"|3",Модель!$J$6:$JA$6,0))-INDEX(Модель!$J$91:$JA$91,MATCH("AF|"&amp;"BASE"&amp;"|3",Модель!$J$6:$JA$6,0))</f>
        <v>73927.3927392736</v>
      </c>
      <c r="P42" s="49" t="n">
        <f aca="false">INDEX(Модель!$J$91:$JA$91,MATCH("IC|"&amp;$A42&amp;"|3",Модель!$J$6:$JA$6,0))-INDEX(Модель!$J$91:$JA$91,MATCH("IC|"&amp;"BASE"&amp;"|3",Модель!$J$6:$JA$6,0))</f>
        <v>44554.4554455429</v>
      </c>
      <c r="Q42" s="50" t="n">
        <f aca="false">SUM(N42:P42)</f>
        <v>118481.848184817</v>
      </c>
      <c r="R42" s="51" t="n">
        <f aca="false">IF($Q$3&lt;&gt;0,Q42/$Q$3,0)</f>
        <v>0.00119220388687639</v>
      </c>
      <c r="S42" s="3" t="n">
        <f aca="false">IF($E42="Внешний","",IF($F42="Ценовой",RANK(Y42,$Y$5:$Y$45),RANK(X42,$X$5:$X$45)))</f>
        <v>15</v>
      </c>
      <c r="T42" s="3"/>
      <c r="U42" s="52"/>
      <c r="V42" s="52"/>
      <c r="W42" s="53" t="s">
        <v>461</v>
      </c>
      <c r="X42" s="54" t="n">
        <f aca="false">IF(OR($E42="Внешний",$F42="Ценовой"),-1000000000000000,Q42)+ROW()/1000000000</f>
        <v>118481.848184859</v>
      </c>
      <c r="Y42" s="54" t="n">
        <f aca="false">IF($F42&lt;&gt;"Ценовой",-1000000000000000,Q42)+ROW()/1000000000</f>
        <v>-1000000000000000</v>
      </c>
    </row>
    <row r="43" customFormat="false" ht="23.85" hidden="false" customHeight="false" outlineLevel="0" collapsed="false">
      <c r="A43" s="42" t="s">
        <v>287</v>
      </c>
      <c r="B43" s="3" t="s">
        <v>288</v>
      </c>
      <c r="C43" s="3" t="s">
        <v>179</v>
      </c>
      <c r="D43" s="44" t="n">
        <v>-1</v>
      </c>
      <c r="E43" s="3" t="s">
        <v>376</v>
      </c>
      <c r="F43" s="3" t="s">
        <v>384</v>
      </c>
      <c r="G43" s="49" t="n">
        <f aca="false">INDEX(Вводные!$D$13:$D$64,MATCH($A43,Вводные!$A$13:$A$64,0))</f>
        <v>0</v>
      </c>
      <c r="H43" s="49" t="n">
        <f aca="false">INDEX(Вводные!$E$13:$E$64,MATCH($A43,Вводные!$A$13:$A$64,0))</f>
        <v>60000</v>
      </c>
      <c r="I43" s="49" t="n">
        <f aca="false">INDEX(Вводные!$F$13:$F$64,MATCH($A43,Вводные!$A$13:$A$64,0))</f>
        <v>150000</v>
      </c>
      <c r="J43" s="49" t="n">
        <f aca="false">INDEX(Модель!$J$91:$JA$91,MATCH("MR|"&amp;$A43&amp;"|1",Модель!$J$6:$JA$6,0))-INDEX(Модель!$J$91:$JA$91,MATCH("MR|"&amp;"BASE"&amp;"|1",Модель!$J$6:$JA$6,0))</f>
        <v>0</v>
      </c>
      <c r="K43" s="49" t="n">
        <f aca="false">INDEX(Модель!$J$91:$JA$91,MATCH("AF|"&amp;$A43&amp;"|1",Модель!$J$6:$JA$6,0))-INDEX(Модель!$J$91:$JA$91,MATCH("AF|"&amp;"BASE"&amp;"|1",Модель!$J$6:$JA$6,0))</f>
        <v>60440</v>
      </c>
      <c r="L43" s="49" t="n">
        <f aca="false">INDEX(Модель!$J$91:$JA$91,MATCH("IC|"&amp;$A43&amp;"|1",Модель!$J$6:$JA$6,0))-INDEX(Модель!$J$91:$JA$91,MATCH("IC|"&amp;"BASE"&amp;"|1",Модель!$J$6:$JA$6,0))</f>
        <v>40200</v>
      </c>
      <c r="M43" s="50" t="n">
        <f aca="false">SUM(J43:L43)</f>
        <v>100640</v>
      </c>
      <c r="N43" s="49" t="n">
        <f aca="false">INDEX(Модель!$J$91:$JA$91,MATCH("MR|"&amp;$A43&amp;"|3",Модель!$J$6:$JA$6,0))-INDEX(Модель!$J$91:$JA$91,MATCH("MR|"&amp;"BASE"&amp;"|3",Модель!$J$6:$JA$6,0))</f>
        <v>0</v>
      </c>
      <c r="O43" s="49" t="n">
        <f aca="false">INDEX(Модель!$J$91:$JA$91,MATCH("AF|"&amp;$A43&amp;"|3",Модель!$J$6:$JA$6,0))-INDEX(Модель!$J$91:$JA$91,MATCH("AF|"&amp;"BASE"&amp;"|3",Модель!$J$6:$JA$6,0))</f>
        <v>74666.6666666679</v>
      </c>
      <c r="P43" s="49" t="n">
        <f aca="false">INDEX(Модель!$J$91:$JA$91,MATCH("IC|"&amp;$A43&amp;"|3",Модель!$J$6:$JA$6,0))-INDEX(Модель!$J$91:$JA$91,MATCH("IC|"&amp;"BASE"&amp;"|3",Модель!$J$6:$JA$6,0))</f>
        <v>45000</v>
      </c>
      <c r="Q43" s="50" t="n">
        <f aca="false">SUM(N43:P43)</f>
        <v>119666.666666668</v>
      </c>
      <c r="R43" s="51" t="n">
        <f aca="false">IF($Q$3&lt;&gt;0,Q43/$Q$3,0)</f>
        <v>0.00120412592574519</v>
      </c>
      <c r="S43" s="3" t="n">
        <f aca="false">IF($E43="Внешний","",IF($F43="Ценовой",RANK(Y43,$Y$5:$Y$45),RANK(X43,$X$5:$X$45)))</f>
        <v>14</v>
      </c>
      <c r="T43" s="3"/>
      <c r="U43" s="52"/>
      <c r="V43" s="52"/>
      <c r="W43" s="53"/>
      <c r="X43" s="54" t="n">
        <f aca="false">IF(OR($E43="Внешний",$F43="Ценовой"),-1000000000000000,Q43)+ROW()/1000000000</f>
        <v>119666.666666711</v>
      </c>
      <c r="Y43" s="54" t="n">
        <f aca="false">IF($F43&lt;&gt;"Ценовой",-1000000000000000,Q43)+ROW()/1000000000</f>
        <v>-1000000000000000</v>
      </c>
    </row>
    <row r="44" customFormat="false" ht="23.85" hidden="false" customHeight="false" outlineLevel="0" collapsed="false">
      <c r="A44" s="42" t="s">
        <v>291</v>
      </c>
      <c r="B44" s="3" t="s">
        <v>292</v>
      </c>
      <c r="C44" s="3" t="s">
        <v>179</v>
      </c>
      <c r="D44" s="44" t="n">
        <v>-1</v>
      </c>
      <c r="E44" s="3" t="s">
        <v>366</v>
      </c>
      <c r="F44" s="3" t="s">
        <v>384</v>
      </c>
      <c r="G44" s="49" t="n">
        <f aca="false">INDEX(Вводные!$D$13:$D$64,MATCH($A44,Вводные!$A$13:$A$64,0))</f>
        <v>80</v>
      </c>
      <c r="H44" s="49" t="n">
        <f aca="false">INDEX(Вводные!$E$13:$E$64,MATCH($A44,Вводные!$A$13:$A$64,0))</f>
        <v>1500</v>
      </c>
      <c r="I44" s="49" t="n">
        <f aca="false">INDEX(Вводные!$F$13:$F$64,MATCH($A44,Вводные!$A$13:$A$64,0))</f>
        <v>15000</v>
      </c>
      <c r="J44" s="49" t="n">
        <f aca="false">INDEX(Модель!$J$91:$JA$91,MATCH("MR|"&amp;$A44&amp;"|1",Модель!$J$6:$JA$6,0))-INDEX(Модель!$J$91:$JA$91,MATCH("MR|"&amp;"BASE"&amp;"|1",Модель!$J$6:$JA$6,0))</f>
        <v>59400</v>
      </c>
      <c r="K44" s="49" t="n">
        <f aca="false">INDEX(Модель!$J$91:$JA$91,MATCH("AF|"&amp;$A44&amp;"|1",Модель!$J$6:$JA$6,0))-INDEX(Модель!$J$91:$JA$91,MATCH("AF|"&amp;"BASE"&amp;"|1",Модель!$J$6:$JA$6,0))</f>
        <v>16800</v>
      </c>
      <c r="L44" s="49" t="n">
        <f aca="false">INDEX(Модель!$J$91:$JA$91,MATCH("IC|"&amp;$A44&amp;"|1",Модель!$J$6:$JA$6,0))-INDEX(Модель!$J$91:$JA$91,MATCH("IC|"&amp;"BASE"&amp;"|1",Модель!$J$6:$JA$6,0))</f>
        <v>5400</v>
      </c>
      <c r="M44" s="50" t="n">
        <f aca="false">SUM(J44:L44)</f>
        <v>81600</v>
      </c>
      <c r="N44" s="49" t="n">
        <f aca="false">INDEX(Модель!$J$91:$JA$91,MATCH("MR|"&amp;$A44&amp;"|3",Модель!$J$6:$JA$6,0))-INDEX(Модель!$J$91:$JA$91,MATCH("MR|"&amp;"BASE"&amp;"|3",Модель!$J$6:$JA$6,0))</f>
        <v>59400</v>
      </c>
      <c r="O44" s="49" t="n">
        <f aca="false">INDEX(Модель!$J$91:$JA$91,MATCH("AF|"&amp;$A44&amp;"|3",Модель!$J$6:$JA$6,0))-INDEX(Модель!$J$91:$JA$91,MATCH("AF|"&amp;"BASE"&amp;"|3",Модель!$J$6:$JA$6,0))</f>
        <v>16800</v>
      </c>
      <c r="P44" s="49" t="n">
        <f aca="false">INDEX(Модель!$J$91:$JA$91,MATCH("IC|"&amp;$A44&amp;"|3",Модель!$J$6:$JA$6,0))-INDEX(Модель!$J$91:$JA$91,MATCH("IC|"&amp;"BASE"&amp;"|3",Модель!$J$6:$JA$6,0))</f>
        <v>5400</v>
      </c>
      <c r="Q44" s="50" t="n">
        <f aca="false">SUM(N44:P44)</f>
        <v>81600</v>
      </c>
      <c r="R44" s="51" t="n">
        <f aca="false">IF($Q$3&lt;&gt;0,Q44/$Q$3,0)</f>
        <v>0.000821086425132087</v>
      </c>
      <c r="S44" s="3" t="n">
        <f aca="false">IF($E44="Внешний","",IF($F44="Ценовой",RANK(Y44,$Y$5:$Y$45),RANK(X44,$X$5:$X$45)))</f>
        <v>20</v>
      </c>
      <c r="T44" s="3"/>
      <c r="U44" s="52"/>
      <c r="V44" s="52"/>
      <c r="W44" s="53"/>
      <c r="X44" s="54" t="n">
        <f aca="false">IF(OR($E44="Внешний",$F44="Ценовой"),-1000000000000000,Q44)+ROW()/1000000000</f>
        <v>81600.000000044</v>
      </c>
      <c r="Y44" s="54" t="n">
        <f aca="false">IF($F44&lt;&gt;"Ценовой",-1000000000000000,Q44)+ROW()/1000000000</f>
        <v>-1000000000000000</v>
      </c>
    </row>
    <row r="45" customFormat="false" ht="23.85" hidden="false" customHeight="false" outlineLevel="0" collapsed="false">
      <c r="A45" s="42" t="s">
        <v>297</v>
      </c>
      <c r="B45" s="3" t="s">
        <v>298</v>
      </c>
      <c r="C45" s="3" t="s">
        <v>179</v>
      </c>
      <c r="D45" s="44" t="n">
        <v>-1</v>
      </c>
      <c r="E45" s="3" t="s">
        <v>366</v>
      </c>
      <c r="F45" s="3" t="s">
        <v>384</v>
      </c>
      <c r="G45" s="49" t="n">
        <f aca="false">INDEX(Вводные!$D$13:$D$64,MATCH($A45,Вводные!$A$13:$A$64,0))</f>
        <v>300000</v>
      </c>
      <c r="H45" s="49" t="n">
        <f aca="false">INDEX(Вводные!$E$13:$E$64,MATCH($A45,Вводные!$A$13:$A$64,0))</f>
        <v>100000</v>
      </c>
      <c r="I45" s="49" t="n">
        <f aca="false">INDEX(Вводные!$F$13:$F$64,MATCH($A45,Вводные!$A$13:$A$64,0))</f>
        <v>200000</v>
      </c>
      <c r="J45" s="49" t="n">
        <f aca="false">INDEX(Модель!$J$91:$JA$91,MATCH("MR|"&amp;$A45&amp;"|1",Модель!$J$6:$JA$6,0))-INDEX(Модель!$J$91:$JA$91,MATCH("MR|"&amp;"BASE"&amp;"|1",Модель!$J$6:$JA$6,0))</f>
        <v>3000</v>
      </c>
      <c r="K45" s="49" t="n">
        <f aca="false">INDEX(Модель!$J$91:$JA$91,MATCH("AF|"&amp;$A45&amp;"|1",Модель!$J$6:$JA$6,0))-INDEX(Модель!$J$91:$JA$91,MATCH("AF|"&amp;"BASE"&amp;"|1",Модель!$J$6:$JA$6,0))</f>
        <v>1000</v>
      </c>
      <c r="L45" s="49" t="n">
        <f aca="false">INDEX(Модель!$J$91:$JA$91,MATCH("IC|"&amp;$A45&amp;"|1",Модель!$J$6:$JA$6,0))-INDEX(Модель!$J$91:$JA$91,MATCH("IC|"&amp;"BASE"&amp;"|1",Модель!$J$6:$JA$6,0))</f>
        <v>2000</v>
      </c>
      <c r="M45" s="50" t="n">
        <f aca="false">SUM(J45:L45)</f>
        <v>6000</v>
      </c>
      <c r="N45" s="49" t="n">
        <f aca="false">INDEX(Модель!$J$91:$JA$91,MATCH("MR|"&amp;$A45&amp;"|3",Модель!$J$6:$JA$6,0))-INDEX(Модель!$J$91:$JA$91,MATCH("MR|"&amp;"BASE"&amp;"|3",Модель!$J$6:$JA$6,0))</f>
        <v>3000</v>
      </c>
      <c r="O45" s="49" t="n">
        <f aca="false">INDEX(Модель!$J$91:$JA$91,MATCH("AF|"&amp;$A45&amp;"|3",Модель!$J$6:$JA$6,0))-INDEX(Модель!$J$91:$JA$91,MATCH("AF|"&amp;"BASE"&amp;"|3",Модель!$J$6:$JA$6,0))</f>
        <v>1000</v>
      </c>
      <c r="P45" s="49" t="n">
        <f aca="false">INDEX(Модель!$J$91:$JA$91,MATCH("IC|"&amp;$A45&amp;"|3",Модель!$J$6:$JA$6,0))-INDEX(Модель!$J$91:$JA$91,MATCH("IC|"&amp;"BASE"&amp;"|3",Модель!$J$6:$JA$6,0))</f>
        <v>2000</v>
      </c>
      <c r="Q45" s="50" t="n">
        <f aca="false">SUM(N45:P45)</f>
        <v>6000</v>
      </c>
      <c r="R45" s="51" t="n">
        <f aca="false">IF($Q$3&lt;&gt;0,Q45/$Q$3,0)</f>
        <v>6.03740018479476E-005</v>
      </c>
      <c r="S45" s="3" t="n">
        <f aca="false">IF($E45="Внешний","",IF($F45="Ценовой",RANK(Y45,$Y$5:$Y$45),RANK(X45,$X$5:$X$45)))</f>
        <v>30</v>
      </c>
      <c r="T45" s="3"/>
      <c r="U45" s="52"/>
      <c r="V45" s="52"/>
      <c r="W45" s="53"/>
      <c r="X45" s="54" t="n">
        <f aca="false">IF(OR($E45="Внешний",$F45="Ценовой"),-1000000000000000,Q45)+ROW()/1000000000</f>
        <v>6000.000000045</v>
      </c>
      <c r="Y45" s="54" t="n">
        <f aca="false">IF($F45&lt;&gt;"Ценовой",-1000000000000000,Q45)+ROW()/1000000000</f>
        <v>-1000000000000000</v>
      </c>
    </row>
  </sheetData>
  <conditionalFormatting sqref="M5:M45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{6FE6E564-9C3E-436E-85BE-E300A0CF8371}</x14:id>
        </ext>
      </extLst>
    </cfRule>
  </conditionalFormatting>
  <conditionalFormatting sqref="Q5:Q45">
    <cfRule type="dataBar" priority="3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{8348D6EB-822F-4276-8D57-20CAC396604E}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E6E564-9C3E-436E-85BE-E300A0CF8371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M5:M45</xm:sqref>
        </x14:conditionalFormatting>
        <x14:conditionalFormatting xmlns:xm="http://schemas.microsoft.com/office/excel/2006/main">
          <x14:cfRule type="dataBar" id="{8348D6EB-822F-4276-8D57-20CAC396604E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Q5:Q45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A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34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true" outlineLevel="1" max="261" min="10" style="0" width="14"/>
  </cols>
  <sheetData>
    <row r="1" customFormat="false" ht="17.35" hidden="false" customHeight="false" outlineLevel="0" collapsed="false">
      <c r="A1" s="1" t="s">
        <v>462</v>
      </c>
    </row>
    <row r="2" customFormat="false" ht="15" hidden="false" customHeight="false" outlineLevel="0" collapsed="false">
      <c r="A2" s="8" t="s">
        <v>463</v>
      </c>
    </row>
    <row r="3" customFormat="false" ht="15" hidden="false" customHeight="false" outlineLevel="0" collapsed="false">
      <c r="A3" s="41" t="s">
        <v>464</v>
      </c>
      <c r="E3" s="41" t="s">
        <v>352</v>
      </c>
      <c r="F3" s="41" t="s">
        <v>353</v>
      </c>
      <c r="G3" s="41" t="s">
        <v>354</v>
      </c>
      <c r="J3" s="41" t="s">
        <v>352</v>
      </c>
      <c r="K3" s="41" t="s">
        <v>352</v>
      </c>
      <c r="L3" s="41" t="s">
        <v>352</v>
      </c>
      <c r="M3" s="41" t="s">
        <v>352</v>
      </c>
      <c r="N3" s="41" t="s">
        <v>352</v>
      </c>
      <c r="O3" s="41" t="s">
        <v>352</v>
      </c>
      <c r="P3" s="41" t="s">
        <v>352</v>
      </c>
      <c r="Q3" s="41" t="s">
        <v>352</v>
      </c>
      <c r="R3" s="41" t="s">
        <v>352</v>
      </c>
      <c r="S3" s="41" t="s">
        <v>352</v>
      </c>
      <c r="T3" s="41" t="s">
        <v>352</v>
      </c>
      <c r="U3" s="41" t="s">
        <v>352</v>
      </c>
      <c r="V3" s="41" t="s">
        <v>352</v>
      </c>
      <c r="W3" s="41" t="s">
        <v>352</v>
      </c>
      <c r="X3" s="41" t="s">
        <v>352</v>
      </c>
      <c r="Y3" s="41" t="s">
        <v>352</v>
      </c>
      <c r="Z3" s="41" t="s">
        <v>352</v>
      </c>
      <c r="AA3" s="41" t="s">
        <v>352</v>
      </c>
      <c r="AB3" s="41" t="s">
        <v>352</v>
      </c>
      <c r="AC3" s="41" t="s">
        <v>352</v>
      </c>
      <c r="AD3" s="41" t="s">
        <v>352</v>
      </c>
      <c r="AE3" s="41" t="s">
        <v>352</v>
      </c>
      <c r="AF3" s="41" t="s">
        <v>352</v>
      </c>
      <c r="AG3" s="41" t="s">
        <v>352</v>
      </c>
      <c r="AH3" s="41" t="s">
        <v>352</v>
      </c>
      <c r="AI3" s="41" t="s">
        <v>352</v>
      </c>
      <c r="AJ3" s="41" t="s">
        <v>352</v>
      </c>
      <c r="AK3" s="41" t="s">
        <v>352</v>
      </c>
      <c r="AL3" s="41" t="s">
        <v>352</v>
      </c>
      <c r="AM3" s="41" t="s">
        <v>352</v>
      </c>
      <c r="AN3" s="41" t="s">
        <v>352</v>
      </c>
      <c r="AO3" s="41" t="s">
        <v>352</v>
      </c>
      <c r="AP3" s="41" t="s">
        <v>352</v>
      </c>
      <c r="AQ3" s="41" t="s">
        <v>352</v>
      </c>
      <c r="AR3" s="41" t="s">
        <v>352</v>
      </c>
      <c r="AS3" s="41" t="s">
        <v>352</v>
      </c>
      <c r="AT3" s="41" t="s">
        <v>352</v>
      </c>
      <c r="AU3" s="41" t="s">
        <v>352</v>
      </c>
      <c r="AV3" s="41" t="s">
        <v>352</v>
      </c>
      <c r="AW3" s="41" t="s">
        <v>352</v>
      </c>
      <c r="AX3" s="41" t="s">
        <v>352</v>
      </c>
      <c r="AY3" s="41" t="s">
        <v>352</v>
      </c>
      <c r="AZ3" s="41" t="s">
        <v>353</v>
      </c>
      <c r="BA3" s="41" t="s">
        <v>353</v>
      </c>
      <c r="BB3" s="41" t="s">
        <v>353</v>
      </c>
      <c r="BC3" s="41" t="s">
        <v>353</v>
      </c>
      <c r="BD3" s="41" t="s">
        <v>353</v>
      </c>
      <c r="BE3" s="41" t="s">
        <v>353</v>
      </c>
      <c r="BF3" s="41" t="s">
        <v>353</v>
      </c>
      <c r="BG3" s="41" t="s">
        <v>353</v>
      </c>
      <c r="BH3" s="41" t="s">
        <v>353</v>
      </c>
      <c r="BI3" s="41" t="s">
        <v>353</v>
      </c>
      <c r="BJ3" s="41" t="s">
        <v>353</v>
      </c>
      <c r="BK3" s="41" t="s">
        <v>353</v>
      </c>
      <c r="BL3" s="41" t="s">
        <v>353</v>
      </c>
      <c r="BM3" s="41" t="s">
        <v>353</v>
      </c>
      <c r="BN3" s="41" t="s">
        <v>353</v>
      </c>
      <c r="BO3" s="41" t="s">
        <v>353</v>
      </c>
      <c r="BP3" s="41" t="s">
        <v>353</v>
      </c>
      <c r="BQ3" s="41" t="s">
        <v>353</v>
      </c>
      <c r="BR3" s="41" t="s">
        <v>353</v>
      </c>
      <c r="BS3" s="41" t="s">
        <v>353</v>
      </c>
      <c r="BT3" s="41" t="s">
        <v>353</v>
      </c>
      <c r="BU3" s="41" t="s">
        <v>353</v>
      </c>
      <c r="BV3" s="41" t="s">
        <v>353</v>
      </c>
      <c r="BW3" s="41" t="s">
        <v>353</v>
      </c>
      <c r="BX3" s="41" t="s">
        <v>353</v>
      </c>
      <c r="BY3" s="41" t="s">
        <v>353</v>
      </c>
      <c r="BZ3" s="41" t="s">
        <v>353</v>
      </c>
      <c r="CA3" s="41" t="s">
        <v>353</v>
      </c>
      <c r="CB3" s="41" t="s">
        <v>353</v>
      </c>
      <c r="CC3" s="41" t="s">
        <v>353</v>
      </c>
      <c r="CD3" s="41" t="s">
        <v>353</v>
      </c>
      <c r="CE3" s="41" t="s">
        <v>353</v>
      </c>
      <c r="CF3" s="41" t="s">
        <v>353</v>
      </c>
      <c r="CG3" s="41" t="s">
        <v>353</v>
      </c>
      <c r="CH3" s="41" t="s">
        <v>353</v>
      </c>
      <c r="CI3" s="41" t="s">
        <v>353</v>
      </c>
      <c r="CJ3" s="41" t="s">
        <v>353</v>
      </c>
      <c r="CK3" s="41" t="s">
        <v>353</v>
      </c>
      <c r="CL3" s="41" t="s">
        <v>353</v>
      </c>
      <c r="CM3" s="41" t="s">
        <v>353</v>
      </c>
      <c r="CN3" s="41" t="s">
        <v>353</v>
      </c>
      <c r="CO3" s="41" t="s">
        <v>353</v>
      </c>
      <c r="CP3" s="41" t="s">
        <v>354</v>
      </c>
      <c r="CQ3" s="41" t="s">
        <v>354</v>
      </c>
      <c r="CR3" s="41" t="s">
        <v>354</v>
      </c>
      <c r="CS3" s="41" t="s">
        <v>354</v>
      </c>
      <c r="CT3" s="41" t="s">
        <v>354</v>
      </c>
      <c r="CU3" s="41" t="s">
        <v>354</v>
      </c>
      <c r="CV3" s="41" t="s">
        <v>354</v>
      </c>
      <c r="CW3" s="41" t="s">
        <v>354</v>
      </c>
      <c r="CX3" s="41" t="s">
        <v>354</v>
      </c>
      <c r="CY3" s="41" t="s">
        <v>354</v>
      </c>
      <c r="CZ3" s="41" t="s">
        <v>354</v>
      </c>
      <c r="DA3" s="41" t="s">
        <v>354</v>
      </c>
      <c r="DB3" s="41" t="s">
        <v>354</v>
      </c>
      <c r="DC3" s="41" t="s">
        <v>354</v>
      </c>
      <c r="DD3" s="41" t="s">
        <v>354</v>
      </c>
      <c r="DE3" s="41" t="s">
        <v>354</v>
      </c>
      <c r="DF3" s="41" t="s">
        <v>354</v>
      </c>
      <c r="DG3" s="41" t="s">
        <v>354</v>
      </c>
      <c r="DH3" s="41" t="s">
        <v>354</v>
      </c>
      <c r="DI3" s="41" t="s">
        <v>354</v>
      </c>
      <c r="DJ3" s="41" t="s">
        <v>354</v>
      </c>
      <c r="DK3" s="41" t="s">
        <v>354</v>
      </c>
      <c r="DL3" s="41" t="s">
        <v>354</v>
      </c>
      <c r="DM3" s="41" t="s">
        <v>354</v>
      </c>
      <c r="DN3" s="41" t="s">
        <v>354</v>
      </c>
      <c r="DO3" s="41" t="s">
        <v>354</v>
      </c>
      <c r="DP3" s="41" t="s">
        <v>354</v>
      </c>
      <c r="DQ3" s="41" t="s">
        <v>354</v>
      </c>
      <c r="DR3" s="41" t="s">
        <v>354</v>
      </c>
      <c r="DS3" s="41" t="s">
        <v>354</v>
      </c>
      <c r="DT3" s="41" t="s">
        <v>354</v>
      </c>
      <c r="DU3" s="41" t="s">
        <v>354</v>
      </c>
      <c r="DV3" s="41" t="s">
        <v>354</v>
      </c>
      <c r="DW3" s="41" t="s">
        <v>354</v>
      </c>
      <c r="DX3" s="41" t="s">
        <v>354</v>
      </c>
      <c r="DY3" s="41" t="s">
        <v>354</v>
      </c>
      <c r="DZ3" s="41" t="s">
        <v>354</v>
      </c>
      <c r="EA3" s="41" t="s">
        <v>354</v>
      </c>
      <c r="EB3" s="41" t="s">
        <v>354</v>
      </c>
      <c r="EC3" s="41" t="s">
        <v>354</v>
      </c>
      <c r="ED3" s="41" t="s">
        <v>354</v>
      </c>
      <c r="EE3" s="41" t="s">
        <v>354</v>
      </c>
      <c r="EF3" s="41" t="s">
        <v>352</v>
      </c>
      <c r="EG3" s="41" t="s">
        <v>352</v>
      </c>
      <c r="EH3" s="41" t="s">
        <v>352</v>
      </c>
      <c r="EI3" s="41" t="s">
        <v>352</v>
      </c>
      <c r="EJ3" s="41" t="s">
        <v>352</v>
      </c>
      <c r="EK3" s="41" t="s">
        <v>352</v>
      </c>
      <c r="EL3" s="41" t="s">
        <v>352</v>
      </c>
      <c r="EM3" s="41" t="s">
        <v>352</v>
      </c>
      <c r="EN3" s="41" t="s">
        <v>352</v>
      </c>
      <c r="EO3" s="41" t="s">
        <v>352</v>
      </c>
      <c r="EP3" s="41" t="s">
        <v>352</v>
      </c>
      <c r="EQ3" s="41" t="s">
        <v>352</v>
      </c>
      <c r="ER3" s="41" t="s">
        <v>352</v>
      </c>
      <c r="ES3" s="41" t="s">
        <v>352</v>
      </c>
      <c r="ET3" s="41" t="s">
        <v>352</v>
      </c>
      <c r="EU3" s="41" t="s">
        <v>352</v>
      </c>
      <c r="EV3" s="41" t="s">
        <v>352</v>
      </c>
      <c r="EW3" s="41" t="s">
        <v>352</v>
      </c>
      <c r="EX3" s="41" t="s">
        <v>352</v>
      </c>
      <c r="EY3" s="41" t="s">
        <v>352</v>
      </c>
      <c r="EZ3" s="41" t="s">
        <v>352</v>
      </c>
      <c r="FA3" s="41" t="s">
        <v>352</v>
      </c>
      <c r="FB3" s="41" t="s">
        <v>352</v>
      </c>
      <c r="FC3" s="41" t="s">
        <v>352</v>
      </c>
      <c r="FD3" s="41" t="s">
        <v>352</v>
      </c>
      <c r="FE3" s="41" t="s">
        <v>352</v>
      </c>
      <c r="FF3" s="41" t="s">
        <v>352</v>
      </c>
      <c r="FG3" s="41" t="s">
        <v>352</v>
      </c>
      <c r="FH3" s="41" t="s">
        <v>352</v>
      </c>
      <c r="FI3" s="41" t="s">
        <v>352</v>
      </c>
      <c r="FJ3" s="41" t="s">
        <v>352</v>
      </c>
      <c r="FK3" s="41" t="s">
        <v>352</v>
      </c>
      <c r="FL3" s="41" t="s">
        <v>352</v>
      </c>
      <c r="FM3" s="41" t="s">
        <v>352</v>
      </c>
      <c r="FN3" s="41" t="s">
        <v>352</v>
      </c>
      <c r="FO3" s="41" t="s">
        <v>352</v>
      </c>
      <c r="FP3" s="41" t="s">
        <v>352</v>
      </c>
      <c r="FQ3" s="41" t="s">
        <v>352</v>
      </c>
      <c r="FR3" s="41" t="s">
        <v>352</v>
      </c>
      <c r="FS3" s="41" t="s">
        <v>352</v>
      </c>
      <c r="FT3" s="41" t="s">
        <v>352</v>
      </c>
      <c r="FU3" s="41" t="s">
        <v>352</v>
      </c>
      <c r="FV3" s="41" t="s">
        <v>353</v>
      </c>
      <c r="FW3" s="41" t="s">
        <v>353</v>
      </c>
      <c r="FX3" s="41" t="s">
        <v>353</v>
      </c>
      <c r="FY3" s="41" t="s">
        <v>353</v>
      </c>
      <c r="FZ3" s="41" t="s">
        <v>353</v>
      </c>
      <c r="GA3" s="41" t="s">
        <v>353</v>
      </c>
      <c r="GB3" s="41" t="s">
        <v>353</v>
      </c>
      <c r="GC3" s="41" t="s">
        <v>353</v>
      </c>
      <c r="GD3" s="41" t="s">
        <v>353</v>
      </c>
      <c r="GE3" s="41" t="s">
        <v>353</v>
      </c>
      <c r="GF3" s="41" t="s">
        <v>353</v>
      </c>
      <c r="GG3" s="41" t="s">
        <v>353</v>
      </c>
      <c r="GH3" s="41" t="s">
        <v>353</v>
      </c>
      <c r="GI3" s="41" t="s">
        <v>353</v>
      </c>
      <c r="GJ3" s="41" t="s">
        <v>353</v>
      </c>
      <c r="GK3" s="41" t="s">
        <v>353</v>
      </c>
      <c r="GL3" s="41" t="s">
        <v>353</v>
      </c>
      <c r="GM3" s="41" t="s">
        <v>353</v>
      </c>
      <c r="GN3" s="41" t="s">
        <v>353</v>
      </c>
      <c r="GO3" s="41" t="s">
        <v>353</v>
      </c>
      <c r="GP3" s="41" t="s">
        <v>353</v>
      </c>
      <c r="GQ3" s="41" t="s">
        <v>353</v>
      </c>
      <c r="GR3" s="41" t="s">
        <v>353</v>
      </c>
      <c r="GS3" s="41" t="s">
        <v>353</v>
      </c>
      <c r="GT3" s="41" t="s">
        <v>353</v>
      </c>
      <c r="GU3" s="41" t="s">
        <v>353</v>
      </c>
      <c r="GV3" s="41" t="s">
        <v>353</v>
      </c>
      <c r="GW3" s="41" t="s">
        <v>353</v>
      </c>
      <c r="GX3" s="41" t="s">
        <v>353</v>
      </c>
      <c r="GY3" s="41" t="s">
        <v>353</v>
      </c>
      <c r="GZ3" s="41" t="s">
        <v>353</v>
      </c>
      <c r="HA3" s="41" t="s">
        <v>353</v>
      </c>
      <c r="HB3" s="41" t="s">
        <v>353</v>
      </c>
      <c r="HC3" s="41" t="s">
        <v>353</v>
      </c>
      <c r="HD3" s="41" t="s">
        <v>353</v>
      </c>
      <c r="HE3" s="41" t="s">
        <v>353</v>
      </c>
      <c r="HF3" s="41" t="s">
        <v>353</v>
      </c>
      <c r="HG3" s="41" t="s">
        <v>353</v>
      </c>
      <c r="HH3" s="41" t="s">
        <v>353</v>
      </c>
      <c r="HI3" s="41" t="s">
        <v>353</v>
      </c>
      <c r="HJ3" s="41" t="s">
        <v>353</v>
      </c>
      <c r="HK3" s="41" t="s">
        <v>353</v>
      </c>
      <c r="HL3" s="41" t="s">
        <v>354</v>
      </c>
      <c r="HM3" s="41" t="s">
        <v>354</v>
      </c>
      <c r="HN3" s="41" t="s">
        <v>354</v>
      </c>
      <c r="HO3" s="41" t="s">
        <v>354</v>
      </c>
      <c r="HP3" s="41" t="s">
        <v>354</v>
      </c>
      <c r="HQ3" s="41" t="s">
        <v>354</v>
      </c>
      <c r="HR3" s="41" t="s">
        <v>354</v>
      </c>
      <c r="HS3" s="41" t="s">
        <v>354</v>
      </c>
      <c r="HT3" s="41" t="s">
        <v>354</v>
      </c>
      <c r="HU3" s="41" t="s">
        <v>354</v>
      </c>
      <c r="HV3" s="41" t="s">
        <v>354</v>
      </c>
      <c r="HW3" s="41" t="s">
        <v>354</v>
      </c>
      <c r="HX3" s="41" t="s">
        <v>354</v>
      </c>
      <c r="HY3" s="41" t="s">
        <v>354</v>
      </c>
      <c r="HZ3" s="41" t="s">
        <v>354</v>
      </c>
      <c r="IA3" s="41" t="s">
        <v>354</v>
      </c>
      <c r="IB3" s="41" t="s">
        <v>354</v>
      </c>
      <c r="IC3" s="41" t="s">
        <v>354</v>
      </c>
      <c r="ID3" s="41" t="s">
        <v>354</v>
      </c>
      <c r="IE3" s="41" t="s">
        <v>354</v>
      </c>
      <c r="IF3" s="41" t="s">
        <v>354</v>
      </c>
      <c r="IG3" s="41" t="s">
        <v>354</v>
      </c>
      <c r="IH3" s="41" t="s">
        <v>354</v>
      </c>
      <c r="II3" s="41" t="s">
        <v>354</v>
      </c>
      <c r="IJ3" s="41" t="s">
        <v>354</v>
      </c>
      <c r="IK3" s="41" t="s">
        <v>354</v>
      </c>
      <c r="IL3" s="41" t="s">
        <v>354</v>
      </c>
      <c r="IM3" s="41" t="s">
        <v>354</v>
      </c>
      <c r="IN3" s="41" t="s">
        <v>354</v>
      </c>
      <c r="IO3" s="41" t="s">
        <v>354</v>
      </c>
      <c r="IP3" s="41" t="s">
        <v>354</v>
      </c>
      <c r="IQ3" s="41" t="s">
        <v>354</v>
      </c>
      <c r="IR3" s="41" t="s">
        <v>354</v>
      </c>
      <c r="IS3" s="41" t="s">
        <v>354</v>
      </c>
      <c r="IT3" s="41" t="s">
        <v>354</v>
      </c>
      <c r="IU3" s="41" t="s">
        <v>354</v>
      </c>
      <c r="IV3" s="41" t="s">
        <v>354</v>
      </c>
      <c r="IW3" s="41" t="s">
        <v>354</v>
      </c>
      <c r="IX3" s="41" t="s">
        <v>354</v>
      </c>
      <c r="IY3" s="41" t="s">
        <v>354</v>
      </c>
      <c r="IZ3" s="41" t="s">
        <v>354</v>
      </c>
      <c r="JA3" s="41" t="s">
        <v>354</v>
      </c>
    </row>
    <row r="4" customFormat="false" ht="15" hidden="false" customHeight="false" outlineLevel="0" collapsed="false">
      <c r="A4" s="41" t="s">
        <v>465</v>
      </c>
      <c r="E4" s="41" t="s">
        <v>466</v>
      </c>
      <c r="F4" s="41" t="s">
        <v>466</v>
      </c>
      <c r="G4" s="41" t="s">
        <v>466</v>
      </c>
      <c r="J4" s="41" t="s">
        <v>466</v>
      </c>
      <c r="K4" s="41" t="s">
        <v>268</v>
      </c>
      <c r="L4" s="41" t="s">
        <v>304</v>
      </c>
      <c r="M4" s="41" t="s">
        <v>306</v>
      </c>
      <c r="N4" s="41" t="s">
        <v>311</v>
      </c>
      <c r="O4" s="41" t="s">
        <v>313</v>
      </c>
      <c r="P4" s="41" t="s">
        <v>186</v>
      </c>
      <c r="Q4" s="41" t="s">
        <v>190</v>
      </c>
      <c r="R4" s="41" t="s">
        <v>192</v>
      </c>
      <c r="S4" s="41" t="s">
        <v>196</v>
      </c>
      <c r="T4" s="41" t="s">
        <v>215</v>
      </c>
      <c r="U4" s="41" t="s">
        <v>217</v>
      </c>
      <c r="V4" s="41" t="s">
        <v>219</v>
      </c>
      <c r="W4" s="41" t="s">
        <v>221</v>
      </c>
      <c r="X4" s="41" t="s">
        <v>201</v>
      </c>
      <c r="Y4" s="41" t="s">
        <v>203</v>
      </c>
      <c r="Z4" s="41" t="s">
        <v>205</v>
      </c>
      <c r="AA4" s="41" t="s">
        <v>207</v>
      </c>
      <c r="AB4" s="41" t="s">
        <v>295</v>
      </c>
      <c r="AC4" s="41" t="s">
        <v>227</v>
      </c>
      <c r="AD4" s="41" t="s">
        <v>229</v>
      </c>
      <c r="AE4" s="41" t="s">
        <v>231</v>
      </c>
      <c r="AF4" s="41" t="s">
        <v>237</v>
      </c>
      <c r="AG4" s="41" t="s">
        <v>239</v>
      </c>
      <c r="AH4" s="41" t="s">
        <v>241</v>
      </c>
      <c r="AI4" s="41" t="s">
        <v>247</v>
      </c>
      <c r="AJ4" s="41" t="s">
        <v>249</v>
      </c>
      <c r="AK4" s="41" t="s">
        <v>255</v>
      </c>
      <c r="AL4" s="41" t="s">
        <v>257</v>
      </c>
      <c r="AM4" s="41" t="s">
        <v>259</v>
      </c>
      <c r="AN4" s="41" t="s">
        <v>263</v>
      </c>
      <c r="AO4" s="41" t="s">
        <v>265</v>
      </c>
      <c r="AP4" s="41" t="s">
        <v>271</v>
      </c>
      <c r="AQ4" s="41" t="s">
        <v>273</v>
      </c>
      <c r="AR4" s="41" t="s">
        <v>275</v>
      </c>
      <c r="AS4" s="41" t="s">
        <v>278</v>
      </c>
      <c r="AT4" s="41" t="s">
        <v>280</v>
      </c>
      <c r="AU4" s="41" t="s">
        <v>282</v>
      </c>
      <c r="AV4" s="41" t="s">
        <v>285</v>
      </c>
      <c r="AW4" s="41" t="s">
        <v>287</v>
      </c>
      <c r="AX4" s="41" t="s">
        <v>291</v>
      </c>
      <c r="AY4" s="41" t="s">
        <v>297</v>
      </c>
      <c r="AZ4" s="41" t="s">
        <v>466</v>
      </c>
      <c r="BA4" s="41" t="s">
        <v>268</v>
      </c>
      <c r="BB4" s="41" t="s">
        <v>304</v>
      </c>
      <c r="BC4" s="41" t="s">
        <v>306</v>
      </c>
      <c r="BD4" s="41" t="s">
        <v>311</v>
      </c>
      <c r="BE4" s="41" t="s">
        <v>313</v>
      </c>
      <c r="BF4" s="41" t="s">
        <v>186</v>
      </c>
      <c r="BG4" s="41" t="s">
        <v>190</v>
      </c>
      <c r="BH4" s="41" t="s">
        <v>192</v>
      </c>
      <c r="BI4" s="41" t="s">
        <v>196</v>
      </c>
      <c r="BJ4" s="41" t="s">
        <v>215</v>
      </c>
      <c r="BK4" s="41" t="s">
        <v>217</v>
      </c>
      <c r="BL4" s="41" t="s">
        <v>219</v>
      </c>
      <c r="BM4" s="41" t="s">
        <v>221</v>
      </c>
      <c r="BN4" s="41" t="s">
        <v>201</v>
      </c>
      <c r="BO4" s="41" t="s">
        <v>203</v>
      </c>
      <c r="BP4" s="41" t="s">
        <v>205</v>
      </c>
      <c r="BQ4" s="41" t="s">
        <v>207</v>
      </c>
      <c r="BR4" s="41" t="s">
        <v>295</v>
      </c>
      <c r="BS4" s="41" t="s">
        <v>227</v>
      </c>
      <c r="BT4" s="41" t="s">
        <v>229</v>
      </c>
      <c r="BU4" s="41" t="s">
        <v>231</v>
      </c>
      <c r="BV4" s="41" t="s">
        <v>237</v>
      </c>
      <c r="BW4" s="41" t="s">
        <v>239</v>
      </c>
      <c r="BX4" s="41" t="s">
        <v>241</v>
      </c>
      <c r="BY4" s="41" t="s">
        <v>247</v>
      </c>
      <c r="BZ4" s="41" t="s">
        <v>249</v>
      </c>
      <c r="CA4" s="41" t="s">
        <v>255</v>
      </c>
      <c r="CB4" s="41" t="s">
        <v>257</v>
      </c>
      <c r="CC4" s="41" t="s">
        <v>259</v>
      </c>
      <c r="CD4" s="41" t="s">
        <v>263</v>
      </c>
      <c r="CE4" s="41" t="s">
        <v>265</v>
      </c>
      <c r="CF4" s="41" t="s">
        <v>271</v>
      </c>
      <c r="CG4" s="41" t="s">
        <v>273</v>
      </c>
      <c r="CH4" s="41" t="s">
        <v>275</v>
      </c>
      <c r="CI4" s="41" t="s">
        <v>278</v>
      </c>
      <c r="CJ4" s="41" t="s">
        <v>280</v>
      </c>
      <c r="CK4" s="41" t="s">
        <v>282</v>
      </c>
      <c r="CL4" s="41" t="s">
        <v>285</v>
      </c>
      <c r="CM4" s="41" t="s">
        <v>287</v>
      </c>
      <c r="CN4" s="41" t="s">
        <v>291</v>
      </c>
      <c r="CO4" s="41" t="s">
        <v>297</v>
      </c>
      <c r="CP4" s="41" t="s">
        <v>466</v>
      </c>
      <c r="CQ4" s="41" t="s">
        <v>268</v>
      </c>
      <c r="CR4" s="41" t="s">
        <v>304</v>
      </c>
      <c r="CS4" s="41" t="s">
        <v>306</v>
      </c>
      <c r="CT4" s="41" t="s">
        <v>311</v>
      </c>
      <c r="CU4" s="41" t="s">
        <v>313</v>
      </c>
      <c r="CV4" s="41" t="s">
        <v>186</v>
      </c>
      <c r="CW4" s="41" t="s">
        <v>190</v>
      </c>
      <c r="CX4" s="41" t="s">
        <v>192</v>
      </c>
      <c r="CY4" s="41" t="s">
        <v>196</v>
      </c>
      <c r="CZ4" s="41" t="s">
        <v>215</v>
      </c>
      <c r="DA4" s="41" t="s">
        <v>217</v>
      </c>
      <c r="DB4" s="41" t="s">
        <v>219</v>
      </c>
      <c r="DC4" s="41" t="s">
        <v>221</v>
      </c>
      <c r="DD4" s="41" t="s">
        <v>201</v>
      </c>
      <c r="DE4" s="41" t="s">
        <v>203</v>
      </c>
      <c r="DF4" s="41" t="s">
        <v>205</v>
      </c>
      <c r="DG4" s="41" t="s">
        <v>207</v>
      </c>
      <c r="DH4" s="41" t="s">
        <v>295</v>
      </c>
      <c r="DI4" s="41" t="s">
        <v>227</v>
      </c>
      <c r="DJ4" s="41" t="s">
        <v>229</v>
      </c>
      <c r="DK4" s="41" t="s">
        <v>231</v>
      </c>
      <c r="DL4" s="41" t="s">
        <v>237</v>
      </c>
      <c r="DM4" s="41" t="s">
        <v>239</v>
      </c>
      <c r="DN4" s="41" t="s">
        <v>241</v>
      </c>
      <c r="DO4" s="41" t="s">
        <v>247</v>
      </c>
      <c r="DP4" s="41" t="s">
        <v>249</v>
      </c>
      <c r="DQ4" s="41" t="s">
        <v>255</v>
      </c>
      <c r="DR4" s="41" t="s">
        <v>257</v>
      </c>
      <c r="DS4" s="41" t="s">
        <v>259</v>
      </c>
      <c r="DT4" s="41" t="s">
        <v>263</v>
      </c>
      <c r="DU4" s="41" t="s">
        <v>265</v>
      </c>
      <c r="DV4" s="41" t="s">
        <v>271</v>
      </c>
      <c r="DW4" s="41" t="s">
        <v>273</v>
      </c>
      <c r="DX4" s="41" t="s">
        <v>275</v>
      </c>
      <c r="DY4" s="41" t="s">
        <v>278</v>
      </c>
      <c r="DZ4" s="41" t="s">
        <v>280</v>
      </c>
      <c r="EA4" s="41" t="s">
        <v>282</v>
      </c>
      <c r="EB4" s="41" t="s">
        <v>285</v>
      </c>
      <c r="EC4" s="41" t="s">
        <v>287</v>
      </c>
      <c r="ED4" s="41" t="s">
        <v>291</v>
      </c>
      <c r="EE4" s="41" t="s">
        <v>297</v>
      </c>
      <c r="EF4" s="41" t="s">
        <v>466</v>
      </c>
      <c r="EG4" s="41" t="s">
        <v>268</v>
      </c>
      <c r="EH4" s="41" t="s">
        <v>304</v>
      </c>
      <c r="EI4" s="41" t="s">
        <v>306</v>
      </c>
      <c r="EJ4" s="41" t="s">
        <v>311</v>
      </c>
      <c r="EK4" s="41" t="s">
        <v>313</v>
      </c>
      <c r="EL4" s="41" t="s">
        <v>186</v>
      </c>
      <c r="EM4" s="41" t="s">
        <v>190</v>
      </c>
      <c r="EN4" s="41" t="s">
        <v>192</v>
      </c>
      <c r="EO4" s="41" t="s">
        <v>196</v>
      </c>
      <c r="EP4" s="41" t="s">
        <v>215</v>
      </c>
      <c r="EQ4" s="41" t="s">
        <v>217</v>
      </c>
      <c r="ER4" s="41" t="s">
        <v>219</v>
      </c>
      <c r="ES4" s="41" t="s">
        <v>221</v>
      </c>
      <c r="ET4" s="41" t="s">
        <v>201</v>
      </c>
      <c r="EU4" s="41" t="s">
        <v>203</v>
      </c>
      <c r="EV4" s="41" t="s">
        <v>205</v>
      </c>
      <c r="EW4" s="41" t="s">
        <v>207</v>
      </c>
      <c r="EX4" s="41" t="s">
        <v>295</v>
      </c>
      <c r="EY4" s="41" t="s">
        <v>227</v>
      </c>
      <c r="EZ4" s="41" t="s">
        <v>229</v>
      </c>
      <c r="FA4" s="41" t="s">
        <v>231</v>
      </c>
      <c r="FB4" s="41" t="s">
        <v>237</v>
      </c>
      <c r="FC4" s="41" t="s">
        <v>239</v>
      </c>
      <c r="FD4" s="41" t="s">
        <v>241</v>
      </c>
      <c r="FE4" s="41" t="s">
        <v>247</v>
      </c>
      <c r="FF4" s="41" t="s">
        <v>249</v>
      </c>
      <c r="FG4" s="41" t="s">
        <v>255</v>
      </c>
      <c r="FH4" s="41" t="s">
        <v>257</v>
      </c>
      <c r="FI4" s="41" t="s">
        <v>259</v>
      </c>
      <c r="FJ4" s="41" t="s">
        <v>263</v>
      </c>
      <c r="FK4" s="41" t="s">
        <v>265</v>
      </c>
      <c r="FL4" s="41" t="s">
        <v>271</v>
      </c>
      <c r="FM4" s="41" t="s">
        <v>273</v>
      </c>
      <c r="FN4" s="41" t="s">
        <v>275</v>
      </c>
      <c r="FO4" s="41" t="s">
        <v>278</v>
      </c>
      <c r="FP4" s="41" t="s">
        <v>280</v>
      </c>
      <c r="FQ4" s="41" t="s">
        <v>282</v>
      </c>
      <c r="FR4" s="41" t="s">
        <v>285</v>
      </c>
      <c r="FS4" s="41" t="s">
        <v>287</v>
      </c>
      <c r="FT4" s="41" t="s">
        <v>291</v>
      </c>
      <c r="FU4" s="41" t="s">
        <v>297</v>
      </c>
      <c r="FV4" s="41" t="s">
        <v>466</v>
      </c>
      <c r="FW4" s="41" t="s">
        <v>268</v>
      </c>
      <c r="FX4" s="41" t="s">
        <v>304</v>
      </c>
      <c r="FY4" s="41" t="s">
        <v>306</v>
      </c>
      <c r="FZ4" s="41" t="s">
        <v>311</v>
      </c>
      <c r="GA4" s="41" t="s">
        <v>313</v>
      </c>
      <c r="GB4" s="41" t="s">
        <v>186</v>
      </c>
      <c r="GC4" s="41" t="s">
        <v>190</v>
      </c>
      <c r="GD4" s="41" t="s">
        <v>192</v>
      </c>
      <c r="GE4" s="41" t="s">
        <v>196</v>
      </c>
      <c r="GF4" s="41" t="s">
        <v>215</v>
      </c>
      <c r="GG4" s="41" t="s">
        <v>217</v>
      </c>
      <c r="GH4" s="41" t="s">
        <v>219</v>
      </c>
      <c r="GI4" s="41" t="s">
        <v>221</v>
      </c>
      <c r="GJ4" s="41" t="s">
        <v>201</v>
      </c>
      <c r="GK4" s="41" t="s">
        <v>203</v>
      </c>
      <c r="GL4" s="41" t="s">
        <v>205</v>
      </c>
      <c r="GM4" s="41" t="s">
        <v>207</v>
      </c>
      <c r="GN4" s="41" t="s">
        <v>295</v>
      </c>
      <c r="GO4" s="41" t="s">
        <v>227</v>
      </c>
      <c r="GP4" s="41" t="s">
        <v>229</v>
      </c>
      <c r="GQ4" s="41" t="s">
        <v>231</v>
      </c>
      <c r="GR4" s="41" t="s">
        <v>237</v>
      </c>
      <c r="GS4" s="41" t="s">
        <v>239</v>
      </c>
      <c r="GT4" s="41" t="s">
        <v>241</v>
      </c>
      <c r="GU4" s="41" t="s">
        <v>247</v>
      </c>
      <c r="GV4" s="41" t="s">
        <v>249</v>
      </c>
      <c r="GW4" s="41" t="s">
        <v>255</v>
      </c>
      <c r="GX4" s="41" t="s">
        <v>257</v>
      </c>
      <c r="GY4" s="41" t="s">
        <v>259</v>
      </c>
      <c r="GZ4" s="41" t="s">
        <v>263</v>
      </c>
      <c r="HA4" s="41" t="s">
        <v>265</v>
      </c>
      <c r="HB4" s="41" t="s">
        <v>271</v>
      </c>
      <c r="HC4" s="41" t="s">
        <v>273</v>
      </c>
      <c r="HD4" s="41" t="s">
        <v>275</v>
      </c>
      <c r="HE4" s="41" t="s">
        <v>278</v>
      </c>
      <c r="HF4" s="41" t="s">
        <v>280</v>
      </c>
      <c r="HG4" s="41" t="s">
        <v>282</v>
      </c>
      <c r="HH4" s="41" t="s">
        <v>285</v>
      </c>
      <c r="HI4" s="41" t="s">
        <v>287</v>
      </c>
      <c r="HJ4" s="41" t="s">
        <v>291</v>
      </c>
      <c r="HK4" s="41" t="s">
        <v>297</v>
      </c>
      <c r="HL4" s="41" t="s">
        <v>466</v>
      </c>
      <c r="HM4" s="41" t="s">
        <v>268</v>
      </c>
      <c r="HN4" s="41" t="s">
        <v>304</v>
      </c>
      <c r="HO4" s="41" t="s">
        <v>306</v>
      </c>
      <c r="HP4" s="41" t="s">
        <v>311</v>
      </c>
      <c r="HQ4" s="41" t="s">
        <v>313</v>
      </c>
      <c r="HR4" s="41" t="s">
        <v>186</v>
      </c>
      <c r="HS4" s="41" t="s">
        <v>190</v>
      </c>
      <c r="HT4" s="41" t="s">
        <v>192</v>
      </c>
      <c r="HU4" s="41" t="s">
        <v>196</v>
      </c>
      <c r="HV4" s="41" t="s">
        <v>215</v>
      </c>
      <c r="HW4" s="41" t="s">
        <v>217</v>
      </c>
      <c r="HX4" s="41" t="s">
        <v>219</v>
      </c>
      <c r="HY4" s="41" t="s">
        <v>221</v>
      </c>
      <c r="HZ4" s="41" t="s">
        <v>201</v>
      </c>
      <c r="IA4" s="41" t="s">
        <v>203</v>
      </c>
      <c r="IB4" s="41" t="s">
        <v>205</v>
      </c>
      <c r="IC4" s="41" t="s">
        <v>207</v>
      </c>
      <c r="ID4" s="41" t="s">
        <v>295</v>
      </c>
      <c r="IE4" s="41" t="s">
        <v>227</v>
      </c>
      <c r="IF4" s="41" t="s">
        <v>229</v>
      </c>
      <c r="IG4" s="41" t="s">
        <v>231</v>
      </c>
      <c r="IH4" s="41" t="s">
        <v>237</v>
      </c>
      <c r="II4" s="41" t="s">
        <v>239</v>
      </c>
      <c r="IJ4" s="41" t="s">
        <v>241</v>
      </c>
      <c r="IK4" s="41" t="s">
        <v>247</v>
      </c>
      <c r="IL4" s="41" t="s">
        <v>249</v>
      </c>
      <c r="IM4" s="41" t="s">
        <v>255</v>
      </c>
      <c r="IN4" s="41" t="s">
        <v>257</v>
      </c>
      <c r="IO4" s="41" t="s">
        <v>259</v>
      </c>
      <c r="IP4" s="41" t="s">
        <v>263</v>
      </c>
      <c r="IQ4" s="41" t="s">
        <v>265</v>
      </c>
      <c r="IR4" s="41" t="s">
        <v>271</v>
      </c>
      <c r="IS4" s="41" t="s">
        <v>273</v>
      </c>
      <c r="IT4" s="41" t="s">
        <v>275</v>
      </c>
      <c r="IU4" s="41" t="s">
        <v>278</v>
      </c>
      <c r="IV4" s="41" t="s">
        <v>280</v>
      </c>
      <c r="IW4" s="41" t="s">
        <v>282</v>
      </c>
      <c r="IX4" s="41" t="s">
        <v>285</v>
      </c>
      <c r="IY4" s="41" t="s">
        <v>287</v>
      </c>
      <c r="IZ4" s="41" t="s">
        <v>291</v>
      </c>
      <c r="JA4" s="41" t="s">
        <v>297</v>
      </c>
    </row>
    <row r="5" customFormat="false" ht="15" hidden="false" customHeight="false" outlineLevel="0" collapsed="false">
      <c r="A5" s="41" t="s">
        <v>84</v>
      </c>
      <c r="E5" s="58" t="n">
        <f aca="false">Вводные!$D$6</f>
        <v>1</v>
      </c>
      <c r="F5" s="58" t="n">
        <f aca="false">Вводные!$D$6</f>
        <v>1</v>
      </c>
      <c r="G5" s="58" t="n">
        <f aca="false">Вводные!$D$6</f>
        <v>1</v>
      </c>
      <c r="J5" s="41" t="n">
        <v>1</v>
      </c>
      <c r="K5" s="41" t="n">
        <v>1</v>
      </c>
      <c r="L5" s="41" t="n">
        <v>1</v>
      </c>
      <c r="M5" s="41" t="n">
        <v>1</v>
      </c>
      <c r="N5" s="41" t="n">
        <v>1</v>
      </c>
      <c r="O5" s="41" t="n">
        <v>1</v>
      </c>
      <c r="P5" s="41" t="n">
        <v>1</v>
      </c>
      <c r="Q5" s="41" t="n">
        <v>1</v>
      </c>
      <c r="R5" s="41" t="n">
        <v>1</v>
      </c>
      <c r="S5" s="41" t="n">
        <v>1</v>
      </c>
      <c r="T5" s="41" t="n">
        <v>1</v>
      </c>
      <c r="U5" s="41" t="n">
        <v>1</v>
      </c>
      <c r="V5" s="41" t="n">
        <v>1</v>
      </c>
      <c r="W5" s="41" t="n">
        <v>1</v>
      </c>
      <c r="X5" s="41" t="n">
        <v>1</v>
      </c>
      <c r="Y5" s="41" t="n">
        <v>1</v>
      </c>
      <c r="Z5" s="41" t="n">
        <v>1</v>
      </c>
      <c r="AA5" s="41" t="n">
        <v>1</v>
      </c>
      <c r="AB5" s="41" t="n">
        <v>1</v>
      </c>
      <c r="AC5" s="41" t="n">
        <v>1</v>
      </c>
      <c r="AD5" s="41" t="n">
        <v>1</v>
      </c>
      <c r="AE5" s="41" t="n">
        <v>1</v>
      </c>
      <c r="AF5" s="41" t="n">
        <v>1</v>
      </c>
      <c r="AG5" s="41" t="n">
        <v>1</v>
      </c>
      <c r="AH5" s="41" t="n">
        <v>1</v>
      </c>
      <c r="AI5" s="41" t="n">
        <v>1</v>
      </c>
      <c r="AJ5" s="41" t="n">
        <v>1</v>
      </c>
      <c r="AK5" s="41" t="n">
        <v>1</v>
      </c>
      <c r="AL5" s="41" t="n">
        <v>1</v>
      </c>
      <c r="AM5" s="41" t="n">
        <v>1</v>
      </c>
      <c r="AN5" s="41" t="n">
        <v>1</v>
      </c>
      <c r="AO5" s="41" t="n">
        <v>1</v>
      </c>
      <c r="AP5" s="41" t="n">
        <v>1</v>
      </c>
      <c r="AQ5" s="41" t="n">
        <v>1</v>
      </c>
      <c r="AR5" s="41" t="n">
        <v>1</v>
      </c>
      <c r="AS5" s="41" t="n">
        <v>1</v>
      </c>
      <c r="AT5" s="41" t="n">
        <v>1</v>
      </c>
      <c r="AU5" s="41" t="n">
        <v>1</v>
      </c>
      <c r="AV5" s="41" t="n">
        <v>1</v>
      </c>
      <c r="AW5" s="41" t="n">
        <v>1</v>
      </c>
      <c r="AX5" s="41" t="n">
        <v>1</v>
      </c>
      <c r="AY5" s="41" t="n">
        <v>1</v>
      </c>
      <c r="AZ5" s="41" t="n">
        <v>1</v>
      </c>
      <c r="BA5" s="41" t="n">
        <v>1</v>
      </c>
      <c r="BB5" s="41" t="n">
        <v>1</v>
      </c>
      <c r="BC5" s="41" t="n">
        <v>1</v>
      </c>
      <c r="BD5" s="41" t="n">
        <v>1</v>
      </c>
      <c r="BE5" s="41" t="n">
        <v>1</v>
      </c>
      <c r="BF5" s="41" t="n">
        <v>1</v>
      </c>
      <c r="BG5" s="41" t="n">
        <v>1</v>
      </c>
      <c r="BH5" s="41" t="n">
        <v>1</v>
      </c>
      <c r="BI5" s="41" t="n">
        <v>1</v>
      </c>
      <c r="BJ5" s="41" t="n">
        <v>1</v>
      </c>
      <c r="BK5" s="41" t="n">
        <v>1</v>
      </c>
      <c r="BL5" s="41" t="n">
        <v>1</v>
      </c>
      <c r="BM5" s="41" t="n">
        <v>1</v>
      </c>
      <c r="BN5" s="41" t="n">
        <v>1</v>
      </c>
      <c r="BO5" s="41" t="n">
        <v>1</v>
      </c>
      <c r="BP5" s="41" t="n">
        <v>1</v>
      </c>
      <c r="BQ5" s="41" t="n">
        <v>1</v>
      </c>
      <c r="BR5" s="41" t="n">
        <v>1</v>
      </c>
      <c r="BS5" s="41" t="n">
        <v>1</v>
      </c>
      <c r="BT5" s="41" t="n">
        <v>1</v>
      </c>
      <c r="BU5" s="41" t="n">
        <v>1</v>
      </c>
      <c r="BV5" s="41" t="n">
        <v>1</v>
      </c>
      <c r="BW5" s="41" t="n">
        <v>1</v>
      </c>
      <c r="BX5" s="41" t="n">
        <v>1</v>
      </c>
      <c r="BY5" s="41" t="n">
        <v>1</v>
      </c>
      <c r="BZ5" s="41" t="n">
        <v>1</v>
      </c>
      <c r="CA5" s="41" t="n">
        <v>1</v>
      </c>
      <c r="CB5" s="41" t="n">
        <v>1</v>
      </c>
      <c r="CC5" s="41" t="n">
        <v>1</v>
      </c>
      <c r="CD5" s="41" t="n">
        <v>1</v>
      </c>
      <c r="CE5" s="41" t="n">
        <v>1</v>
      </c>
      <c r="CF5" s="41" t="n">
        <v>1</v>
      </c>
      <c r="CG5" s="41" t="n">
        <v>1</v>
      </c>
      <c r="CH5" s="41" t="n">
        <v>1</v>
      </c>
      <c r="CI5" s="41" t="n">
        <v>1</v>
      </c>
      <c r="CJ5" s="41" t="n">
        <v>1</v>
      </c>
      <c r="CK5" s="41" t="n">
        <v>1</v>
      </c>
      <c r="CL5" s="41" t="n">
        <v>1</v>
      </c>
      <c r="CM5" s="41" t="n">
        <v>1</v>
      </c>
      <c r="CN5" s="41" t="n">
        <v>1</v>
      </c>
      <c r="CO5" s="41" t="n">
        <v>1</v>
      </c>
      <c r="CP5" s="41" t="n">
        <v>1</v>
      </c>
      <c r="CQ5" s="41" t="n">
        <v>1</v>
      </c>
      <c r="CR5" s="41" t="n">
        <v>1</v>
      </c>
      <c r="CS5" s="41" t="n">
        <v>1</v>
      </c>
      <c r="CT5" s="41" t="n">
        <v>1</v>
      </c>
      <c r="CU5" s="41" t="n">
        <v>1</v>
      </c>
      <c r="CV5" s="41" t="n">
        <v>1</v>
      </c>
      <c r="CW5" s="41" t="n">
        <v>1</v>
      </c>
      <c r="CX5" s="41" t="n">
        <v>1</v>
      </c>
      <c r="CY5" s="41" t="n">
        <v>1</v>
      </c>
      <c r="CZ5" s="41" t="n">
        <v>1</v>
      </c>
      <c r="DA5" s="41" t="n">
        <v>1</v>
      </c>
      <c r="DB5" s="41" t="n">
        <v>1</v>
      </c>
      <c r="DC5" s="41" t="n">
        <v>1</v>
      </c>
      <c r="DD5" s="41" t="n">
        <v>1</v>
      </c>
      <c r="DE5" s="41" t="n">
        <v>1</v>
      </c>
      <c r="DF5" s="41" t="n">
        <v>1</v>
      </c>
      <c r="DG5" s="41" t="n">
        <v>1</v>
      </c>
      <c r="DH5" s="41" t="n">
        <v>1</v>
      </c>
      <c r="DI5" s="41" t="n">
        <v>1</v>
      </c>
      <c r="DJ5" s="41" t="n">
        <v>1</v>
      </c>
      <c r="DK5" s="41" t="n">
        <v>1</v>
      </c>
      <c r="DL5" s="41" t="n">
        <v>1</v>
      </c>
      <c r="DM5" s="41" t="n">
        <v>1</v>
      </c>
      <c r="DN5" s="41" t="n">
        <v>1</v>
      </c>
      <c r="DO5" s="41" t="n">
        <v>1</v>
      </c>
      <c r="DP5" s="41" t="n">
        <v>1</v>
      </c>
      <c r="DQ5" s="41" t="n">
        <v>1</v>
      </c>
      <c r="DR5" s="41" t="n">
        <v>1</v>
      </c>
      <c r="DS5" s="41" t="n">
        <v>1</v>
      </c>
      <c r="DT5" s="41" t="n">
        <v>1</v>
      </c>
      <c r="DU5" s="41" t="n">
        <v>1</v>
      </c>
      <c r="DV5" s="41" t="n">
        <v>1</v>
      </c>
      <c r="DW5" s="41" t="n">
        <v>1</v>
      </c>
      <c r="DX5" s="41" t="n">
        <v>1</v>
      </c>
      <c r="DY5" s="41" t="n">
        <v>1</v>
      </c>
      <c r="DZ5" s="41" t="n">
        <v>1</v>
      </c>
      <c r="EA5" s="41" t="n">
        <v>1</v>
      </c>
      <c r="EB5" s="41" t="n">
        <v>1</v>
      </c>
      <c r="EC5" s="41" t="n">
        <v>1</v>
      </c>
      <c r="ED5" s="41" t="n">
        <v>1</v>
      </c>
      <c r="EE5" s="41" t="n">
        <v>1</v>
      </c>
      <c r="EF5" s="41" t="n">
        <v>3</v>
      </c>
      <c r="EG5" s="41" t="n">
        <v>3</v>
      </c>
      <c r="EH5" s="41" t="n">
        <v>3</v>
      </c>
      <c r="EI5" s="41" t="n">
        <v>3</v>
      </c>
      <c r="EJ5" s="41" t="n">
        <v>3</v>
      </c>
      <c r="EK5" s="41" t="n">
        <v>3</v>
      </c>
      <c r="EL5" s="41" t="n">
        <v>3</v>
      </c>
      <c r="EM5" s="41" t="n">
        <v>3</v>
      </c>
      <c r="EN5" s="41" t="n">
        <v>3</v>
      </c>
      <c r="EO5" s="41" t="n">
        <v>3</v>
      </c>
      <c r="EP5" s="41" t="n">
        <v>3</v>
      </c>
      <c r="EQ5" s="41" t="n">
        <v>3</v>
      </c>
      <c r="ER5" s="41" t="n">
        <v>3</v>
      </c>
      <c r="ES5" s="41" t="n">
        <v>3</v>
      </c>
      <c r="ET5" s="41" t="n">
        <v>3</v>
      </c>
      <c r="EU5" s="41" t="n">
        <v>3</v>
      </c>
      <c r="EV5" s="41" t="n">
        <v>3</v>
      </c>
      <c r="EW5" s="41" t="n">
        <v>3</v>
      </c>
      <c r="EX5" s="41" t="n">
        <v>3</v>
      </c>
      <c r="EY5" s="41" t="n">
        <v>3</v>
      </c>
      <c r="EZ5" s="41" t="n">
        <v>3</v>
      </c>
      <c r="FA5" s="41" t="n">
        <v>3</v>
      </c>
      <c r="FB5" s="41" t="n">
        <v>3</v>
      </c>
      <c r="FC5" s="41" t="n">
        <v>3</v>
      </c>
      <c r="FD5" s="41" t="n">
        <v>3</v>
      </c>
      <c r="FE5" s="41" t="n">
        <v>3</v>
      </c>
      <c r="FF5" s="41" t="n">
        <v>3</v>
      </c>
      <c r="FG5" s="41" t="n">
        <v>3</v>
      </c>
      <c r="FH5" s="41" t="n">
        <v>3</v>
      </c>
      <c r="FI5" s="41" t="n">
        <v>3</v>
      </c>
      <c r="FJ5" s="41" t="n">
        <v>3</v>
      </c>
      <c r="FK5" s="41" t="n">
        <v>3</v>
      </c>
      <c r="FL5" s="41" t="n">
        <v>3</v>
      </c>
      <c r="FM5" s="41" t="n">
        <v>3</v>
      </c>
      <c r="FN5" s="41" t="n">
        <v>3</v>
      </c>
      <c r="FO5" s="41" t="n">
        <v>3</v>
      </c>
      <c r="FP5" s="41" t="n">
        <v>3</v>
      </c>
      <c r="FQ5" s="41" t="n">
        <v>3</v>
      </c>
      <c r="FR5" s="41" t="n">
        <v>3</v>
      </c>
      <c r="FS5" s="41" t="n">
        <v>3</v>
      </c>
      <c r="FT5" s="41" t="n">
        <v>3</v>
      </c>
      <c r="FU5" s="41" t="n">
        <v>3</v>
      </c>
      <c r="FV5" s="41" t="n">
        <v>3</v>
      </c>
      <c r="FW5" s="41" t="n">
        <v>3</v>
      </c>
      <c r="FX5" s="41" t="n">
        <v>3</v>
      </c>
      <c r="FY5" s="41" t="n">
        <v>3</v>
      </c>
      <c r="FZ5" s="41" t="n">
        <v>3</v>
      </c>
      <c r="GA5" s="41" t="n">
        <v>3</v>
      </c>
      <c r="GB5" s="41" t="n">
        <v>3</v>
      </c>
      <c r="GC5" s="41" t="n">
        <v>3</v>
      </c>
      <c r="GD5" s="41" t="n">
        <v>3</v>
      </c>
      <c r="GE5" s="41" t="n">
        <v>3</v>
      </c>
      <c r="GF5" s="41" t="n">
        <v>3</v>
      </c>
      <c r="GG5" s="41" t="n">
        <v>3</v>
      </c>
      <c r="GH5" s="41" t="n">
        <v>3</v>
      </c>
      <c r="GI5" s="41" t="n">
        <v>3</v>
      </c>
      <c r="GJ5" s="41" t="n">
        <v>3</v>
      </c>
      <c r="GK5" s="41" t="n">
        <v>3</v>
      </c>
      <c r="GL5" s="41" t="n">
        <v>3</v>
      </c>
      <c r="GM5" s="41" t="n">
        <v>3</v>
      </c>
      <c r="GN5" s="41" t="n">
        <v>3</v>
      </c>
      <c r="GO5" s="41" t="n">
        <v>3</v>
      </c>
      <c r="GP5" s="41" t="n">
        <v>3</v>
      </c>
      <c r="GQ5" s="41" t="n">
        <v>3</v>
      </c>
      <c r="GR5" s="41" t="n">
        <v>3</v>
      </c>
      <c r="GS5" s="41" t="n">
        <v>3</v>
      </c>
      <c r="GT5" s="41" t="n">
        <v>3</v>
      </c>
      <c r="GU5" s="41" t="n">
        <v>3</v>
      </c>
      <c r="GV5" s="41" t="n">
        <v>3</v>
      </c>
      <c r="GW5" s="41" t="n">
        <v>3</v>
      </c>
      <c r="GX5" s="41" t="n">
        <v>3</v>
      </c>
      <c r="GY5" s="41" t="n">
        <v>3</v>
      </c>
      <c r="GZ5" s="41" t="n">
        <v>3</v>
      </c>
      <c r="HA5" s="41" t="n">
        <v>3</v>
      </c>
      <c r="HB5" s="41" t="n">
        <v>3</v>
      </c>
      <c r="HC5" s="41" t="n">
        <v>3</v>
      </c>
      <c r="HD5" s="41" t="n">
        <v>3</v>
      </c>
      <c r="HE5" s="41" t="n">
        <v>3</v>
      </c>
      <c r="HF5" s="41" t="n">
        <v>3</v>
      </c>
      <c r="HG5" s="41" t="n">
        <v>3</v>
      </c>
      <c r="HH5" s="41" t="n">
        <v>3</v>
      </c>
      <c r="HI5" s="41" t="n">
        <v>3</v>
      </c>
      <c r="HJ5" s="41" t="n">
        <v>3</v>
      </c>
      <c r="HK5" s="41" t="n">
        <v>3</v>
      </c>
      <c r="HL5" s="41" t="n">
        <v>3</v>
      </c>
      <c r="HM5" s="41" t="n">
        <v>3</v>
      </c>
      <c r="HN5" s="41" t="n">
        <v>3</v>
      </c>
      <c r="HO5" s="41" t="n">
        <v>3</v>
      </c>
      <c r="HP5" s="41" t="n">
        <v>3</v>
      </c>
      <c r="HQ5" s="41" t="n">
        <v>3</v>
      </c>
      <c r="HR5" s="41" t="n">
        <v>3</v>
      </c>
      <c r="HS5" s="41" t="n">
        <v>3</v>
      </c>
      <c r="HT5" s="41" t="n">
        <v>3</v>
      </c>
      <c r="HU5" s="41" t="n">
        <v>3</v>
      </c>
      <c r="HV5" s="41" t="n">
        <v>3</v>
      </c>
      <c r="HW5" s="41" t="n">
        <v>3</v>
      </c>
      <c r="HX5" s="41" t="n">
        <v>3</v>
      </c>
      <c r="HY5" s="41" t="n">
        <v>3</v>
      </c>
      <c r="HZ5" s="41" t="n">
        <v>3</v>
      </c>
      <c r="IA5" s="41" t="n">
        <v>3</v>
      </c>
      <c r="IB5" s="41" t="n">
        <v>3</v>
      </c>
      <c r="IC5" s="41" t="n">
        <v>3</v>
      </c>
      <c r="ID5" s="41" t="n">
        <v>3</v>
      </c>
      <c r="IE5" s="41" t="n">
        <v>3</v>
      </c>
      <c r="IF5" s="41" t="n">
        <v>3</v>
      </c>
      <c r="IG5" s="41" t="n">
        <v>3</v>
      </c>
      <c r="IH5" s="41" t="n">
        <v>3</v>
      </c>
      <c r="II5" s="41" t="n">
        <v>3</v>
      </c>
      <c r="IJ5" s="41" t="n">
        <v>3</v>
      </c>
      <c r="IK5" s="41" t="n">
        <v>3</v>
      </c>
      <c r="IL5" s="41" t="n">
        <v>3</v>
      </c>
      <c r="IM5" s="41" t="n">
        <v>3</v>
      </c>
      <c r="IN5" s="41" t="n">
        <v>3</v>
      </c>
      <c r="IO5" s="41" t="n">
        <v>3</v>
      </c>
      <c r="IP5" s="41" t="n">
        <v>3</v>
      </c>
      <c r="IQ5" s="41" t="n">
        <v>3</v>
      </c>
      <c r="IR5" s="41" t="n">
        <v>3</v>
      </c>
      <c r="IS5" s="41" t="n">
        <v>3</v>
      </c>
      <c r="IT5" s="41" t="n">
        <v>3</v>
      </c>
      <c r="IU5" s="41" t="n">
        <v>3</v>
      </c>
      <c r="IV5" s="41" t="n">
        <v>3</v>
      </c>
      <c r="IW5" s="41" t="n">
        <v>3</v>
      </c>
      <c r="IX5" s="41" t="n">
        <v>3</v>
      </c>
      <c r="IY5" s="41" t="n">
        <v>3</v>
      </c>
      <c r="IZ5" s="41" t="n">
        <v>3</v>
      </c>
      <c r="JA5" s="41" t="n">
        <v>3</v>
      </c>
    </row>
    <row r="6" customFormat="false" ht="15" hidden="false" customHeight="false" outlineLevel="0" collapsed="false">
      <c r="A6" s="41" t="s">
        <v>467</v>
      </c>
      <c r="E6" s="41" t="s">
        <v>468</v>
      </c>
      <c r="F6" s="41" t="s">
        <v>469</v>
      </c>
      <c r="G6" s="41" t="s">
        <v>470</v>
      </c>
      <c r="J6" s="41" t="str">
        <f aca="false">J3&amp;"|"&amp;J4&amp;"|"&amp;J5</f>
        <v>MR|BASE|1</v>
      </c>
      <c r="K6" s="41" t="str">
        <f aca="false">K3&amp;"|"&amp;K4&amp;"|"&amp;K5</f>
        <v>MR|LEADS|1</v>
      </c>
      <c r="L6" s="41" t="str">
        <f aca="false">L3&amp;"|"&amp;L4&amp;"|"&amp;L5</f>
        <v>MR|CR_OPEN|1</v>
      </c>
      <c r="M6" s="41" t="str">
        <f aca="false">M3&amp;"|"&amp;M4&amp;"|"&amp;M5</f>
        <v>MR|CR_FUND|1</v>
      </c>
      <c r="N6" s="41" t="str">
        <f aca="false">N3&amp;"|"&amp;N4&amp;"|"&amp;N5</f>
        <v>MR|CHURN|1</v>
      </c>
      <c r="O6" s="41" t="str">
        <f aca="false">O3&amp;"|"&amp;O4&amp;"|"&amp;O5</f>
        <v>MR|ACT|1</v>
      </c>
      <c r="P6" s="41" t="str">
        <f aca="false">P3&amp;"|"&amp;P4&amp;"|"&amp;P5</f>
        <v>MR|TPA|1</v>
      </c>
      <c r="Q6" s="41" t="str">
        <f aca="false">Q3&amp;"|"&amp;Q4&amp;"|"&amp;Q5</f>
        <v>MR|TICKET|1</v>
      </c>
      <c r="R6" s="41" t="str">
        <f aca="false">R3&amp;"|"&amp;R4&amp;"|"&amp;R5</f>
        <v>MR|TAKE|1</v>
      </c>
      <c r="S6" s="41" t="str">
        <f aca="false">S3&amp;"|"&amp;S4&amp;"|"&amp;S5</f>
        <v>MR|EXEC|1</v>
      </c>
      <c r="T6" s="41" t="str">
        <f aca="false">T3&amp;"|"&amp;T4&amp;"|"&amp;T5</f>
        <v>MR|AUC_PC|1</v>
      </c>
      <c r="U6" s="41" t="str">
        <f aca="false">U3&amp;"|"&amp;U4&amp;"|"&amp;U5</f>
        <v>MR|CASH|1</v>
      </c>
      <c r="V6" s="41" t="str">
        <f aca="false">V3&amp;"|"&amp;V4&amp;"|"&amp;V5</f>
        <v>MR|FLOAT_Y|1</v>
      </c>
      <c r="W6" s="41" t="str">
        <f aca="false">W3&amp;"|"&amp;W4&amp;"|"&amp;W5</f>
        <v>MR|FLOAT_P|1</v>
      </c>
      <c r="X6" s="41" t="str">
        <f aca="false">X3&amp;"|"&amp;X4&amp;"|"&amp;X5</f>
        <v>MR|MRG_PEN|1</v>
      </c>
      <c r="Y6" s="41" t="str">
        <f aca="false">Y3&amp;"|"&amp;Y4&amp;"|"&amp;Y5</f>
        <v>MR|MRG_DEBT|1</v>
      </c>
      <c r="Z6" s="41" t="str">
        <f aca="false">Z3&amp;"|"&amp;Z4&amp;"|"&amp;Z5</f>
        <v>MR|MRG_RATE|1</v>
      </c>
      <c r="AA6" s="41" t="str">
        <f aca="false">AA3&amp;"|"&amp;AA4&amp;"|"&amp;AA5</f>
        <v>MR|FUND_RATE|1</v>
      </c>
      <c r="AB6" s="41" t="str">
        <f aca="false">AB3&amp;"|"&amp;AB4&amp;"|"&amp;AB5</f>
        <v>MR|CL|1</v>
      </c>
      <c r="AC6" s="41" t="str">
        <f aca="false">AC3&amp;"|"&amp;AC4&amp;"|"&amp;AC5</f>
        <v>MR|FX_PEN|1</v>
      </c>
      <c r="AD6" s="41" t="str">
        <f aca="false">AD3&amp;"|"&amp;AD4&amp;"|"&amp;AD5</f>
        <v>MR|FX_VOL|1</v>
      </c>
      <c r="AE6" s="41" t="str">
        <f aca="false">AE3&amp;"|"&amp;AE4&amp;"|"&amp;AE5</f>
        <v>MR|FX_SPREAD|1</v>
      </c>
      <c r="AF6" s="41" t="str">
        <f aca="false">AF3&amp;"|"&amp;AF4&amp;"|"&amp;AF5</f>
        <v>MR|PRD_PEN|1</v>
      </c>
      <c r="AG6" s="41" t="str">
        <f aca="false">AG3&amp;"|"&amp;AG4&amp;"|"&amp;AG5</f>
        <v>MR|PRD_VOL|1</v>
      </c>
      <c r="AH6" s="41" t="str">
        <f aca="false">AH3&amp;"|"&amp;AH4&amp;"|"&amp;AH5</f>
        <v>MR|PRD_FEE|1</v>
      </c>
      <c r="AI6" s="41" t="str">
        <f aca="false">AI3&amp;"|"&amp;AI4&amp;"|"&amp;AI5</f>
        <v>MR|AM_SHARE|1</v>
      </c>
      <c r="AJ6" s="41" t="str">
        <f aca="false">AJ3&amp;"|"&amp;AJ4&amp;"|"&amp;AJ5</f>
        <v>MR|AM_FEE|1</v>
      </c>
      <c r="AK6" s="41" t="str">
        <f aca="false">AK3&amp;"|"&amp;AK4&amp;"|"&amp;AK5</f>
        <v>MR|SUB_PEN|1</v>
      </c>
      <c r="AL6" s="41" t="str">
        <f aca="false">AL3&amp;"|"&amp;AL4&amp;"|"&amp;AL5</f>
        <v>MR|SUB_PRICE|1</v>
      </c>
      <c r="AM6" s="41" t="str">
        <f aca="false">AM3&amp;"|"&amp;AM4&amp;"|"&amp;AM5</f>
        <v>MR|CUST_FEE|1</v>
      </c>
      <c r="AN6" s="41" t="str">
        <f aca="false">AN3&amp;"|"&amp;AN4&amp;"|"&amp;AN5</f>
        <v>MR|SUP_RATE|1</v>
      </c>
      <c r="AO6" s="41" t="str">
        <f aca="false">AO3&amp;"|"&amp;AO4&amp;"|"&amp;AO5</f>
        <v>MR|SUP_COST|1</v>
      </c>
      <c r="AP6" s="41" t="str">
        <f aca="false">AP3&amp;"|"&amp;AP4&amp;"|"&amp;AP5</f>
        <v>MR|KYC_UNIT|1</v>
      </c>
      <c r="AQ6" s="41" t="str">
        <f aca="false">AQ3&amp;"|"&amp;AQ4&amp;"|"&amp;AQ5</f>
        <v>MR|KYC_MAN|1</v>
      </c>
      <c r="AR6" s="41" t="str">
        <f aca="false">AR3&amp;"|"&amp;AR4&amp;"|"&amp;AR5</f>
        <v>MR|KYC_MAN_COST|1</v>
      </c>
      <c r="AS6" s="41" t="str">
        <f aca="false">AS3&amp;"|"&amp;AS4&amp;"|"&amp;AS5</f>
        <v>MR|OPS_PC|1</v>
      </c>
      <c r="AT6" s="41" t="str">
        <f aca="false">AT3&amp;"|"&amp;AT4&amp;"|"&amp;AT5</f>
        <v>MR|OPS_MAN|1</v>
      </c>
      <c r="AU6" s="41" t="str">
        <f aca="false">AU3&amp;"|"&amp;AU4&amp;"|"&amp;AU5</f>
        <v>MR|OPS_COST|1</v>
      </c>
      <c r="AV6" s="41" t="str">
        <f aca="false">AV3&amp;"|"&amp;AV4&amp;"|"&amp;AV5</f>
        <v>MR|RM_LOAD|1</v>
      </c>
      <c r="AW6" s="41" t="str">
        <f aca="false">AW3&amp;"|"&amp;AW4&amp;"|"&amp;AW5</f>
        <v>MR|RM_COST|1</v>
      </c>
      <c r="AX6" s="41" t="str">
        <f aca="false">AX3&amp;"|"&amp;AX4&amp;"|"&amp;AX5</f>
        <v>MR|CAC|1</v>
      </c>
      <c r="AY6" s="41" t="str">
        <f aca="false">AY3&amp;"|"&amp;AY4&amp;"|"&amp;AY5</f>
        <v>MR|OPLOSS|1</v>
      </c>
      <c r="AZ6" s="41" t="str">
        <f aca="false">AZ3&amp;"|"&amp;AZ4&amp;"|"&amp;AZ5</f>
        <v>AF|BASE|1</v>
      </c>
      <c r="BA6" s="41" t="str">
        <f aca="false">BA3&amp;"|"&amp;BA4&amp;"|"&amp;BA5</f>
        <v>AF|LEADS|1</v>
      </c>
      <c r="BB6" s="41" t="str">
        <f aca="false">BB3&amp;"|"&amp;BB4&amp;"|"&amp;BB5</f>
        <v>AF|CR_OPEN|1</v>
      </c>
      <c r="BC6" s="41" t="str">
        <f aca="false">BC3&amp;"|"&amp;BC4&amp;"|"&amp;BC5</f>
        <v>AF|CR_FUND|1</v>
      </c>
      <c r="BD6" s="41" t="str">
        <f aca="false">BD3&amp;"|"&amp;BD4&amp;"|"&amp;BD5</f>
        <v>AF|CHURN|1</v>
      </c>
      <c r="BE6" s="41" t="str">
        <f aca="false">BE3&amp;"|"&amp;BE4&amp;"|"&amp;BE5</f>
        <v>AF|ACT|1</v>
      </c>
      <c r="BF6" s="41" t="str">
        <f aca="false">BF3&amp;"|"&amp;BF4&amp;"|"&amp;BF5</f>
        <v>AF|TPA|1</v>
      </c>
      <c r="BG6" s="41" t="str">
        <f aca="false">BG3&amp;"|"&amp;BG4&amp;"|"&amp;BG5</f>
        <v>AF|TICKET|1</v>
      </c>
      <c r="BH6" s="41" t="str">
        <f aca="false">BH3&amp;"|"&amp;BH4&amp;"|"&amp;BH5</f>
        <v>AF|TAKE|1</v>
      </c>
      <c r="BI6" s="41" t="str">
        <f aca="false">BI3&amp;"|"&amp;BI4&amp;"|"&amp;BI5</f>
        <v>AF|EXEC|1</v>
      </c>
      <c r="BJ6" s="41" t="str">
        <f aca="false">BJ3&amp;"|"&amp;BJ4&amp;"|"&amp;BJ5</f>
        <v>AF|AUC_PC|1</v>
      </c>
      <c r="BK6" s="41" t="str">
        <f aca="false">BK3&amp;"|"&amp;BK4&amp;"|"&amp;BK5</f>
        <v>AF|CASH|1</v>
      </c>
      <c r="BL6" s="41" t="str">
        <f aca="false">BL3&amp;"|"&amp;BL4&amp;"|"&amp;BL5</f>
        <v>AF|FLOAT_Y|1</v>
      </c>
      <c r="BM6" s="41" t="str">
        <f aca="false">BM3&amp;"|"&amp;BM4&amp;"|"&amp;BM5</f>
        <v>AF|FLOAT_P|1</v>
      </c>
      <c r="BN6" s="41" t="str">
        <f aca="false">BN3&amp;"|"&amp;BN4&amp;"|"&amp;BN5</f>
        <v>AF|MRG_PEN|1</v>
      </c>
      <c r="BO6" s="41" t="str">
        <f aca="false">BO3&amp;"|"&amp;BO4&amp;"|"&amp;BO5</f>
        <v>AF|MRG_DEBT|1</v>
      </c>
      <c r="BP6" s="41" t="str">
        <f aca="false">BP3&amp;"|"&amp;BP4&amp;"|"&amp;BP5</f>
        <v>AF|MRG_RATE|1</v>
      </c>
      <c r="BQ6" s="41" t="str">
        <f aca="false">BQ3&amp;"|"&amp;BQ4&amp;"|"&amp;BQ5</f>
        <v>AF|FUND_RATE|1</v>
      </c>
      <c r="BR6" s="41" t="str">
        <f aca="false">BR3&amp;"|"&amp;BR4&amp;"|"&amp;BR5</f>
        <v>AF|CL|1</v>
      </c>
      <c r="BS6" s="41" t="str">
        <f aca="false">BS3&amp;"|"&amp;BS4&amp;"|"&amp;BS5</f>
        <v>AF|FX_PEN|1</v>
      </c>
      <c r="BT6" s="41" t="str">
        <f aca="false">BT3&amp;"|"&amp;BT4&amp;"|"&amp;BT5</f>
        <v>AF|FX_VOL|1</v>
      </c>
      <c r="BU6" s="41" t="str">
        <f aca="false">BU3&amp;"|"&amp;BU4&amp;"|"&amp;BU5</f>
        <v>AF|FX_SPREAD|1</v>
      </c>
      <c r="BV6" s="41" t="str">
        <f aca="false">BV3&amp;"|"&amp;BV4&amp;"|"&amp;BV5</f>
        <v>AF|PRD_PEN|1</v>
      </c>
      <c r="BW6" s="41" t="str">
        <f aca="false">BW3&amp;"|"&amp;BW4&amp;"|"&amp;BW5</f>
        <v>AF|PRD_VOL|1</v>
      </c>
      <c r="BX6" s="41" t="str">
        <f aca="false">BX3&amp;"|"&amp;BX4&amp;"|"&amp;BX5</f>
        <v>AF|PRD_FEE|1</v>
      </c>
      <c r="BY6" s="41" t="str">
        <f aca="false">BY3&amp;"|"&amp;BY4&amp;"|"&amp;BY5</f>
        <v>AF|AM_SHARE|1</v>
      </c>
      <c r="BZ6" s="41" t="str">
        <f aca="false">BZ3&amp;"|"&amp;BZ4&amp;"|"&amp;BZ5</f>
        <v>AF|AM_FEE|1</v>
      </c>
      <c r="CA6" s="41" t="str">
        <f aca="false">CA3&amp;"|"&amp;CA4&amp;"|"&amp;CA5</f>
        <v>AF|SUB_PEN|1</v>
      </c>
      <c r="CB6" s="41" t="str">
        <f aca="false">CB3&amp;"|"&amp;CB4&amp;"|"&amp;CB5</f>
        <v>AF|SUB_PRICE|1</v>
      </c>
      <c r="CC6" s="41" t="str">
        <f aca="false">CC3&amp;"|"&amp;CC4&amp;"|"&amp;CC5</f>
        <v>AF|CUST_FEE|1</v>
      </c>
      <c r="CD6" s="41" t="str">
        <f aca="false">CD3&amp;"|"&amp;CD4&amp;"|"&amp;CD5</f>
        <v>AF|SUP_RATE|1</v>
      </c>
      <c r="CE6" s="41" t="str">
        <f aca="false">CE3&amp;"|"&amp;CE4&amp;"|"&amp;CE5</f>
        <v>AF|SUP_COST|1</v>
      </c>
      <c r="CF6" s="41" t="str">
        <f aca="false">CF3&amp;"|"&amp;CF4&amp;"|"&amp;CF5</f>
        <v>AF|KYC_UNIT|1</v>
      </c>
      <c r="CG6" s="41" t="str">
        <f aca="false">CG3&amp;"|"&amp;CG4&amp;"|"&amp;CG5</f>
        <v>AF|KYC_MAN|1</v>
      </c>
      <c r="CH6" s="41" t="str">
        <f aca="false">CH3&amp;"|"&amp;CH4&amp;"|"&amp;CH5</f>
        <v>AF|KYC_MAN_COST|1</v>
      </c>
      <c r="CI6" s="41" t="str">
        <f aca="false">CI3&amp;"|"&amp;CI4&amp;"|"&amp;CI5</f>
        <v>AF|OPS_PC|1</v>
      </c>
      <c r="CJ6" s="41" t="str">
        <f aca="false">CJ3&amp;"|"&amp;CJ4&amp;"|"&amp;CJ5</f>
        <v>AF|OPS_MAN|1</v>
      </c>
      <c r="CK6" s="41" t="str">
        <f aca="false">CK3&amp;"|"&amp;CK4&amp;"|"&amp;CK5</f>
        <v>AF|OPS_COST|1</v>
      </c>
      <c r="CL6" s="41" t="str">
        <f aca="false">CL3&amp;"|"&amp;CL4&amp;"|"&amp;CL5</f>
        <v>AF|RM_LOAD|1</v>
      </c>
      <c r="CM6" s="41" t="str">
        <f aca="false">CM3&amp;"|"&amp;CM4&amp;"|"&amp;CM5</f>
        <v>AF|RM_COST|1</v>
      </c>
      <c r="CN6" s="41" t="str">
        <f aca="false">CN3&amp;"|"&amp;CN4&amp;"|"&amp;CN5</f>
        <v>AF|CAC|1</v>
      </c>
      <c r="CO6" s="41" t="str">
        <f aca="false">CO3&amp;"|"&amp;CO4&amp;"|"&amp;CO5</f>
        <v>AF|OPLOSS|1</v>
      </c>
      <c r="CP6" s="41" t="str">
        <f aca="false">CP3&amp;"|"&amp;CP4&amp;"|"&amp;CP5</f>
        <v>IC|BASE|1</v>
      </c>
      <c r="CQ6" s="41" t="str">
        <f aca="false">CQ3&amp;"|"&amp;CQ4&amp;"|"&amp;CQ5</f>
        <v>IC|LEADS|1</v>
      </c>
      <c r="CR6" s="41" t="str">
        <f aca="false">CR3&amp;"|"&amp;CR4&amp;"|"&amp;CR5</f>
        <v>IC|CR_OPEN|1</v>
      </c>
      <c r="CS6" s="41" t="str">
        <f aca="false">CS3&amp;"|"&amp;CS4&amp;"|"&amp;CS5</f>
        <v>IC|CR_FUND|1</v>
      </c>
      <c r="CT6" s="41" t="str">
        <f aca="false">CT3&amp;"|"&amp;CT4&amp;"|"&amp;CT5</f>
        <v>IC|CHURN|1</v>
      </c>
      <c r="CU6" s="41" t="str">
        <f aca="false">CU3&amp;"|"&amp;CU4&amp;"|"&amp;CU5</f>
        <v>IC|ACT|1</v>
      </c>
      <c r="CV6" s="41" t="str">
        <f aca="false">CV3&amp;"|"&amp;CV4&amp;"|"&amp;CV5</f>
        <v>IC|TPA|1</v>
      </c>
      <c r="CW6" s="41" t="str">
        <f aca="false">CW3&amp;"|"&amp;CW4&amp;"|"&amp;CW5</f>
        <v>IC|TICKET|1</v>
      </c>
      <c r="CX6" s="41" t="str">
        <f aca="false">CX3&amp;"|"&amp;CX4&amp;"|"&amp;CX5</f>
        <v>IC|TAKE|1</v>
      </c>
      <c r="CY6" s="41" t="str">
        <f aca="false">CY3&amp;"|"&amp;CY4&amp;"|"&amp;CY5</f>
        <v>IC|EXEC|1</v>
      </c>
      <c r="CZ6" s="41" t="str">
        <f aca="false">CZ3&amp;"|"&amp;CZ4&amp;"|"&amp;CZ5</f>
        <v>IC|AUC_PC|1</v>
      </c>
      <c r="DA6" s="41" t="str">
        <f aca="false">DA3&amp;"|"&amp;DA4&amp;"|"&amp;DA5</f>
        <v>IC|CASH|1</v>
      </c>
      <c r="DB6" s="41" t="str">
        <f aca="false">DB3&amp;"|"&amp;DB4&amp;"|"&amp;DB5</f>
        <v>IC|FLOAT_Y|1</v>
      </c>
      <c r="DC6" s="41" t="str">
        <f aca="false">DC3&amp;"|"&amp;DC4&amp;"|"&amp;DC5</f>
        <v>IC|FLOAT_P|1</v>
      </c>
      <c r="DD6" s="41" t="str">
        <f aca="false">DD3&amp;"|"&amp;DD4&amp;"|"&amp;DD5</f>
        <v>IC|MRG_PEN|1</v>
      </c>
      <c r="DE6" s="41" t="str">
        <f aca="false">DE3&amp;"|"&amp;DE4&amp;"|"&amp;DE5</f>
        <v>IC|MRG_DEBT|1</v>
      </c>
      <c r="DF6" s="41" t="str">
        <f aca="false">DF3&amp;"|"&amp;DF4&amp;"|"&amp;DF5</f>
        <v>IC|MRG_RATE|1</v>
      </c>
      <c r="DG6" s="41" t="str">
        <f aca="false">DG3&amp;"|"&amp;DG4&amp;"|"&amp;DG5</f>
        <v>IC|FUND_RATE|1</v>
      </c>
      <c r="DH6" s="41" t="str">
        <f aca="false">DH3&amp;"|"&amp;DH4&amp;"|"&amp;DH5</f>
        <v>IC|CL|1</v>
      </c>
      <c r="DI6" s="41" t="str">
        <f aca="false">DI3&amp;"|"&amp;DI4&amp;"|"&amp;DI5</f>
        <v>IC|FX_PEN|1</v>
      </c>
      <c r="DJ6" s="41" t="str">
        <f aca="false">DJ3&amp;"|"&amp;DJ4&amp;"|"&amp;DJ5</f>
        <v>IC|FX_VOL|1</v>
      </c>
      <c r="DK6" s="41" t="str">
        <f aca="false">DK3&amp;"|"&amp;DK4&amp;"|"&amp;DK5</f>
        <v>IC|FX_SPREAD|1</v>
      </c>
      <c r="DL6" s="41" t="str">
        <f aca="false">DL3&amp;"|"&amp;DL4&amp;"|"&amp;DL5</f>
        <v>IC|PRD_PEN|1</v>
      </c>
      <c r="DM6" s="41" t="str">
        <f aca="false">DM3&amp;"|"&amp;DM4&amp;"|"&amp;DM5</f>
        <v>IC|PRD_VOL|1</v>
      </c>
      <c r="DN6" s="41" t="str">
        <f aca="false">DN3&amp;"|"&amp;DN4&amp;"|"&amp;DN5</f>
        <v>IC|PRD_FEE|1</v>
      </c>
      <c r="DO6" s="41" t="str">
        <f aca="false">DO3&amp;"|"&amp;DO4&amp;"|"&amp;DO5</f>
        <v>IC|AM_SHARE|1</v>
      </c>
      <c r="DP6" s="41" t="str">
        <f aca="false">DP3&amp;"|"&amp;DP4&amp;"|"&amp;DP5</f>
        <v>IC|AM_FEE|1</v>
      </c>
      <c r="DQ6" s="41" t="str">
        <f aca="false">DQ3&amp;"|"&amp;DQ4&amp;"|"&amp;DQ5</f>
        <v>IC|SUB_PEN|1</v>
      </c>
      <c r="DR6" s="41" t="str">
        <f aca="false">DR3&amp;"|"&amp;DR4&amp;"|"&amp;DR5</f>
        <v>IC|SUB_PRICE|1</v>
      </c>
      <c r="DS6" s="41" t="str">
        <f aca="false">DS3&amp;"|"&amp;DS4&amp;"|"&amp;DS5</f>
        <v>IC|CUST_FEE|1</v>
      </c>
      <c r="DT6" s="41" t="str">
        <f aca="false">DT3&amp;"|"&amp;DT4&amp;"|"&amp;DT5</f>
        <v>IC|SUP_RATE|1</v>
      </c>
      <c r="DU6" s="41" t="str">
        <f aca="false">DU3&amp;"|"&amp;DU4&amp;"|"&amp;DU5</f>
        <v>IC|SUP_COST|1</v>
      </c>
      <c r="DV6" s="41" t="str">
        <f aca="false">DV3&amp;"|"&amp;DV4&amp;"|"&amp;DV5</f>
        <v>IC|KYC_UNIT|1</v>
      </c>
      <c r="DW6" s="41" t="str">
        <f aca="false">DW3&amp;"|"&amp;DW4&amp;"|"&amp;DW5</f>
        <v>IC|KYC_MAN|1</v>
      </c>
      <c r="DX6" s="41" t="str">
        <f aca="false">DX3&amp;"|"&amp;DX4&amp;"|"&amp;DX5</f>
        <v>IC|KYC_MAN_COST|1</v>
      </c>
      <c r="DY6" s="41" t="str">
        <f aca="false">DY3&amp;"|"&amp;DY4&amp;"|"&amp;DY5</f>
        <v>IC|OPS_PC|1</v>
      </c>
      <c r="DZ6" s="41" t="str">
        <f aca="false">DZ3&amp;"|"&amp;DZ4&amp;"|"&amp;DZ5</f>
        <v>IC|OPS_MAN|1</v>
      </c>
      <c r="EA6" s="41" t="str">
        <f aca="false">EA3&amp;"|"&amp;EA4&amp;"|"&amp;EA5</f>
        <v>IC|OPS_COST|1</v>
      </c>
      <c r="EB6" s="41" t="str">
        <f aca="false">EB3&amp;"|"&amp;EB4&amp;"|"&amp;EB5</f>
        <v>IC|RM_LOAD|1</v>
      </c>
      <c r="EC6" s="41" t="str">
        <f aca="false">EC3&amp;"|"&amp;EC4&amp;"|"&amp;EC5</f>
        <v>IC|RM_COST|1</v>
      </c>
      <c r="ED6" s="41" t="str">
        <f aca="false">ED3&amp;"|"&amp;ED4&amp;"|"&amp;ED5</f>
        <v>IC|CAC|1</v>
      </c>
      <c r="EE6" s="41" t="str">
        <f aca="false">EE3&amp;"|"&amp;EE4&amp;"|"&amp;EE5</f>
        <v>IC|OPLOSS|1</v>
      </c>
      <c r="EF6" s="41" t="str">
        <f aca="false">EF3&amp;"|"&amp;EF4&amp;"|"&amp;EF5</f>
        <v>MR|BASE|3</v>
      </c>
      <c r="EG6" s="41" t="str">
        <f aca="false">EG3&amp;"|"&amp;EG4&amp;"|"&amp;EG5</f>
        <v>MR|LEADS|3</v>
      </c>
      <c r="EH6" s="41" t="str">
        <f aca="false">EH3&amp;"|"&amp;EH4&amp;"|"&amp;EH5</f>
        <v>MR|CR_OPEN|3</v>
      </c>
      <c r="EI6" s="41" t="str">
        <f aca="false">EI3&amp;"|"&amp;EI4&amp;"|"&amp;EI5</f>
        <v>MR|CR_FUND|3</v>
      </c>
      <c r="EJ6" s="41" t="str">
        <f aca="false">EJ3&amp;"|"&amp;EJ4&amp;"|"&amp;EJ5</f>
        <v>MR|CHURN|3</v>
      </c>
      <c r="EK6" s="41" t="str">
        <f aca="false">EK3&amp;"|"&amp;EK4&amp;"|"&amp;EK5</f>
        <v>MR|ACT|3</v>
      </c>
      <c r="EL6" s="41" t="str">
        <f aca="false">EL3&amp;"|"&amp;EL4&amp;"|"&amp;EL5</f>
        <v>MR|TPA|3</v>
      </c>
      <c r="EM6" s="41" t="str">
        <f aca="false">EM3&amp;"|"&amp;EM4&amp;"|"&amp;EM5</f>
        <v>MR|TICKET|3</v>
      </c>
      <c r="EN6" s="41" t="str">
        <f aca="false">EN3&amp;"|"&amp;EN4&amp;"|"&amp;EN5</f>
        <v>MR|TAKE|3</v>
      </c>
      <c r="EO6" s="41" t="str">
        <f aca="false">EO3&amp;"|"&amp;EO4&amp;"|"&amp;EO5</f>
        <v>MR|EXEC|3</v>
      </c>
      <c r="EP6" s="41" t="str">
        <f aca="false">EP3&amp;"|"&amp;EP4&amp;"|"&amp;EP5</f>
        <v>MR|AUC_PC|3</v>
      </c>
      <c r="EQ6" s="41" t="str">
        <f aca="false">EQ3&amp;"|"&amp;EQ4&amp;"|"&amp;EQ5</f>
        <v>MR|CASH|3</v>
      </c>
      <c r="ER6" s="41" t="str">
        <f aca="false">ER3&amp;"|"&amp;ER4&amp;"|"&amp;ER5</f>
        <v>MR|FLOAT_Y|3</v>
      </c>
      <c r="ES6" s="41" t="str">
        <f aca="false">ES3&amp;"|"&amp;ES4&amp;"|"&amp;ES5</f>
        <v>MR|FLOAT_P|3</v>
      </c>
      <c r="ET6" s="41" t="str">
        <f aca="false">ET3&amp;"|"&amp;ET4&amp;"|"&amp;ET5</f>
        <v>MR|MRG_PEN|3</v>
      </c>
      <c r="EU6" s="41" t="str">
        <f aca="false">EU3&amp;"|"&amp;EU4&amp;"|"&amp;EU5</f>
        <v>MR|MRG_DEBT|3</v>
      </c>
      <c r="EV6" s="41" t="str">
        <f aca="false">EV3&amp;"|"&amp;EV4&amp;"|"&amp;EV5</f>
        <v>MR|MRG_RATE|3</v>
      </c>
      <c r="EW6" s="41" t="str">
        <f aca="false">EW3&amp;"|"&amp;EW4&amp;"|"&amp;EW5</f>
        <v>MR|FUND_RATE|3</v>
      </c>
      <c r="EX6" s="41" t="str">
        <f aca="false">EX3&amp;"|"&amp;EX4&amp;"|"&amp;EX5</f>
        <v>MR|CL|3</v>
      </c>
      <c r="EY6" s="41" t="str">
        <f aca="false">EY3&amp;"|"&amp;EY4&amp;"|"&amp;EY5</f>
        <v>MR|FX_PEN|3</v>
      </c>
      <c r="EZ6" s="41" t="str">
        <f aca="false">EZ3&amp;"|"&amp;EZ4&amp;"|"&amp;EZ5</f>
        <v>MR|FX_VOL|3</v>
      </c>
      <c r="FA6" s="41" t="str">
        <f aca="false">FA3&amp;"|"&amp;FA4&amp;"|"&amp;FA5</f>
        <v>MR|FX_SPREAD|3</v>
      </c>
      <c r="FB6" s="41" t="str">
        <f aca="false">FB3&amp;"|"&amp;FB4&amp;"|"&amp;FB5</f>
        <v>MR|PRD_PEN|3</v>
      </c>
      <c r="FC6" s="41" t="str">
        <f aca="false">FC3&amp;"|"&amp;FC4&amp;"|"&amp;FC5</f>
        <v>MR|PRD_VOL|3</v>
      </c>
      <c r="FD6" s="41" t="str">
        <f aca="false">FD3&amp;"|"&amp;FD4&amp;"|"&amp;FD5</f>
        <v>MR|PRD_FEE|3</v>
      </c>
      <c r="FE6" s="41" t="str">
        <f aca="false">FE3&amp;"|"&amp;FE4&amp;"|"&amp;FE5</f>
        <v>MR|AM_SHARE|3</v>
      </c>
      <c r="FF6" s="41" t="str">
        <f aca="false">FF3&amp;"|"&amp;FF4&amp;"|"&amp;FF5</f>
        <v>MR|AM_FEE|3</v>
      </c>
      <c r="FG6" s="41" t="str">
        <f aca="false">FG3&amp;"|"&amp;FG4&amp;"|"&amp;FG5</f>
        <v>MR|SUB_PEN|3</v>
      </c>
      <c r="FH6" s="41" t="str">
        <f aca="false">FH3&amp;"|"&amp;FH4&amp;"|"&amp;FH5</f>
        <v>MR|SUB_PRICE|3</v>
      </c>
      <c r="FI6" s="41" t="str">
        <f aca="false">FI3&amp;"|"&amp;FI4&amp;"|"&amp;FI5</f>
        <v>MR|CUST_FEE|3</v>
      </c>
      <c r="FJ6" s="41" t="str">
        <f aca="false">FJ3&amp;"|"&amp;FJ4&amp;"|"&amp;FJ5</f>
        <v>MR|SUP_RATE|3</v>
      </c>
      <c r="FK6" s="41" t="str">
        <f aca="false">FK3&amp;"|"&amp;FK4&amp;"|"&amp;FK5</f>
        <v>MR|SUP_COST|3</v>
      </c>
      <c r="FL6" s="41" t="str">
        <f aca="false">FL3&amp;"|"&amp;FL4&amp;"|"&amp;FL5</f>
        <v>MR|KYC_UNIT|3</v>
      </c>
      <c r="FM6" s="41" t="str">
        <f aca="false">FM3&amp;"|"&amp;FM4&amp;"|"&amp;FM5</f>
        <v>MR|KYC_MAN|3</v>
      </c>
      <c r="FN6" s="41" t="str">
        <f aca="false">FN3&amp;"|"&amp;FN4&amp;"|"&amp;FN5</f>
        <v>MR|KYC_MAN_COST|3</v>
      </c>
      <c r="FO6" s="41" t="str">
        <f aca="false">FO3&amp;"|"&amp;FO4&amp;"|"&amp;FO5</f>
        <v>MR|OPS_PC|3</v>
      </c>
      <c r="FP6" s="41" t="str">
        <f aca="false">FP3&amp;"|"&amp;FP4&amp;"|"&amp;FP5</f>
        <v>MR|OPS_MAN|3</v>
      </c>
      <c r="FQ6" s="41" t="str">
        <f aca="false">FQ3&amp;"|"&amp;FQ4&amp;"|"&amp;FQ5</f>
        <v>MR|OPS_COST|3</v>
      </c>
      <c r="FR6" s="41" t="str">
        <f aca="false">FR3&amp;"|"&amp;FR4&amp;"|"&amp;FR5</f>
        <v>MR|RM_LOAD|3</v>
      </c>
      <c r="FS6" s="41" t="str">
        <f aca="false">FS3&amp;"|"&amp;FS4&amp;"|"&amp;FS5</f>
        <v>MR|RM_COST|3</v>
      </c>
      <c r="FT6" s="41" t="str">
        <f aca="false">FT3&amp;"|"&amp;FT4&amp;"|"&amp;FT5</f>
        <v>MR|CAC|3</v>
      </c>
      <c r="FU6" s="41" t="str">
        <f aca="false">FU3&amp;"|"&amp;FU4&amp;"|"&amp;FU5</f>
        <v>MR|OPLOSS|3</v>
      </c>
      <c r="FV6" s="41" t="str">
        <f aca="false">FV3&amp;"|"&amp;FV4&amp;"|"&amp;FV5</f>
        <v>AF|BASE|3</v>
      </c>
      <c r="FW6" s="41" t="str">
        <f aca="false">FW3&amp;"|"&amp;FW4&amp;"|"&amp;FW5</f>
        <v>AF|LEADS|3</v>
      </c>
      <c r="FX6" s="41" t="str">
        <f aca="false">FX3&amp;"|"&amp;FX4&amp;"|"&amp;FX5</f>
        <v>AF|CR_OPEN|3</v>
      </c>
      <c r="FY6" s="41" t="str">
        <f aca="false">FY3&amp;"|"&amp;FY4&amp;"|"&amp;FY5</f>
        <v>AF|CR_FUND|3</v>
      </c>
      <c r="FZ6" s="41" t="str">
        <f aca="false">FZ3&amp;"|"&amp;FZ4&amp;"|"&amp;FZ5</f>
        <v>AF|CHURN|3</v>
      </c>
      <c r="GA6" s="41" t="str">
        <f aca="false">GA3&amp;"|"&amp;GA4&amp;"|"&amp;GA5</f>
        <v>AF|ACT|3</v>
      </c>
      <c r="GB6" s="41" t="str">
        <f aca="false">GB3&amp;"|"&amp;GB4&amp;"|"&amp;GB5</f>
        <v>AF|TPA|3</v>
      </c>
      <c r="GC6" s="41" t="str">
        <f aca="false">GC3&amp;"|"&amp;GC4&amp;"|"&amp;GC5</f>
        <v>AF|TICKET|3</v>
      </c>
      <c r="GD6" s="41" t="str">
        <f aca="false">GD3&amp;"|"&amp;GD4&amp;"|"&amp;GD5</f>
        <v>AF|TAKE|3</v>
      </c>
      <c r="GE6" s="41" t="str">
        <f aca="false">GE3&amp;"|"&amp;GE4&amp;"|"&amp;GE5</f>
        <v>AF|EXEC|3</v>
      </c>
      <c r="GF6" s="41" t="str">
        <f aca="false">GF3&amp;"|"&amp;GF4&amp;"|"&amp;GF5</f>
        <v>AF|AUC_PC|3</v>
      </c>
      <c r="GG6" s="41" t="str">
        <f aca="false">GG3&amp;"|"&amp;GG4&amp;"|"&amp;GG5</f>
        <v>AF|CASH|3</v>
      </c>
      <c r="GH6" s="41" t="str">
        <f aca="false">GH3&amp;"|"&amp;GH4&amp;"|"&amp;GH5</f>
        <v>AF|FLOAT_Y|3</v>
      </c>
      <c r="GI6" s="41" t="str">
        <f aca="false">GI3&amp;"|"&amp;GI4&amp;"|"&amp;GI5</f>
        <v>AF|FLOAT_P|3</v>
      </c>
      <c r="GJ6" s="41" t="str">
        <f aca="false">GJ3&amp;"|"&amp;GJ4&amp;"|"&amp;GJ5</f>
        <v>AF|MRG_PEN|3</v>
      </c>
      <c r="GK6" s="41" t="str">
        <f aca="false">GK3&amp;"|"&amp;GK4&amp;"|"&amp;GK5</f>
        <v>AF|MRG_DEBT|3</v>
      </c>
      <c r="GL6" s="41" t="str">
        <f aca="false">GL3&amp;"|"&amp;GL4&amp;"|"&amp;GL5</f>
        <v>AF|MRG_RATE|3</v>
      </c>
      <c r="GM6" s="41" t="str">
        <f aca="false">GM3&amp;"|"&amp;GM4&amp;"|"&amp;GM5</f>
        <v>AF|FUND_RATE|3</v>
      </c>
      <c r="GN6" s="41" t="str">
        <f aca="false">GN3&amp;"|"&amp;GN4&amp;"|"&amp;GN5</f>
        <v>AF|CL|3</v>
      </c>
      <c r="GO6" s="41" t="str">
        <f aca="false">GO3&amp;"|"&amp;GO4&amp;"|"&amp;GO5</f>
        <v>AF|FX_PEN|3</v>
      </c>
      <c r="GP6" s="41" t="str">
        <f aca="false">GP3&amp;"|"&amp;GP4&amp;"|"&amp;GP5</f>
        <v>AF|FX_VOL|3</v>
      </c>
      <c r="GQ6" s="41" t="str">
        <f aca="false">GQ3&amp;"|"&amp;GQ4&amp;"|"&amp;GQ5</f>
        <v>AF|FX_SPREAD|3</v>
      </c>
      <c r="GR6" s="41" t="str">
        <f aca="false">GR3&amp;"|"&amp;GR4&amp;"|"&amp;GR5</f>
        <v>AF|PRD_PEN|3</v>
      </c>
      <c r="GS6" s="41" t="str">
        <f aca="false">GS3&amp;"|"&amp;GS4&amp;"|"&amp;GS5</f>
        <v>AF|PRD_VOL|3</v>
      </c>
      <c r="GT6" s="41" t="str">
        <f aca="false">GT3&amp;"|"&amp;GT4&amp;"|"&amp;GT5</f>
        <v>AF|PRD_FEE|3</v>
      </c>
      <c r="GU6" s="41" t="str">
        <f aca="false">GU3&amp;"|"&amp;GU4&amp;"|"&amp;GU5</f>
        <v>AF|AM_SHARE|3</v>
      </c>
      <c r="GV6" s="41" t="str">
        <f aca="false">GV3&amp;"|"&amp;GV4&amp;"|"&amp;GV5</f>
        <v>AF|AM_FEE|3</v>
      </c>
      <c r="GW6" s="41" t="str">
        <f aca="false">GW3&amp;"|"&amp;GW4&amp;"|"&amp;GW5</f>
        <v>AF|SUB_PEN|3</v>
      </c>
      <c r="GX6" s="41" t="str">
        <f aca="false">GX3&amp;"|"&amp;GX4&amp;"|"&amp;GX5</f>
        <v>AF|SUB_PRICE|3</v>
      </c>
      <c r="GY6" s="41" t="str">
        <f aca="false">GY3&amp;"|"&amp;GY4&amp;"|"&amp;GY5</f>
        <v>AF|CUST_FEE|3</v>
      </c>
      <c r="GZ6" s="41" t="str">
        <f aca="false">GZ3&amp;"|"&amp;GZ4&amp;"|"&amp;GZ5</f>
        <v>AF|SUP_RATE|3</v>
      </c>
      <c r="HA6" s="41" t="str">
        <f aca="false">HA3&amp;"|"&amp;HA4&amp;"|"&amp;HA5</f>
        <v>AF|SUP_COST|3</v>
      </c>
      <c r="HB6" s="41" t="str">
        <f aca="false">HB3&amp;"|"&amp;HB4&amp;"|"&amp;HB5</f>
        <v>AF|KYC_UNIT|3</v>
      </c>
      <c r="HC6" s="41" t="str">
        <f aca="false">HC3&amp;"|"&amp;HC4&amp;"|"&amp;HC5</f>
        <v>AF|KYC_MAN|3</v>
      </c>
      <c r="HD6" s="41" t="str">
        <f aca="false">HD3&amp;"|"&amp;HD4&amp;"|"&amp;HD5</f>
        <v>AF|KYC_MAN_COST|3</v>
      </c>
      <c r="HE6" s="41" t="str">
        <f aca="false">HE3&amp;"|"&amp;HE4&amp;"|"&amp;HE5</f>
        <v>AF|OPS_PC|3</v>
      </c>
      <c r="HF6" s="41" t="str">
        <f aca="false">HF3&amp;"|"&amp;HF4&amp;"|"&amp;HF5</f>
        <v>AF|OPS_MAN|3</v>
      </c>
      <c r="HG6" s="41" t="str">
        <f aca="false">HG3&amp;"|"&amp;HG4&amp;"|"&amp;HG5</f>
        <v>AF|OPS_COST|3</v>
      </c>
      <c r="HH6" s="41" t="str">
        <f aca="false">HH3&amp;"|"&amp;HH4&amp;"|"&amp;HH5</f>
        <v>AF|RM_LOAD|3</v>
      </c>
      <c r="HI6" s="41" t="str">
        <f aca="false">HI3&amp;"|"&amp;HI4&amp;"|"&amp;HI5</f>
        <v>AF|RM_COST|3</v>
      </c>
      <c r="HJ6" s="41" t="str">
        <f aca="false">HJ3&amp;"|"&amp;HJ4&amp;"|"&amp;HJ5</f>
        <v>AF|CAC|3</v>
      </c>
      <c r="HK6" s="41" t="str">
        <f aca="false">HK3&amp;"|"&amp;HK4&amp;"|"&amp;HK5</f>
        <v>AF|OPLOSS|3</v>
      </c>
      <c r="HL6" s="41" t="str">
        <f aca="false">HL3&amp;"|"&amp;HL4&amp;"|"&amp;HL5</f>
        <v>IC|BASE|3</v>
      </c>
      <c r="HM6" s="41" t="str">
        <f aca="false">HM3&amp;"|"&amp;HM4&amp;"|"&amp;HM5</f>
        <v>IC|LEADS|3</v>
      </c>
      <c r="HN6" s="41" t="str">
        <f aca="false">HN3&amp;"|"&amp;HN4&amp;"|"&amp;HN5</f>
        <v>IC|CR_OPEN|3</v>
      </c>
      <c r="HO6" s="41" t="str">
        <f aca="false">HO3&amp;"|"&amp;HO4&amp;"|"&amp;HO5</f>
        <v>IC|CR_FUND|3</v>
      </c>
      <c r="HP6" s="41" t="str">
        <f aca="false">HP3&amp;"|"&amp;HP4&amp;"|"&amp;HP5</f>
        <v>IC|CHURN|3</v>
      </c>
      <c r="HQ6" s="41" t="str">
        <f aca="false">HQ3&amp;"|"&amp;HQ4&amp;"|"&amp;HQ5</f>
        <v>IC|ACT|3</v>
      </c>
      <c r="HR6" s="41" t="str">
        <f aca="false">HR3&amp;"|"&amp;HR4&amp;"|"&amp;HR5</f>
        <v>IC|TPA|3</v>
      </c>
      <c r="HS6" s="41" t="str">
        <f aca="false">HS3&amp;"|"&amp;HS4&amp;"|"&amp;HS5</f>
        <v>IC|TICKET|3</v>
      </c>
      <c r="HT6" s="41" t="str">
        <f aca="false">HT3&amp;"|"&amp;HT4&amp;"|"&amp;HT5</f>
        <v>IC|TAKE|3</v>
      </c>
      <c r="HU6" s="41" t="str">
        <f aca="false">HU3&amp;"|"&amp;HU4&amp;"|"&amp;HU5</f>
        <v>IC|EXEC|3</v>
      </c>
      <c r="HV6" s="41" t="str">
        <f aca="false">HV3&amp;"|"&amp;HV4&amp;"|"&amp;HV5</f>
        <v>IC|AUC_PC|3</v>
      </c>
      <c r="HW6" s="41" t="str">
        <f aca="false">HW3&amp;"|"&amp;HW4&amp;"|"&amp;HW5</f>
        <v>IC|CASH|3</v>
      </c>
      <c r="HX6" s="41" t="str">
        <f aca="false">HX3&amp;"|"&amp;HX4&amp;"|"&amp;HX5</f>
        <v>IC|FLOAT_Y|3</v>
      </c>
      <c r="HY6" s="41" t="str">
        <f aca="false">HY3&amp;"|"&amp;HY4&amp;"|"&amp;HY5</f>
        <v>IC|FLOAT_P|3</v>
      </c>
      <c r="HZ6" s="41" t="str">
        <f aca="false">HZ3&amp;"|"&amp;HZ4&amp;"|"&amp;HZ5</f>
        <v>IC|MRG_PEN|3</v>
      </c>
      <c r="IA6" s="41" t="str">
        <f aca="false">IA3&amp;"|"&amp;IA4&amp;"|"&amp;IA5</f>
        <v>IC|MRG_DEBT|3</v>
      </c>
      <c r="IB6" s="41" t="str">
        <f aca="false">IB3&amp;"|"&amp;IB4&amp;"|"&amp;IB5</f>
        <v>IC|MRG_RATE|3</v>
      </c>
      <c r="IC6" s="41" t="str">
        <f aca="false">IC3&amp;"|"&amp;IC4&amp;"|"&amp;IC5</f>
        <v>IC|FUND_RATE|3</v>
      </c>
      <c r="ID6" s="41" t="str">
        <f aca="false">ID3&amp;"|"&amp;ID4&amp;"|"&amp;ID5</f>
        <v>IC|CL|3</v>
      </c>
      <c r="IE6" s="41" t="str">
        <f aca="false">IE3&amp;"|"&amp;IE4&amp;"|"&amp;IE5</f>
        <v>IC|FX_PEN|3</v>
      </c>
      <c r="IF6" s="41" t="str">
        <f aca="false">IF3&amp;"|"&amp;IF4&amp;"|"&amp;IF5</f>
        <v>IC|FX_VOL|3</v>
      </c>
      <c r="IG6" s="41" t="str">
        <f aca="false">IG3&amp;"|"&amp;IG4&amp;"|"&amp;IG5</f>
        <v>IC|FX_SPREAD|3</v>
      </c>
      <c r="IH6" s="41" t="str">
        <f aca="false">IH3&amp;"|"&amp;IH4&amp;"|"&amp;IH5</f>
        <v>IC|PRD_PEN|3</v>
      </c>
      <c r="II6" s="41" t="str">
        <f aca="false">II3&amp;"|"&amp;II4&amp;"|"&amp;II5</f>
        <v>IC|PRD_VOL|3</v>
      </c>
      <c r="IJ6" s="41" t="str">
        <f aca="false">IJ3&amp;"|"&amp;IJ4&amp;"|"&amp;IJ5</f>
        <v>IC|PRD_FEE|3</v>
      </c>
      <c r="IK6" s="41" t="str">
        <f aca="false">IK3&amp;"|"&amp;IK4&amp;"|"&amp;IK5</f>
        <v>IC|AM_SHARE|3</v>
      </c>
      <c r="IL6" s="41" t="str">
        <f aca="false">IL3&amp;"|"&amp;IL4&amp;"|"&amp;IL5</f>
        <v>IC|AM_FEE|3</v>
      </c>
      <c r="IM6" s="41" t="str">
        <f aca="false">IM3&amp;"|"&amp;IM4&amp;"|"&amp;IM5</f>
        <v>IC|SUB_PEN|3</v>
      </c>
      <c r="IN6" s="41" t="str">
        <f aca="false">IN3&amp;"|"&amp;IN4&amp;"|"&amp;IN5</f>
        <v>IC|SUB_PRICE|3</v>
      </c>
      <c r="IO6" s="41" t="str">
        <f aca="false">IO3&amp;"|"&amp;IO4&amp;"|"&amp;IO5</f>
        <v>IC|CUST_FEE|3</v>
      </c>
      <c r="IP6" s="41" t="str">
        <f aca="false">IP3&amp;"|"&amp;IP4&amp;"|"&amp;IP5</f>
        <v>IC|SUP_RATE|3</v>
      </c>
      <c r="IQ6" s="41" t="str">
        <f aca="false">IQ3&amp;"|"&amp;IQ4&amp;"|"&amp;IQ5</f>
        <v>IC|SUP_COST|3</v>
      </c>
      <c r="IR6" s="41" t="str">
        <f aca="false">IR3&amp;"|"&amp;IR4&amp;"|"&amp;IR5</f>
        <v>IC|KYC_UNIT|3</v>
      </c>
      <c r="IS6" s="41" t="str">
        <f aca="false">IS3&amp;"|"&amp;IS4&amp;"|"&amp;IS5</f>
        <v>IC|KYC_MAN|3</v>
      </c>
      <c r="IT6" s="41" t="str">
        <f aca="false">IT3&amp;"|"&amp;IT4&amp;"|"&amp;IT5</f>
        <v>IC|KYC_MAN_COST|3</v>
      </c>
      <c r="IU6" s="41" t="str">
        <f aca="false">IU3&amp;"|"&amp;IU4&amp;"|"&amp;IU5</f>
        <v>IC|OPS_PC|3</v>
      </c>
      <c r="IV6" s="41" t="str">
        <f aca="false">IV3&amp;"|"&amp;IV4&amp;"|"&amp;IV5</f>
        <v>IC|OPS_MAN|3</v>
      </c>
      <c r="IW6" s="41" t="str">
        <f aca="false">IW3&amp;"|"&amp;IW4&amp;"|"&amp;IW5</f>
        <v>IC|OPS_COST|3</v>
      </c>
      <c r="IX6" s="41" t="str">
        <f aca="false">IX3&amp;"|"&amp;IX4&amp;"|"&amp;IX5</f>
        <v>IC|RM_LOAD|3</v>
      </c>
      <c r="IY6" s="41" t="str">
        <f aca="false">IY3&amp;"|"&amp;IY4&amp;"|"&amp;IY5</f>
        <v>IC|RM_COST|3</v>
      </c>
      <c r="IZ6" s="41" t="str">
        <f aca="false">IZ3&amp;"|"&amp;IZ4&amp;"|"&amp;IZ5</f>
        <v>IC|CAC|3</v>
      </c>
      <c r="JA6" s="41" t="str">
        <f aca="false">JA3&amp;"|"&amp;JA4&amp;"|"&amp;JA5</f>
        <v>IC|OPLOSS|3</v>
      </c>
    </row>
    <row r="7" customFormat="false" ht="42" hidden="false" customHeight="true" outlineLevel="0" collapsed="false">
      <c r="A7" s="12" t="s">
        <v>90</v>
      </c>
      <c r="B7" s="12" t="s">
        <v>175</v>
      </c>
      <c r="C7" s="12" t="s">
        <v>176</v>
      </c>
      <c r="D7" s="12" t="s">
        <v>38</v>
      </c>
      <c r="E7" s="12" t="s">
        <v>92</v>
      </c>
      <c r="F7" s="12" t="s">
        <v>93</v>
      </c>
      <c r="G7" s="12" t="s">
        <v>94</v>
      </c>
      <c r="H7" s="12" t="s">
        <v>95</v>
      </c>
      <c r="I7" s="12"/>
      <c r="J7" s="12" t="s">
        <v>471</v>
      </c>
      <c r="K7" s="12" t="s">
        <v>472</v>
      </c>
      <c r="L7" s="12" t="s">
        <v>473</v>
      </c>
      <c r="M7" s="12" t="s">
        <v>474</v>
      </c>
      <c r="N7" s="12" t="s">
        <v>475</v>
      </c>
      <c r="O7" s="12" t="s">
        <v>476</v>
      </c>
      <c r="P7" s="12" t="s">
        <v>477</v>
      </c>
      <c r="Q7" s="12" t="s">
        <v>478</v>
      </c>
      <c r="R7" s="12" t="s">
        <v>479</v>
      </c>
      <c r="S7" s="12" t="s">
        <v>480</v>
      </c>
      <c r="T7" s="12" t="s">
        <v>481</v>
      </c>
      <c r="U7" s="12" t="s">
        <v>482</v>
      </c>
      <c r="V7" s="12" t="s">
        <v>483</v>
      </c>
      <c r="W7" s="12" t="s">
        <v>484</v>
      </c>
      <c r="X7" s="12" t="s">
        <v>485</v>
      </c>
      <c r="Y7" s="12" t="s">
        <v>486</v>
      </c>
      <c r="Z7" s="12" t="s">
        <v>487</v>
      </c>
      <c r="AA7" s="12" t="s">
        <v>488</v>
      </c>
      <c r="AB7" s="12" t="s">
        <v>489</v>
      </c>
      <c r="AC7" s="12" t="s">
        <v>490</v>
      </c>
      <c r="AD7" s="12" t="s">
        <v>491</v>
      </c>
      <c r="AE7" s="12" t="s">
        <v>492</v>
      </c>
      <c r="AF7" s="12" t="s">
        <v>493</v>
      </c>
      <c r="AG7" s="12" t="s">
        <v>494</v>
      </c>
      <c r="AH7" s="12" t="s">
        <v>495</v>
      </c>
      <c r="AI7" s="12" t="s">
        <v>496</v>
      </c>
      <c r="AJ7" s="12" t="s">
        <v>497</v>
      </c>
      <c r="AK7" s="12" t="s">
        <v>498</v>
      </c>
      <c r="AL7" s="12" t="s">
        <v>499</v>
      </c>
      <c r="AM7" s="12" t="s">
        <v>500</v>
      </c>
      <c r="AN7" s="12" t="s">
        <v>501</v>
      </c>
      <c r="AO7" s="12" t="s">
        <v>502</v>
      </c>
      <c r="AP7" s="12" t="s">
        <v>503</v>
      </c>
      <c r="AQ7" s="12" t="s">
        <v>504</v>
      </c>
      <c r="AR7" s="12" t="s">
        <v>505</v>
      </c>
      <c r="AS7" s="12" t="s">
        <v>506</v>
      </c>
      <c r="AT7" s="12" t="s">
        <v>507</v>
      </c>
      <c r="AU7" s="12" t="s">
        <v>508</v>
      </c>
      <c r="AV7" s="12" t="s">
        <v>509</v>
      </c>
      <c r="AW7" s="12" t="s">
        <v>510</v>
      </c>
      <c r="AX7" s="12" t="s">
        <v>511</v>
      </c>
      <c r="AY7" s="12" t="s">
        <v>512</v>
      </c>
      <c r="AZ7" s="12" t="s">
        <v>513</v>
      </c>
      <c r="BA7" s="12" t="s">
        <v>514</v>
      </c>
      <c r="BB7" s="12" t="s">
        <v>515</v>
      </c>
      <c r="BC7" s="12" t="s">
        <v>516</v>
      </c>
      <c r="BD7" s="12" t="s">
        <v>517</v>
      </c>
      <c r="BE7" s="12" t="s">
        <v>518</v>
      </c>
      <c r="BF7" s="12" t="s">
        <v>519</v>
      </c>
      <c r="BG7" s="12" t="s">
        <v>520</v>
      </c>
      <c r="BH7" s="12" t="s">
        <v>521</v>
      </c>
      <c r="BI7" s="12" t="s">
        <v>522</v>
      </c>
      <c r="BJ7" s="12" t="s">
        <v>523</v>
      </c>
      <c r="BK7" s="12" t="s">
        <v>524</v>
      </c>
      <c r="BL7" s="12" t="s">
        <v>525</v>
      </c>
      <c r="BM7" s="12" t="s">
        <v>526</v>
      </c>
      <c r="BN7" s="12" t="s">
        <v>527</v>
      </c>
      <c r="BO7" s="12" t="s">
        <v>528</v>
      </c>
      <c r="BP7" s="12" t="s">
        <v>529</v>
      </c>
      <c r="BQ7" s="12" t="s">
        <v>530</v>
      </c>
      <c r="BR7" s="12" t="s">
        <v>531</v>
      </c>
      <c r="BS7" s="12" t="s">
        <v>532</v>
      </c>
      <c r="BT7" s="12" t="s">
        <v>533</v>
      </c>
      <c r="BU7" s="12" t="s">
        <v>534</v>
      </c>
      <c r="BV7" s="12" t="s">
        <v>535</v>
      </c>
      <c r="BW7" s="12" t="s">
        <v>536</v>
      </c>
      <c r="BX7" s="12" t="s">
        <v>537</v>
      </c>
      <c r="BY7" s="12" t="s">
        <v>538</v>
      </c>
      <c r="BZ7" s="12" t="s">
        <v>539</v>
      </c>
      <c r="CA7" s="12" t="s">
        <v>540</v>
      </c>
      <c r="CB7" s="12" t="s">
        <v>541</v>
      </c>
      <c r="CC7" s="12" t="s">
        <v>542</v>
      </c>
      <c r="CD7" s="12" t="s">
        <v>543</v>
      </c>
      <c r="CE7" s="12" t="s">
        <v>544</v>
      </c>
      <c r="CF7" s="12" t="s">
        <v>545</v>
      </c>
      <c r="CG7" s="12" t="s">
        <v>546</v>
      </c>
      <c r="CH7" s="12" t="s">
        <v>547</v>
      </c>
      <c r="CI7" s="12" t="s">
        <v>548</v>
      </c>
      <c r="CJ7" s="12" t="s">
        <v>549</v>
      </c>
      <c r="CK7" s="12" t="s">
        <v>550</v>
      </c>
      <c r="CL7" s="12" t="s">
        <v>551</v>
      </c>
      <c r="CM7" s="12" t="s">
        <v>552</v>
      </c>
      <c r="CN7" s="12" t="s">
        <v>553</v>
      </c>
      <c r="CO7" s="12" t="s">
        <v>554</v>
      </c>
      <c r="CP7" s="12" t="s">
        <v>555</v>
      </c>
      <c r="CQ7" s="12" t="s">
        <v>556</v>
      </c>
      <c r="CR7" s="12" t="s">
        <v>557</v>
      </c>
      <c r="CS7" s="12" t="s">
        <v>558</v>
      </c>
      <c r="CT7" s="12" t="s">
        <v>559</v>
      </c>
      <c r="CU7" s="12" t="s">
        <v>560</v>
      </c>
      <c r="CV7" s="12" t="s">
        <v>561</v>
      </c>
      <c r="CW7" s="12" t="s">
        <v>562</v>
      </c>
      <c r="CX7" s="12" t="s">
        <v>563</v>
      </c>
      <c r="CY7" s="12" t="s">
        <v>564</v>
      </c>
      <c r="CZ7" s="12" t="s">
        <v>565</v>
      </c>
      <c r="DA7" s="12" t="s">
        <v>566</v>
      </c>
      <c r="DB7" s="12" t="s">
        <v>567</v>
      </c>
      <c r="DC7" s="12" t="s">
        <v>568</v>
      </c>
      <c r="DD7" s="12" t="s">
        <v>569</v>
      </c>
      <c r="DE7" s="12" t="s">
        <v>570</v>
      </c>
      <c r="DF7" s="12" t="s">
        <v>571</v>
      </c>
      <c r="DG7" s="12" t="s">
        <v>572</v>
      </c>
      <c r="DH7" s="12" t="s">
        <v>573</v>
      </c>
      <c r="DI7" s="12" t="s">
        <v>574</v>
      </c>
      <c r="DJ7" s="12" t="s">
        <v>575</v>
      </c>
      <c r="DK7" s="12" t="s">
        <v>576</v>
      </c>
      <c r="DL7" s="12" t="s">
        <v>577</v>
      </c>
      <c r="DM7" s="12" t="s">
        <v>578</v>
      </c>
      <c r="DN7" s="12" t="s">
        <v>579</v>
      </c>
      <c r="DO7" s="12" t="s">
        <v>580</v>
      </c>
      <c r="DP7" s="12" t="s">
        <v>581</v>
      </c>
      <c r="DQ7" s="12" t="s">
        <v>582</v>
      </c>
      <c r="DR7" s="12" t="s">
        <v>583</v>
      </c>
      <c r="DS7" s="12" t="s">
        <v>584</v>
      </c>
      <c r="DT7" s="12" t="s">
        <v>585</v>
      </c>
      <c r="DU7" s="12" t="s">
        <v>586</v>
      </c>
      <c r="DV7" s="12" t="s">
        <v>587</v>
      </c>
      <c r="DW7" s="12" t="s">
        <v>588</v>
      </c>
      <c r="DX7" s="12" t="s">
        <v>589</v>
      </c>
      <c r="DY7" s="12" t="s">
        <v>590</v>
      </c>
      <c r="DZ7" s="12" t="s">
        <v>591</v>
      </c>
      <c r="EA7" s="12" t="s">
        <v>592</v>
      </c>
      <c r="EB7" s="12" t="s">
        <v>593</v>
      </c>
      <c r="EC7" s="12" t="s">
        <v>594</v>
      </c>
      <c r="ED7" s="12" t="s">
        <v>595</v>
      </c>
      <c r="EE7" s="12" t="s">
        <v>596</v>
      </c>
      <c r="EF7" s="12" t="s">
        <v>597</v>
      </c>
      <c r="EG7" s="12" t="s">
        <v>598</v>
      </c>
      <c r="EH7" s="12" t="s">
        <v>599</v>
      </c>
      <c r="EI7" s="12" t="s">
        <v>600</v>
      </c>
      <c r="EJ7" s="12" t="s">
        <v>601</v>
      </c>
      <c r="EK7" s="12" t="s">
        <v>602</v>
      </c>
      <c r="EL7" s="12" t="s">
        <v>603</v>
      </c>
      <c r="EM7" s="12" t="s">
        <v>604</v>
      </c>
      <c r="EN7" s="12" t="s">
        <v>605</v>
      </c>
      <c r="EO7" s="12" t="s">
        <v>606</v>
      </c>
      <c r="EP7" s="12" t="s">
        <v>607</v>
      </c>
      <c r="EQ7" s="12" t="s">
        <v>608</v>
      </c>
      <c r="ER7" s="12" t="s">
        <v>609</v>
      </c>
      <c r="ES7" s="12" t="s">
        <v>610</v>
      </c>
      <c r="ET7" s="12" t="s">
        <v>611</v>
      </c>
      <c r="EU7" s="12" t="s">
        <v>612</v>
      </c>
      <c r="EV7" s="12" t="s">
        <v>613</v>
      </c>
      <c r="EW7" s="12" t="s">
        <v>614</v>
      </c>
      <c r="EX7" s="12" t="s">
        <v>615</v>
      </c>
      <c r="EY7" s="12" t="s">
        <v>616</v>
      </c>
      <c r="EZ7" s="12" t="s">
        <v>617</v>
      </c>
      <c r="FA7" s="12" t="s">
        <v>618</v>
      </c>
      <c r="FB7" s="12" t="s">
        <v>619</v>
      </c>
      <c r="FC7" s="12" t="s">
        <v>620</v>
      </c>
      <c r="FD7" s="12" t="s">
        <v>621</v>
      </c>
      <c r="FE7" s="12" t="s">
        <v>622</v>
      </c>
      <c r="FF7" s="12" t="s">
        <v>623</v>
      </c>
      <c r="FG7" s="12" t="s">
        <v>624</v>
      </c>
      <c r="FH7" s="12" t="s">
        <v>625</v>
      </c>
      <c r="FI7" s="12" t="s">
        <v>626</v>
      </c>
      <c r="FJ7" s="12" t="s">
        <v>627</v>
      </c>
      <c r="FK7" s="12" t="s">
        <v>628</v>
      </c>
      <c r="FL7" s="12" t="s">
        <v>629</v>
      </c>
      <c r="FM7" s="12" t="s">
        <v>630</v>
      </c>
      <c r="FN7" s="12" t="s">
        <v>631</v>
      </c>
      <c r="FO7" s="12" t="s">
        <v>632</v>
      </c>
      <c r="FP7" s="12" t="s">
        <v>633</v>
      </c>
      <c r="FQ7" s="12" t="s">
        <v>634</v>
      </c>
      <c r="FR7" s="12" t="s">
        <v>635</v>
      </c>
      <c r="FS7" s="12" t="s">
        <v>636</v>
      </c>
      <c r="FT7" s="12" t="s">
        <v>637</v>
      </c>
      <c r="FU7" s="12" t="s">
        <v>638</v>
      </c>
      <c r="FV7" s="12" t="s">
        <v>639</v>
      </c>
      <c r="FW7" s="12" t="s">
        <v>640</v>
      </c>
      <c r="FX7" s="12" t="s">
        <v>641</v>
      </c>
      <c r="FY7" s="12" t="s">
        <v>642</v>
      </c>
      <c r="FZ7" s="12" t="s">
        <v>643</v>
      </c>
      <c r="GA7" s="12" t="s">
        <v>644</v>
      </c>
      <c r="GB7" s="12" t="s">
        <v>645</v>
      </c>
      <c r="GC7" s="12" t="s">
        <v>646</v>
      </c>
      <c r="GD7" s="12" t="s">
        <v>647</v>
      </c>
      <c r="GE7" s="12" t="s">
        <v>648</v>
      </c>
      <c r="GF7" s="12" t="s">
        <v>649</v>
      </c>
      <c r="GG7" s="12" t="s">
        <v>650</v>
      </c>
      <c r="GH7" s="12" t="s">
        <v>651</v>
      </c>
      <c r="GI7" s="12" t="s">
        <v>652</v>
      </c>
      <c r="GJ7" s="12" t="s">
        <v>653</v>
      </c>
      <c r="GK7" s="12" t="s">
        <v>654</v>
      </c>
      <c r="GL7" s="12" t="s">
        <v>655</v>
      </c>
      <c r="GM7" s="12" t="s">
        <v>656</v>
      </c>
      <c r="GN7" s="12" t="s">
        <v>657</v>
      </c>
      <c r="GO7" s="12" t="s">
        <v>658</v>
      </c>
      <c r="GP7" s="12" t="s">
        <v>659</v>
      </c>
      <c r="GQ7" s="12" t="s">
        <v>660</v>
      </c>
      <c r="GR7" s="12" t="s">
        <v>661</v>
      </c>
      <c r="GS7" s="12" t="s">
        <v>662</v>
      </c>
      <c r="GT7" s="12" t="s">
        <v>663</v>
      </c>
      <c r="GU7" s="12" t="s">
        <v>664</v>
      </c>
      <c r="GV7" s="12" t="s">
        <v>665</v>
      </c>
      <c r="GW7" s="12" t="s">
        <v>666</v>
      </c>
      <c r="GX7" s="12" t="s">
        <v>667</v>
      </c>
      <c r="GY7" s="12" t="s">
        <v>668</v>
      </c>
      <c r="GZ7" s="12" t="s">
        <v>669</v>
      </c>
      <c r="HA7" s="12" t="s">
        <v>670</v>
      </c>
      <c r="HB7" s="12" t="s">
        <v>671</v>
      </c>
      <c r="HC7" s="12" t="s">
        <v>672</v>
      </c>
      <c r="HD7" s="12" t="s">
        <v>673</v>
      </c>
      <c r="HE7" s="12" t="s">
        <v>674</v>
      </c>
      <c r="HF7" s="12" t="s">
        <v>675</v>
      </c>
      <c r="HG7" s="12" t="s">
        <v>676</v>
      </c>
      <c r="HH7" s="12" t="s">
        <v>677</v>
      </c>
      <c r="HI7" s="12" t="s">
        <v>678</v>
      </c>
      <c r="HJ7" s="12" t="s">
        <v>679</v>
      </c>
      <c r="HK7" s="12" t="s">
        <v>680</v>
      </c>
      <c r="HL7" s="12" t="s">
        <v>681</v>
      </c>
      <c r="HM7" s="12" t="s">
        <v>682</v>
      </c>
      <c r="HN7" s="12" t="s">
        <v>683</v>
      </c>
      <c r="HO7" s="12" t="s">
        <v>684</v>
      </c>
      <c r="HP7" s="12" t="s">
        <v>685</v>
      </c>
      <c r="HQ7" s="12" t="s">
        <v>686</v>
      </c>
      <c r="HR7" s="12" t="s">
        <v>687</v>
      </c>
      <c r="HS7" s="12" t="s">
        <v>688</v>
      </c>
      <c r="HT7" s="12" t="s">
        <v>689</v>
      </c>
      <c r="HU7" s="12" t="s">
        <v>690</v>
      </c>
      <c r="HV7" s="12" t="s">
        <v>691</v>
      </c>
      <c r="HW7" s="12" t="s">
        <v>692</v>
      </c>
      <c r="HX7" s="12" t="s">
        <v>693</v>
      </c>
      <c r="HY7" s="12" t="s">
        <v>694</v>
      </c>
      <c r="HZ7" s="12" t="s">
        <v>695</v>
      </c>
      <c r="IA7" s="12" t="s">
        <v>696</v>
      </c>
      <c r="IB7" s="12" t="s">
        <v>697</v>
      </c>
      <c r="IC7" s="12" t="s">
        <v>698</v>
      </c>
      <c r="ID7" s="12" t="s">
        <v>699</v>
      </c>
      <c r="IE7" s="12" t="s">
        <v>700</v>
      </c>
      <c r="IF7" s="12" t="s">
        <v>701</v>
      </c>
      <c r="IG7" s="12" t="s">
        <v>702</v>
      </c>
      <c r="IH7" s="12" t="s">
        <v>703</v>
      </c>
      <c r="II7" s="12" t="s">
        <v>704</v>
      </c>
      <c r="IJ7" s="12" t="s">
        <v>705</v>
      </c>
      <c r="IK7" s="12" t="s">
        <v>706</v>
      </c>
      <c r="IL7" s="12" t="s">
        <v>707</v>
      </c>
      <c r="IM7" s="12" t="s">
        <v>708</v>
      </c>
      <c r="IN7" s="12" t="s">
        <v>709</v>
      </c>
      <c r="IO7" s="12" t="s">
        <v>710</v>
      </c>
      <c r="IP7" s="12" t="s">
        <v>711</v>
      </c>
      <c r="IQ7" s="12" t="s">
        <v>712</v>
      </c>
      <c r="IR7" s="12" t="s">
        <v>713</v>
      </c>
      <c r="IS7" s="12" t="s">
        <v>714</v>
      </c>
      <c r="IT7" s="12" t="s">
        <v>715</v>
      </c>
      <c r="IU7" s="12" t="s">
        <v>716</v>
      </c>
      <c r="IV7" s="12" t="s">
        <v>717</v>
      </c>
      <c r="IW7" s="12" t="s">
        <v>718</v>
      </c>
      <c r="IX7" s="12" t="s">
        <v>719</v>
      </c>
      <c r="IY7" s="12" t="s">
        <v>720</v>
      </c>
      <c r="IZ7" s="12" t="s">
        <v>721</v>
      </c>
      <c r="JA7" s="12" t="s">
        <v>722</v>
      </c>
    </row>
    <row r="8" customFormat="false" ht="15" hidden="false" customHeight="false" outlineLevel="0" collapsed="false">
      <c r="A8" s="4" t="s">
        <v>723</v>
      </c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13" t="s">
        <v>301</v>
      </c>
      <c r="B9" s="13" t="s">
        <v>302</v>
      </c>
      <c r="C9" s="13" t="s">
        <v>185</v>
      </c>
      <c r="D9" s="9" t="s">
        <v>36</v>
      </c>
      <c r="E9" s="14" t="n">
        <f aca="false">INDEX(Вводные!$D$13:$F$64,MATCH($A9,Вводные!$A$13:$A$64,0),MATCH(E$3,Вводные!$D$11:$F$11,0))*(1+IF(E$4=$A9,Вводные!$D$5*INDEX(Вводные!$G$13:$G$64,MATCH($A9,Вводные!$A$13:$A$64,0)),0))</f>
        <v>500000</v>
      </c>
      <c r="F9" s="14" t="n">
        <f aca="false">INDEX(Вводные!$D$13:$F$64,MATCH($A9,Вводные!$A$13:$A$64,0),MATCH(F$3,Вводные!$D$11:$F$11,0))*(1+IF(F$4=$A9,Вводные!$D$5*INDEX(Вводные!$G$13:$G$64,MATCH($A9,Вводные!$A$13:$A$64,0)),0))</f>
        <v>15000</v>
      </c>
      <c r="G9" s="14" t="n">
        <f aca="false">INDEX(Вводные!$D$13:$F$64,MATCH($A9,Вводные!$A$13:$A$64,0),MATCH(G$3,Вводные!$D$11:$F$11,0))*(1+IF(G$4=$A9,Вводные!$D$5*INDEX(Вводные!$G$13:$G$64,MATCH($A9,Вводные!$A$13:$A$64,0)),0))</f>
        <v>400</v>
      </c>
      <c r="H9" s="59" t="n">
        <f aca="false">SUM(E9:G9)</f>
        <v>515400</v>
      </c>
      <c r="J9" s="14" t="n">
        <f aca="false">INDEX(Вводные!$D$13:$F$64,MATCH($A9,Вводные!$A$13:$A$64,0),MATCH(J$3,Вводные!$D$11:$F$11,0))*(1+IF(J$4=$A9,Вводные!$D$5*INDEX(Вводные!$G$13:$G$64,MATCH($A9,Вводные!$A$13:$A$64,0)),0))</f>
        <v>500000</v>
      </c>
      <c r="K9" s="14" t="n">
        <f aca="false">INDEX(Вводные!$D$13:$F$64,MATCH($A9,Вводные!$A$13:$A$64,0),MATCH(K$3,Вводные!$D$11:$F$11,0))*(1+IF(K$4=$A9,Вводные!$D$5*INDEX(Вводные!$G$13:$G$64,MATCH($A9,Вводные!$A$13:$A$64,0)),0))</f>
        <v>500000</v>
      </c>
      <c r="L9" s="14" t="n">
        <f aca="false">INDEX(Вводные!$D$13:$F$64,MATCH($A9,Вводные!$A$13:$A$64,0),MATCH(L$3,Вводные!$D$11:$F$11,0))*(1+IF(L$4=$A9,Вводные!$D$5*INDEX(Вводные!$G$13:$G$64,MATCH($A9,Вводные!$A$13:$A$64,0)),0))</f>
        <v>500000</v>
      </c>
      <c r="M9" s="14" t="n">
        <f aca="false">INDEX(Вводные!$D$13:$F$64,MATCH($A9,Вводные!$A$13:$A$64,0),MATCH(M$3,Вводные!$D$11:$F$11,0))*(1+IF(M$4=$A9,Вводные!$D$5*INDEX(Вводные!$G$13:$G$64,MATCH($A9,Вводные!$A$13:$A$64,0)),0))</f>
        <v>500000</v>
      </c>
      <c r="N9" s="14" t="n">
        <f aca="false">INDEX(Вводные!$D$13:$F$64,MATCH($A9,Вводные!$A$13:$A$64,0),MATCH(N$3,Вводные!$D$11:$F$11,0))*(1+IF(N$4=$A9,Вводные!$D$5*INDEX(Вводные!$G$13:$G$64,MATCH($A9,Вводные!$A$13:$A$64,0)),0))</f>
        <v>500000</v>
      </c>
      <c r="O9" s="14" t="n">
        <f aca="false">INDEX(Вводные!$D$13:$F$64,MATCH($A9,Вводные!$A$13:$A$64,0),MATCH(O$3,Вводные!$D$11:$F$11,0))*(1+IF(O$4=$A9,Вводные!$D$5*INDEX(Вводные!$G$13:$G$64,MATCH($A9,Вводные!$A$13:$A$64,0)),0))</f>
        <v>500000</v>
      </c>
      <c r="P9" s="14" t="n">
        <f aca="false">INDEX(Вводные!$D$13:$F$64,MATCH($A9,Вводные!$A$13:$A$64,0),MATCH(P$3,Вводные!$D$11:$F$11,0))*(1+IF(P$4=$A9,Вводные!$D$5*INDEX(Вводные!$G$13:$G$64,MATCH($A9,Вводные!$A$13:$A$64,0)),0))</f>
        <v>500000</v>
      </c>
      <c r="Q9" s="14" t="n">
        <f aca="false">INDEX(Вводные!$D$13:$F$64,MATCH($A9,Вводные!$A$13:$A$64,0),MATCH(Q$3,Вводные!$D$11:$F$11,0))*(1+IF(Q$4=$A9,Вводные!$D$5*INDEX(Вводные!$G$13:$G$64,MATCH($A9,Вводные!$A$13:$A$64,0)),0))</f>
        <v>500000</v>
      </c>
      <c r="R9" s="14" t="n">
        <f aca="false">INDEX(Вводные!$D$13:$F$64,MATCH($A9,Вводные!$A$13:$A$64,0),MATCH(R$3,Вводные!$D$11:$F$11,0))*(1+IF(R$4=$A9,Вводные!$D$5*INDEX(Вводные!$G$13:$G$64,MATCH($A9,Вводные!$A$13:$A$64,0)),0))</f>
        <v>500000</v>
      </c>
      <c r="S9" s="14" t="n">
        <f aca="false">INDEX(Вводные!$D$13:$F$64,MATCH($A9,Вводные!$A$13:$A$64,0),MATCH(S$3,Вводные!$D$11:$F$11,0))*(1+IF(S$4=$A9,Вводные!$D$5*INDEX(Вводные!$G$13:$G$64,MATCH($A9,Вводные!$A$13:$A$64,0)),0))</f>
        <v>500000</v>
      </c>
      <c r="T9" s="14" t="n">
        <f aca="false">INDEX(Вводные!$D$13:$F$64,MATCH($A9,Вводные!$A$13:$A$64,0),MATCH(T$3,Вводные!$D$11:$F$11,0))*(1+IF(T$4=$A9,Вводные!$D$5*INDEX(Вводные!$G$13:$G$64,MATCH($A9,Вводные!$A$13:$A$64,0)),0))</f>
        <v>500000</v>
      </c>
      <c r="U9" s="14" t="n">
        <f aca="false">INDEX(Вводные!$D$13:$F$64,MATCH($A9,Вводные!$A$13:$A$64,0),MATCH(U$3,Вводные!$D$11:$F$11,0))*(1+IF(U$4=$A9,Вводные!$D$5*INDEX(Вводные!$G$13:$G$64,MATCH($A9,Вводные!$A$13:$A$64,0)),0))</f>
        <v>500000</v>
      </c>
      <c r="V9" s="14" t="n">
        <f aca="false">INDEX(Вводные!$D$13:$F$64,MATCH($A9,Вводные!$A$13:$A$64,0),MATCH(V$3,Вводные!$D$11:$F$11,0))*(1+IF(V$4=$A9,Вводные!$D$5*INDEX(Вводные!$G$13:$G$64,MATCH($A9,Вводные!$A$13:$A$64,0)),0))</f>
        <v>500000</v>
      </c>
      <c r="W9" s="14" t="n">
        <f aca="false">INDEX(Вводные!$D$13:$F$64,MATCH($A9,Вводные!$A$13:$A$64,0),MATCH(W$3,Вводные!$D$11:$F$11,0))*(1+IF(W$4=$A9,Вводные!$D$5*INDEX(Вводные!$G$13:$G$64,MATCH($A9,Вводные!$A$13:$A$64,0)),0))</f>
        <v>500000</v>
      </c>
      <c r="X9" s="14" t="n">
        <f aca="false">INDEX(Вводные!$D$13:$F$64,MATCH($A9,Вводные!$A$13:$A$64,0),MATCH(X$3,Вводные!$D$11:$F$11,0))*(1+IF(X$4=$A9,Вводные!$D$5*INDEX(Вводные!$G$13:$G$64,MATCH($A9,Вводные!$A$13:$A$64,0)),0))</f>
        <v>500000</v>
      </c>
      <c r="Y9" s="14" t="n">
        <f aca="false">INDEX(Вводные!$D$13:$F$64,MATCH($A9,Вводные!$A$13:$A$64,0),MATCH(Y$3,Вводные!$D$11:$F$11,0))*(1+IF(Y$4=$A9,Вводные!$D$5*INDEX(Вводные!$G$13:$G$64,MATCH($A9,Вводные!$A$13:$A$64,0)),0))</f>
        <v>500000</v>
      </c>
      <c r="Z9" s="14" t="n">
        <f aca="false">INDEX(Вводные!$D$13:$F$64,MATCH($A9,Вводные!$A$13:$A$64,0),MATCH(Z$3,Вводные!$D$11:$F$11,0))*(1+IF(Z$4=$A9,Вводные!$D$5*INDEX(Вводные!$G$13:$G$64,MATCH($A9,Вводные!$A$13:$A$64,0)),0))</f>
        <v>500000</v>
      </c>
      <c r="AA9" s="14" t="n">
        <f aca="false">INDEX(Вводные!$D$13:$F$64,MATCH($A9,Вводные!$A$13:$A$64,0),MATCH(AA$3,Вводные!$D$11:$F$11,0))*(1+IF(AA$4=$A9,Вводные!$D$5*INDEX(Вводные!$G$13:$G$64,MATCH($A9,Вводные!$A$13:$A$64,0)),0))</f>
        <v>500000</v>
      </c>
      <c r="AB9" s="14" t="n">
        <f aca="false">INDEX(Вводные!$D$13:$F$64,MATCH($A9,Вводные!$A$13:$A$64,0),MATCH(AB$3,Вводные!$D$11:$F$11,0))*(1+IF(AB$4=$A9,Вводные!$D$5*INDEX(Вводные!$G$13:$G$64,MATCH($A9,Вводные!$A$13:$A$64,0)),0))</f>
        <v>500000</v>
      </c>
      <c r="AC9" s="14" t="n">
        <f aca="false">INDEX(Вводные!$D$13:$F$64,MATCH($A9,Вводные!$A$13:$A$64,0),MATCH(AC$3,Вводные!$D$11:$F$11,0))*(1+IF(AC$4=$A9,Вводные!$D$5*INDEX(Вводные!$G$13:$G$64,MATCH($A9,Вводные!$A$13:$A$64,0)),0))</f>
        <v>500000</v>
      </c>
      <c r="AD9" s="14" t="n">
        <f aca="false">INDEX(Вводные!$D$13:$F$64,MATCH($A9,Вводные!$A$13:$A$64,0),MATCH(AD$3,Вводные!$D$11:$F$11,0))*(1+IF(AD$4=$A9,Вводные!$D$5*INDEX(Вводные!$G$13:$G$64,MATCH($A9,Вводные!$A$13:$A$64,0)),0))</f>
        <v>500000</v>
      </c>
      <c r="AE9" s="14" t="n">
        <f aca="false">INDEX(Вводные!$D$13:$F$64,MATCH($A9,Вводные!$A$13:$A$64,0),MATCH(AE$3,Вводные!$D$11:$F$11,0))*(1+IF(AE$4=$A9,Вводные!$D$5*INDEX(Вводные!$G$13:$G$64,MATCH($A9,Вводные!$A$13:$A$64,0)),0))</f>
        <v>500000</v>
      </c>
      <c r="AF9" s="14" t="n">
        <f aca="false">INDEX(Вводные!$D$13:$F$64,MATCH($A9,Вводные!$A$13:$A$64,0),MATCH(AF$3,Вводные!$D$11:$F$11,0))*(1+IF(AF$4=$A9,Вводные!$D$5*INDEX(Вводные!$G$13:$G$64,MATCH($A9,Вводные!$A$13:$A$64,0)),0))</f>
        <v>500000</v>
      </c>
      <c r="AG9" s="14" t="n">
        <f aca="false">INDEX(Вводные!$D$13:$F$64,MATCH($A9,Вводные!$A$13:$A$64,0),MATCH(AG$3,Вводные!$D$11:$F$11,0))*(1+IF(AG$4=$A9,Вводные!$D$5*INDEX(Вводные!$G$13:$G$64,MATCH($A9,Вводные!$A$13:$A$64,0)),0))</f>
        <v>500000</v>
      </c>
      <c r="AH9" s="14" t="n">
        <f aca="false">INDEX(Вводные!$D$13:$F$64,MATCH($A9,Вводные!$A$13:$A$64,0),MATCH(AH$3,Вводные!$D$11:$F$11,0))*(1+IF(AH$4=$A9,Вводные!$D$5*INDEX(Вводные!$G$13:$G$64,MATCH($A9,Вводные!$A$13:$A$64,0)),0))</f>
        <v>500000</v>
      </c>
      <c r="AI9" s="14" t="n">
        <f aca="false">INDEX(Вводные!$D$13:$F$64,MATCH($A9,Вводные!$A$13:$A$64,0),MATCH(AI$3,Вводные!$D$11:$F$11,0))*(1+IF(AI$4=$A9,Вводные!$D$5*INDEX(Вводные!$G$13:$G$64,MATCH($A9,Вводные!$A$13:$A$64,0)),0))</f>
        <v>500000</v>
      </c>
      <c r="AJ9" s="14" t="n">
        <f aca="false">INDEX(Вводные!$D$13:$F$64,MATCH($A9,Вводные!$A$13:$A$64,0),MATCH(AJ$3,Вводные!$D$11:$F$11,0))*(1+IF(AJ$4=$A9,Вводные!$D$5*INDEX(Вводные!$G$13:$G$64,MATCH($A9,Вводные!$A$13:$A$64,0)),0))</f>
        <v>500000</v>
      </c>
      <c r="AK9" s="14" t="n">
        <f aca="false">INDEX(Вводные!$D$13:$F$64,MATCH($A9,Вводные!$A$13:$A$64,0),MATCH(AK$3,Вводные!$D$11:$F$11,0))*(1+IF(AK$4=$A9,Вводные!$D$5*INDEX(Вводные!$G$13:$G$64,MATCH($A9,Вводные!$A$13:$A$64,0)),0))</f>
        <v>500000</v>
      </c>
      <c r="AL9" s="14" t="n">
        <f aca="false">INDEX(Вводные!$D$13:$F$64,MATCH($A9,Вводные!$A$13:$A$64,0),MATCH(AL$3,Вводные!$D$11:$F$11,0))*(1+IF(AL$4=$A9,Вводные!$D$5*INDEX(Вводные!$G$13:$G$64,MATCH($A9,Вводные!$A$13:$A$64,0)),0))</f>
        <v>500000</v>
      </c>
      <c r="AM9" s="14" t="n">
        <f aca="false">INDEX(Вводные!$D$13:$F$64,MATCH($A9,Вводные!$A$13:$A$64,0),MATCH(AM$3,Вводные!$D$11:$F$11,0))*(1+IF(AM$4=$A9,Вводные!$D$5*INDEX(Вводные!$G$13:$G$64,MATCH($A9,Вводные!$A$13:$A$64,0)),0))</f>
        <v>500000</v>
      </c>
      <c r="AN9" s="14" t="n">
        <f aca="false">INDEX(Вводные!$D$13:$F$64,MATCH($A9,Вводные!$A$13:$A$64,0),MATCH(AN$3,Вводные!$D$11:$F$11,0))*(1+IF(AN$4=$A9,Вводные!$D$5*INDEX(Вводные!$G$13:$G$64,MATCH($A9,Вводные!$A$13:$A$64,0)),0))</f>
        <v>500000</v>
      </c>
      <c r="AO9" s="14" t="n">
        <f aca="false">INDEX(Вводные!$D$13:$F$64,MATCH($A9,Вводные!$A$13:$A$64,0),MATCH(AO$3,Вводные!$D$11:$F$11,0))*(1+IF(AO$4=$A9,Вводные!$D$5*INDEX(Вводные!$G$13:$G$64,MATCH($A9,Вводные!$A$13:$A$64,0)),0))</f>
        <v>500000</v>
      </c>
      <c r="AP9" s="14" t="n">
        <f aca="false">INDEX(Вводные!$D$13:$F$64,MATCH($A9,Вводные!$A$13:$A$64,0),MATCH(AP$3,Вводные!$D$11:$F$11,0))*(1+IF(AP$4=$A9,Вводные!$D$5*INDEX(Вводные!$G$13:$G$64,MATCH($A9,Вводные!$A$13:$A$64,0)),0))</f>
        <v>500000</v>
      </c>
      <c r="AQ9" s="14" t="n">
        <f aca="false">INDEX(Вводные!$D$13:$F$64,MATCH($A9,Вводные!$A$13:$A$64,0),MATCH(AQ$3,Вводные!$D$11:$F$11,0))*(1+IF(AQ$4=$A9,Вводные!$D$5*INDEX(Вводные!$G$13:$G$64,MATCH($A9,Вводные!$A$13:$A$64,0)),0))</f>
        <v>500000</v>
      </c>
      <c r="AR9" s="14" t="n">
        <f aca="false">INDEX(Вводные!$D$13:$F$64,MATCH($A9,Вводные!$A$13:$A$64,0),MATCH(AR$3,Вводные!$D$11:$F$11,0))*(1+IF(AR$4=$A9,Вводные!$D$5*INDEX(Вводные!$G$13:$G$64,MATCH($A9,Вводные!$A$13:$A$64,0)),0))</f>
        <v>500000</v>
      </c>
      <c r="AS9" s="14" t="n">
        <f aca="false">INDEX(Вводные!$D$13:$F$64,MATCH($A9,Вводные!$A$13:$A$64,0),MATCH(AS$3,Вводные!$D$11:$F$11,0))*(1+IF(AS$4=$A9,Вводные!$D$5*INDEX(Вводные!$G$13:$G$64,MATCH($A9,Вводные!$A$13:$A$64,0)),0))</f>
        <v>500000</v>
      </c>
      <c r="AT9" s="14" t="n">
        <f aca="false">INDEX(Вводные!$D$13:$F$64,MATCH($A9,Вводные!$A$13:$A$64,0),MATCH(AT$3,Вводные!$D$11:$F$11,0))*(1+IF(AT$4=$A9,Вводные!$D$5*INDEX(Вводные!$G$13:$G$64,MATCH($A9,Вводные!$A$13:$A$64,0)),0))</f>
        <v>500000</v>
      </c>
      <c r="AU9" s="14" t="n">
        <f aca="false">INDEX(Вводные!$D$13:$F$64,MATCH($A9,Вводные!$A$13:$A$64,0),MATCH(AU$3,Вводные!$D$11:$F$11,0))*(1+IF(AU$4=$A9,Вводные!$D$5*INDEX(Вводные!$G$13:$G$64,MATCH($A9,Вводные!$A$13:$A$64,0)),0))</f>
        <v>500000</v>
      </c>
      <c r="AV9" s="14" t="n">
        <f aca="false">INDEX(Вводные!$D$13:$F$64,MATCH($A9,Вводные!$A$13:$A$64,0),MATCH(AV$3,Вводные!$D$11:$F$11,0))*(1+IF(AV$4=$A9,Вводные!$D$5*INDEX(Вводные!$G$13:$G$64,MATCH($A9,Вводные!$A$13:$A$64,0)),0))</f>
        <v>500000</v>
      </c>
      <c r="AW9" s="14" t="n">
        <f aca="false">INDEX(Вводные!$D$13:$F$64,MATCH($A9,Вводные!$A$13:$A$64,0),MATCH(AW$3,Вводные!$D$11:$F$11,0))*(1+IF(AW$4=$A9,Вводные!$D$5*INDEX(Вводные!$G$13:$G$64,MATCH($A9,Вводные!$A$13:$A$64,0)),0))</f>
        <v>500000</v>
      </c>
      <c r="AX9" s="14" t="n">
        <f aca="false">INDEX(Вводные!$D$13:$F$64,MATCH($A9,Вводные!$A$13:$A$64,0),MATCH(AX$3,Вводные!$D$11:$F$11,0))*(1+IF(AX$4=$A9,Вводные!$D$5*INDEX(Вводные!$G$13:$G$64,MATCH($A9,Вводные!$A$13:$A$64,0)),0))</f>
        <v>500000</v>
      </c>
      <c r="AY9" s="14" t="n">
        <f aca="false">INDEX(Вводные!$D$13:$F$64,MATCH($A9,Вводные!$A$13:$A$64,0),MATCH(AY$3,Вводные!$D$11:$F$11,0))*(1+IF(AY$4=$A9,Вводные!$D$5*INDEX(Вводные!$G$13:$G$64,MATCH($A9,Вводные!$A$13:$A$64,0)),0))</f>
        <v>500000</v>
      </c>
      <c r="AZ9" s="14" t="n">
        <f aca="false">INDEX(Вводные!$D$13:$F$64,MATCH($A9,Вводные!$A$13:$A$64,0),MATCH(AZ$3,Вводные!$D$11:$F$11,0))*(1+IF(AZ$4=$A9,Вводные!$D$5*INDEX(Вводные!$G$13:$G$64,MATCH($A9,Вводные!$A$13:$A$64,0)),0))</f>
        <v>15000</v>
      </c>
      <c r="BA9" s="14" t="n">
        <f aca="false">INDEX(Вводные!$D$13:$F$64,MATCH($A9,Вводные!$A$13:$A$64,0),MATCH(BA$3,Вводные!$D$11:$F$11,0))*(1+IF(BA$4=$A9,Вводные!$D$5*INDEX(Вводные!$G$13:$G$64,MATCH($A9,Вводные!$A$13:$A$64,0)),0))</f>
        <v>15000</v>
      </c>
      <c r="BB9" s="14" t="n">
        <f aca="false">INDEX(Вводные!$D$13:$F$64,MATCH($A9,Вводные!$A$13:$A$64,0),MATCH(BB$3,Вводные!$D$11:$F$11,0))*(1+IF(BB$4=$A9,Вводные!$D$5*INDEX(Вводные!$G$13:$G$64,MATCH($A9,Вводные!$A$13:$A$64,0)),0))</f>
        <v>15000</v>
      </c>
      <c r="BC9" s="14" t="n">
        <f aca="false">INDEX(Вводные!$D$13:$F$64,MATCH($A9,Вводные!$A$13:$A$64,0),MATCH(BC$3,Вводные!$D$11:$F$11,0))*(1+IF(BC$4=$A9,Вводные!$D$5*INDEX(Вводные!$G$13:$G$64,MATCH($A9,Вводные!$A$13:$A$64,0)),0))</f>
        <v>15000</v>
      </c>
      <c r="BD9" s="14" t="n">
        <f aca="false">INDEX(Вводные!$D$13:$F$64,MATCH($A9,Вводные!$A$13:$A$64,0),MATCH(BD$3,Вводные!$D$11:$F$11,0))*(1+IF(BD$4=$A9,Вводные!$D$5*INDEX(Вводные!$G$13:$G$64,MATCH($A9,Вводные!$A$13:$A$64,0)),0))</f>
        <v>15000</v>
      </c>
      <c r="BE9" s="14" t="n">
        <f aca="false">INDEX(Вводные!$D$13:$F$64,MATCH($A9,Вводные!$A$13:$A$64,0),MATCH(BE$3,Вводные!$D$11:$F$11,0))*(1+IF(BE$4=$A9,Вводные!$D$5*INDEX(Вводные!$G$13:$G$64,MATCH($A9,Вводные!$A$13:$A$64,0)),0))</f>
        <v>15000</v>
      </c>
      <c r="BF9" s="14" t="n">
        <f aca="false">INDEX(Вводные!$D$13:$F$64,MATCH($A9,Вводные!$A$13:$A$64,0),MATCH(BF$3,Вводные!$D$11:$F$11,0))*(1+IF(BF$4=$A9,Вводные!$D$5*INDEX(Вводные!$G$13:$G$64,MATCH($A9,Вводные!$A$13:$A$64,0)),0))</f>
        <v>15000</v>
      </c>
      <c r="BG9" s="14" t="n">
        <f aca="false">INDEX(Вводные!$D$13:$F$64,MATCH($A9,Вводные!$A$13:$A$64,0),MATCH(BG$3,Вводные!$D$11:$F$11,0))*(1+IF(BG$4=$A9,Вводные!$D$5*INDEX(Вводные!$G$13:$G$64,MATCH($A9,Вводные!$A$13:$A$64,0)),0))</f>
        <v>15000</v>
      </c>
      <c r="BH9" s="14" t="n">
        <f aca="false">INDEX(Вводные!$D$13:$F$64,MATCH($A9,Вводные!$A$13:$A$64,0),MATCH(BH$3,Вводные!$D$11:$F$11,0))*(1+IF(BH$4=$A9,Вводные!$D$5*INDEX(Вводные!$G$13:$G$64,MATCH($A9,Вводные!$A$13:$A$64,0)),0))</f>
        <v>15000</v>
      </c>
      <c r="BI9" s="14" t="n">
        <f aca="false">INDEX(Вводные!$D$13:$F$64,MATCH($A9,Вводные!$A$13:$A$64,0),MATCH(BI$3,Вводные!$D$11:$F$11,0))*(1+IF(BI$4=$A9,Вводные!$D$5*INDEX(Вводные!$G$13:$G$64,MATCH($A9,Вводные!$A$13:$A$64,0)),0))</f>
        <v>15000</v>
      </c>
      <c r="BJ9" s="14" t="n">
        <f aca="false">INDEX(Вводные!$D$13:$F$64,MATCH($A9,Вводные!$A$13:$A$64,0),MATCH(BJ$3,Вводные!$D$11:$F$11,0))*(1+IF(BJ$4=$A9,Вводные!$D$5*INDEX(Вводные!$G$13:$G$64,MATCH($A9,Вводные!$A$13:$A$64,0)),0))</f>
        <v>15000</v>
      </c>
      <c r="BK9" s="14" t="n">
        <f aca="false">INDEX(Вводные!$D$13:$F$64,MATCH($A9,Вводные!$A$13:$A$64,0),MATCH(BK$3,Вводные!$D$11:$F$11,0))*(1+IF(BK$4=$A9,Вводные!$D$5*INDEX(Вводные!$G$13:$G$64,MATCH($A9,Вводные!$A$13:$A$64,0)),0))</f>
        <v>15000</v>
      </c>
      <c r="BL9" s="14" t="n">
        <f aca="false">INDEX(Вводные!$D$13:$F$64,MATCH($A9,Вводные!$A$13:$A$64,0),MATCH(BL$3,Вводные!$D$11:$F$11,0))*(1+IF(BL$4=$A9,Вводные!$D$5*INDEX(Вводные!$G$13:$G$64,MATCH($A9,Вводные!$A$13:$A$64,0)),0))</f>
        <v>15000</v>
      </c>
      <c r="BM9" s="14" t="n">
        <f aca="false">INDEX(Вводные!$D$13:$F$64,MATCH($A9,Вводные!$A$13:$A$64,0),MATCH(BM$3,Вводные!$D$11:$F$11,0))*(1+IF(BM$4=$A9,Вводные!$D$5*INDEX(Вводные!$G$13:$G$64,MATCH($A9,Вводные!$A$13:$A$64,0)),0))</f>
        <v>15000</v>
      </c>
      <c r="BN9" s="14" t="n">
        <f aca="false">INDEX(Вводные!$D$13:$F$64,MATCH($A9,Вводные!$A$13:$A$64,0),MATCH(BN$3,Вводные!$D$11:$F$11,0))*(1+IF(BN$4=$A9,Вводные!$D$5*INDEX(Вводные!$G$13:$G$64,MATCH($A9,Вводные!$A$13:$A$64,0)),0))</f>
        <v>15000</v>
      </c>
      <c r="BO9" s="14" t="n">
        <f aca="false">INDEX(Вводные!$D$13:$F$64,MATCH($A9,Вводные!$A$13:$A$64,0),MATCH(BO$3,Вводные!$D$11:$F$11,0))*(1+IF(BO$4=$A9,Вводные!$D$5*INDEX(Вводные!$G$13:$G$64,MATCH($A9,Вводные!$A$13:$A$64,0)),0))</f>
        <v>15000</v>
      </c>
      <c r="BP9" s="14" t="n">
        <f aca="false">INDEX(Вводные!$D$13:$F$64,MATCH($A9,Вводные!$A$13:$A$64,0),MATCH(BP$3,Вводные!$D$11:$F$11,0))*(1+IF(BP$4=$A9,Вводные!$D$5*INDEX(Вводные!$G$13:$G$64,MATCH($A9,Вводные!$A$13:$A$64,0)),0))</f>
        <v>15000</v>
      </c>
      <c r="BQ9" s="14" t="n">
        <f aca="false">INDEX(Вводные!$D$13:$F$64,MATCH($A9,Вводные!$A$13:$A$64,0),MATCH(BQ$3,Вводные!$D$11:$F$11,0))*(1+IF(BQ$4=$A9,Вводные!$D$5*INDEX(Вводные!$G$13:$G$64,MATCH($A9,Вводные!$A$13:$A$64,0)),0))</f>
        <v>15000</v>
      </c>
      <c r="BR9" s="14" t="n">
        <f aca="false">INDEX(Вводные!$D$13:$F$64,MATCH($A9,Вводные!$A$13:$A$64,0),MATCH(BR$3,Вводные!$D$11:$F$11,0))*(1+IF(BR$4=$A9,Вводные!$D$5*INDEX(Вводные!$G$13:$G$64,MATCH($A9,Вводные!$A$13:$A$64,0)),0))</f>
        <v>15000</v>
      </c>
      <c r="BS9" s="14" t="n">
        <f aca="false">INDEX(Вводные!$D$13:$F$64,MATCH($A9,Вводные!$A$13:$A$64,0),MATCH(BS$3,Вводные!$D$11:$F$11,0))*(1+IF(BS$4=$A9,Вводные!$D$5*INDEX(Вводные!$G$13:$G$64,MATCH($A9,Вводные!$A$13:$A$64,0)),0))</f>
        <v>15000</v>
      </c>
      <c r="BT9" s="14" t="n">
        <f aca="false">INDEX(Вводные!$D$13:$F$64,MATCH($A9,Вводные!$A$13:$A$64,0),MATCH(BT$3,Вводные!$D$11:$F$11,0))*(1+IF(BT$4=$A9,Вводные!$D$5*INDEX(Вводные!$G$13:$G$64,MATCH($A9,Вводные!$A$13:$A$64,0)),0))</f>
        <v>15000</v>
      </c>
      <c r="BU9" s="14" t="n">
        <f aca="false">INDEX(Вводные!$D$13:$F$64,MATCH($A9,Вводные!$A$13:$A$64,0),MATCH(BU$3,Вводные!$D$11:$F$11,0))*(1+IF(BU$4=$A9,Вводные!$D$5*INDEX(Вводные!$G$13:$G$64,MATCH($A9,Вводные!$A$13:$A$64,0)),0))</f>
        <v>15000</v>
      </c>
      <c r="BV9" s="14" t="n">
        <f aca="false">INDEX(Вводные!$D$13:$F$64,MATCH($A9,Вводные!$A$13:$A$64,0),MATCH(BV$3,Вводные!$D$11:$F$11,0))*(1+IF(BV$4=$A9,Вводные!$D$5*INDEX(Вводные!$G$13:$G$64,MATCH($A9,Вводные!$A$13:$A$64,0)),0))</f>
        <v>15000</v>
      </c>
      <c r="BW9" s="14" t="n">
        <f aca="false">INDEX(Вводные!$D$13:$F$64,MATCH($A9,Вводные!$A$13:$A$64,0),MATCH(BW$3,Вводные!$D$11:$F$11,0))*(1+IF(BW$4=$A9,Вводные!$D$5*INDEX(Вводные!$G$13:$G$64,MATCH($A9,Вводные!$A$13:$A$64,0)),0))</f>
        <v>15000</v>
      </c>
      <c r="BX9" s="14" t="n">
        <f aca="false">INDEX(Вводные!$D$13:$F$64,MATCH($A9,Вводные!$A$13:$A$64,0),MATCH(BX$3,Вводные!$D$11:$F$11,0))*(1+IF(BX$4=$A9,Вводные!$D$5*INDEX(Вводные!$G$13:$G$64,MATCH($A9,Вводные!$A$13:$A$64,0)),0))</f>
        <v>15000</v>
      </c>
      <c r="BY9" s="14" t="n">
        <f aca="false">INDEX(Вводные!$D$13:$F$64,MATCH($A9,Вводные!$A$13:$A$64,0),MATCH(BY$3,Вводные!$D$11:$F$11,0))*(1+IF(BY$4=$A9,Вводные!$D$5*INDEX(Вводные!$G$13:$G$64,MATCH($A9,Вводные!$A$13:$A$64,0)),0))</f>
        <v>15000</v>
      </c>
      <c r="BZ9" s="14" t="n">
        <f aca="false">INDEX(Вводные!$D$13:$F$64,MATCH($A9,Вводные!$A$13:$A$64,0),MATCH(BZ$3,Вводные!$D$11:$F$11,0))*(1+IF(BZ$4=$A9,Вводные!$D$5*INDEX(Вводные!$G$13:$G$64,MATCH($A9,Вводные!$A$13:$A$64,0)),0))</f>
        <v>15000</v>
      </c>
      <c r="CA9" s="14" t="n">
        <f aca="false">INDEX(Вводные!$D$13:$F$64,MATCH($A9,Вводные!$A$13:$A$64,0),MATCH(CA$3,Вводные!$D$11:$F$11,0))*(1+IF(CA$4=$A9,Вводные!$D$5*INDEX(Вводные!$G$13:$G$64,MATCH($A9,Вводные!$A$13:$A$64,0)),0))</f>
        <v>15000</v>
      </c>
      <c r="CB9" s="14" t="n">
        <f aca="false">INDEX(Вводные!$D$13:$F$64,MATCH($A9,Вводные!$A$13:$A$64,0),MATCH(CB$3,Вводные!$D$11:$F$11,0))*(1+IF(CB$4=$A9,Вводные!$D$5*INDEX(Вводные!$G$13:$G$64,MATCH($A9,Вводные!$A$13:$A$64,0)),0))</f>
        <v>15000</v>
      </c>
      <c r="CC9" s="14" t="n">
        <f aca="false">INDEX(Вводные!$D$13:$F$64,MATCH($A9,Вводные!$A$13:$A$64,0),MATCH(CC$3,Вводные!$D$11:$F$11,0))*(1+IF(CC$4=$A9,Вводные!$D$5*INDEX(Вводные!$G$13:$G$64,MATCH($A9,Вводные!$A$13:$A$64,0)),0))</f>
        <v>15000</v>
      </c>
      <c r="CD9" s="14" t="n">
        <f aca="false">INDEX(Вводные!$D$13:$F$64,MATCH($A9,Вводные!$A$13:$A$64,0),MATCH(CD$3,Вводные!$D$11:$F$11,0))*(1+IF(CD$4=$A9,Вводные!$D$5*INDEX(Вводные!$G$13:$G$64,MATCH($A9,Вводные!$A$13:$A$64,0)),0))</f>
        <v>15000</v>
      </c>
      <c r="CE9" s="14" t="n">
        <f aca="false">INDEX(Вводные!$D$13:$F$64,MATCH($A9,Вводные!$A$13:$A$64,0),MATCH(CE$3,Вводные!$D$11:$F$11,0))*(1+IF(CE$4=$A9,Вводные!$D$5*INDEX(Вводные!$G$13:$G$64,MATCH($A9,Вводные!$A$13:$A$64,0)),0))</f>
        <v>15000</v>
      </c>
      <c r="CF9" s="14" t="n">
        <f aca="false">INDEX(Вводные!$D$13:$F$64,MATCH($A9,Вводные!$A$13:$A$64,0),MATCH(CF$3,Вводные!$D$11:$F$11,0))*(1+IF(CF$4=$A9,Вводные!$D$5*INDEX(Вводные!$G$13:$G$64,MATCH($A9,Вводные!$A$13:$A$64,0)),0))</f>
        <v>15000</v>
      </c>
      <c r="CG9" s="14" t="n">
        <f aca="false">INDEX(Вводные!$D$13:$F$64,MATCH($A9,Вводные!$A$13:$A$64,0),MATCH(CG$3,Вводные!$D$11:$F$11,0))*(1+IF(CG$4=$A9,Вводные!$D$5*INDEX(Вводные!$G$13:$G$64,MATCH($A9,Вводные!$A$13:$A$64,0)),0))</f>
        <v>15000</v>
      </c>
      <c r="CH9" s="14" t="n">
        <f aca="false">INDEX(Вводные!$D$13:$F$64,MATCH($A9,Вводные!$A$13:$A$64,0),MATCH(CH$3,Вводные!$D$11:$F$11,0))*(1+IF(CH$4=$A9,Вводные!$D$5*INDEX(Вводные!$G$13:$G$64,MATCH($A9,Вводные!$A$13:$A$64,0)),0))</f>
        <v>15000</v>
      </c>
      <c r="CI9" s="14" t="n">
        <f aca="false">INDEX(Вводные!$D$13:$F$64,MATCH($A9,Вводные!$A$13:$A$64,0),MATCH(CI$3,Вводные!$D$11:$F$11,0))*(1+IF(CI$4=$A9,Вводные!$D$5*INDEX(Вводные!$G$13:$G$64,MATCH($A9,Вводные!$A$13:$A$64,0)),0))</f>
        <v>15000</v>
      </c>
      <c r="CJ9" s="14" t="n">
        <f aca="false">INDEX(Вводные!$D$13:$F$64,MATCH($A9,Вводные!$A$13:$A$64,0),MATCH(CJ$3,Вводные!$D$11:$F$11,0))*(1+IF(CJ$4=$A9,Вводные!$D$5*INDEX(Вводные!$G$13:$G$64,MATCH($A9,Вводные!$A$13:$A$64,0)),0))</f>
        <v>15000</v>
      </c>
      <c r="CK9" s="14" t="n">
        <f aca="false">INDEX(Вводные!$D$13:$F$64,MATCH($A9,Вводные!$A$13:$A$64,0),MATCH(CK$3,Вводные!$D$11:$F$11,0))*(1+IF(CK$4=$A9,Вводные!$D$5*INDEX(Вводные!$G$13:$G$64,MATCH($A9,Вводные!$A$13:$A$64,0)),0))</f>
        <v>15000</v>
      </c>
      <c r="CL9" s="14" t="n">
        <f aca="false">INDEX(Вводные!$D$13:$F$64,MATCH($A9,Вводные!$A$13:$A$64,0),MATCH(CL$3,Вводные!$D$11:$F$11,0))*(1+IF(CL$4=$A9,Вводные!$D$5*INDEX(Вводные!$G$13:$G$64,MATCH($A9,Вводные!$A$13:$A$64,0)),0))</f>
        <v>15000</v>
      </c>
      <c r="CM9" s="14" t="n">
        <f aca="false">INDEX(Вводные!$D$13:$F$64,MATCH($A9,Вводные!$A$13:$A$64,0),MATCH(CM$3,Вводные!$D$11:$F$11,0))*(1+IF(CM$4=$A9,Вводные!$D$5*INDEX(Вводные!$G$13:$G$64,MATCH($A9,Вводные!$A$13:$A$64,0)),0))</f>
        <v>15000</v>
      </c>
      <c r="CN9" s="14" t="n">
        <f aca="false">INDEX(Вводные!$D$13:$F$64,MATCH($A9,Вводные!$A$13:$A$64,0),MATCH(CN$3,Вводные!$D$11:$F$11,0))*(1+IF(CN$4=$A9,Вводные!$D$5*INDEX(Вводные!$G$13:$G$64,MATCH($A9,Вводные!$A$13:$A$64,0)),0))</f>
        <v>15000</v>
      </c>
      <c r="CO9" s="14" t="n">
        <f aca="false">INDEX(Вводные!$D$13:$F$64,MATCH($A9,Вводные!$A$13:$A$64,0),MATCH(CO$3,Вводные!$D$11:$F$11,0))*(1+IF(CO$4=$A9,Вводные!$D$5*INDEX(Вводные!$G$13:$G$64,MATCH($A9,Вводные!$A$13:$A$64,0)),0))</f>
        <v>15000</v>
      </c>
      <c r="CP9" s="14" t="n">
        <f aca="false">INDEX(Вводные!$D$13:$F$64,MATCH($A9,Вводные!$A$13:$A$64,0),MATCH(CP$3,Вводные!$D$11:$F$11,0))*(1+IF(CP$4=$A9,Вводные!$D$5*INDEX(Вводные!$G$13:$G$64,MATCH($A9,Вводные!$A$13:$A$64,0)),0))</f>
        <v>400</v>
      </c>
      <c r="CQ9" s="14" t="n">
        <f aca="false">INDEX(Вводные!$D$13:$F$64,MATCH($A9,Вводные!$A$13:$A$64,0),MATCH(CQ$3,Вводные!$D$11:$F$11,0))*(1+IF(CQ$4=$A9,Вводные!$D$5*INDEX(Вводные!$G$13:$G$64,MATCH($A9,Вводные!$A$13:$A$64,0)),0))</f>
        <v>400</v>
      </c>
      <c r="CR9" s="14" t="n">
        <f aca="false">INDEX(Вводные!$D$13:$F$64,MATCH($A9,Вводные!$A$13:$A$64,0),MATCH(CR$3,Вводные!$D$11:$F$11,0))*(1+IF(CR$4=$A9,Вводные!$D$5*INDEX(Вводные!$G$13:$G$64,MATCH($A9,Вводные!$A$13:$A$64,0)),0))</f>
        <v>400</v>
      </c>
      <c r="CS9" s="14" t="n">
        <f aca="false">INDEX(Вводные!$D$13:$F$64,MATCH($A9,Вводные!$A$13:$A$64,0),MATCH(CS$3,Вводные!$D$11:$F$11,0))*(1+IF(CS$4=$A9,Вводные!$D$5*INDEX(Вводные!$G$13:$G$64,MATCH($A9,Вводные!$A$13:$A$64,0)),0))</f>
        <v>400</v>
      </c>
      <c r="CT9" s="14" t="n">
        <f aca="false">INDEX(Вводные!$D$13:$F$64,MATCH($A9,Вводные!$A$13:$A$64,0),MATCH(CT$3,Вводные!$D$11:$F$11,0))*(1+IF(CT$4=$A9,Вводные!$D$5*INDEX(Вводные!$G$13:$G$64,MATCH($A9,Вводные!$A$13:$A$64,0)),0))</f>
        <v>400</v>
      </c>
      <c r="CU9" s="14" t="n">
        <f aca="false">INDEX(Вводные!$D$13:$F$64,MATCH($A9,Вводные!$A$13:$A$64,0),MATCH(CU$3,Вводные!$D$11:$F$11,0))*(1+IF(CU$4=$A9,Вводные!$D$5*INDEX(Вводные!$G$13:$G$64,MATCH($A9,Вводные!$A$13:$A$64,0)),0))</f>
        <v>400</v>
      </c>
      <c r="CV9" s="14" t="n">
        <f aca="false">INDEX(Вводные!$D$13:$F$64,MATCH($A9,Вводные!$A$13:$A$64,0),MATCH(CV$3,Вводные!$D$11:$F$11,0))*(1+IF(CV$4=$A9,Вводные!$D$5*INDEX(Вводные!$G$13:$G$64,MATCH($A9,Вводные!$A$13:$A$64,0)),0))</f>
        <v>400</v>
      </c>
      <c r="CW9" s="14" t="n">
        <f aca="false">INDEX(Вводные!$D$13:$F$64,MATCH($A9,Вводные!$A$13:$A$64,0),MATCH(CW$3,Вводные!$D$11:$F$11,0))*(1+IF(CW$4=$A9,Вводные!$D$5*INDEX(Вводные!$G$13:$G$64,MATCH($A9,Вводные!$A$13:$A$64,0)),0))</f>
        <v>400</v>
      </c>
      <c r="CX9" s="14" t="n">
        <f aca="false">INDEX(Вводные!$D$13:$F$64,MATCH($A9,Вводные!$A$13:$A$64,0),MATCH(CX$3,Вводные!$D$11:$F$11,0))*(1+IF(CX$4=$A9,Вводные!$D$5*INDEX(Вводные!$G$13:$G$64,MATCH($A9,Вводные!$A$13:$A$64,0)),0))</f>
        <v>400</v>
      </c>
      <c r="CY9" s="14" t="n">
        <f aca="false">INDEX(Вводные!$D$13:$F$64,MATCH($A9,Вводные!$A$13:$A$64,0),MATCH(CY$3,Вводные!$D$11:$F$11,0))*(1+IF(CY$4=$A9,Вводные!$D$5*INDEX(Вводные!$G$13:$G$64,MATCH($A9,Вводные!$A$13:$A$64,0)),0))</f>
        <v>400</v>
      </c>
      <c r="CZ9" s="14" t="n">
        <f aca="false">INDEX(Вводные!$D$13:$F$64,MATCH($A9,Вводные!$A$13:$A$64,0),MATCH(CZ$3,Вводные!$D$11:$F$11,0))*(1+IF(CZ$4=$A9,Вводные!$D$5*INDEX(Вводные!$G$13:$G$64,MATCH($A9,Вводные!$A$13:$A$64,0)),0))</f>
        <v>400</v>
      </c>
      <c r="DA9" s="14" t="n">
        <f aca="false">INDEX(Вводные!$D$13:$F$64,MATCH($A9,Вводные!$A$13:$A$64,0),MATCH(DA$3,Вводные!$D$11:$F$11,0))*(1+IF(DA$4=$A9,Вводные!$D$5*INDEX(Вводные!$G$13:$G$64,MATCH($A9,Вводные!$A$13:$A$64,0)),0))</f>
        <v>400</v>
      </c>
      <c r="DB9" s="14" t="n">
        <f aca="false">INDEX(Вводные!$D$13:$F$64,MATCH($A9,Вводные!$A$13:$A$64,0),MATCH(DB$3,Вводные!$D$11:$F$11,0))*(1+IF(DB$4=$A9,Вводные!$D$5*INDEX(Вводные!$G$13:$G$64,MATCH($A9,Вводные!$A$13:$A$64,0)),0))</f>
        <v>400</v>
      </c>
      <c r="DC9" s="14" t="n">
        <f aca="false">INDEX(Вводные!$D$13:$F$64,MATCH($A9,Вводные!$A$13:$A$64,0),MATCH(DC$3,Вводные!$D$11:$F$11,0))*(1+IF(DC$4=$A9,Вводные!$D$5*INDEX(Вводные!$G$13:$G$64,MATCH($A9,Вводные!$A$13:$A$64,0)),0))</f>
        <v>400</v>
      </c>
      <c r="DD9" s="14" t="n">
        <f aca="false">INDEX(Вводные!$D$13:$F$64,MATCH($A9,Вводные!$A$13:$A$64,0),MATCH(DD$3,Вводные!$D$11:$F$11,0))*(1+IF(DD$4=$A9,Вводные!$D$5*INDEX(Вводные!$G$13:$G$64,MATCH($A9,Вводные!$A$13:$A$64,0)),0))</f>
        <v>400</v>
      </c>
      <c r="DE9" s="14" t="n">
        <f aca="false">INDEX(Вводные!$D$13:$F$64,MATCH($A9,Вводные!$A$13:$A$64,0),MATCH(DE$3,Вводные!$D$11:$F$11,0))*(1+IF(DE$4=$A9,Вводные!$D$5*INDEX(Вводные!$G$13:$G$64,MATCH($A9,Вводные!$A$13:$A$64,0)),0))</f>
        <v>400</v>
      </c>
      <c r="DF9" s="14" t="n">
        <f aca="false">INDEX(Вводные!$D$13:$F$64,MATCH($A9,Вводные!$A$13:$A$64,0),MATCH(DF$3,Вводные!$D$11:$F$11,0))*(1+IF(DF$4=$A9,Вводные!$D$5*INDEX(Вводные!$G$13:$G$64,MATCH($A9,Вводные!$A$13:$A$64,0)),0))</f>
        <v>400</v>
      </c>
      <c r="DG9" s="14" t="n">
        <f aca="false">INDEX(Вводные!$D$13:$F$64,MATCH($A9,Вводные!$A$13:$A$64,0),MATCH(DG$3,Вводные!$D$11:$F$11,0))*(1+IF(DG$4=$A9,Вводные!$D$5*INDEX(Вводные!$G$13:$G$64,MATCH($A9,Вводные!$A$13:$A$64,0)),0))</f>
        <v>400</v>
      </c>
      <c r="DH9" s="14" t="n">
        <f aca="false">INDEX(Вводные!$D$13:$F$64,MATCH($A9,Вводные!$A$13:$A$64,0),MATCH(DH$3,Вводные!$D$11:$F$11,0))*(1+IF(DH$4=$A9,Вводные!$D$5*INDEX(Вводные!$G$13:$G$64,MATCH($A9,Вводные!$A$13:$A$64,0)),0))</f>
        <v>400</v>
      </c>
      <c r="DI9" s="14" t="n">
        <f aca="false">INDEX(Вводные!$D$13:$F$64,MATCH($A9,Вводные!$A$13:$A$64,0),MATCH(DI$3,Вводные!$D$11:$F$11,0))*(1+IF(DI$4=$A9,Вводные!$D$5*INDEX(Вводные!$G$13:$G$64,MATCH($A9,Вводные!$A$13:$A$64,0)),0))</f>
        <v>400</v>
      </c>
      <c r="DJ9" s="14" t="n">
        <f aca="false">INDEX(Вводные!$D$13:$F$64,MATCH($A9,Вводные!$A$13:$A$64,0),MATCH(DJ$3,Вводные!$D$11:$F$11,0))*(1+IF(DJ$4=$A9,Вводные!$D$5*INDEX(Вводные!$G$13:$G$64,MATCH($A9,Вводные!$A$13:$A$64,0)),0))</f>
        <v>400</v>
      </c>
      <c r="DK9" s="14" t="n">
        <f aca="false">INDEX(Вводные!$D$13:$F$64,MATCH($A9,Вводные!$A$13:$A$64,0),MATCH(DK$3,Вводные!$D$11:$F$11,0))*(1+IF(DK$4=$A9,Вводные!$D$5*INDEX(Вводные!$G$13:$G$64,MATCH($A9,Вводные!$A$13:$A$64,0)),0))</f>
        <v>400</v>
      </c>
      <c r="DL9" s="14" t="n">
        <f aca="false">INDEX(Вводные!$D$13:$F$64,MATCH($A9,Вводные!$A$13:$A$64,0),MATCH(DL$3,Вводные!$D$11:$F$11,0))*(1+IF(DL$4=$A9,Вводные!$D$5*INDEX(Вводные!$G$13:$G$64,MATCH($A9,Вводные!$A$13:$A$64,0)),0))</f>
        <v>400</v>
      </c>
      <c r="DM9" s="14" t="n">
        <f aca="false">INDEX(Вводные!$D$13:$F$64,MATCH($A9,Вводные!$A$13:$A$64,0),MATCH(DM$3,Вводные!$D$11:$F$11,0))*(1+IF(DM$4=$A9,Вводные!$D$5*INDEX(Вводные!$G$13:$G$64,MATCH($A9,Вводные!$A$13:$A$64,0)),0))</f>
        <v>400</v>
      </c>
      <c r="DN9" s="14" t="n">
        <f aca="false">INDEX(Вводные!$D$13:$F$64,MATCH($A9,Вводные!$A$13:$A$64,0),MATCH(DN$3,Вводные!$D$11:$F$11,0))*(1+IF(DN$4=$A9,Вводные!$D$5*INDEX(Вводные!$G$13:$G$64,MATCH($A9,Вводные!$A$13:$A$64,0)),0))</f>
        <v>400</v>
      </c>
      <c r="DO9" s="14" t="n">
        <f aca="false">INDEX(Вводные!$D$13:$F$64,MATCH($A9,Вводные!$A$13:$A$64,0),MATCH(DO$3,Вводные!$D$11:$F$11,0))*(1+IF(DO$4=$A9,Вводные!$D$5*INDEX(Вводные!$G$13:$G$64,MATCH($A9,Вводные!$A$13:$A$64,0)),0))</f>
        <v>400</v>
      </c>
      <c r="DP9" s="14" t="n">
        <f aca="false">INDEX(Вводные!$D$13:$F$64,MATCH($A9,Вводные!$A$13:$A$64,0),MATCH(DP$3,Вводные!$D$11:$F$11,0))*(1+IF(DP$4=$A9,Вводные!$D$5*INDEX(Вводные!$G$13:$G$64,MATCH($A9,Вводные!$A$13:$A$64,0)),0))</f>
        <v>400</v>
      </c>
      <c r="DQ9" s="14" t="n">
        <f aca="false">INDEX(Вводные!$D$13:$F$64,MATCH($A9,Вводные!$A$13:$A$64,0),MATCH(DQ$3,Вводные!$D$11:$F$11,0))*(1+IF(DQ$4=$A9,Вводные!$D$5*INDEX(Вводные!$G$13:$G$64,MATCH($A9,Вводные!$A$13:$A$64,0)),0))</f>
        <v>400</v>
      </c>
      <c r="DR9" s="14" t="n">
        <f aca="false">INDEX(Вводные!$D$13:$F$64,MATCH($A9,Вводные!$A$13:$A$64,0),MATCH(DR$3,Вводные!$D$11:$F$11,0))*(1+IF(DR$4=$A9,Вводные!$D$5*INDEX(Вводные!$G$13:$G$64,MATCH($A9,Вводные!$A$13:$A$64,0)),0))</f>
        <v>400</v>
      </c>
      <c r="DS9" s="14" t="n">
        <f aca="false">INDEX(Вводные!$D$13:$F$64,MATCH($A9,Вводные!$A$13:$A$64,0),MATCH(DS$3,Вводные!$D$11:$F$11,0))*(1+IF(DS$4=$A9,Вводные!$D$5*INDEX(Вводные!$G$13:$G$64,MATCH($A9,Вводные!$A$13:$A$64,0)),0))</f>
        <v>400</v>
      </c>
      <c r="DT9" s="14" t="n">
        <f aca="false">INDEX(Вводные!$D$13:$F$64,MATCH($A9,Вводные!$A$13:$A$64,0),MATCH(DT$3,Вводные!$D$11:$F$11,0))*(1+IF(DT$4=$A9,Вводные!$D$5*INDEX(Вводные!$G$13:$G$64,MATCH($A9,Вводные!$A$13:$A$64,0)),0))</f>
        <v>400</v>
      </c>
      <c r="DU9" s="14" t="n">
        <f aca="false">INDEX(Вводные!$D$13:$F$64,MATCH($A9,Вводные!$A$13:$A$64,0),MATCH(DU$3,Вводные!$D$11:$F$11,0))*(1+IF(DU$4=$A9,Вводные!$D$5*INDEX(Вводные!$G$13:$G$64,MATCH($A9,Вводные!$A$13:$A$64,0)),0))</f>
        <v>400</v>
      </c>
      <c r="DV9" s="14" t="n">
        <f aca="false">INDEX(Вводные!$D$13:$F$64,MATCH($A9,Вводные!$A$13:$A$64,0),MATCH(DV$3,Вводные!$D$11:$F$11,0))*(1+IF(DV$4=$A9,Вводные!$D$5*INDEX(Вводные!$G$13:$G$64,MATCH($A9,Вводные!$A$13:$A$64,0)),0))</f>
        <v>400</v>
      </c>
      <c r="DW9" s="14" t="n">
        <f aca="false">INDEX(Вводные!$D$13:$F$64,MATCH($A9,Вводные!$A$13:$A$64,0),MATCH(DW$3,Вводные!$D$11:$F$11,0))*(1+IF(DW$4=$A9,Вводные!$D$5*INDEX(Вводные!$G$13:$G$64,MATCH($A9,Вводные!$A$13:$A$64,0)),0))</f>
        <v>400</v>
      </c>
      <c r="DX9" s="14" t="n">
        <f aca="false">INDEX(Вводные!$D$13:$F$64,MATCH($A9,Вводные!$A$13:$A$64,0),MATCH(DX$3,Вводные!$D$11:$F$11,0))*(1+IF(DX$4=$A9,Вводные!$D$5*INDEX(Вводные!$G$13:$G$64,MATCH($A9,Вводные!$A$13:$A$64,0)),0))</f>
        <v>400</v>
      </c>
      <c r="DY9" s="14" t="n">
        <f aca="false">INDEX(Вводные!$D$13:$F$64,MATCH($A9,Вводные!$A$13:$A$64,0),MATCH(DY$3,Вводные!$D$11:$F$11,0))*(1+IF(DY$4=$A9,Вводные!$D$5*INDEX(Вводные!$G$13:$G$64,MATCH($A9,Вводные!$A$13:$A$64,0)),0))</f>
        <v>400</v>
      </c>
      <c r="DZ9" s="14" t="n">
        <f aca="false">INDEX(Вводные!$D$13:$F$64,MATCH($A9,Вводные!$A$13:$A$64,0),MATCH(DZ$3,Вводные!$D$11:$F$11,0))*(1+IF(DZ$4=$A9,Вводные!$D$5*INDEX(Вводные!$G$13:$G$64,MATCH($A9,Вводные!$A$13:$A$64,0)),0))</f>
        <v>400</v>
      </c>
      <c r="EA9" s="14" t="n">
        <f aca="false">INDEX(Вводные!$D$13:$F$64,MATCH($A9,Вводные!$A$13:$A$64,0),MATCH(EA$3,Вводные!$D$11:$F$11,0))*(1+IF(EA$4=$A9,Вводные!$D$5*INDEX(Вводные!$G$13:$G$64,MATCH($A9,Вводные!$A$13:$A$64,0)),0))</f>
        <v>400</v>
      </c>
      <c r="EB9" s="14" t="n">
        <f aca="false">INDEX(Вводные!$D$13:$F$64,MATCH($A9,Вводные!$A$13:$A$64,0),MATCH(EB$3,Вводные!$D$11:$F$11,0))*(1+IF(EB$4=$A9,Вводные!$D$5*INDEX(Вводные!$G$13:$G$64,MATCH($A9,Вводные!$A$13:$A$64,0)),0))</f>
        <v>400</v>
      </c>
      <c r="EC9" s="14" t="n">
        <f aca="false">INDEX(Вводные!$D$13:$F$64,MATCH($A9,Вводные!$A$13:$A$64,0),MATCH(EC$3,Вводные!$D$11:$F$11,0))*(1+IF(EC$4=$A9,Вводные!$D$5*INDEX(Вводные!$G$13:$G$64,MATCH($A9,Вводные!$A$13:$A$64,0)),0))</f>
        <v>400</v>
      </c>
      <c r="ED9" s="14" t="n">
        <f aca="false">INDEX(Вводные!$D$13:$F$64,MATCH($A9,Вводные!$A$13:$A$64,0),MATCH(ED$3,Вводные!$D$11:$F$11,0))*(1+IF(ED$4=$A9,Вводные!$D$5*INDEX(Вводные!$G$13:$G$64,MATCH($A9,Вводные!$A$13:$A$64,0)),0))</f>
        <v>400</v>
      </c>
      <c r="EE9" s="14" t="n">
        <f aca="false">INDEX(Вводные!$D$13:$F$64,MATCH($A9,Вводные!$A$13:$A$64,0),MATCH(EE$3,Вводные!$D$11:$F$11,0))*(1+IF(EE$4=$A9,Вводные!$D$5*INDEX(Вводные!$G$13:$G$64,MATCH($A9,Вводные!$A$13:$A$64,0)),0))</f>
        <v>400</v>
      </c>
      <c r="EF9" s="14" t="n">
        <f aca="false">INDEX(Вводные!$D$13:$F$64,MATCH($A9,Вводные!$A$13:$A$64,0),MATCH(EF$3,Вводные!$D$11:$F$11,0))*(1+IF(EF$4=$A9,Вводные!$D$5*INDEX(Вводные!$G$13:$G$64,MATCH($A9,Вводные!$A$13:$A$64,0)),0))</f>
        <v>500000</v>
      </c>
      <c r="EG9" s="14" t="n">
        <f aca="false">INDEX(Вводные!$D$13:$F$64,MATCH($A9,Вводные!$A$13:$A$64,0),MATCH(EG$3,Вводные!$D$11:$F$11,0))*(1+IF(EG$4=$A9,Вводные!$D$5*INDEX(Вводные!$G$13:$G$64,MATCH($A9,Вводные!$A$13:$A$64,0)),0))</f>
        <v>500000</v>
      </c>
      <c r="EH9" s="14" t="n">
        <f aca="false">INDEX(Вводные!$D$13:$F$64,MATCH($A9,Вводные!$A$13:$A$64,0),MATCH(EH$3,Вводные!$D$11:$F$11,0))*(1+IF(EH$4=$A9,Вводные!$D$5*INDEX(Вводные!$G$13:$G$64,MATCH($A9,Вводные!$A$13:$A$64,0)),0))</f>
        <v>500000</v>
      </c>
      <c r="EI9" s="14" t="n">
        <f aca="false">INDEX(Вводные!$D$13:$F$64,MATCH($A9,Вводные!$A$13:$A$64,0),MATCH(EI$3,Вводные!$D$11:$F$11,0))*(1+IF(EI$4=$A9,Вводные!$D$5*INDEX(Вводные!$G$13:$G$64,MATCH($A9,Вводные!$A$13:$A$64,0)),0))</f>
        <v>500000</v>
      </c>
      <c r="EJ9" s="14" t="n">
        <f aca="false">INDEX(Вводные!$D$13:$F$64,MATCH($A9,Вводные!$A$13:$A$64,0),MATCH(EJ$3,Вводные!$D$11:$F$11,0))*(1+IF(EJ$4=$A9,Вводные!$D$5*INDEX(Вводные!$G$13:$G$64,MATCH($A9,Вводные!$A$13:$A$64,0)),0))</f>
        <v>500000</v>
      </c>
      <c r="EK9" s="14" t="n">
        <f aca="false">INDEX(Вводные!$D$13:$F$64,MATCH($A9,Вводные!$A$13:$A$64,0),MATCH(EK$3,Вводные!$D$11:$F$11,0))*(1+IF(EK$4=$A9,Вводные!$D$5*INDEX(Вводные!$G$13:$G$64,MATCH($A9,Вводные!$A$13:$A$64,0)),0))</f>
        <v>500000</v>
      </c>
      <c r="EL9" s="14" t="n">
        <f aca="false">INDEX(Вводные!$D$13:$F$64,MATCH($A9,Вводные!$A$13:$A$64,0),MATCH(EL$3,Вводные!$D$11:$F$11,0))*(1+IF(EL$4=$A9,Вводные!$D$5*INDEX(Вводные!$G$13:$G$64,MATCH($A9,Вводные!$A$13:$A$64,0)),0))</f>
        <v>500000</v>
      </c>
      <c r="EM9" s="14" t="n">
        <f aca="false">INDEX(Вводные!$D$13:$F$64,MATCH($A9,Вводные!$A$13:$A$64,0),MATCH(EM$3,Вводные!$D$11:$F$11,0))*(1+IF(EM$4=$A9,Вводные!$D$5*INDEX(Вводные!$G$13:$G$64,MATCH($A9,Вводные!$A$13:$A$64,0)),0))</f>
        <v>500000</v>
      </c>
      <c r="EN9" s="14" t="n">
        <f aca="false">INDEX(Вводные!$D$13:$F$64,MATCH($A9,Вводные!$A$13:$A$64,0),MATCH(EN$3,Вводные!$D$11:$F$11,0))*(1+IF(EN$4=$A9,Вводные!$D$5*INDEX(Вводные!$G$13:$G$64,MATCH($A9,Вводные!$A$13:$A$64,0)),0))</f>
        <v>500000</v>
      </c>
      <c r="EO9" s="14" t="n">
        <f aca="false">INDEX(Вводные!$D$13:$F$64,MATCH($A9,Вводные!$A$13:$A$64,0),MATCH(EO$3,Вводные!$D$11:$F$11,0))*(1+IF(EO$4=$A9,Вводные!$D$5*INDEX(Вводные!$G$13:$G$64,MATCH($A9,Вводные!$A$13:$A$64,0)),0))</f>
        <v>500000</v>
      </c>
      <c r="EP9" s="14" t="n">
        <f aca="false">INDEX(Вводные!$D$13:$F$64,MATCH($A9,Вводные!$A$13:$A$64,0),MATCH(EP$3,Вводные!$D$11:$F$11,0))*(1+IF(EP$4=$A9,Вводные!$D$5*INDEX(Вводные!$G$13:$G$64,MATCH($A9,Вводные!$A$13:$A$64,0)),0))</f>
        <v>500000</v>
      </c>
      <c r="EQ9" s="14" t="n">
        <f aca="false">INDEX(Вводные!$D$13:$F$64,MATCH($A9,Вводные!$A$13:$A$64,0),MATCH(EQ$3,Вводные!$D$11:$F$11,0))*(1+IF(EQ$4=$A9,Вводные!$D$5*INDEX(Вводные!$G$13:$G$64,MATCH($A9,Вводные!$A$13:$A$64,0)),0))</f>
        <v>500000</v>
      </c>
      <c r="ER9" s="14" t="n">
        <f aca="false">INDEX(Вводные!$D$13:$F$64,MATCH($A9,Вводные!$A$13:$A$64,0),MATCH(ER$3,Вводные!$D$11:$F$11,0))*(1+IF(ER$4=$A9,Вводные!$D$5*INDEX(Вводные!$G$13:$G$64,MATCH($A9,Вводные!$A$13:$A$64,0)),0))</f>
        <v>500000</v>
      </c>
      <c r="ES9" s="14" t="n">
        <f aca="false">INDEX(Вводные!$D$13:$F$64,MATCH($A9,Вводные!$A$13:$A$64,0),MATCH(ES$3,Вводные!$D$11:$F$11,0))*(1+IF(ES$4=$A9,Вводные!$D$5*INDEX(Вводные!$G$13:$G$64,MATCH($A9,Вводные!$A$13:$A$64,0)),0))</f>
        <v>500000</v>
      </c>
      <c r="ET9" s="14" t="n">
        <f aca="false">INDEX(Вводные!$D$13:$F$64,MATCH($A9,Вводные!$A$13:$A$64,0),MATCH(ET$3,Вводные!$D$11:$F$11,0))*(1+IF(ET$4=$A9,Вводные!$D$5*INDEX(Вводные!$G$13:$G$64,MATCH($A9,Вводные!$A$13:$A$64,0)),0))</f>
        <v>500000</v>
      </c>
      <c r="EU9" s="14" t="n">
        <f aca="false">INDEX(Вводные!$D$13:$F$64,MATCH($A9,Вводные!$A$13:$A$64,0),MATCH(EU$3,Вводные!$D$11:$F$11,0))*(1+IF(EU$4=$A9,Вводные!$D$5*INDEX(Вводные!$G$13:$G$64,MATCH($A9,Вводные!$A$13:$A$64,0)),0))</f>
        <v>500000</v>
      </c>
      <c r="EV9" s="14" t="n">
        <f aca="false">INDEX(Вводные!$D$13:$F$64,MATCH($A9,Вводные!$A$13:$A$64,0),MATCH(EV$3,Вводные!$D$11:$F$11,0))*(1+IF(EV$4=$A9,Вводные!$D$5*INDEX(Вводные!$G$13:$G$64,MATCH($A9,Вводные!$A$13:$A$64,0)),0))</f>
        <v>500000</v>
      </c>
      <c r="EW9" s="14" t="n">
        <f aca="false">INDEX(Вводные!$D$13:$F$64,MATCH($A9,Вводные!$A$13:$A$64,0),MATCH(EW$3,Вводные!$D$11:$F$11,0))*(1+IF(EW$4=$A9,Вводные!$D$5*INDEX(Вводные!$G$13:$G$64,MATCH($A9,Вводные!$A$13:$A$64,0)),0))</f>
        <v>500000</v>
      </c>
      <c r="EX9" s="14" t="n">
        <f aca="false">INDEX(Вводные!$D$13:$F$64,MATCH($A9,Вводные!$A$13:$A$64,0),MATCH(EX$3,Вводные!$D$11:$F$11,0))*(1+IF(EX$4=$A9,Вводные!$D$5*INDEX(Вводные!$G$13:$G$64,MATCH($A9,Вводные!$A$13:$A$64,0)),0))</f>
        <v>500000</v>
      </c>
      <c r="EY9" s="14" t="n">
        <f aca="false">INDEX(Вводные!$D$13:$F$64,MATCH($A9,Вводные!$A$13:$A$64,0),MATCH(EY$3,Вводные!$D$11:$F$11,0))*(1+IF(EY$4=$A9,Вводные!$D$5*INDEX(Вводные!$G$13:$G$64,MATCH($A9,Вводные!$A$13:$A$64,0)),0))</f>
        <v>500000</v>
      </c>
      <c r="EZ9" s="14" t="n">
        <f aca="false">INDEX(Вводные!$D$13:$F$64,MATCH($A9,Вводные!$A$13:$A$64,0),MATCH(EZ$3,Вводные!$D$11:$F$11,0))*(1+IF(EZ$4=$A9,Вводные!$D$5*INDEX(Вводные!$G$13:$G$64,MATCH($A9,Вводные!$A$13:$A$64,0)),0))</f>
        <v>500000</v>
      </c>
      <c r="FA9" s="14" t="n">
        <f aca="false">INDEX(Вводные!$D$13:$F$64,MATCH($A9,Вводные!$A$13:$A$64,0),MATCH(FA$3,Вводные!$D$11:$F$11,0))*(1+IF(FA$4=$A9,Вводные!$D$5*INDEX(Вводные!$G$13:$G$64,MATCH($A9,Вводные!$A$13:$A$64,0)),0))</f>
        <v>500000</v>
      </c>
      <c r="FB9" s="14" t="n">
        <f aca="false">INDEX(Вводные!$D$13:$F$64,MATCH($A9,Вводные!$A$13:$A$64,0),MATCH(FB$3,Вводные!$D$11:$F$11,0))*(1+IF(FB$4=$A9,Вводные!$D$5*INDEX(Вводные!$G$13:$G$64,MATCH($A9,Вводные!$A$13:$A$64,0)),0))</f>
        <v>500000</v>
      </c>
      <c r="FC9" s="14" t="n">
        <f aca="false">INDEX(Вводные!$D$13:$F$64,MATCH($A9,Вводные!$A$13:$A$64,0),MATCH(FC$3,Вводные!$D$11:$F$11,0))*(1+IF(FC$4=$A9,Вводные!$D$5*INDEX(Вводные!$G$13:$G$64,MATCH($A9,Вводные!$A$13:$A$64,0)),0))</f>
        <v>500000</v>
      </c>
      <c r="FD9" s="14" t="n">
        <f aca="false">INDEX(Вводные!$D$13:$F$64,MATCH($A9,Вводные!$A$13:$A$64,0),MATCH(FD$3,Вводные!$D$11:$F$11,0))*(1+IF(FD$4=$A9,Вводные!$D$5*INDEX(Вводные!$G$13:$G$64,MATCH($A9,Вводные!$A$13:$A$64,0)),0))</f>
        <v>500000</v>
      </c>
      <c r="FE9" s="14" t="n">
        <f aca="false">INDEX(Вводные!$D$13:$F$64,MATCH($A9,Вводные!$A$13:$A$64,0),MATCH(FE$3,Вводные!$D$11:$F$11,0))*(1+IF(FE$4=$A9,Вводные!$D$5*INDEX(Вводные!$G$13:$G$64,MATCH($A9,Вводные!$A$13:$A$64,0)),0))</f>
        <v>500000</v>
      </c>
      <c r="FF9" s="14" t="n">
        <f aca="false">INDEX(Вводные!$D$13:$F$64,MATCH($A9,Вводные!$A$13:$A$64,0),MATCH(FF$3,Вводные!$D$11:$F$11,0))*(1+IF(FF$4=$A9,Вводные!$D$5*INDEX(Вводные!$G$13:$G$64,MATCH($A9,Вводные!$A$13:$A$64,0)),0))</f>
        <v>500000</v>
      </c>
      <c r="FG9" s="14" t="n">
        <f aca="false">INDEX(Вводные!$D$13:$F$64,MATCH($A9,Вводные!$A$13:$A$64,0),MATCH(FG$3,Вводные!$D$11:$F$11,0))*(1+IF(FG$4=$A9,Вводные!$D$5*INDEX(Вводные!$G$13:$G$64,MATCH($A9,Вводные!$A$13:$A$64,0)),0))</f>
        <v>500000</v>
      </c>
      <c r="FH9" s="14" t="n">
        <f aca="false">INDEX(Вводные!$D$13:$F$64,MATCH($A9,Вводные!$A$13:$A$64,0),MATCH(FH$3,Вводные!$D$11:$F$11,0))*(1+IF(FH$4=$A9,Вводные!$D$5*INDEX(Вводные!$G$13:$G$64,MATCH($A9,Вводные!$A$13:$A$64,0)),0))</f>
        <v>500000</v>
      </c>
      <c r="FI9" s="14" t="n">
        <f aca="false">INDEX(Вводные!$D$13:$F$64,MATCH($A9,Вводные!$A$13:$A$64,0),MATCH(FI$3,Вводные!$D$11:$F$11,0))*(1+IF(FI$4=$A9,Вводные!$D$5*INDEX(Вводные!$G$13:$G$64,MATCH($A9,Вводные!$A$13:$A$64,0)),0))</f>
        <v>500000</v>
      </c>
      <c r="FJ9" s="14" t="n">
        <f aca="false">INDEX(Вводные!$D$13:$F$64,MATCH($A9,Вводные!$A$13:$A$64,0),MATCH(FJ$3,Вводные!$D$11:$F$11,0))*(1+IF(FJ$4=$A9,Вводные!$D$5*INDEX(Вводные!$G$13:$G$64,MATCH($A9,Вводные!$A$13:$A$64,0)),0))</f>
        <v>500000</v>
      </c>
      <c r="FK9" s="14" t="n">
        <f aca="false">INDEX(Вводные!$D$13:$F$64,MATCH($A9,Вводные!$A$13:$A$64,0),MATCH(FK$3,Вводные!$D$11:$F$11,0))*(1+IF(FK$4=$A9,Вводные!$D$5*INDEX(Вводные!$G$13:$G$64,MATCH($A9,Вводные!$A$13:$A$64,0)),0))</f>
        <v>500000</v>
      </c>
      <c r="FL9" s="14" t="n">
        <f aca="false">INDEX(Вводные!$D$13:$F$64,MATCH($A9,Вводные!$A$13:$A$64,0),MATCH(FL$3,Вводные!$D$11:$F$11,0))*(1+IF(FL$4=$A9,Вводные!$D$5*INDEX(Вводные!$G$13:$G$64,MATCH($A9,Вводные!$A$13:$A$64,0)),0))</f>
        <v>500000</v>
      </c>
      <c r="FM9" s="14" t="n">
        <f aca="false">INDEX(Вводные!$D$13:$F$64,MATCH($A9,Вводные!$A$13:$A$64,0),MATCH(FM$3,Вводные!$D$11:$F$11,0))*(1+IF(FM$4=$A9,Вводные!$D$5*INDEX(Вводные!$G$13:$G$64,MATCH($A9,Вводные!$A$13:$A$64,0)),0))</f>
        <v>500000</v>
      </c>
      <c r="FN9" s="14" t="n">
        <f aca="false">INDEX(Вводные!$D$13:$F$64,MATCH($A9,Вводные!$A$13:$A$64,0),MATCH(FN$3,Вводные!$D$11:$F$11,0))*(1+IF(FN$4=$A9,Вводные!$D$5*INDEX(Вводные!$G$13:$G$64,MATCH($A9,Вводные!$A$13:$A$64,0)),0))</f>
        <v>500000</v>
      </c>
      <c r="FO9" s="14" t="n">
        <f aca="false">INDEX(Вводные!$D$13:$F$64,MATCH($A9,Вводные!$A$13:$A$64,0),MATCH(FO$3,Вводные!$D$11:$F$11,0))*(1+IF(FO$4=$A9,Вводные!$D$5*INDEX(Вводные!$G$13:$G$64,MATCH($A9,Вводные!$A$13:$A$64,0)),0))</f>
        <v>500000</v>
      </c>
      <c r="FP9" s="14" t="n">
        <f aca="false">INDEX(Вводные!$D$13:$F$64,MATCH($A9,Вводные!$A$13:$A$64,0),MATCH(FP$3,Вводные!$D$11:$F$11,0))*(1+IF(FP$4=$A9,Вводные!$D$5*INDEX(Вводные!$G$13:$G$64,MATCH($A9,Вводные!$A$13:$A$64,0)),0))</f>
        <v>500000</v>
      </c>
      <c r="FQ9" s="14" t="n">
        <f aca="false">INDEX(Вводные!$D$13:$F$64,MATCH($A9,Вводные!$A$13:$A$64,0),MATCH(FQ$3,Вводные!$D$11:$F$11,0))*(1+IF(FQ$4=$A9,Вводные!$D$5*INDEX(Вводные!$G$13:$G$64,MATCH($A9,Вводные!$A$13:$A$64,0)),0))</f>
        <v>500000</v>
      </c>
      <c r="FR9" s="14" t="n">
        <f aca="false">INDEX(Вводные!$D$13:$F$64,MATCH($A9,Вводные!$A$13:$A$64,0),MATCH(FR$3,Вводные!$D$11:$F$11,0))*(1+IF(FR$4=$A9,Вводные!$D$5*INDEX(Вводные!$G$13:$G$64,MATCH($A9,Вводные!$A$13:$A$64,0)),0))</f>
        <v>500000</v>
      </c>
      <c r="FS9" s="14" t="n">
        <f aca="false">INDEX(Вводные!$D$13:$F$64,MATCH($A9,Вводные!$A$13:$A$64,0),MATCH(FS$3,Вводные!$D$11:$F$11,0))*(1+IF(FS$4=$A9,Вводные!$D$5*INDEX(Вводные!$G$13:$G$64,MATCH($A9,Вводные!$A$13:$A$64,0)),0))</f>
        <v>500000</v>
      </c>
      <c r="FT9" s="14" t="n">
        <f aca="false">INDEX(Вводные!$D$13:$F$64,MATCH($A9,Вводные!$A$13:$A$64,0),MATCH(FT$3,Вводные!$D$11:$F$11,0))*(1+IF(FT$4=$A9,Вводные!$D$5*INDEX(Вводные!$G$13:$G$64,MATCH($A9,Вводные!$A$13:$A$64,0)),0))</f>
        <v>500000</v>
      </c>
      <c r="FU9" s="14" t="n">
        <f aca="false">INDEX(Вводные!$D$13:$F$64,MATCH($A9,Вводные!$A$13:$A$64,0),MATCH(FU$3,Вводные!$D$11:$F$11,0))*(1+IF(FU$4=$A9,Вводные!$D$5*INDEX(Вводные!$G$13:$G$64,MATCH($A9,Вводные!$A$13:$A$64,0)),0))</f>
        <v>500000</v>
      </c>
      <c r="FV9" s="14" t="n">
        <f aca="false">INDEX(Вводные!$D$13:$F$64,MATCH($A9,Вводные!$A$13:$A$64,0),MATCH(FV$3,Вводные!$D$11:$F$11,0))*(1+IF(FV$4=$A9,Вводные!$D$5*INDEX(Вводные!$G$13:$G$64,MATCH($A9,Вводные!$A$13:$A$64,0)),0))</f>
        <v>15000</v>
      </c>
      <c r="FW9" s="14" t="n">
        <f aca="false">INDEX(Вводные!$D$13:$F$64,MATCH($A9,Вводные!$A$13:$A$64,0),MATCH(FW$3,Вводные!$D$11:$F$11,0))*(1+IF(FW$4=$A9,Вводные!$D$5*INDEX(Вводные!$G$13:$G$64,MATCH($A9,Вводные!$A$13:$A$64,0)),0))</f>
        <v>15000</v>
      </c>
      <c r="FX9" s="14" t="n">
        <f aca="false">INDEX(Вводные!$D$13:$F$64,MATCH($A9,Вводные!$A$13:$A$64,0),MATCH(FX$3,Вводные!$D$11:$F$11,0))*(1+IF(FX$4=$A9,Вводные!$D$5*INDEX(Вводные!$G$13:$G$64,MATCH($A9,Вводные!$A$13:$A$64,0)),0))</f>
        <v>15000</v>
      </c>
      <c r="FY9" s="14" t="n">
        <f aca="false">INDEX(Вводные!$D$13:$F$64,MATCH($A9,Вводные!$A$13:$A$64,0),MATCH(FY$3,Вводные!$D$11:$F$11,0))*(1+IF(FY$4=$A9,Вводные!$D$5*INDEX(Вводные!$G$13:$G$64,MATCH($A9,Вводные!$A$13:$A$64,0)),0))</f>
        <v>15000</v>
      </c>
      <c r="FZ9" s="14" t="n">
        <f aca="false">INDEX(Вводные!$D$13:$F$64,MATCH($A9,Вводные!$A$13:$A$64,0),MATCH(FZ$3,Вводные!$D$11:$F$11,0))*(1+IF(FZ$4=$A9,Вводные!$D$5*INDEX(Вводные!$G$13:$G$64,MATCH($A9,Вводные!$A$13:$A$64,0)),0))</f>
        <v>15000</v>
      </c>
      <c r="GA9" s="14" t="n">
        <f aca="false">INDEX(Вводные!$D$13:$F$64,MATCH($A9,Вводные!$A$13:$A$64,0),MATCH(GA$3,Вводные!$D$11:$F$11,0))*(1+IF(GA$4=$A9,Вводные!$D$5*INDEX(Вводные!$G$13:$G$64,MATCH($A9,Вводные!$A$13:$A$64,0)),0))</f>
        <v>15000</v>
      </c>
      <c r="GB9" s="14" t="n">
        <f aca="false">INDEX(Вводные!$D$13:$F$64,MATCH($A9,Вводные!$A$13:$A$64,0),MATCH(GB$3,Вводные!$D$11:$F$11,0))*(1+IF(GB$4=$A9,Вводные!$D$5*INDEX(Вводные!$G$13:$G$64,MATCH($A9,Вводные!$A$13:$A$64,0)),0))</f>
        <v>15000</v>
      </c>
      <c r="GC9" s="14" t="n">
        <f aca="false">INDEX(Вводные!$D$13:$F$64,MATCH($A9,Вводные!$A$13:$A$64,0),MATCH(GC$3,Вводные!$D$11:$F$11,0))*(1+IF(GC$4=$A9,Вводные!$D$5*INDEX(Вводные!$G$13:$G$64,MATCH($A9,Вводные!$A$13:$A$64,0)),0))</f>
        <v>15000</v>
      </c>
      <c r="GD9" s="14" t="n">
        <f aca="false">INDEX(Вводные!$D$13:$F$64,MATCH($A9,Вводные!$A$13:$A$64,0),MATCH(GD$3,Вводные!$D$11:$F$11,0))*(1+IF(GD$4=$A9,Вводные!$D$5*INDEX(Вводные!$G$13:$G$64,MATCH($A9,Вводные!$A$13:$A$64,0)),0))</f>
        <v>15000</v>
      </c>
      <c r="GE9" s="14" t="n">
        <f aca="false">INDEX(Вводные!$D$13:$F$64,MATCH($A9,Вводные!$A$13:$A$64,0),MATCH(GE$3,Вводные!$D$11:$F$11,0))*(1+IF(GE$4=$A9,Вводные!$D$5*INDEX(Вводные!$G$13:$G$64,MATCH($A9,Вводные!$A$13:$A$64,0)),0))</f>
        <v>15000</v>
      </c>
      <c r="GF9" s="14" t="n">
        <f aca="false">INDEX(Вводные!$D$13:$F$64,MATCH($A9,Вводные!$A$13:$A$64,0),MATCH(GF$3,Вводные!$D$11:$F$11,0))*(1+IF(GF$4=$A9,Вводные!$D$5*INDEX(Вводные!$G$13:$G$64,MATCH($A9,Вводные!$A$13:$A$64,0)),0))</f>
        <v>15000</v>
      </c>
      <c r="GG9" s="14" t="n">
        <f aca="false">INDEX(Вводные!$D$13:$F$64,MATCH($A9,Вводные!$A$13:$A$64,0),MATCH(GG$3,Вводные!$D$11:$F$11,0))*(1+IF(GG$4=$A9,Вводные!$D$5*INDEX(Вводные!$G$13:$G$64,MATCH($A9,Вводные!$A$13:$A$64,0)),0))</f>
        <v>15000</v>
      </c>
      <c r="GH9" s="14" t="n">
        <f aca="false">INDEX(Вводные!$D$13:$F$64,MATCH($A9,Вводные!$A$13:$A$64,0),MATCH(GH$3,Вводные!$D$11:$F$11,0))*(1+IF(GH$4=$A9,Вводные!$D$5*INDEX(Вводные!$G$13:$G$64,MATCH($A9,Вводные!$A$13:$A$64,0)),0))</f>
        <v>15000</v>
      </c>
      <c r="GI9" s="14" t="n">
        <f aca="false">INDEX(Вводные!$D$13:$F$64,MATCH($A9,Вводные!$A$13:$A$64,0),MATCH(GI$3,Вводные!$D$11:$F$11,0))*(1+IF(GI$4=$A9,Вводные!$D$5*INDEX(Вводные!$G$13:$G$64,MATCH($A9,Вводные!$A$13:$A$64,0)),0))</f>
        <v>15000</v>
      </c>
      <c r="GJ9" s="14" t="n">
        <f aca="false">INDEX(Вводные!$D$13:$F$64,MATCH($A9,Вводные!$A$13:$A$64,0),MATCH(GJ$3,Вводные!$D$11:$F$11,0))*(1+IF(GJ$4=$A9,Вводные!$D$5*INDEX(Вводные!$G$13:$G$64,MATCH($A9,Вводные!$A$13:$A$64,0)),0))</f>
        <v>15000</v>
      </c>
      <c r="GK9" s="14" t="n">
        <f aca="false">INDEX(Вводные!$D$13:$F$64,MATCH($A9,Вводные!$A$13:$A$64,0),MATCH(GK$3,Вводные!$D$11:$F$11,0))*(1+IF(GK$4=$A9,Вводные!$D$5*INDEX(Вводные!$G$13:$G$64,MATCH($A9,Вводные!$A$13:$A$64,0)),0))</f>
        <v>15000</v>
      </c>
      <c r="GL9" s="14" t="n">
        <f aca="false">INDEX(Вводные!$D$13:$F$64,MATCH($A9,Вводные!$A$13:$A$64,0),MATCH(GL$3,Вводные!$D$11:$F$11,0))*(1+IF(GL$4=$A9,Вводные!$D$5*INDEX(Вводные!$G$13:$G$64,MATCH($A9,Вводные!$A$13:$A$64,0)),0))</f>
        <v>15000</v>
      </c>
      <c r="GM9" s="14" t="n">
        <f aca="false">INDEX(Вводные!$D$13:$F$64,MATCH($A9,Вводные!$A$13:$A$64,0),MATCH(GM$3,Вводные!$D$11:$F$11,0))*(1+IF(GM$4=$A9,Вводные!$D$5*INDEX(Вводные!$G$13:$G$64,MATCH($A9,Вводные!$A$13:$A$64,0)),0))</f>
        <v>15000</v>
      </c>
      <c r="GN9" s="14" t="n">
        <f aca="false">INDEX(Вводные!$D$13:$F$64,MATCH($A9,Вводные!$A$13:$A$64,0),MATCH(GN$3,Вводные!$D$11:$F$11,0))*(1+IF(GN$4=$A9,Вводные!$D$5*INDEX(Вводные!$G$13:$G$64,MATCH($A9,Вводные!$A$13:$A$64,0)),0))</f>
        <v>15000</v>
      </c>
      <c r="GO9" s="14" t="n">
        <f aca="false">INDEX(Вводные!$D$13:$F$64,MATCH($A9,Вводные!$A$13:$A$64,0),MATCH(GO$3,Вводные!$D$11:$F$11,0))*(1+IF(GO$4=$A9,Вводные!$D$5*INDEX(Вводные!$G$13:$G$64,MATCH($A9,Вводные!$A$13:$A$64,0)),0))</f>
        <v>15000</v>
      </c>
      <c r="GP9" s="14" t="n">
        <f aca="false">INDEX(Вводные!$D$13:$F$64,MATCH($A9,Вводные!$A$13:$A$64,0),MATCH(GP$3,Вводные!$D$11:$F$11,0))*(1+IF(GP$4=$A9,Вводные!$D$5*INDEX(Вводные!$G$13:$G$64,MATCH($A9,Вводные!$A$13:$A$64,0)),0))</f>
        <v>15000</v>
      </c>
      <c r="GQ9" s="14" t="n">
        <f aca="false">INDEX(Вводные!$D$13:$F$64,MATCH($A9,Вводные!$A$13:$A$64,0),MATCH(GQ$3,Вводные!$D$11:$F$11,0))*(1+IF(GQ$4=$A9,Вводные!$D$5*INDEX(Вводные!$G$13:$G$64,MATCH($A9,Вводные!$A$13:$A$64,0)),0))</f>
        <v>15000</v>
      </c>
      <c r="GR9" s="14" t="n">
        <f aca="false">INDEX(Вводные!$D$13:$F$64,MATCH($A9,Вводные!$A$13:$A$64,0),MATCH(GR$3,Вводные!$D$11:$F$11,0))*(1+IF(GR$4=$A9,Вводные!$D$5*INDEX(Вводные!$G$13:$G$64,MATCH($A9,Вводные!$A$13:$A$64,0)),0))</f>
        <v>15000</v>
      </c>
      <c r="GS9" s="14" t="n">
        <f aca="false">INDEX(Вводные!$D$13:$F$64,MATCH($A9,Вводные!$A$13:$A$64,0),MATCH(GS$3,Вводные!$D$11:$F$11,0))*(1+IF(GS$4=$A9,Вводные!$D$5*INDEX(Вводные!$G$13:$G$64,MATCH($A9,Вводные!$A$13:$A$64,0)),0))</f>
        <v>15000</v>
      </c>
      <c r="GT9" s="14" t="n">
        <f aca="false">INDEX(Вводные!$D$13:$F$64,MATCH($A9,Вводные!$A$13:$A$64,0),MATCH(GT$3,Вводные!$D$11:$F$11,0))*(1+IF(GT$4=$A9,Вводные!$D$5*INDEX(Вводные!$G$13:$G$64,MATCH($A9,Вводные!$A$13:$A$64,0)),0))</f>
        <v>15000</v>
      </c>
      <c r="GU9" s="14" t="n">
        <f aca="false">INDEX(Вводные!$D$13:$F$64,MATCH($A9,Вводные!$A$13:$A$64,0),MATCH(GU$3,Вводные!$D$11:$F$11,0))*(1+IF(GU$4=$A9,Вводные!$D$5*INDEX(Вводные!$G$13:$G$64,MATCH($A9,Вводные!$A$13:$A$64,0)),0))</f>
        <v>15000</v>
      </c>
      <c r="GV9" s="14" t="n">
        <f aca="false">INDEX(Вводные!$D$13:$F$64,MATCH($A9,Вводные!$A$13:$A$64,0),MATCH(GV$3,Вводные!$D$11:$F$11,0))*(1+IF(GV$4=$A9,Вводные!$D$5*INDEX(Вводные!$G$13:$G$64,MATCH($A9,Вводные!$A$13:$A$64,0)),0))</f>
        <v>15000</v>
      </c>
      <c r="GW9" s="14" t="n">
        <f aca="false">INDEX(Вводные!$D$13:$F$64,MATCH($A9,Вводные!$A$13:$A$64,0),MATCH(GW$3,Вводные!$D$11:$F$11,0))*(1+IF(GW$4=$A9,Вводные!$D$5*INDEX(Вводные!$G$13:$G$64,MATCH($A9,Вводные!$A$13:$A$64,0)),0))</f>
        <v>15000</v>
      </c>
      <c r="GX9" s="14" t="n">
        <f aca="false">INDEX(Вводные!$D$13:$F$64,MATCH($A9,Вводные!$A$13:$A$64,0),MATCH(GX$3,Вводные!$D$11:$F$11,0))*(1+IF(GX$4=$A9,Вводные!$D$5*INDEX(Вводные!$G$13:$G$64,MATCH($A9,Вводные!$A$13:$A$64,0)),0))</f>
        <v>15000</v>
      </c>
      <c r="GY9" s="14" t="n">
        <f aca="false">INDEX(Вводные!$D$13:$F$64,MATCH($A9,Вводные!$A$13:$A$64,0),MATCH(GY$3,Вводные!$D$11:$F$11,0))*(1+IF(GY$4=$A9,Вводные!$D$5*INDEX(Вводные!$G$13:$G$64,MATCH($A9,Вводные!$A$13:$A$64,0)),0))</f>
        <v>15000</v>
      </c>
      <c r="GZ9" s="14" t="n">
        <f aca="false">INDEX(Вводные!$D$13:$F$64,MATCH($A9,Вводные!$A$13:$A$64,0),MATCH(GZ$3,Вводные!$D$11:$F$11,0))*(1+IF(GZ$4=$A9,Вводные!$D$5*INDEX(Вводные!$G$13:$G$64,MATCH($A9,Вводные!$A$13:$A$64,0)),0))</f>
        <v>15000</v>
      </c>
      <c r="HA9" s="14" t="n">
        <f aca="false">INDEX(Вводные!$D$13:$F$64,MATCH($A9,Вводные!$A$13:$A$64,0),MATCH(HA$3,Вводные!$D$11:$F$11,0))*(1+IF(HA$4=$A9,Вводные!$D$5*INDEX(Вводные!$G$13:$G$64,MATCH($A9,Вводные!$A$13:$A$64,0)),0))</f>
        <v>15000</v>
      </c>
      <c r="HB9" s="14" t="n">
        <f aca="false">INDEX(Вводные!$D$13:$F$64,MATCH($A9,Вводные!$A$13:$A$64,0),MATCH(HB$3,Вводные!$D$11:$F$11,0))*(1+IF(HB$4=$A9,Вводные!$D$5*INDEX(Вводные!$G$13:$G$64,MATCH($A9,Вводные!$A$13:$A$64,0)),0))</f>
        <v>15000</v>
      </c>
      <c r="HC9" s="14" t="n">
        <f aca="false">INDEX(Вводные!$D$13:$F$64,MATCH($A9,Вводные!$A$13:$A$64,0),MATCH(HC$3,Вводные!$D$11:$F$11,0))*(1+IF(HC$4=$A9,Вводные!$D$5*INDEX(Вводные!$G$13:$G$64,MATCH($A9,Вводные!$A$13:$A$64,0)),0))</f>
        <v>15000</v>
      </c>
      <c r="HD9" s="14" t="n">
        <f aca="false">INDEX(Вводные!$D$13:$F$64,MATCH($A9,Вводные!$A$13:$A$64,0),MATCH(HD$3,Вводные!$D$11:$F$11,0))*(1+IF(HD$4=$A9,Вводные!$D$5*INDEX(Вводные!$G$13:$G$64,MATCH($A9,Вводные!$A$13:$A$64,0)),0))</f>
        <v>15000</v>
      </c>
      <c r="HE9" s="14" t="n">
        <f aca="false">INDEX(Вводные!$D$13:$F$64,MATCH($A9,Вводные!$A$13:$A$64,0),MATCH(HE$3,Вводные!$D$11:$F$11,0))*(1+IF(HE$4=$A9,Вводные!$D$5*INDEX(Вводные!$G$13:$G$64,MATCH($A9,Вводные!$A$13:$A$64,0)),0))</f>
        <v>15000</v>
      </c>
      <c r="HF9" s="14" t="n">
        <f aca="false">INDEX(Вводные!$D$13:$F$64,MATCH($A9,Вводные!$A$13:$A$64,0),MATCH(HF$3,Вводные!$D$11:$F$11,0))*(1+IF(HF$4=$A9,Вводные!$D$5*INDEX(Вводные!$G$13:$G$64,MATCH($A9,Вводные!$A$13:$A$64,0)),0))</f>
        <v>15000</v>
      </c>
      <c r="HG9" s="14" t="n">
        <f aca="false">INDEX(Вводные!$D$13:$F$64,MATCH($A9,Вводные!$A$13:$A$64,0),MATCH(HG$3,Вводные!$D$11:$F$11,0))*(1+IF(HG$4=$A9,Вводные!$D$5*INDEX(Вводные!$G$13:$G$64,MATCH($A9,Вводные!$A$13:$A$64,0)),0))</f>
        <v>15000</v>
      </c>
      <c r="HH9" s="14" t="n">
        <f aca="false">INDEX(Вводные!$D$13:$F$64,MATCH($A9,Вводные!$A$13:$A$64,0),MATCH(HH$3,Вводные!$D$11:$F$11,0))*(1+IF(HH$4=$A9,Вводные!$D$5*INDEX(Вводные!$G$13:$G$64,MATCH($A9,Вводные!$A$13:$A$64,0)),0))</f>
        <v>15000</v>
      </c>
      <c r="HI9" s="14" t="n">
        <f aca="false">INDEX(Вводные!$D$13:$F$64,MATCH($A9,Вводные!$A$13:$A$64,0),MATCH(HI$3,Вводные!$D$11:$F$11,0))*(1+IF(HI$4=$A9,Вводные!$D$5*INDEX(Вводные!$G$13:$G$64,MATCH($A9,Вводные!$A$13:$A$64,0)),0))</f>
        <v>15000</v>
      </c>
      <c r="HJ9" s="14" t="n">
        <f aca="false">INDEX(Вводные!$D$13:$F$64,MATCH($A9,Вводные!$A$13:$A$64,0),MATCH(HJ$3,Вводные!$D$11:$F$11,0))*(1+IF(HJ$4=$A9,Вводные!$D$5*INDEX(Вводные!$G$13:$G$64,MATCH($A9,Вводные!$A$13:$A$64,0)),0))</f>
        <v>15000</v>
      </c>
      <c r="HK9" s="14" t="n">
        <f aca="false">INDEX(Вводные!$D$13:$F$64,MATCH($A9,Вводные!$A$13:$A$64,0),MATCH(HK$3,Вводные!$D$11:$F$11,0))*(1+IF(HK$4=$A9,Вводные!$D$5*INDEX(Вводные!$G$13:$G$64,MATCH($A9,Вводные!$A$13:$A$64,0)),0))</f>
        <v>15000</v>
      </c>
      <c r="HL9" s="14" t="n">
        <f aca="false">INDEX(Вводные!$D$13:$F$64,MATCH($A9,Вводные!$A$13:$A$64,0),MATCH(HL$3,Вводные!$D$11:$F$11,0))*(1+IF(HL$4=$A9,Вводные!$D$5*INDEX(Вводные!$G$13:$G$64,MATCH($A9,Вводные!$A$13:$A$64,0)),0))</f>
        <v>400</v>
      </c>
      <c r="HM9" s="14" t="n">
        <f aca="false">INDEX(Вводные!$D$13:$F$64,MATCH($A9,Вводные!$A$13:$A$64,0),MATCH(HM$3,Вводные!$D$11:$F$11,0))*(1+IF(HM$4=$A9,Вводные!$D$5*INDEX(Вводные!$G$13:$G$64,MATCH($A9,Вводные!$A$13:$A$64,0)),0))</f>
        <v>400</v>
      </c>
      <c r="HN9" s="14" t="n">
        <f aca="false">INDEX(Вводные!$D$13:$F$64,MATCH($A9,Вводные!$A$13:$A$64,0),MATCH(HN$3,Вводные!$D$11:$F$11,0))*(1+IF(HN$4=$A9,Вводные!$D$5*INDEX(Вводные!$G$13:$G$64,MATCH($A9,Вводные!$A$13:$A$64,0)),0))</f>
        <v>400</v>
      </c>
      <c r="HO9" s="14" t="n">
        <f aca="false">INDEX(Вводные!$D$13:$F$64,MATCH($A9,Вводные!$A$13:$A$64,0),MATCH(HO$3,Вводные!$D$11:$F$11,0))*(1+IF(HO$4=$A9,Вводные!$D$5*INDEX(Вводные!$G$13:$G$64,MATCH($A9,Вводные!$A$13:$A$64,0)),0))</f>
        <v>400</v>
      </c>
      <c r="HP9" s="14" t="n">
        <f aca="false">INDEX(Вводные!$D$13:$F$64,MATCH($A9,Вводные!$A$13:$A$64,0),MATCH(HP$3,Вводные!$D$11:$F$11,0))*(1+IF(HP$4=$A9,Вводные!$D$5*INDEX(Вводные!$G$13:$G$64,MATCH($A9,Вводные!$A$13:$A$64,0)),0))</f>
        <v>400</v>
      </c>
      <c r="HQ9" s="14" t="n">
        <f aca="false">INDEX(Вводные!$D$13:$F$64,MATCH($A9,Вводные!$A$13:$A$64,0),MATCH(HQ$3,Вводные!$D$11:$F$11,0))*(1+IF(HQ$4=$A9,Вводные!$D$5*INDEX(Вводные!$G$13:$G$64,MATCH($A9,Вводные!$A$13:$A$64,0)),0))</f>
        <v>400</v>
      </c>
      <c r="HR9" s="14" t="n">
        <f aca="false">INDEX(Вводные!$D$13:$F$64,MATCH($A9,Вводные!$A$13:$A$64,0),MATCH(HR$3,Вводные!$D$11:$F$11,0))*(1+IF(HR$4=$A9,Вводные!$D$5*INDEX(Вводные!$G$13:$G$64,MATCH($A9,Вводные!$A$13:$A$64,0)),0))</f>
        <v>400</v>
      </c>
      <c r="HS9" s="14" t="n">
        <f aca="false">INDEX(Вводные!$D$13:$F$64,MATCH($A9,Вводные!$A$13:$A$64,0),MATCH(HS$3,Вводные!$D$11:$F$11,0))*(1+IF(HS$4=$A9,Вводные!$D$5*INDEX(Вводные!$G$13:$G$64,MATCH($A9,Вводные!$A$13:$A$64,0)),0))</f>
        <v>400</v>
      </c>
      <c r="HT9" s="14" t="n">
        <f aca="false">INDEX(Вводные!$D$13:$F$64,MATCH($A9,Вводные!$A$13:$A$64,0),MATCH(HT$3,Вводные!$D$11:$F$11,0))*(1+IF(HT$4=$A9,Вводные!$D$5*INDEX(Вводные!$G$13:$G$64,MATCH($A9,Вводные!$A$13:$A$64,0)),0))</f>
        <v>400</v>
      </c>
      <c r="HU9" s="14" t="n">
        <f aca="false">INDEX(Вводные!$D$13:$F$64,MATCH($A9,Вводные!$A$13:$A$64,0),MATCH(HU$3,Вводные!$D$11:$F$11,0))*(1+IF(HU$4=$A9,Вводные!$D$5*INDEX(Вводные!$G$13:$G$64,MATCH($A9,Вводные!$A$13:$A$64,0)),0))</f>
        <v>400</v>
      </c>
      <c r="HV9" s="14" t="n">
        <f aca="false">INDEX(Вводные!$D$13:$F$64,MATCH($A9,Вводные!$A$13:$A$64,0),MATCH(HV$3,Вводные!$D$11:$F$11,0))*(1+IF(HV$4=$A9,Вводные!$D$5*INDEX(Вводные!$G$13:$G$64,MATCH($A9,Вводные!$A$13:$A$64,0)),0))</f>
        <v>400</v>
      </c>
      <c r="HW9" s="14" t="n">
        <f aca="false">INDEX(Вводные!$D$13:$F$64,MATCH($A9,Вводные!$A$13:$A$64,0),MATCH(HW$3,Вводные!$D$11:$F$11,0))*(1+IF(HW$4=$A9,Вводные!$D$5*INDEX(Вводные!$G$13:$G$64,MATCH($A9,Вводные!$A$13:$A$64,0)),0))</f>
        <v>400</v>
      </c>
      <c r="HX9" s="14" t="n">
        <f aca="false">INDEX(Вводные!$D$13:$F$64,MATCH($A9,Вводные!$A$13:$A$64,0),MATCH(HX$3,Вводные!$D$11:$F$11,0))*(1+IF(HX$4=$A9,Вводные!$D$5*INDEX(Вводные!$G$13:$G$64,MATCH($A9,Вводные!$A$13:$A$64,0)),0))</f>
        <v>400</v>
      </c>
      <c r="HY9" s="14" t="n">
        <f aca="false">INDEX(Вводные!$D$13:$F$64,MATCH($A9,Вводные!$A$13:$A$64,0),MATCH(HY$3,Вводные!$D$11:$F$11,0))*(1+IF(HY$4=$A9,Вводные!$D$5*INDEX(Вводные!$G$13:$G$64,MATCH($A9,Вводные!$A$13:$A$64,0)),0))</f>
        <v>400</v>
      </c>
      <c r="HZ9" s="14" t="n">
        <f aca="false">INDEX(Вводные!$D$13:$F$64,MATCH($A9,Вводные!$A$13:$A$64,0),MATCH(HZ$3,Вводные!$D$11:$F$11,0))*(1+IF(HZ$4=$A9,Вводные!$D$5*INDEX(Вводные!$G$13:$G$64,MATCH($A9,Вводные!$A$13:$A$64,0)),0))</f>
        <v>400</v>
      </c>
      <c r="IA9" s="14" t="n">
        <f aca="false">INDEX(Вводные!$D$13:$F$64,MATCH($A9,Вводные!$A$13:$A$64,0),MATCH(IA$3,Вводные!$D$11:$F$11,0))*(1+IF(IA$4=$A9,Вводные!$D$5*INDEX(Вводные!$G$13:$G$64,MATCH($A9,Вводные!$A$13:$A$64,0)),0))</f>
        <v>400</v>
      </c>
      <c r="IB9" s="14" t="n">
        <f aca="false">INDEX(Вводные!$D$13:$F$64,MATCH($A9,Вводные!$A$13:$A$64,0),MATCH(IB$3,Вводные!$D$11:$F$11,0))*(1+IF(IB$4=$A9,Вводные!$D$5*INDEX(Вводные!$G$13:$G$64,MATCH($A9,Вводные!$A$13:$A$64,0)),0))</f>
        <v>400</v>
      </c>
      <c r="IC9" s="14" t="n">
        <f aca="false">INDEX(Вводные!$D$13:$F$64,MATCH($A9,Вводные!$A$13:$A$64,0),MATCH(IC$3,Вводные!$D$11:$F$11,0))*(1+IF(IC$4=$A9,Вводные!$D$5*INDEX(Вводные!$G$13:$G$64,MATCH($A9,Вводные!$A$13:$A$64,0)),0))</f>
        <v>400</v>
      </c>
      <c r="ID9" s="14" t="n">
        <f aca="false">INDEX(Вводные!$D$13:$F$64,MATCH($A9,Вводные!$A$13:$A$64,0),MATCH(ID$3,Вводные!$D$11:$F$11,0))*(1+IF(ID$4=$A9,Вводные!$D$5*INDEX(Вводные!$G$13:$G$64,MATCH($A9,Вводные!$A$13:$A$64,0)),0))</f>
        <v>400</v>
      </c>
      <c r="IE9" s="14" t="n">
        <f aca="false">INDEX(Вводные!$D$13:$F$64,MATCH($A9,Вводные!$A$13:$A$64,0),MATCH(IE$3,Вводные!$D$11:$F$11,0))*(1+IF(IE$4=$A9,Вводные!$D$5*INDEX(Вводные!$G$13:$G$64,MATCH($A9,Вводные!$A$13:$A$64,0)),0))</f>
        <v>400</v>
      </c>
      <c r="IF9" s="14" t="n">
        <f aca="false">INDEX(Вводные!$D$13:$F$64,MATCH($A9,Вводные!$A$13:$A$64,0),MATCH(IF$3,Вводные!$D$11:$F$11,0))*(1+IF(IF$4=$A9,Вводные!$D$5*INDEX(Вводные!$G$13:$G$64,MATCH($A9,Вводные!$A$13:$A$64,0)),0))</f>
        <v>400</v>
      </c>
      <c r="IG9" s="14" t="n">
        <f aca="false">INDEX(Вводные!$D$13:$F$64,MATCH($A9,Вводные!$A$13:$A$64,0),MATCH(IG$3,Вводные!$D$11:$F$11,0))*(1+IF(IG$4=$A9,Вводные!$D$5*INDEX(Вводные!$G$13:$G$64,MATCH($A9,Вводные!$A$13:$A$64,0)),0))</f>
        <v>400</v>
      </c>
      <c r="IH9" s="14" t="n">
        <f aca="false">INDEX(Вводные!$D$13:$F$64,MATCH($A9,Вводные!$A$13:$A$64,0),MATCH(IH$3,Вводные!$D$11:$F$11,0))*(1+IF(IH$4=$A9,Вводные!$D$5*INDEX(Вводные!$G$13:$G$64,MATCH($A9,Вводные!$A$13:$A$64,0)),0))</f>
        <v>400</v>
      </c>
      <c r="II9" s="14" t="n">
        <f aca="false">INDEX(Вводные!$D$13:$F$64,MATCH($A9,Вводные!$A$13:$A$64,0),MATCH(II$3,Вводные!$D$11:$F$11,0))*(1+IF(II$4=$A9,Вводные!$D$5*INDEX(Вводные!$G$13:$G$64,MATCH($A9,Вводные!$A$13:$A$64,0)),0))</f>
        <v>400</v>
      </c>
      <c r="IJ9" s="14" t="n">
        <f aca="false">INDEX(Вводные!$D$13:$F$64,MATCH($A9,Вводные!$A$13:$A$64,0),MATCH(IJ$3,Вводные!$D$11:$F$11,0))*(1+IF(IJ$4=$A9,Вводные!$D$5*INDEX(Вводные!$G$13:$G$64,MATCH($A9,Вводные!$A$13:$A$64,0)),0))</f>
        <v>400</v>
      </c>
      <c r="IK9" s="14" t="n">
        <f aca="false">INDEX(Вводные!$D$13:$F$64,MATCH($A9,Вводные!$A$13:$A$64,0),MATCH(IK$3,Вводные!$D$11:$F$11,0))*(1+IF(IK$4=$A9,Вводные!$D$5*INDEX(Вводные!$G$13:$G$64,MATCH($A9,Вводные!$A$13:$A$64,0)),0))</f>
        <v>400</v>
      </c>
      <c r="IL9" s="14" t="n">
        <f aca="false">INDEX(Вводные!$D$13:$F$64,MATCH($A9,Вводные!$A$13:$A$64,0),MATCH(IL$3,Вводные!$D$11:$F$11,0))*(1+IF(IL$4=$A9,Вводные!$D$5*INDEX(Вводные!$G$13:$G$64,MATCH($A9,Вводные!$A$13:$A$64,0)),0))</f>
        <v>400</v>
      </c>
      <c r="IM9" s="14" t="n">
        <f aca="false">INDEX(Вводные!$D$13:$F$64,MATCH($A9,Вводные!$A$13:$A$64,0),MATCH(IM$3,Вводные!$D$11:$F$11,0))*(1+IF(IM$4=$A9,Вводные!$D$5*INDEX(Вводные!$G$13:$G$64,MATCH($A9,Вводные!$A$13:$A$64,0)),0))</f>
        <v>400</v>
      </c>
      <c r="IN9" s="14" t="n">
        <f aca="false">INDEX(Вводные!$D$13:$F$64,MATCH($A9,Вводные!$A$13:$A$64,0),MATCH(IN$3,Вводные!$D$11:$F$11,0))*(1+IF(IN$4=$A9,Вводные!$D$5*INDEX(Вводные!$G$13:$G$64,MATCH($A9,Вводные!$A$13:$A$64,0)),0))</f>
        <v>400</v>
      </c>
      <c r="IO9" s="14" t="n">
        <f aca="false">INDEX(Вводные!$D$13:$F$64,MATCH($A9,Вводные!$A$13:$A$64,0),MATCH(IO$3,Вводные!$D$11:$F$11,0))*(1+IF(IO$4=$A9,Вводные!$D$5*INDEX(Вводные!$G$13:$G$64,MATCH($A9,Вводные!$A$13:$A$64,0)),0))</f>
        <v>400</v>
      </c>
      <c r="IP9" s="14" t="n">
        <f aca="false">INDEX(Вводные!$D$13:$F$64,MATCH($A9,Вводные!$A$13:$A$64,0),MATCH(IP$3,Вводные!$D$11:$F$11,0))*(1+IF(IP$4=$A9,Вводные!$D$5*INDEX(Вводные!$G$13:$G$64,MATCH($A9,Вводные!$A$13:$A$64,0)),0))</f>
        <v>400</v>
      </c>
      <c r="IQ9" s="14" t="n">
        <f aca="false">INDEX(Вводные!$D$13:$F$64,MATCH($A9,Вводные!$A$13:$A$64,0),MATCH(IQ$3,Вводные!$D$11:$F$11,0))*(1+IF(IQ$4=$A9,Вводные!$D$5*INDEX(Вводные!$G$13:$G$64,MATCH($A9,Вводные!$A$13:$A$64,0)),0))</f>
        <v>400</v>
      </c>
      <c r="IR9" s="14" t="n">
        <f aca="false">INDEX(Вводные!$D$13:$F$64,MATCH($A9,Вводные!$A$13:$A$64,0),MATCH(IR$3,Вводные!$D$11:$F$11,0))*(1+IF(IR$4=$A9,Вводные!$D$5*INDEX(Вводные!$G$13:$G$64,MATCH($A9,Вводные!$A$13:$A$64,0)),0))</f>
        <v>400</v>
      </c>
      <c r="IS9" s="14" t="n">
        <f aca="false">INDEX(Вводные!$D$13:$F$64,MATCH($A9,Вводные!$A$13:$A$64,0),MATCH(IS$3,Вводные!$D$11:$F$11,0))*(1+IF(IS$4=$A9,Вводные!$D$5*INDEX(Вводные!$G$13:$G$64,MATCH($A9,Вводные!$A$13:$A$64,0)),0))</f>
        <v>400</v>
      </c>
      <c r="IT9" s="14" t="n">
        <f aca="false">INDEX(Вводные!$D$13:$F$64,MATCH($A9,Вводные!$A$13:$A$64,0),MATCH(IT$3,Вводные!$D$11:$F$11,0))*(1+IF(IT$4=$A9,Вводные!$D$5*INDEX(Вводные!$G$13:$G$64,MATCH($A9,Вводные!$A$13:$A$64,0)),0))</f>
        <v>400</v>
      </c>
      <c r="IU9" s="14" t="n">
        <f aca="false">INDEX(Вводные!$D$13:$F$64,MATCH($A9,Вводные!$A$13:$A$64,0),MATCH(IU$3,Вводные!$D$11:$F$11,0))*(1+IF(IU$4=$A9,Вводные!$D$5*INDEX(Вводные!$G$13:$G$64,MATCH($A9,Вводные!$A$13:$A$64,0)),0))</f>
        <v>400</v>
      </c>
      <c r="IV9" s="14" t="n">
        <f aca="false">INDEX(Вводные!$D$13:$F$64,MATCH($A9,Вводные!$A$13:$A$64,0),MATCH(IV$3,Вводные!$D$11:$F$11,0))*(1+IF(IV$4=$A9,Вводные!$D$5*INDEX(Вводные!$G$13:$G$64,MATCH($A9,Вводные!$A$13:$A$64,0)),0))</f>
        <v>400</v>
      </c>
      <c r="IW9" s="14" t="n">
        <f aca="false">INDEX(Вводные!$D$13:$F$64,MATCH($A9,Вводные!$A$13:$A$64,0),MATCH(IW$3,Вводные!$D$11:$F$11,0))*(1+IF(IW$4=$A9,Вводные!$D$5*INDEX(Вводные!$G$13:$G$64,MATCH($A9,Вводные!$A$13:$A$64,0)),0))</f>
        <v>400</v>
      </c>
      <c r="IX9" s="14" t="n">
        <f aca="false">INDEX(Вводные!$D$13:$F$64,MATCH($A9,Вводные!$A$13:$A$64,0),MATCH(IX$3,Вводные!$D$11:$F$11,0))*(1+IF(IX$4=$A9,Вводные!$D$5*INDEX(Вводные!$G$13:$G$64,MATCH($A9,Вводные!$A$13:$A$64,0)),0))</f>
        <v>400</v>
      </c>
      <c r="IY9" s="14" t="n">
        <f aca="false">INDEX(Вводные!$D$13:$F$64,MATCH($A9,Вводные!$A$13:$A$64,0),MATCH(IY$3,Вводные!$D$11:$F$11,0))*(1+IF(IY$4=$A9,Вводные!$D$5*INDEX(Вводные!$G$13:$G$64,MATCH($A9,Вводные!$A$13:$A$64,0)),0))</f>
        <v>400</v>
      </c>
      <c r="IZ9" s="14" t="n">
        <f aca="false">INDEX(Вводные!$D$13:$F$64,MATCH($A9,Вводные!$A$13:$A$64,0),MATCH(IZ$3,Вводные!$D$11:$F$11,0))*(1+IF(IZ$4=$A9,Вводные!$D$5*INDEX(Вводные!$G$13:$G$64,MATCH($A9,Вводные!$A$13:$A$64,0)),0))</f>
        <v>400</v>
      </c>
      <c r="JA9" s="14" t="n">
        <f aca="false">INDEX(Вводные!$D$13:$F$64,MATCH($A9,Вводные!$A$13:$A$64,0),MATCH(JA$3,Вводные!$D$11:$F$11,0))*(1+IF(JA$4=$A9,Вводные!$D$5*INDEX(Вводные!$G$13:$G$64,MATCH($A9,Вводные!$A$13:$A$64,0)),0))</f>
        <v>400</v>
      </c>
    </row>
    <row r="10" customFormat="false" ht="15" hidden="false" customHeight="false" outlineLevel="0" collapsed="false">
      <c r="A10" s="13" t="s">
        <v>268</v>
      </c>
      <c r="B10" s="13" t="s">
        <v>269</v>
      </c>
      <c r="C10" s="13" t="s">
        <v>270</v>
      </c>
      <c r="D10" s="9" t="s">
        <v>36</v>
      </c>
      <c r="E10" s="14" t="n">
        <f aca="false">INDEX(Вводные!$D$13:$F$64,MATCH($A10,Вводные!$A$13:$A$64,0),MATCH(E$3,Вводные!$D$11:$F$11,0))*(1+IF(E$4=$A10,Вводные!$D$5*INDEX(Вводные!$G$13:$G$64,MATCH($A10,Вводные!$A$13:$A$64,0)),0))</f>
        <v>300000</v>
      </c>
      <c r="F10" s="14" t="n">
        <f aca="false">INDEX(Вводные!$D$13:$F$64,MATCH($A10,Вводные!$A$13:$A$64,0),MATCH(F$3,Вводные!$D$11:$F$11,0))*(1+IF(F$4=$A10,Вводные!$D$5*INDEX(Вводные!$G$13:$G$64,MATCH($A10,Вводные!$A$13:$A$64,0)),0))</f>
        <v>2000</v>
      </c>
      <c r="G10" s="14" t="n">
        <f aca="false">INDEX(Вводные!$D$13:$F$64,MATCH($A10,Вводные!$A$13:$A$64,0),MATCH(G$3,Вводные!$D$11:$F$11,0))*(1+IF(G$4=$A10,Вводные!$D$5*INDEX(Вводные!$G$13:$G$64,MATCH($A10,Вводные!$A$13:$A$64,0)),0))</f>
        <v>120</v>
      </c>
      <c r="H10" s="59" t="n">
        <f aca="false">SUM(E10:G10)</f>
        <v>302120</v>
      </c>
      <c r="J10" s="14" t="n">
        <f aca="false">INDEX(Вводные!$D$13:$F$64,MATCH($A10,Вводные!$A$13:$A$64,0),MATCH(J$3,Вводные!$D$11:$F$11,0))*(1+IF(J$4=$A10,Вводные!$D$5*INDEX(Вводные!$G$13:$G$64,MATCH($A10,Вводные!$A$13:$A$64,0)),0))</f>
        <v>300000</v>
      </c>
      <c r="K10" s="14" t="n">
        <f aca="false">INDEX(Вводные!$D$13:$F$64,MATCH($A10,Вводные!$A$13:$A$64,0),MATCH(K$3,Вводные!$D$11:$F$11,0))*(1+IF(K$4=$A10,Вводные!$D$5*INDEX(Вводные!$G$13:$G$64,MATCH($A10,Вводные!$A$13:$A$64,0)),0))</f>
        <v>303000</v>
      </c>
      <c r="L10" s="14" t="n">
        <f aca="false">INDEX(Вводные!$D$13:$F$64,MATCH($A10,Вводные!$A$13:$A$64,0),MATCH(L$3,Вводные!$D$11:$F$11,0))*(1+IF(L$4=$A10,Вводные!$D$5*INDEX(Вводные!$G$13:$G$64,MATCH($A10,Вводные!$A$13:$A$64,0)),0))</f>
        <v>300000</v>
      </c>
      <c r="M10" s="14" t="n">
        <f aca="false">INDEX(Вводные!$D$13:$F$64,MATCH($A10,Вводные!$A$13:$A$64,0),MATCH(M$3,Вводные!$D$11:$F$11,0))*(1+IF(M$4=$A10,Вводные!$D$5*INDEX(Вводные!$G$13:$G$64,MATCH($A10,Вводные!$A$13:$A$64,0)),0))</f>
        <v>300000</v>
      </c>
      <c r="N10" s="14" t="n">
        <f aca="false">INDEX(Вводные!$D$13:$F$64,MATCH($A10,Вводные!$A$13:$A$64,0),MATCH(N$3,Вводные!$D$11:$F$11,0))*(1+IF(N$4=$A10,Вводные!$D$5*INDEX(Вводные!$G$13:$G$64,MATCH($A10,Вводные!$A$13:$A$64,0)),0))</f>
        <v>300000</v>
      </c>
      <c r="O10" s="14" t="n">
        <f aca="false">INDEX(Вводные!$D$13:$F$64,MATCH($A10,Вводные!$A$13:$A$64,0),MATCH(O$3,Вводные!$D$11:$F$11,0))*(1+IF(O$4=$A10,Вводные!$D$5*INDEX(Вводные!$G$13:$G$64,MATCH($A10,Вводные!$A$13:$A$64,0)),0))</f>
        <v>300000</v>
      </c>
      <c r="P10" s="14" t="n">
        <f aca="false">INDEX(Вводные!$D$13:$F$64,MATCH($A10,Вводные!$A$13:$A$64,0),MATCH(P$3,Вводные!$D$11:$F$11,0))*(1+IF(P$4=$A10,Вводные!$D$5*INDEX(Вводные!$G$13:$G$64,MATCH($A10,Вводные!$A$13:$A$64,0)),0))</f>
        <v>300000</v>
      </c>
      <c r="Q10" s="14" t="n">
        <f aca="false">INDEX(Вводные!$D$13:$F$64,MATCH($A10,Вводные!$A$13:$A$64,0),MATCH(Q$3,Вводные!$D$11:$F$11,0))*(1+IF(Q$4=$A10,Вводные!$D$5*INDEX(Вводные!$G$13:$G$64,MATCH($A10,Вводные!$A$13:$A$64,0)),0))</f>
        <v>300000</v>
      </c>
      <c r="R10" s="14" t="n">
        <f aca="false">INDEX(Вводные!$D$13:$F$64,MATCH($A10,Вводные!$A$13:$A$64,0),MATCH(R$3,Вводные!$D$11:$F$11,0))*(1+IF(R$4=$A10,Вводные!$D$5*INDEX(Вводные!$G$13:$G$64,MATCH($A10,Вводные!$A$13:$A$64,0)),0))</f>
        <v>300000</v>
      </c>
      <c r="S10" s="14" t="n">
        <f aca="false">INDEX(Вводные!$D$13:$F$64,MATCH($A10,Вводные!$A$13:$A$64,0),MATCH(S$3,Вводные!$D$11:$F$11,0))*(1+IF(S$4=$A10,Вводные!$D$5*INDEX(Вводные!$G$13:$G$64,MATCH($A10,Вводные!$A$13:$A$64,0)),0))</f>
        <v>300000</v>
      </c>
      <c r="T10" s="14" t="n">
        <f aca="false">INDEX(Вводные!$D$13:$F$64,MATCH($A10,Вводные!$A$13:$A$64,0),MATCH(T$3,Вводные!$D$11:$F$11,0))*(1+IF(T$4=$A10,Вводные!$D$5*INDEX(Вводные!$G$13:$G$64,MATCH($A10,Вводные!$A$13:$A$64,0)),0))</f>
        <v>300000</v>
      </c>
      <c r="U10" s="14" t="n">
        <f aca="false">INDEX(Вводные!$D$13:$F$64,MATCH($A10,Вводные!$A$13:$A$64,0),MATCH(U$3,Вводные!$D$11:$F$11,0))*(1+IF(U$4=$A10,Вводные!$D$5*INDEX(Вводные!$G$13:$G$64,MATCH($A10,Вводные!$A$13:$A$64,0)),0))</f>
        <v>300000</v>
      </c>
      <c r="V10" s="14" t="n">
        <f aca="false">INDEX(Вводные!$D$13:$F$64,MATCH($A10,Вводные!$A$13:$A$64,0),MATCH(V$3,Вводные!$D$11:$F$11,0))*(1+IF(V$4=$A10,Вводные!$D$5*INDEX(Вводные!$G$13:$G$64,MATCH($A10,Вводные!$A$13:$A$64,0)),0))</f>
        <v>300000</v>
      </c>
      <c r="W10" s="14" t="n">
        <f aca="false">INDEX(Вводные!$D$13:$F$64,MATCH($A10,Вводные!$A$13:$A$64,0),MATCH(W$3,Вводные!$D$11:$F$11,0))*(1+IF(W$4=$A10,Вводные!$D$5*INDEX(Вводные!$G$13:$G$64,MATCH($A10,Вводные!$A$13:$A$64,0)),0))</f>
        <v>300000</v>
      </c>
      <c r="X10" s="14" t="n">
        <f aca="false">INDEX(Вводные!$D$13:$F$64,MATCH($A10,Вводные!$A$13:$A$64,0),MATCH(X$3,Вводные!$D$11:$F$11,0))*(1+IF(X$4=$A10,Вводные!$D$5*INDEX(Вводные!$G$13:$G$64,MATCH($A10,Вводные!$A$13:$A$64,0)),0))</f>
        <v>300000</v>
      </c>
      <c r="Y10" s="14" t="n">
        <f aca="false">INDEX(Вводные!$D$13:$F$64,MATCH($A10,Вводные!$A$13:$A$64,0),MATCH(Y$3,Вводные!$D$11:$F$11,0))*(1+IF(Y$4=$A10,Вводные!$D$5*INDEX(Вводные!$G$13:$G$64,MATCH($A10,Вводные!$A$13:$A$64,0)),0))</f>
        <v>300000</v>
      </c>
      <c r="Z10" s="14" t="n">
        <f aca="false">INDEX(Вводные!$D$13:$F$64,MATCH($A10,Вводные!$A$13:$A$64,0),MATCH(Z$3,Вводные!$D$11:$F$11,0))*(1+IF(Z$4=$A10,Вводные!$D$5*INDEX(Вводные!$G$13:$G$64,MATCH($A10,Вводные!$A$13:$A$64,0)),0))</f>
        <v>300000</v>
      </c>
      <c r="AA10" s="14" t="n">
        <f aca="false">INDEX(Вводные!$D$13:$F$64,MATCH($A10,Вводные!$A$13:$A$64,0),MATCH(AA$3,Вводные!$D$11:$F$11,0))*(1+IF(AA$4=$A10,Вводные!$D$5*INDEX(Вводные!$G$13:$G$64,MATCH($A10,Вводные!$A$13:$A$64,0)),0))</f>
        <v>300000</v>
      </c>
      <c r="AB10" s="14" t="n">
        <f aca="false">INDEX(Вводные!$D$13:$F$64,MATCH($A10,Вводные!$A$13:$A$64,0),MATCH(AB$3,Вводные!$D$11:$F$11,0))*(1+IF(AB$4=$A10,Вводные!$D$5*INDEX(Вводные!$G$13:$G$64,MATCH($A10,Вводные!$A$13:$A$64,0)),0))</f>
        <v>300000</v>
      </c>
      <c r="AC10" s="14" t="n">
        <f aca="false">INDEX(Вводные!$D$13:$F$64,MATCH($A10,Вводные!$A$13:$A$64,0),MATCH(AC$3,Вводные!$D$11:$F$11,0))*(1+IF(AC$4=$A10,Вводные!$D$5*INDEX(Вводные!$G$13:$G$64,MATCH($A10,Вводные!$A$13:$A$64,0)),0))</f>
        <v>300000</v>
      </c>
      <c r="AD10" s="14" t="n">
        <f aca="false">INDEX(Вводные!$D$13:$F$64,MATCH($A10,Вводные!$A$13:$A$64,0),MATCH(AD$3,Вводные!$D$11:$F$11,0))*(1+IF(AD$4=$A10,Вводные!$D$5*INDEX(Вводные!$G$13:$G$64,MATCH($A10,Вводные!$A$13:$A$64,0)),0))</f>
        <v>300000</v>
      </c>
      <c r="AE10" s="14" t="n">
        <f aca="false">INDEX(Вводные!$D$13:$F$64,MATCH($A10,Вводные!$A$13:$A$64,0),MATCH(AE$3,Вводные!$D$11:$F$11,0))*(1+IF(AE$4=$A10,Вводные!$D$5*INDEX(Вводные!$G$13:$G$64,MATCH($A10,Вводные!$A$13:$A$64,0)),0))</f>
        <v>300000</v>
      </c>
      <c r="AF10" s="14" t="n">
        <f aca="false">INDEX(Вводные!$D$13:$F$64,MATCH($A10,Вводные!$A$13:$A$64,0),MATCH(AF$3,Вводные!$D$11:$F$11,0))*(1+IF(AF$4=$A10,Вводные!$D$5*INDEX(Вводные!$G$13:$G$64,MATCH($A10,Вводные!$A$13:$A$64,0)),0))</f>
        <v>300000</v>
      </c>
      <c r="AG10" s="14" t="n">
        <f aca="false">INDEX(Вводные!$D$13:$F$64,MATCH($A10,Вводные!$A$13:$A$64,0),MATCH(AG$3,Вводные!$D$11:$F$11,0))*(1+IF(AG$4=$A10,Вводные!$D$5*INDEX(Вводные!$G$13:$G$64,MATCH($A10,Вводные!$A$13:$A$64,0)),0))</f>
        <v>300000</v>
      </c>
      <c r="AH10" s="14" t="n">
        <f aca="false">INDEX(Вводные!$D$13:$F$64,MATCH($A10,Вводные!$A$13:$A$64,0),MATCH(AH$3,Вводные!$D$11:$F$11,0))*(1+IF(AH$4=$A10,Вводные!$D$5*INDEX(Вводные!$G$13:$G$64,MATCH($A10,Вводные!$A$13:$A$64,0)),0))</f>
        <v>300000</v>
      </c>
      <c r="AI10" s="14" t="n">
        <f aca="false">INDEX(Вводные!$D$13:$F$64,MATCH($A10,Вводные!$A$13:$A$64,0),MATCH(AI$3,Вводные!$D$11:$F$11,0))*(1+IF(AI$4=$A10,Вводные!$D$5*INDEX(Вводные!$G$13:$G$64,MATCH($A10,Вводные!$A$13:$A$64,0)),0))</f>
        <v>300000</v>
      </c>
      <c r="AJ10" s="14" t="n">
        <f aca="false">INDEX(Вводные!$D$13:$F$64,MATCH($A10,Вводные!$A$13:$A$64,0),MATCH(AJ$3,Вводные!$D$11:$F$11,0))*(1+IF(AJ$4=$A10,Вводные!$D$5*INDEX(Вводные!$G$13:$G$64,MATCH($A10,Вводные!$A$13:$A$64,0)),0))</f>
        <v>300000</v>
      </c>
      <c r="AK10" s="14" t="n">
        <f aca="false">INDEX(Вводные!$D$13:$F$64,MATCH($A10,Вводные!$A$13:$A$64,0),MATCH(AK$3,Вводные!$D$11:$F$11,0))*(1+IF(AK$4=$A10,Вводные!$D$5*INDEX(Вводные!$G$13:$G$64,MATCH($A10,Вводные!$A$13:$A$64,0)),0))</f>
        <v>300000</v>
      </c>
      <c r="AL10" s="14" t="n">
        <f aca="false">INDEX(Вводные!$D$13:$F$64,MATCH($A10,Вводные!$A$13:$A$64,0),MATCH(AL$3,Вводные!$D$11:$F$11,0))*(1+IF(AL$4=$A10,Вводные!$D$5*INDEX(Вводные!$G$13:$G$64,MATCH($A10,Вводные!$A$13:$A$64,0)),0))</f>
        <v>300000</v>
      </c>
      <c r="AM10" s="14" t="n">
        <f aca="false">INDEX(Вводные!$D$13:$F$64,MATCH($A10,Вводные!$A$13:$A$64,0),MATCH(AM$3,Вводные!$D$11:$F$11,0))*(1+IF(AM$4=$A10,Вводные!$D$5*INDEX(Вводные!$G$13:$G$64,MATCH($A10,Вводные!$A$13:$A$64,0)),0))</f>
        <v>300000</v>
      </c>
      <c r="AN10" s="14" t="n">
        <f aca="false">INDEX(Вводные!$D$13:$F$64,MATCH($A10,Вводные!$A$13:$A$64,0),MATCH(AN$3,Вводные!$D$11:$F$11,0))*(1+IF(AN$4=$A10,Вводные!$D$5*INDEX(Вводные!$G$13:$G$64,MATCH($A10,Вводные!$A$13:$A$64,0)),0))</f>
        <v>300000</v>
      </c>
      <c r="AO10" s="14" t="n">
        <f aca="false">INDEX(Вводные!$D$13:$F$64,MATCH($A10,Вводные!$A$13:$A$64,0),MATCH(AO$3,Вводные!$D$11:$F$11,0))*(1+IF(AO$4=$A10,Вводные!$D$5*INDEX(Вводные!$G$13:$G$64,MATCH($A10,Вводные!$A$13:$A$64,0)),0))</f>
        <v>300000</v>
      </c>
      <c r="AP10" s="14" t="n">
        <f aca="false">INDEX(Вводные!$D$13:$F$64,MATCH($A10,Вводные!$A$13:$A$64,0),MATCH(AP$3,Вводные!$D$11:$F$11,0))*(1+IF(AP$4=$A10,Вводные!$D$5*INDEX(Вводные!$G$13:$G$64,MATCH($A10,Вводные!$A$13:$A$64,0)),0))</f>
        <v>300000</v>
      </c>
      <c r="AQ10" s="14" t="n">
        <f aca="false">INDEX(Вводные!$D$13:$F$64,MATCH($A10,Вводные!$A$13:$A$64,0),MATCH(AQ$3,Вводные!$D$11:$F$11,0))*(1+IF(AQ$4=$A10,Вводные!$D$5*INDEX(Вводные!$G$13:$G$64,MATCH($A10,Вводные!$A$13:$A$64,0)),0))</f>
        <v>300000</v>
      </c>
      <c r="AR10" s="14" t="n">
        <f aca="false">INDEX(Вводные!$D$13:$F$64,MATCH($A10,Вводные!$A$13:$A$64,0),MATCH(AR$3,Вводные!$D$11:$F$11,0))*(1+IF(AR$4=$A10,Вводные!$D$5*INDEX(Вводные!$G$13:$G$64,MATCH($A10,Вводные!$A$13:$A$64,0)),0))</f>
        <v>300000</v>
      </c>
      <c r="AS10" s="14" t="n">
        <f aca="false">INDEX(Вводные!$D$13:$F$64,MATCH($A10,Вводные!$A$13:$A$64,0),MATCH(AS$3,Вводные!$D$11:$F$11,0))*(1+IF(AS$4=$A10,Вводные!$D$5*INDEX(Вводные!$G$13:$G$64,MATCH($A10,Вводные!$A$13:$A$64,0)),0))</f>
        <v>300000</v>
      </c>
      <c r="AT10" s="14" t="n">
        <f aca="false">INDEX(Вводные!$D$13:$F$64,MATCH($A10,Вводные!$A$13:$A$64,0),MATCH(AT$3,Вводные!$D$11:$F$11,0))*(1+IF(AT$4=$A10,Вводные!$D$5*INDEX(Вводные!$G$13:$G$64,MATCH($A10,Вводные!$A$13:$A$64,0)),0))</f>
        <v>300000</v>
      </c>
      <c r="AU10" s="14" t="n">
        <f aca="false">INDEX(Вводные!$D$13:$F$64,MATCH($A10,Вводные!$A$13:$A$64,0),MATCH(AU$3,Вводные!$D$11:$F$11,0))*(1+IF(AU$4=$A10,Вводные!$D$5*INDEX(Вводные!$G$13:$G$64,MATCH($A10,Вводные!$A$13:$A$64,0)),0))</f>
        <v>300000</v>
      </c>
      <c r="AV10" s="14" t="n">
        <f aca="false">INDEX(Вводные!$D$13:$F$64,MATCH($A10,Вводные!$A$13:$A$64,0),MATCH(AV$3,Вводные!$D$11:$F$11,0))*(1+IF(AV$4=$A10,Вводные!$D$5*INDEX(Вводные!$G$13:$G$64,MATCH($A10,Вводные!$A$13:$A$64,0)),0))</f>
        <v>300000</v>
      </c>
      <c r="AW10" s="14" t="n">
        <f aca="false">INDEX(Вводные!$D$13:$F$64,MATCH($A10,Вводные!$A$13:$A$64,0),MATCH(AW$3,Вводные!$D$11:$F$11,0))*(1+IF(AW$4=$A10,Вводные!$D$5*INDEX(Вводные!$G$13:$G$64,MATCH($A10,Вводные!$A$13:$A$64,0)),0))</f>
        <v>300000</v>
      </c>
      <c r="AX10" s="14" t="n">
        <f aca="false">INDEX(Вводные!$D$13:$F$64,MATCH($A10,Вводные!$A$13:$A$64,0),MATCH(AX$3,Вводные!$D$11:$F$11,0))*(1+IF(AX$4=$A10,Вводные!$D$5*INDEX(Вводные!$G$13:$G$64,MATCH($A10,Вводные!$A$13:$A$64,0)),0))</f>
        <v>300000</v>
      </c>
      <c r="AY10" s="14" t="n">
        <f aca="false">INDEX(Вводные!$D$13:$F$64,MATCH($A10,Вводные!$A$13:$A$64,0),MATCH(AY$3,Вводные!$D$11:$F$11,0))*(1+IF(AY$4=$A10,Вводные!$D$5*INDEX(Вводные!$G$13:$G$64,MATCH($A10,Вводные!$A$13:$A$64,0)),0))</f>
        <v>300000</v>
      </c>
      <c r="AZ10" s="14" t="n">
        <f aca="false">INDEX(Вводные!$D$13:$F$64,MATCH($A10,Вводные!$A$13:$A$64,0),MATCH(AZ$3,Вводные!$D$11:$F$11,0))*(1+IF(AZ$4=$A10,Вводные!$D$5*INDEX(Вводные!$G$13:$G$64,MATCH($A10,Вводные!$A$13:$A$64,0)),0))</f>
        <v>2000</v>
      </c>
      <c r="BA10" s="14" t="n">
        <f aca="false">INDEX(Вводные!$D$13:$F$64,MATCH($A10,Вводные!$A$13:$A$64,0),MATCH(BA$3,Вводные!$D$11:$F$11,0))*(1+IF(BA$4=$A10,Вводные!$D$5*INDEX(Вводные!$G$13:$G$64,MATCH($A10,Вводные!$A$13:$A$64,0)),0))</f>
        <v>2020</v>
      </c>
      <c r="BB10" s="14" t="n">
        <f aca="false">INDEX(Вводные!$D$13:$F$64,MATCH($A10,Вводные!$A$13:$A$64,0),MATCH(BB$3,Вводные!$D$11:$F$11,0))*(1+IF(BB$4=$A10,Вводные!$D$5*INDEX(Вводные!$G$13:$G$64,MATCH($A10,Вводные!$A$13:$A$64,0)),0))</f>
        <v>2000</v>
      </c>
      <c r="BC10" s="14" t="n">
        <f aca="false">INDEX(Вводные!$D$13:$F$64,MATCH($A10,Вводные!$A$13:$A$64,0),MATCH(BC$3,Вводные!$D$11:$F$11,0))*(1+IF(BC$4=$A10,Вводные!$D$5*INDEX(Вводные!$G$13:$G$64,MATCH($A10,Вводные!$A$13:$A$64,0)),0))</f>
        <v>2000</v>
      </c>
      <c r="BD10" s="14" t="n">
        <f aca="false">INDEX(Вводные!$D$13:$F$64,MATCH($A10,Вводные!$A$13:$A$64,0),MATCH(BD$3,Вводные!$D$11:$F$11,0))*(1+IF(BD$4=$A10,Вводные!$D$5*INDEX(Вводные!$G$13:$G$64,MATCH($A10,Вводные!$A$13:$A$64,0)),0))</f>
        <v>2000</v>
      </c>
      <c r="BE10" s="14" t="n">
        <f aca="false">INDEX(Вводные!$D$13:$F$64,MATCH($A10,Вводные!$A$13:$A$64,0),MATCH(BE$3,Вводные!$D$11:$F$11,0))*(1+IF(BE$4=$A10,Вводные!$D$5*INDEX(Вводные!$G$13:$G$64,MATCH($A10,Вводные!$A$13:$A$64,0)),0))</f>
        <v>2000</v>
      </c>
      <c r="BF10" s="14" t="n">
        <f aca="false">INDEX(Вводные!$D$13:$F$64,MATCH($A10,Вводные!$A$13:$A$64,0),MATCH(BF$3,Вводные!$D$11:$F$11,0))*(1+IF(BF$4=$A10,Вводные!$D$5*INDEX(Вводные!$G$13:$G$64,MATCH($A10,Вводные!$A$13:$A$64,0)),0))</f>
        <v>2000</v>
      </c>
      <c r="BG10" s="14" t="n">
        <f aca="false">INDEX(Вводные!$D$13:$F$64,MATCH($A10,Вводные!$A$13:$A$64,0),MATCH(BG$3,Вводные!$D$11:$F$11,0))*(1+IF(BG$4=$A10,Вводные!$D$5*INDEX(Вводные!$G$13:$G$64,MATCH($A10,Вводные!$A$13:$A$64,0)),0))</f>
        <v>2000</v>
      </c>
      <c r="BH10" s="14" t="n">
        <f aca="false">INDEX(Вводные!$D$13:$F$64,MATCH($A10,Вводные!$A$13:$A$64,0),MATCH(BH$3,Вводные!$D$11:$F$11,0))*(1+IF(BH$4=$A10,Вводные!$D$5*INDEX(Вводные!$G$13:$G$64,MATCH($A10,Вводные!$A$13:$A$64,0)),0))</f>
        <v>2000</v>
      </c>
      <c r="BI10" s="14" t="n">
        <f aca="false">INDEX(Вводные!$D$13:$F$64,MATCH($A10,Вводные!$A$13:$A$64,0),MATCH(BI$3,Вводные!$D$11:$F$11,0))*(1+IF(BI$4=$A10,Вводные!$D$5*INDEX(Вводные!$G$13:$G$64,MATCH($A10,Вводные!$A$13:$A$64,0)),0))</f>
        <v>2000</v>
      </c>
      <c r="BJ10" s="14" t="n">
        <f aca="false">INDEX(Вводные!$D$13:$F$64,MATCH($A10,Вводные!$A$13:$A$64,0),MATCH(BJ$3,Вводные!$D$11:$F$11,0))*(1+IF(BJ$4=$A10,Вводные!$D$5*INDEX(Вводные!$G$13:$G$64,MATCH($A10,Вводные!$A$13:$A$64,0)),0))</f>
        <v>2000</v>
      </c>
      <c r="BK10" s="14" t="n">
        <f aca="false">INDEX(Вводные!$D$13:$F$64,MATCH($A10,Вводные!$A$13:$A$64,0),MATCH(BK$3,Вводные!$D$11:$F$11,0))*(1+IF(BK$4=$A10,Вводные!$D$5*INDEX(Вводные!$G$13:$G$64,MATCH($A10,Вводные!$A$13:$A$64,0)),0))</f>
        <v>2000</v>
      </c>
      <c r="BL10" s="14" t="n">
        <f aca="false">INDEX(Вводные!$D$13:$F$64,MATCH($A10,Вводные!$A$13:$A$64,0),MATCH(BL$3,Вводные!$D$11:$F$11,0))*(1+IF(BL$4=$A10,Вводные!$D$5*INDEX(Вводные!$G$13:$G$64,MATCH($A10,Вводные!$A$13:$A$64,0)),0))</f>
        <v>2000</v>
      </c>
      <c r="BM10" s="14" t="n">
        <f aca="false">INDEX(Вводные!$D$13:$F$64,MATCH($A10,Вводные!$A$13:$A$64,0),MATCH(BM$3,Вводные!$D$11:$F$11,0))*(1+IF(BM$4=$A10,Вводные!$D$5*INDEX(Вводные!$G$13:$G$64,MATCH($A10,Вводные!$A$13:$A$64,0)),0))</f>
        <v>2000</v>
      </c>
      <c r="BN10" s="14" t="n">
        <f aca="false">INDEX(Вводные!$D$13:$F$64,MATCH($A10,Вводные!$A$13:$A$64,0),MATCH(BN$3,Вводные!$D$11:$F$11,0))*(1+IF(BN$4=$A10,Вводные!$D$5*INDEX(Вводные!$G$13:$G$64,MATCH($A10,Вводные!$A$13:$A$64,0)),0))</f>
        <v>2000</v>
      </c>
      <c r="BO10" s="14" t="n">
        <f aca="false">INDEX(Вводные!$D$13:$F$64,MATCH($A10,Вводные!$A$13:$A$64,0),MATCH(BO$3,Вводные!$D$11:$F$11,0))*(1+IF(BO$4=$A10,Вводные!$D$5*INDEX(Вводные!$G$13:$G$64,MATCH($A10,Вводные!$A$13:$A$64,0)),0))</f>
        <v>2000</v>
      </c>
      <c r="BP10" s="14" t="n">
        <f aca="false">INDEX(Вводные!$D$13:$F$64,MATCH($A10,Вводные!$A$13:$A$64,0),MATCH(BP$3,Вводные!$D$11:$F$11,0))*(1+IF(BP$4=$A10,Вводные!$D$5*INDEX(Вводные!$G$13:$G$64,MATCH($A10,Вводные!$A$13:$A$64,0)),0))</f>
        <v>2000</v>
      </c>
      <c r="BQ10" s="14" t="n">
        <f aca="false">INDEX(Вводные!$D$13:$F$64,MATCH($A10,Вводные!$A$13:$A$64,0),MATCH(BQ$3,Вводные!$D$11:$F$11,0))*(1+IF(BQ$4=$A10,Вводные!$D$5*INDEX(Вводные!$G$13:$G$64,MATCH($A10,Вводные!$A$13:$A$64,0)),0))</f>
        <v>2000</v>
      </c>
      <c r="BR10" s="14" t="n">
        <f aca="false">INDEX(Вводные!$D$13:$F$64,MATCH($A10,Вводные!$A$13:$A$64,0),MATCH(BR$3,Вводные!$D$11:$F$11,0))*(1+IF(BR$4=$A10,Вводные!$D$5*INDEX(Вводные!$G$13:$G$64,MATCH($A10,Вводные!$A$13:$A$64,0)),0))</f>
        <v>2000</v>
      </c>
      <c r="BS10" s="14" t="n">
        <f aca="false">INDEX(Вводные!$D$13:$F$64,MATCH($A10,Вводные!$A$13:$A$64,0),MATCH(BS$3,Вводные!$D$11:$F$11,0))*(1+IF(BS$4=$A10,Вводные!$D$5*INDEX(Вводные!$G$13:$G$64,MATCH($A10,Вводные!$A$13:$A$64,0)),0))</f>
        <v>2000</v>
      </c>
      <c r="BT10" s="14" t="n">
        <f aca="false">INDEX(Вводные!$D$13:$F$64,MATCH($A10,Вводные!$A$13:$A$64,0),MATCH(BT$3,Вводные!$D$11:$F$11,0))*(1+IF(BT$4=$A10,Вводные!$D$5*INDEX(Вводные!$G$13:$G$64,MATCH($A10,Вводные!$A$13:$A$64,0)),0))</f>
        <v>2000</v>
      </c>
      <c r="BU10" s="14" t="n">
        <f aca="false">INDEX(Вводные!$D$13:$F$64,MATCH($A10,Вводные!$A$13:$A$64,0),MATCH(BU$3,Вводные!$D$11:$F$11,0))*(1+IF(BU$4=$A10,Вводные!$D$5*INDEX(Вводные!$G$13:$G$64,MATCH($A10,Вводные!$A$13:$A$64,0)),0))</f>
        <v>2000</v>
      </c>
      <c r="BV10" s="14" t="n">
        <f aca="false">INDEX(Вводные!$D$13:$F$64,MATCH($A10,Вводные!$A$13:$A$64,0),MATCH(BV$3,Вводные!$D$11:$F$11,0))*(1+IF(BV$4=$A10,Вводные!$D$5*INDEX(Вводные!$G$13:$G$64,MATCH($A10,Вводные!$A$13:$A$64,0)),0))</f>
        <v>2000</v>
      </c>
      <c r="BW10" s="14" t="n">
        <f aca="false">INDEX(Вводные!$D$13:$F$64,MATCH($A10,Вводные!$A$13:$A$64,0),MATCH(BW$3,Вводные!$D$11:$F$11,0))*(1+IF(BW$4=$A10,Вводные!$D$5*INDEX(Вводные!$G$13:$G$64,MATCH($A10,Вводные!$A$13:$A$64,0)),0))</f>
        <v>2000</v>
      </c>
      <c r="BX10" s="14" t="n">
        <f aca="false">INDEX(Вводные!$D$13:$F$64,MATCH($A10,Вводные!$A$13:$A$64,0),MATCH(BX$3,Вводные!$D$11:$F$11,0))*(1+IF(BX$4=$A10,Вводные!$D$5*INDEX(Вводные!$G$13:$G$64,MATCH($A10,Вводные!$A$13:$A$64,0)),0))</f>
        <v>2000</v>
      </c>
      <c r="BY10" s="14" t="n">
        <f aca="false">INDEX(Вводные!$D$13:$F$64,MATCH($A10,Вводные!$A$13:$A$64,0),MATCH(BY$3,Вводные!$D$11:$F$11,0))*(1+IF(BY$4=$A10,Вводные!$D$5*INDEX(Вводные!$G$13:$G$64,MATCH($A10,Вводные!$A$13:$A$64,0)),0))</f>
        <v>2000</v>
      </c>
      <c r="BZ10" s="14" t="n">
        <f aca="false">INDEX(Вводные!$D$13:$F$64,MATCH($A10,Вводные!$A$13:$A$64,0),MATCH(BZ$3,Вводные!$D$11:$F$11,0))*(1+IF(BZ$4=$A10,Вводные!$D$5*INDEX(Вводные!$G$13:$G$64,MATCH($A10,Вводные!$A$13:$A$64,0)),0))</f>
        <v>2000</v>
      </c>
      <c r="CA10" s="14" t="n">
        <f aca="false">INDEX(Вводные!$D$13:$F$64,MATCH($A10,Вводные!$A$13:$A$64,0),MATCH(CA$3,Вводные!$D$11:$F$11,0))*(1+IF(CA$4=$A10,Вводные!$D$5*INDEX(Вводные!$G$13:$G$64,MATCH($A10,Вводные!$A$13:$A$64,0)),0))</f>
        <v>2000</v>
      </c>
      <c r="CB10" s="14" t="n">
        <f aca="false">INDEX(Вводные!$D$13:$F$64,MATCH($A10,Вводные!$A$13:$A$64,0),MATCH(CB$3,Вводные!$D$11:$F$11,0))*(1+IF(CB$4=$A10,Вводные!$D$5*INDEX(Вводные!$G$13:$G$64,MATCH($A10,Вводные!$A$13:$A$64,0)),0))</f>
        <v>2000</v>
      </c>
      <c r="CC10" s="14" t="n">
        <f aca="false">INDEX(Вводные!$D$13:$F$64,MATCH($A10,Вводные!$A$13:$A$64,0),MATCH(CC$3,Вводные!$D$11:$F$11,0))*(1+IF(CC$4=$A10,Вводные!$D$5*INDEX(Вводные!$G$13:$G$64,MATCH($A10,Вводные!$A$13:$A$64,0)),0))</f>
        <v>2000</v>
      </c>
      <c r="CD10" s="14" t="n">
        <f aca="false">INDEX(Вводные!$D$13:$F$64,MATCH($A10,Вводные!$A$13:$A$64,0),MATCH(CD$3,Вводные!$D$11:$F$11,0))*(1+IF(CD$4=$A10,Вводные!$D$5*INDEX(Вводные!$G$13:$G$64,MATCH($A10,Вводные!$A$13:$A$64,0)),0))</f>
        <v>2000</v>
      </c>
      <c r="CE10" s="14" t="n">
        <f aca="false">INDEX(Вводные!$D$13:$F$64,MATCH($A10,Вводные!$A$13:$A$64,0),MATCH(CE$3,Вводные!$D$11:$F$11,0))*(1+IF(CE$4=$A10,Вводные!$D$5*INDEX(Вводные!$G$13:$G$64,MATCH($A10,Вводные!$A$13:$A$64,0)),0))</f>
        <v>2000</v>
      </c>
      <c r="CF10" s="14" t="n">
        <f aca="false">INDEX(Вводные!$D$13:$F$64,MATCH($A10,Вводные!$A$13:$A$64,0),MATCH(CF$3,Вводные!$D$11:$F$11,0))*(1+IF(CF$4=$A10,Вводные!$D$5*INDEX(Вводные!$G$13:$G$64,MATCH($A10,Вводные!$A$13:$A$64,0)),0))</f>
        <v>2000</v>
      </c>
      <c r="CG10" s="14" t="n">
        <f aca="false">INDEX(Вводные!$D$13:$F$64,MATCH($A10,Вводные!$A$13:$A$64,0),MATCH(CG$3,Вводные!$D$11:$F$11,0))*(1+IF(CG$4=$A10,Вводные!$D$5*INDEX(Вводные!$G$13:$G$64,MATCH($A10,Вводные!$A$13:$A$64,0)),0))</f>
        <v>2000</v>
      </c>
      <c r="CH10" s="14" t="n">
        <f aca="false">INDEX(Вводные!$D$13:$F$64,MATCH($A10,Вводные!$A$13:$A$64,0),MATCH(CH$3,Вводные!$D$11:$F$11,0))*(1+IF(CH$4=$A10,Вводные!$D$5*INDEX(Вводные!$G$13:$G$64,MATCH($A10,Вводные!$A$13:$A$64,0)),0))</f>
        <v>2000</v>
      </c>
      <c r="CI10" s="14" t="n">
        <f aca="false">INDEX(Вводные!$D$13:$F$64,MATCH($A10,Вводные!$A$13:$A$64,0),MATCH(CI$3,Вводные!$D$11:$F$11,0))*(1+IF(CI$4=$A10,Вводные!$D$5*INDEX(Вводные!$G$13:$G$64,MATCH($A10,Вводные!$A$13:$A$64,0)),0))</f>
        <v>2000</v>
      </c>
      <c r="CJ10" s="14" t="n">
        <f aca="false">INDEX(Вводные!$D$13:$F$64,MATCH($A10,Вводные!$A$13:$A$64,0),MATCH(CJ$3,Вводные!$D$11:$F$11,0))*(1+IF(CJ$4=$A10,Вводные!$D$5*INDEX(Вводные!$G$13:$G$64,MATCH($A10,Вводные!$A$13:$A$64,0)),0))</f>
        <v>2000</v>
      </c>
      <c r="CK10" s="14" t="n">
        <f aca="false">INDEX(Вводные!$D$13:$F$64,MATCH($A10,Вводные!$A$13:$A$64,0),MATCH(CK$3,Вводные!$D$11:$F$11,0))*(1+IF(CK$4=$A10,Вводные!$D$5*INDEX(Вводные!$G$13:$G$64,MATCH($A10,Вводные!$A$13:$A$64,0)),0))</f>
        <v>2000</v>
      </c>
      <c r="CL10" s="14" t="n">
        <f aca="false">INDEX(Вводные!$D$13:$F$64,MATCH($A10,Вводные!$A$13:$A$64,0),MATCH(CL$3,Вводные!$D$11:$F$11,0))*(1+IF(CL$4=$A10,Вводные!$D$5*INDEX(Вводные!$G$13:$G$64,MATCH($A10,Вводные!$A$13:$A$64,0)),0))</f>
        <v>2000</v>
      </c>
      <c r="CM10" s="14" t="n">
        <f aca="false">INDEX(Вводные!$D$13:$F$64,MATCH($A10,Вводные!$A$13:$A$64,0),MATCH(CM$3,Вводные!$D$11:$F$11,0))*(1+IF(CM$4=$A10,Вводные!$D$5*INDEX(Вводные!$G$13:$G$64,MATCH($A10,Вводные!$A$13:$A$64,0)),0))</f>
        <v>2000</v>
      </c>
      <c r="CN10" s="14" t="n">
        <f aca="false">INDEX(Вводные!$D$13:$F$64,MATCH($A10,Вводные!$A$13:$A$64,0),MATCH(CN$3,Вводные!$D$11:$F$11,0))*(1+IF(CN$4=$A10,Вводные!$D$5*INDEX(Вводные!$G$13:$G$64,MATCH($A10,Вводные!$A$13:$A$64,0)),0))</f>
        <v>2000</v>
      </c>
      <c r="CO10" s="14" t="n">
        <f aca="false">INDEX(Вводные!$D$13:$F$64,MATCH($A10,Вводные!$A$13:$A$64,0),MATCH(CO$3,Вводные!$D$11:$F$11,0))*(1+IF(CO$4=$A10,Вводные!$D$5*INDEX(Вводные!$G$13:$G$64,MATCH($A10,Вводные!$A$13:$A$64,0)),0))</f>
        <v>2000</v>
      </c>
      <c r="CP10" s="14" t="n">
        <f aca="false">INDEX(Вводные!$D$13:$F$64,MATCH($A10,Вводные!$A$13:$A$64,0),MATCH(CP$3,Вводные!$D$11:$F$11,0))*(1+IF(CP$4=$A10,Вводные!$D$5*INDEX(Вводные!$G$13:$G$64,MATCH($A10,Вводные!$A$13:$A$64,0)),0))</f>
        <v>120</v>
      </c>
      <c r="CQ10" s="14" t="n">
        <f aca="false">INDEX(Вводные!$D$13:$F$64,MATCH($A10,Вводные!$A$13:$A$64,0),MATCH(CQ$3,Вводные!$D$11:$F$11,0))*(1+IF(CQ$4=$A10,Вводные!$D$5*INDEX(Вводные!$G$13:$G$64,MATCH($A10,Вводные!$A$13:$A$64,0)),0))</f>
        <v>121.2</v>
      </c>
      <c r="CR10" s="14" t="n">
        <f aca="false">INDEX(Вводные!$D$13:$F$64,MATCH($A10,Вводные!$A$13:$A$64,0),MATCH(CR$3,Вводные!$D$11:$F$11,0))*(1+IF(CR$4=$A10,Вводные!$D$5*INDEX(Вводные!$G$13:$G$64,MATCH($A10,Вводные!$A$13:$A$64,0)),0))</f>
        <v>120</v>
      </c>
      <c r="CS10" s="14" t="n">
        <f aca="false">INDEX(Вводные!$D$13:$F$64,MATCH($A10,Вводные!$A$13:$A$64,0),MATCH(CS$3,Вводные!$D$11:$F$11,0))*(1+IF(CS$4=$A10,Вводные!$D$5*INDEX(Вводные!$G$13:$G$64,MATCH($A10,Вводные!$A$13:$A$64,0)),0))</f>
        <v>120</v>
      </c>
      <c r="CT10" s="14" t="n">
        <f aca="false">INDEX(Вводные!$D$13:$F$64,MATCH($A10,Вводные!$A$13:$A$64,0),MATCH(CT$3,Вводные!$D$11:$F$11,0))*(1+IF(CT$4=$A10,Вводные!$D$5*INDEX(Вводные!$G$13:$G$64,MATCH($A10,Вводные!$A$13:$A$64,0)),0))</f>
        <v>120</v>
      </c>
      <c r="CU10" s="14" t="n">
        <f aca="false">INDEX(Вводные!$D$13:$F$64,MATCH($A10,Вводные!$A$13:$A$64,0),MATCH(CU$3,Вводные!$D$11:$F$11,0))*(1+IF(CU$4=$A10,Вводные!$D$5*INDEX(Вводные!$G$13:$G$64,MATCH($A10,Вводные!$A$13:$A$64,0)),0))</f>
        <v>120</v>
      </c>
      <c r="CV10" s="14" t="n">
        <f aca="false">INDEX(Вводные!$D$13:$F$64,MATCH($A10,Вводные!$A$13:$A$64,0),MATCH(CV$3,Вводные!$D$11:$F$11,0))*(1+IF(CV$4=$A10,Вводные!$D$5*INDEX(Вводные!$G$13:$G$64,MATCH($A10,Вводные!$A$13:$A$64,0)),0))</f>
        <v>120</v>
      </c>
      <c r="CW10" s="14" t="n">
        <f aca="false">INDEX(Вводные!$D$13:$F$64,MATCH($A10,Вводные!$A$13:$A$64,0),MATCH(CW$3,Вводные!$D$11:$F$11,0))*(1+IF(CW$4=$A10,Вводные!$D$5*INDEX(Вводные!$G$13:$G$64,MATCH($A10,Вводные!$A$13:$A$64,0)),0))</f>
        <v>120</v>
      </c>
      <c r="CX10" s="14" t="n">
        <f aca="false">INDEX(Вводные!$D$13:$F$64,MATCH($A10,Вводные!$A$13:$A$64,0),MATCH(CX$3,Вводные!$D$11:$F$11,0))*(1+IF(CX$4=$A10,Вводные!$D$5*INDEX(Вводные!$G$13:$G$64,MATCH($A10,Вводные!$A$13:$A$64,0)),0))</f>
        <v>120</v>
      </c>
      <c r="CY10" s="14" t="n">
        <f aca="false">INDEX(Вводные!$D$13:$F$64,MATCH($A10,Вводные!$A$13:$A$64,0),MATCH(CY$3,Вводные!$D$11:$F$11,0))*(1+IF(CY$4=$A10,Вводные!$D$5*INDEX(Вводные!$G$13:$G$64,MATCH($A10,Вводные!$A$13:$A$64,0)),0))</f>
        <v>120</v>
      </c>
      <c r="CZ10" s="14" t="n">
        <f aca="false">INDEX(Вводные!$D$13:$F$64,MATCH($A10,Вводные!$A$13:$A$64,0),MATCH(CZ$3,Вводные!$D$11:$F$11,0))*(1+IF(CZ$4=$A10,Вводные!$D$5*INDEX(Вводные!$G$13:$G$64,MATCH($A10,Вводные!$A$13:$A$64,0)),0))</f>
        <v>120</v>
      </c>
      <c r="DA10" s="14" t="n">
        <f aca="false">INDEX(Вводные!$D$13:$F$64,MATCH($A10,Вводные!$A$13:$A$64,0),MATCH(DA$3,Вводные!$D$11:$F$11,0))*(1+IF(DA$4=$A10,Вводные!$D$5*INDEX(Вводные!$G$13:$G$64,MATCH($A10,Вводные!$A$13:$A$64,0)),0))</f>
        <v>120</v>
      </c>
      <c r="DB10" s="14" t="n">
        <f aca="false">INDEX(Вводные!$D$13:$F$64,MATCH($A10,Вводные!$A$13:$A$64,0),MATCH(DB$3,Вводные!$D$11:$F$11,0))*(1+IF(DB$4=$A10,Вводные!$D$5*INDEX(Вводные!$G$13:$G$64,MATCH($A10,Вводные!$A$13:$A$64,0)),0))</f>
        <v>120</v>
      </c>
      <c r="DC10" s="14" t="n">
        <f aca="false">INDEX(Вводные!$D$13:$F$64,MATCH($A10,Вводные!$A$13:$A$64,0),MATCH(DC$3,Вводные!$D$11:$F$11,0))*(1+IF(DC$4=$A10,Вводные!$D$5*INDEX(Вводные!$G$13:$G$64,MATCH($A10,Вводные!$A$13:$A$64,0)),0))</f>
        <v>120</v>
      </c>
      <c r="DD10" s="14" t="n">
        <f aca="false">INDEX(Вводные!$D$13:$F$64,MATCH($A10,Вводные!$A$13:$A$64,0),MATCH(DD$3,Вводные!$D$11:$F$11,0))*(1+IF(DD$4=$A10,Вводные!$D$5*INDEX(Вводные!$G$13:$G$64,MATCH($A10,Вводные!$A$13:$A$64,0)),0))</f>
        <v>120</v>
      </c>
      <c r="DE10" s="14" t="n">
        <f aca="false">INDEX(Вводные!$D$13:$F$64,MATCH($A10,Вводные!$A$13:$A$64,0),MATCH(DE$3,Вводные!$D$11:$F$11,0))*(1+IF(DE$4=$A10,Вводные!$D$5*INDEX(Вводные!$G$13:$G$64,MATCH($A10,Вводные!$A$13:$A$64,0)),0))</f>
        <v>120</v>
      </c>
      <c r="DF10" s="14" t="n">
        <f aca="false">INDEX(Вводные!$D$13:$F$64,MATCH($A10,Вводные!$A$13:$A$64,0),MATCH(DF$3,Вводные!$D$11:$F$11,0))*(1+IF(DF$4=$A10,Вводные!$D$5*INDEX(Вводные!$G$13:$G$64,MATCH($A10,Вводные!$A$13:$A$64,0)),0))</f>
        <v>120</v>
      </c>
      <c r="DG10" s="14" t="n">
        <f aca="false">INDEX(Вводные!$D$13:$F$64,MATCH($A10,Вводные!$A$13:$A$64,0),MATCH(DG$3,Вводные!$D$11:$F$11,0))*(1+IF(DG$4=$A10,Вводные!$D$5*INDEX(Вводные!$G$13:$G$64,MATCH($A10,Вводные!$A$13:$A$64,0)),0))</f>
        <v>120</v>
      </c>
      <c r="DH10" s="14" t="n">
        <f aca="false">INDEX(Вводные!$D$13:$F$64,MATCH($A10,Вводные!$A$13:$A$64,0),MATCH(DH$3,Вводные!$D$11:$F$11,0))*(1+IF(DH$4=$A10,Вводные!$D$5*INDEX(Вводные!$G$13:$G$64,MATCH($A10,Вводные!$A$13:$A$64,0)),0))</f>
        <v>120</v>
      </c>
      <c r="DI10" s="14" t="n">
        <f aca="false">INDEX(Вводные!$D$13:$F$64,MATCH($A10,Вводные!$A$13:$A$64,0),MATCH(DI$3,Вводные!$D$11:$F$11,0))*(1+IF(DI$4=$A10,Вводные!$D$5*INDEX(Вводные!$G$13:$G$64,MATCH($A10,Вводные!$A$13:$A$64,0)),0))</f>
        <v>120</v>
      </c>
      <c r="DJ10" s="14" t="n">
        <f aca="false">INDEX(Вводные!$D$13:$F$64,MATCH($A10,Вводные!$A$13:$A$64,0),MATCH(DJ$3,Вводные!$D$11:$F$11,0))*(1+IF(DJ$4=$A10,Вводные!$D$5*INDEX(Вводные!$G$13:$G$64,MATCH($A10,Вводные!$A$13:$A$64,0)),0))</f>
        <v>120</v>
      </c>
      <c r="DK10" s="14" t="n">
        <f aca="false">INDEX(Вводные!$D$13:$F$64,MATCH($A10,Вводные!$A$13:$A$64,0),MATCH(DK$3,Вводные!$D$11:$F$11,0))*(1+IF(DK$4=$A10,Вводные!$D$5*INDEX(Вводные!$G$13:$G$64,MATCH($A10,Вводные!$A$13:$A$64,0)),0))</f>
        <v>120</v>
      </c>
      <c r="DL10" s="14" t="n">
        <f aca="false">INDEX(Вводные!$D$13:$F$64,MATCH($A10,Вводные!$A$13:$A$64,0),MATCH(DL$3,Вводные!$D$11:$F$11,0))*(1+IF(DL$4=$A10,Вводные!$D$5*INDEX(Вводные!$G$13:$G$64,MATCH($A10,Вводные!$A$13:$A$64,0)),0))</f>
        <v>120</v>
      </c>
      <c r="DM10" s="14" t="n">
        <f aca="false">INDEX(Вводные!$D$13:$F$64,MATCH($A10,Вводные!$A$13:$A$64,0),MATCH(DM$3,Вводные!$D$11:$F$11,0))*(1+IF(DM$4=$A10,Вводные!$D$5*INDEX(Вводные!$G$13:$G$64,MATCH($A10,Вводные!$A$13:$A$64,0)),0))</f>
        <v>120</v>
      </c>
      <c r="DN10" s="14" t="n">
        <f aca="false">INDEX(Вводные!$D$13:$F$64,MATCH($A10,Вводные!$A$13:$A$64,0),MATCH(DN$3,Вводные!$D$11:$F$11,0))*(1+IF(DN$4=$A10,Вводные!$D$5*INDEX(Вводные!$G$13:$G$64,MATCH($A10,Вводные!$A$13:$A$64,0)),0))</f>
        <v>120</v>
      </c>
      <c r="DO10" s="14" t="n">
        <f aca="false">INDEX(Вводные!$D$13:$F$64,MATCH($A10,Вводные!$A$13:$A$64,0),MATCH(DO$3,Вводные!$D$11:$F$11,0))*(1+IF(DO$4=$A10,Вводные!$D$5*INDEX(Вводные!$G$13:$G$64,MATCH($A10,Вводные!$A$13:$A$64,0)),0))</f>
        <v>120</v>
      </c>
      <c r="DP10" s="14" t="n">
        <f aca="false">INDEX(Вводные!$D$13:$F$64,MATCH($A10,Вводные!$A$13:$A$64,0),MATCH(DP$3,Вводные!$D$11:$F$11,0))*(1+IF(DP$4=$A10,Вводные!$D$5*INDEX(Вводные!$G$13:$G$64,MATCH($A10,Вводные!$A$13:$A$64,0)),0))</f>
        <v>120</v>
      </c>
      <c r="DQ10" s="14" t="n">
        <f aca="false">INDEX(Вводные!$D$13:$F$64,MATCH($A10,Вводные!$A$13:$A$64,0),MATCH(DQ$3,Вводные!$D$11:$F$11,0))*(1+IF(DQ$4=$A10,Вводные!$D$5*INDEX(Вводные!$G$13:$G$64,MATCH($A10,Вводные!$A$13:$A$64,0)),0))</f>
        <v>120</v>
      </c>
      <c r="DR10" s="14" t="n">
        <f aca="false">INDEX(Вводные!$D$13:$F$64,MATCH($A10,Вводные!$A$13:$A$64,0),MATCH(DR$3,Вводные!$D$11:$F$11,0))*(1+IF(DR$4=$A10,Вводные!$D$5*INDEX(Вводные!$G$13:$G$64,MATCH($A10,Вводные!$A$13:$A$64,0)),0))</f>
        <v>120</v>
      </c>
      <c r="DS10" s="14" t="n">
        <f aca="false">INDEX(Вводные!$D$13:$F$64,MATCH($A10,Вводные!$A$13:$A$64,0),MATCH(DS$3,Вводные!$D$11:$F$11,0))*(1+IF(DS$4=$A10,Вводные!$D$5*INDEX(Вводные!$G$13:$G$64,MATCH($A10,Вводные!$A$13:$A$64,0)),0))</f>
        <v>120</v>
      </c>
      <c r="DT10" s="14" t="n">
        <f aca="false">INDEX(Вводные!$D$13:$F$64,MATCH($A10,Вводные!$A$13:$A$64,0),MATCH(DT$3,Вводные!$D$11:$F$11,0))*(1+IF(DT$4=$A10,Вводные!$D$5*INDEX(Вводные!$G$13:$G$64,MATCH($A10,Вводные!$A$13:$A$64,0)),0))</f>
        <v>120</v>
      </c>
      <c r="DU10" s="14" t="n">
        <f aca="false">INDEX(Вводные!$D$13:$F$64,MATCH($A10,Вводные!$A$13:$A$64,0),MATCH(DU$3,Вводные!$D$11:$F$11,0))*(1+IF(DU$4=$A10,Вводные!$D$5*INDEX(Вводные!$G$13:$G$64,MATCH($A10,Вводные!$A$13:$A$64,0)),0))</f>
        <v>120</v>
      </c>
      <c r="DV10" s="14" t="n">
        <f aca="false">INDEX(Вводные!$D$13:$F$64,MATCH($A10,Вводные!$A$13:$A$64,0),MATCH(DV$3,Вводные!$D$11:$F$11,0))*(1+IF(DV$4=$A10,Вводные!$D$5*INDEX(Вводные!$G$13:$G$64,MATCH($A10,Вводные!$A$13:$A$64,0)),0))</f>
        <v>120</v>
      </c>
      <c r="DW10" s="14" t="n">
        <f aca="false">INDEX(Вводные!$D$13:$F$64,MATCH($A10,Вводные!$A$13:$A$64,0),MATCH(DW$3,Вводные!$D$11:$F$11,0))*(1+IF(DW$4=$A10,Вводные!$D$5*INDEX(Вводные!$G$13:$G$64,MATCH($A10,Вводные!$A$13:$A$64,0)),0))</f>
        <v>120</v>
      </c>
      <c r="DX10" s="14" t="n">
        <f aca="false">INDEX(Вводные!$D$13:$F$64,MATCH($A10,Вводные!$A$13:$A$64,0),MATCH(DX$3,Вводные!$D$11:$F$11,0))*(1+IF(DX$4=$A10,Вводные!$D$5*INDEX(Вводные!$G$13:$G$64,MATCH($A10,Вводные!$A$13:$A$64,0)),0))</f>
        <v>120</v>
      </c>
      <c r="DY10" s="14" t="n">
        <f aca="false">INDEX(Вводные!$D$13:$F$64,MATCH($A10,Вводные!$A$13:$A$64,0),MATCH(DY$3,Вводные!$D$11:$F$11,0))*(1+IF(DY$4=$A10,Вводные!$D$5*INDEX(Вводные!$G$13:$G$64,MATCH($A10,Вводные!$A$13:$A$64,0)),0))</f>
        <v>120</v>
      </c>
      <c r="DZ10" s="14" t="n">
        <f aca="false">INDEX(Вводные!$D$13:$F$64,MATCH($A10,Вводные!$A$13:$A$64,0),MATCH(DZ$3,Вводные!$D$11:$F$11,0))*(1+IF(DZ$4=$A10,Вводные!$D$5*INDEX(Вводные!$G$13:$G$64,MATCH($A10,Вводные!$A$13:$A$64,0)),0))</f>
        <v>120</v>
      </c>
      <c r="EA10" s="14" t="n">
        <f aca="false">INDEX(Вводные!$D$13:$F$64,MATCH($A10,Вводные!$A$13:$A$64,0),MATCH(EA$3,Вводные!$D$11:$F$11,0))*(1+IF(EA$4=$A10,Вводные!$D$5*INDEX(Вводные!$G$13:$G$64,MATCH($A10,Вводные!$A$13:$A$64,0)),0))</f>
        <v>120</v>
      </c>
      <c r="EB10" s="14" t="n">
        <f aca="false">INDEX(Вводные!$D$13:$F$64,MATCH($A10,Вводные!$A$13:$A$64,0),MATCH(EB$3,Вводные!$D$11:$F$11,0))*(1+IF(EB$4=$A10,Вводные!$D$5*INDEX(Вводные!$G$13:$G$64,MATCH($A10,Вводные!$A$13:$A$64,0)),0))</f>
        <v>120</v>
      </c>
      <c r="EC10" s="14" t="n">
        <f aca="false">INDEX(Вводные!$D$13:$F$64,MATCH($A10,Вводные!$A$13:$A$64,0),MATCH(EC$3,Вводные!$D$11:$F$11,0))*(1+IF(EC$4=$A10,Вводные!$D$5*INDEX(Вводные!$G$13:$G$64,MATCH($A10,Вводные!$A$13:$A$64,0)),0))</f>
        <v>120</v>
      </c>
      <c r="ED10" s="14" t="n">
        <f aca="false">INDEX(Вводные!$D$13:$F$64,MATCH($A10,Вводные!$A$13:$A$64,0),MATCH(ED$3,Вводные!$D$11:$F$11,0))*(1+IF(ED$4=$A10,Вводные!$D$5*INDEX(Вводные!$G$13:$G$64,MATCH($A10,Вводные!$A$13:$A$64,0)),0))</f>
        <v>120</v>
      </c>
      <c r="EE10" s="14" t="n">
        <f aca="false">INDEX(Вводные!$D$13:$F$64,MATCH($A10,Вводные!$A$13:$A$64,0),MATCH(EE$3,Вводные!$D$11:$F$11,0))*(1+IF(EE$4=$A10,Вводные!$D$5*INDEX(Вводные!$G$13:$G$64,MATCH($A10,Вводные!$A$13:$A$64,0)),0))</f>
        <v>120</v>
      </c>
      <c r="EF10" s="14" t="n">
        <f aca="false">INDEX(Вводные!$D$13:$F$64,MATCH($A10,Вводные!$A$13:$A$64,0),MATCH(EF$3,Вводные!$D$11:$F$11,0))*(1+IF(EF$4=$A10,Вводные!$D$5*INDEX(Вводные!$G$13:$G$64,MATCH($A10,Вводные!$A$13:$A$64,0)),0))</f>
        <v>300000</v>
      </c>
      <c r="EG10" s="14" t="n">
        <f aca="false">INDEX(Вводные!$D$13:$F$64,MATCH($A10,Вводные!$A$13:$A$64,0),MATCH(EG$3,Вводные!$D$11:$F$11,0))*(1+IF(EG$4=$A10,Вводные!$D$5*INDEX(Вводные!$G$13:$G$64,MATCH($A10,Вводные!$A$13:$A$64,0)),0))</f>
        <v>303000</v>
      </c>
      <c r="EH10" s="14" t="n">
        <f aca="false">INDEX(Вводные!$D$13:$F$64,MATCH($A10,Вводные!$A$13:$A$64,0),MATCH(EH$3,Вводные!$D$11:$F$11,0))*(1+IF(EH$4=$A10,Вводные!$D$5*INDEX(Вводные!$G$13:$G$64,MATCH($A10,Вводные!$A$13:$A$64,0)),0))</f>
        <v>300000</v>
      </c>
      <c r="EI10" s="14" t="n">
        <f aca="false">INDEX(Вводные!$D$13:$F$64,MATCH($A10,Вводные!$A$13:$A$64,0),MATCH(EI$3,Вводные!$D$11:$F$11,0))*(1+IF(EI$4=$A10,Вводные!$D$5*INDEX(Вводные!$G$13:$G$64,MATCH($A10,Вводные!$A$13:$A$64,0)),0))</f>
        <v>300000</v>
      </c>
      <c r="EJ10" s="14" t="n">
        <f aca="false">INDEX(Вводные!$D$13:$F$64,MATCH($A10,Вводные!$A$13:$A$64,0),MATCH(EJ$3,Вводные!$D$11:$F$11,0))*(1+IF(EJ$4=$A10,Вводные!$D$5*INDEX(Вводные!$G$13:$G$64,MATCH($A10,Вводные!$A$13:$A$64,0)),0))</f>
        <v>300000</v>
      </c>
      <c r="EK10" s="14" t="n">
        <f aca="false">INDEX(Вводные!$D$13:$F$64,MATCH($A10,Вводные!$A$13:$A$64,0),MATCH(EK$3,Вводные!$D$11:$F$11,0))*(1+IF(EK$4=$A10,Вводные!$D$5*INDEX(Вводные!$G$13:$G$64,MATCH($A10,Вводные!$A$13:$A$64,0)),0))</f>
        <v>300000</v>
      </c>
      <c r="EL10" s="14" t="n">
        <f aca="false">INDEX(Вводные!$D$13:$F$64,MATCH($A10,Вводные!$A$13:$A$64,0),MATCH(EL$3,Вводные!$D$11:$F$11,0))*(1+IF(EL$4=$A10,Вводные!$D$5*INDEX(Вводные!$G$13:$G$64,MATCH($A10,Вводные!$A$13:$A$64,0)),0))</f>
        <v>300000</v>
      </c>
      <c r="EM10" s="14" t="n">
        <f aca="false">INDEX(Вводные!$D$13:$F$64,MATCH($A10,Вводные!$A$13:$A$64,0),MATCH(EM$3,Вводные!$D$11:$F$11,0))*(1+IF(EM$4=$A10,Вводные!$D$5*INDEX(Вводные!$G$13:$G$64,MATCH($A10,Вводные!$A$13:$A$64,0)),0))</f>
        <v>300000</v>
      </c>
      <c r="EN10" s="14" t="n">
        <f aca="false">INDEX(Вводные!$D$13:$F$64,MATCH($A10,Вводные!$A$13:$A$64,0),MATCH(EN$3,Вводные!$D$11:$F$11,0))*(1+IF(EN$4=$A10,Вводные!$D$5*INDEX(Вводные!$G$13:$G$64,MATCH($A10,Вводные!$A$13:$A$64,0)),0))</f>
        <v>300000</v>
      </c>
      <c r="EO10" s="14" t="n">
        <f aca="false">INDEX(Вводные!$D$13:$F$64,MATCH($A10,Вводные!$A$13:$A$64,0),MATCH(EO$3,Вводные!$D$11:$F$11,0))*(1+IF(EO$4=$A10,Вводные!$D$5*INDEX(Вводные!$G$13:$G$64,MATCH($A10,Вводные!$A$13:$A$64,0)),0))</f>
        <v>300000</v>
      </c>
      <c r="EP10" s="14" t="n">
        <f aca="false">INDEX(Вводные!$D$13:$F$64,MATCH($A10,Вводные!$A$13:$A$64,0),MATCH(EP$3,Вводные!$D$11:$F$11,0))*(1+IF(EP$4=$A10,Вводные!$D$5*INDEX(Вводные!$G$13:$G$64,MATCH($A10,Вводные!$A$13:$A$64,0)),0))</f>
        <v>300000</v>
      </c>
      <c r="EQ10" s="14" t="n">
        <f aca="false">INDEX(Вводные!$D$13:$F$64,MATCH($A10,Вводные!$A$13:$A$64,0),MATCH(EQ$3,Вводные!$D$11:$F$11,0))*(1+IF(EQ$4=$A10,Вводные!$D$5*INDEX(Вводные!$G$13:$G$64,MATCH($A10,Вводные!$A$13:$A$64,0)),0))</f>
        <v>300000</v>
      </c>
      <c r="ER10" s="14" t="n">
        <f aca="false">INDEX(Вводные!$D$13:$F$64,MATCH($A10,Вводные!$A$13:$A$64,0),MATCH(ER$3,Вводные!$D$11:$F$11,0))*(1+IF(ER$4=$A10,Вводные!$D$5*INDEX(Вводные!$G$13:$G$64,MATCH($A10,Вводные!$A$13:$A$64,0)),0))</f>
        <v>300000</v>
      </c>
      <c r="ES10" s="14" t="n">
        <f aca="false">INDEX(Вводные!$D$13:$F$64,MATCH($A10,Вводные!$A$13:$A$64,0),MATCH(ES$3,Вводные!$D$11:$F$11,0))*(1+IF(ES$4=$A10,Вводные!$D$5*INDEX(Вводные!$G$13:$G$64,MATCH($A10,Вводные!$A$13:$A$64,0)),0))</f>
        <v>300000</v>
      </c>
      <c r="ET10" s="14" t="n">
        <f aca="false">INDEX(Вводные!$D$13:$F$64,MATCH($A10,Вводные!$A$13:$A$64,0),MATCH(ET$3,Вводные!$D$11:$F$11,0))*(1+IF(ET$4=$A10,Вводные!$D$5*INDEX(Вводные!$G$13:$G$64,MATCH($A10,Вводные!$A$13:$A$64,0)),0))</f>
        <v>300000</v>
      </c>
      <c r="EU10" s="14" t="n">
        <f aca="false">INDEX(Вводные!$D$13:$F$64,MATCH($A10,Вводные!$A$13:$A$64,0),MATCH(EU$3,Вводные!$D$11:$F$11,0))*(1+IF(EU$4=$A10,Вводные!$D$5*INDEX(Вводные!$G$13:$G$64,MATCH($A10,Вводные!$A$13:$A$64,0)),0))</f>
        <v>300000</v>
      </c>
      <c r="EV10" s="14" t="n">
        <f aca="false">INDEX(Вводные!$D$13:$F$64,MATCH($A10,Вводные!$A$13:$A$64,0),MATCH(EV$3,Вводные!$D$11:$F$11,0))*(1+IF(EV$4=$A10,Вводные!$D$5*INDEX(Вводные!$G$13:$G$64,MATCH($A10,Вводные!$A$13:$A$64,0)),0))</f>
        <v>300000</v>
      </c>
      <c r="EW10" s="14" t="n">
        <f aca="false">INDEX(Вводные!$D$13:$F$64,MATCH($A10,Вводные!$A$13:$A$64,0),MATCH(EW$3,Вводные!$D$11:$F$11,0))*(1+IF(EW$4=$A10,Вводные!$D$5*INDEX(Вводные!$G$13:$G$64,MATCH($A10,Вводные!$A$13:$A$64,0)),0))</f>
        <v>300000</v>
      </c>
      <c r="EX10" s="14" t="n">
        <f aca="false">INDEX(Вводные!$D$13:$F$64,MATCH($A10,Вводные!$A$13:$A$64,0),MATCH(EX$3,Вводные!$D$11:$F$11,0))*(1+IF(EX$4=$A10,Вводные!$D$5*INDEX(Вводные!$G$13:$G$64,MATCH($A10,Вводные!$A$13:$A$64,0)),0))</f>
        <v>300000</v>
      </c>
      <c r="EY10" s="14" t="n">
        <f aca="false">INDEX(Вводные!$D$13:$F$64,MATCH($A10,Вводные!$A$13:$A$64,0),MATCH(EY$3,Вводные!$D$11:$F$11,0))*(1+IF(EY$4=$A10,Вводные!$D$5*INDEX(Вводные!$G$13:$G$64,MATCH($A10,Вводные!$A$13:$A$64,0)),0))</f>
        <v>300000</v>
      </c>
      <c r="EZ10" s="14" t="n">
        <f aca="false">INDEX(Вводные!$D$13:$F$64,MATCH($A10,Вводные!$A$13:$A$64,0),MATCH(EZ$3,Вводные!$D$11:$F$11,0))*(1+IF(EZ$4=$A10,Вводные!$D$5*INDEX(Вводные!$G$13:$G$64,MATCH($A10,Вводные!$A$13:$A$64,0)),0))</f>
        <v>300000</v>
      </c>
      <c r="FA10" s="14" t="n">
        <f aca="false">INDEX(Вводные!$D$13:$F$64,MATCH($A10,Вводные!$A$13:$A$64,0),MATCH(FA$3,Вводные!$D$11:$F$11,0))*(1+IF(FA$4=$A10,Вводные!$D$5*INDEX(Вводные!$G$13:$G$64,MATCH($A10,Вводные!$A$13:$A$64,0)),0))</f>
        <v>300000</v>
      </c>
      <c r="FB10" s="14" t="n">
        <f aca="false">INDEX(Вводные!$D$13:$F$64,MATCH($A10,Вводные!$A$13:$A$64,0),MATCH(FB$3,Вводные!$D$11:$F$11,0))*(1+IF(FB$4=$A10,Вводные!$D$5*INDEX(Вводные!$G$13:$G$64,MATCH($A10,Вводные!$A$13:$A$64,0)),0))</f>
        <v>300000</v>
      </c>
      <c r="FC10" s="14" t="n">
        <f aca="false">INDEX(Вводные!$D$13:$F$64,MATCH($A10,Вводные!$A$13:$A$64,0),MATCH(FC$3,Вводные!$D$11:$F$11,0))*(1+IF(FC$4=$A10,Вводные!$D$5*INDEX(Вводные!$G$13:$G$64,MATCH($A10,Вводные!$A$13:$A$64,0)),0))</f>
        <v>300000</v>
      </c>
      <c r="FD10" s="14" t="n">
        <f aca="false">INDEX(Вводные!$D$13:$F$64,MATCH($A10,Вводные!$A$13:$A$64,0),MATCH(FD$3,Вводные!$D$11:$F$11,0))*(1+IF(FD$4=$A10,Вводные!$D$5*INDEX(Вводные!$G$13:$G$64,MATCH($A10,Вводные!$A$13:$A$64,0)),0))</f>
        <v>300000</v>
      </c>
      <c r="FE10" s="14" t="n">
        <f aca="false">INDEX(Вводные!$D$13:$F$64,MATCH($A10,Вводные!$A$13:$A$64,0),MATCH(FE$3,Вводные!$D$11:$F$11,0))*(1+IF(FE$4=$A10,Вводные!$D$5*INDEX(Вводные!$G$13:$G$64,MATCH($A10,Вводные!$A$13:$A$64,0)),0))</f>
        <v>300000</v>
      </c>
      <c r="FF10" s="14" t="n">
        <f aca="false">INDEX(Вводные!$D$13:$F$64,MATCH($A10,Вводные!$A$13:$A$64,0),MATCH(FF$3,Вводные!$D$11:$F$11,0))*(1+IF(FF$4=$A10,Вводные!$D$5*INDEX(Вводные!$G$13:$G$64,MATCH($A10,Вводные!$A$13:$A$64,0)),0))</f>
        <v>300000</v>
      </c>
      <c r="FG10" s="14" t="n">
        <f aca="false">INDEX(Вводные!$D$13:$F$64,MATCH($A10,Вводные!$A$13:$A$64,0),MATCH(FG$3,Вводные!$D$11:$F$11,0))*(1+IF(FG$4=$A10,Вводные!$D$5*INDEX(Вводные!$G$13:$G$64,MATCH($A10,Вводные!$A$13:$A$64,0)),0))</f>
        <v>300000</v>
      </c>
      <c r="FH10" s="14" t="n">
        <f aca="false">INDEX(Вводные!$D$13:$F$64,MATCH($A10,Вводные!$A$13:$A$64,0),MATCH(FH$3,Вводные!$D$11:$F$11,0))*(1+IF(FH$4=$A10,Вводные!$D$5*INDEX(Вводные!$G$13:$G$64,MATCH($A10,Вводные!$A$13:$A$64,0)),0))</f>
        <v>300000</v>
      </c>
      <c r="FI10" s="14" t="n">
        <f aca="false">INDEX(Вводные!$D$13:$F$64,MATCH($A10,Вводные!$A$13:$A$64,0),MATCH(FI$3,Вводные!$D$11:$F$11,0))*(1+IF(FI$4=$A10,Вводные!$D$5*INDEX(Вводные!$G$13:$G$64,MATCH($A10,Вводные!$A$13:$A$64,0)),0))</f>
        <v>300000</v>
      </c>
      <c r="FJ10" s="14" t="n">
        <f aca="false">INDEX(Вводные!$D$13:$F$64,MATCH($A10,Вводные!$A$13:$A$64,0),MATCH(FJ$3,Вводные!$D$11:$F$11,0))*(1+IF(FJ$4=$A10,Вводные!$D$5*INDEX(Вводные!$G$13:$G$64,MATCH($A10,Вводные!$A$13:$A$64,0)),0))</f>
        <v>300000</v>
      </c>
      <c r="FK10" s="14" t="n">
        <f aca="false">INDEX(Вводные!$D$13:$F$64,MATCH($A10,Вводные!$A$13:$A$64,0),MATCH(FK$3,Вводные!$D$11:$F$11,0))*(1+IF(FK$4=$A10,Вводные!$D$5*INDEX(Вводные!$G$13:$G$64,MATCH($A10,Вводные!$A$13:$A$64,0)),0))</f>
        <v>300000</v>
      </c>
      <c r="FL10" s="14" t="n">
        <f aca="false">INDEX(Вводные!$D$13:$F$64,MATCH($A10,Вводные!$A$13:$A$64,0),MATCH(FL$3,Вводные!$D$11:$F$11,0))*(1+IF(FL$4=$A10,Вводные!$D$5*INDEX(Вводные!$G$13:$G$64,MATCH($A10,Вводные!$A$13:$A$64,0)),0))</f>
        <v>300000</v>
      </c>
      <c r="FM10" s="14" t="n">
        <f aca="false">INDEX(Вводные!$D$13:$F$64,MATCH($A10,Вводные!$A$13:$A$64,0),MATCH(FM$3,Вводные!$D$11:$F$11,0))*(1+IF(FM$4=$A10,Вводные!$D$5*INDEX(Вводные!$G$13:$G$64,MATCH($A10,Вводные!$A$13:$A$64,0)),0))</f>
        <v>300000</v>
      </c>
      <c r="FN10" s="14" t="n">
        <f aca="false">INDEX(Вводные!$D$13:$F$64,MATCH($A10,Вводные!$A$13:$A$64,0),MATCH(FN$3,Вводные!$D$11:$F$11,0))*(1+IF(FN$4=$A10,Вводные!$D$5*INDEX(Вводные!$G$13:$G$64,MATCH($A10,Вводные!$A$13:$A$64,0)),0))</f>
        <v>300000</v>
      </c>
      <c r="FO10" s="14" t="n">
        <f aca="false">INDEX(Вводные!$D$13:$F$64,MATCH($A10,Вводные!$A$13:$A$64,0),MATCH(FO$3,Вводные!$D$11:$F$11,0))*(1+IF(FO$4=$A10,Вводные!$D$5*INDEX(Вводные!$G$13:$G$64,MATCH($A10,Вводные!$A$13:$A$64,0)),0))</f>
        <v>300000</v>
      </c>
      <c r="FP10" s="14" t="n">
        <f aca="false">INDEX(Вводные!$D$13:$F$64,MATCH($A10,Вводные!$A$13:$A$64,0),MATCH(FP$3,Вводные!$D$11:$F$11,0))*(1+IF(FP$4=$A10,Вводные!$D$5*INDEX(Вводные!$G$13:$G$64,MATCH($A10,Вводные!$A$13:$A$64,0)),0))</f>
        <v>300000</v>
      </c>
      <c r="FQ10" s="14" t="n">
        <f aca="false">INDEX(Вводные!$D$13:$F$64,MATCH($A10,Вводные!$A$13:$A$64,0),MATCH(FQ$3,Вводные!$D$11:$F$11,0))*(1+IF(FQ$4=$A10,Вводные!$D$5*INDEX(Вводные!$G$13:$G$64,MATCH($A10,Вводные!$A$13:$A$64,0)),0))</f>
        <v>300000</v>
      </c>
      <c r="FR10" s="14" t="n">
        <f aca="false">INDEX(Вводные!$D$13:$F$64,MATCH($A10,Вводные!$A$13:$A$64,0),MATCH(FR$3,Вводные!$D$11:$F$11,0))*(1+IF(FR$4=$A10,Вводные!$D$5*INDEX(Вводные!$G$13:$G$64,MATCH($A10,Вводные!$A$13:$A$64,0)),0))</f>
        <v>300000</v>
      </c>
      <c r="FS10" s="14" t="n">
        <f aca="false">INDEX(Вводные!$D$13:$F$64,MATCH($A10,Вводные!$A$13:$A$64,0),MATCH(FS$3,Вводные!$D$11:$F$11,0))*(1+IF(FS$4=$A10,Вводные!$D$5*INDEX(Вводные!$G$13:$G$64,MATCH($A10,Вводные!$A$13:$A$64,0)),0))</f>
        <v>300000</v>
      </c>
      <c r="FT10" s="14" t="n">
        <f aca="false">INDEX(Вводные!$D$13:$F$64,MATCH($A10,Вводные!$A$13:$A$64,0),MATCH(FT$3,Вводные!$D$11:$F$11,0))*(1+IF(FT$4=$A10,Вводные!$D$5*INDEX(Вводные!$G$13:$G$64,MATCH($A10,Вводные!$A$13:$A$64,0)),0))</f>
        <v>300000</v>
      </c>
      <c r="FU10" s="14" t="n">
        <f aca="false">INDEX(Вводные!$D$13:$F$64,MATCH($A10,Вводные!$A$13:$A$64,0),MATCH(FU$3,Вводные!$D$11:$F$11,0))*(1+IF(FU$4=$A10,Вводные!$D$5*INDEX(Вводные!$G$13:$G$64,MATCH($A10,Вводные!$A$13:$A$64,0)),0))</f>
        <v>300000</v>
      </c>
      <c r="FV10" s="14" t="n">
        <f aca="false">INDEX(Вводные!$D$13:$F$64,MATCH($A10,Вводные!$A$13:$A$64,0),MATCH(FV$3,Вводные!$D$11:$F$11,0))*(1+IF(FV$4=$A10,Вводные!$D$5*INDEX(Вводные!$G$13:$G$64,MATCH($A10,Вводные!$A$13:$A$64,0)),0))</f>
        <v>2000</v>
      </c>
      <c r="FW10" s="14" t="n">
        <f aca="false">INDEX(Вводные!$D$13:$F$64,MATCH($A10,Вводные!$A$13:$A$64,0),MATCH(FW$3,Вводные!$D$11:$F$11,0))*(1+IF(FW$4=$A10,Вводные!$D$5*INDEX(Вводные!$G$13:$G$64,MATCH($A10,Вводные!$A$13:$A$64,0)),0))</f>
        <v>2020</v>
      </c>
      <c r="FX10" s="14" t="n">
        <f aca="false">INDEX(Вводные!$D$13:$F$64,MATCH($A10,Вводные!$A$13:$A$64,0),MATCH(FX$3,Вводные!$D$11:$F$11,0))*(1+IF(FX$4=$A10,Вводные!$D$5*INDEX(Вводные!$G$13:$G$64,MATCH($A10,Вводные!$A$13:$A$64,0)),0))</f>
        <v>2000</v>
      </c>
      <c r="FY10" s="14" t="n">
        <f aca="false">INDEX(Вводные!$D$13:$F$64,MATCH($A10,Вводные!$A$13:$A$64,0),MATCH(FY$3,Вводные!$D$11:$F$11,0))*(1+IF(FY$4=$A10,Вводные!$D$5*INDEX(Вводные!$G$13:$G$64,MATCH($A10,Вводные!$A$13:$A$64,0)),0))</f>
        <v>2000</v>
      </c>
      <c r="FZ10" s="14" t="n">
        <f aca="false">INDEX(Вводные!$D$13:$F$64,MATCH($A10,Вводные!$A$13:$A$64,0),MATCH(FZ$3,Вводные!$D$11:$F$11,0))*(1+IF(FZ$4=$A10,Вводные!$D$5*INDEX(Вводные!$G$13:$G$64,MATCH($A10,Вводные!$A$13:$A$64,0)),0))</f>
        <v>2000</v>
      </c>
      <c r="GA10" s="14" t="n">
        <f aca="false">INDEX(Вводные!$D$13:$F$64,MATCH($A10,Вводные!$A$13:$A$64,0),MATCH(GA$3,Вводные!$D$11:$F$11,0))*(1+IF(GA$4=$A10,Вводные!$D$5*INDEX(Вводные!$G$13:$G$64,MATCH($A10,Вводные!$A$13:$A$64,0)),0))</f>
        <v>2000</v>
      </c>
      <c r="GB10" s="14" t="n">
        <f aca="false">INDEX(Вводные!$D$13:$F$64,MATCH($A10,Вводные!$A$13:$A$64,0),MATCH(GB$3,Вводные!$D$11:$F$11,0))*(1+IF(GB$4=$A10,Вводные!$D$5*INDEX(Вводные!$G$13:$G$64,MATCH($A10,Вводные!$A$13:$A$64,0)),0))</f>
        <v>2000</v>
      </c>
      <c r="GC10" s="14" t="n">
        <f aca="false">INDEX(Вводные!$D$13:$F$64,MATCH($A10,Вводные!$A$13:$A$64,0),MATCH(GC$3,Вводные!$D$11:$F$11,0))*(1+IF(GC$4=$A10,Вводные!$D$5*INDEX(Вводные!$G$13:$G$64,MATCH($A10,Вводные!$A$13:$A$64,0)),0))</f>
        <v>2000</v>
      </c>
      <c r="GD10" s="14" t="n">
        <f aca="false">INDEX(Вводные!$D$13:$F$64,MATCH($A10,Вводные!$A$13:$A$64,0),MATCH(GD$3,Вводные!$D$11:$F$11,0))*(1+IF(GD$4=$A10,Вводные!$D$5*INDEX(Вводные!$G$13:$G$64,MATCH($A10,Вводные!$A$13:$A$64,0)),0))</f>
        <v>2000</v>
      </c>
      <c r="GE10" s="14" t="n">
        <f aca="false">INDEX(Вводные!$D$13:$F$64,MATCH($A10,Вводные!$A$13:$A$64,0),MATCH(GE$3,Вводные!$D$11:$F$11,0))*(1+IF(GE$4=$A10,Вводные!$D$5*INDEX(Вводные!$G$13:$G$64,MATCH($A10,Вводные!$A$13:$A$64,0)),0))</f>
        <v>2000</v>
      </c>
      <c r="GF10" s="14" t="n">
        <f aca="false">INDEX(Вводные!$D$13:$F$64,MATCH($A10,Вводные!$A$13:$A$64,0),MATCH(GF$3,Вводные!$D$11:$F$11,0))*(1+IF(GF$4=$A10,Вводные!$D$5*INDEX(Вводные!$G$13:$G$64,MATCH($A10,Вводные!$A$13:$A$64,0)),0))</f>
        <v>2000</v>
      </c>
      <c r="GG10" s="14" t="n">
        <f aca="false">INDEX(Вводные!$D$13:$F$64,MATCH($A10,Вводные!$A$13:$A$64,0),MATCH(GG$3,Вводные!$D$11:$F$11,0))*(1+IF(GG$4=$A10,Вводные!$D$5*INDEX(Вводные!$G$13:$G$64,MATCH($A10,Вводные!$A$13:$A$64,0)),0))</f>
        <v>2000</v>
      </c>
      <c r="GH10" s="14" t="n">
        <f aca="false">INDEX(Вводные!$D$13:$F$64,MATCH($A10,Вводные!$A$13:$A$64,0),MATCH(GH$3,Вводные!$D$11:$F$11,0))*(1+IF(GH$4=$A10,Вводные!$D$5*INDEX(Вводные!$G$13:$G$64,MATCH($A10,Вводные!$A$13:$A$64,0)),0))</f>
        <v>2000</v>
      </c>
      <c r="GI10" s="14" t="n">
        <f aca="false">INDEX(Вводные!$D$13:$F$64,MATCH($A10,Вводные!$A$13:$A$64,0),MATCH(GI$3,Вводные!$D$11:$F$11,0))*(1+IF(GI$4=$A10,Вводные!$D$5*INDEX(Вводные!$G$13:$G$64,MATCH($A10,Вводные!$A$13:$A$64,0)),0))</f>
        <v>2000</v>
      </c>
      <c r="GJ10" s="14" t="n">
        <f aca="false">INDEX(Вводные!$D$13:$F$64,MATCH($A10,Вводные!$A$13:$A$64,0),MATCH(GJ$3,Вводные!$D$11:$F$11,0))*(1+IF(GJ$4=$A10,Вводные!$D$5*INDEX(Вводные!$G$13:$G$64,MATCH($A10,Вводные!$A$13:$A$64,0)),0))</f>
        <v>2000</v>
      </c>
      <c r="GK10" s="14" t="n">
        <f aca="false">INDEX(Вводные!$D$13:$F$64,MATCH($A10,Вводные!$A$13:$A$64,0),MATCH(GK$3,Вводные!$D$11:$F$11,0))*(1+IF(GK$4=$A10,Вводные!$D$5*INDEX(Вводные!$G$13:$G$64,MATCH($A10,Вводные!$A$13:$A$64,0)),0))</f>
        <v>2000</v>
      </c>
      <c r="GL10" s="14" t="n">
        <f aca="false">INDEX(Вводные!$D$13:$F$64,MATCH($A10,Вводные!$A$13:$A$64,0),MATCH(GL$3,Вводные!$D$11:$F$11,0))*(1+IF(GL$4=$A10,Вводные!$D$5*INDEX(Вводные!$G$13:$G$64,MATCH($A10,Вводные!$A$13:$A$64,0)),0))</f>
        <v>2000</v>
      </c>
      <c r="GM10" s="14" t="n">
        <f aca="false">INDEX(Вводные!$D$13:$F$64,MATCH($A10,Вводные!$A$13:$A$64,0),MATCH(GM$3,Вводные!$D$11:$F$11,0))*(1+IF(GM$4=$A10,Вводные!$D$5*INDEX(Вводные!$G$13:$G$64,MATCH($A10,Вводные!$A$13:$A$64,0)),0))</f>
        <v>2000</v>
      </c>
      <c r="GN10" s="14" t="n">
        <f aca="false">INDEX(Вводные!$D$13:$F$64,MATCH($A10,Вводные!$A$13:$A$64,0),MATCH(GN$3,Вводные!$D$11:$F$11,0))*(1+IF(GN$4=$A10,Вводные!$D$5*INDEX(Вводные!$G$13:$G$64,MATCH($A10,Вводные!$A$13:$A$64,0)),0))</f>
        <v>2000</v>
      </c>
      <c r="GO10" s="14" t="n">
        <f aca="false">INDEX(Вводные!$D$13:$F$64,MATCH($A10,Вводные!$A$13:$A$64,0),MATCH(GO$3,Вводные!$D$11:$F$11,0))*(1+IF(GO$4=$A10,Вводные!$D$5*INDEX(Вводные!$G$13:$G$64,MATCH($A10,Вводные!$A$13:$A$64,0)),0))</f>
        <v>2000</v>
      </c>
      <c r="GP10" s="14" t="n">
        <f aca="false">INDEX(Вводные!$D$13:$F$64,MATCH($A10,Вводные!$A$13:$A$64,0),MATCH(GP$3,Вводные!$D$11:$F$11,0))*(1+IF(GP$4=$A10,Вводные!$D$5*INDEX(Вводные!$G$13:$G$64,MATCH($A10,Вводные!$A$13:$A$64,0)),0))</f>
        <v>2000</v>
      </c>
      <c r="GQ10" s="14" t="n">
        <f aca="false">INDEX(Вводные!$D$13:$F$64,MATCH($A10,Вводные!$A$13:$A$64,0),MATCH(GQ$3,Вводные!$D$11:$F$11,0))*(1+IF(GQ$4=$A10,Вводные!$D$5*INDEX(Вводные!$G$13:$G$64,MATCH($A10,Вводные!$A$13:$A$64,0)),0))</f>
        <v>2000</v>
      </c>
      <c r="GR10" s="14" t="n">
        <f aca="false">INDEX(Вводные!$D$13:$F$64,MATCH($A10,Вводные!$A$13:$A$64,0),MATCH(GR$3,Вводные!$D$11:$F$11,0))*(1+IF(GR$4=$A10,Вводные!$D$5*INDEX(Вводные!$G$13:$G$64,MATCH($A10,Вводные!$A$13:$A$64,0)),0))</f>
        <v>2000</v>
      </c>
      <c r="GS10" s="14" t="n">
        <f aca="false">INDEX(Вводные!$D$13:$F$64,MATCH($A10,Вводные!$A$13:$A$64,0),MATCH(GS$3,Вводные!$D$11:$F$11,0))*(1+IF(GS$4=$A10,Вводные!$D$5*INDEX(Вводные!$G$13:$G$64,MATCH($A10,Вводные!$A$13:$A$64,0)),0))</f>
        <v>2000</v>
      </c>
      <c r="GT10" s="14" t="n">
        <f aca="false">INDEX(Вводные!$D$13:$F$64,MATCH($A10,Вводные!$A$13:$A$64,0),MATCH(GT$3,Вводные!$D$11:$F$11,0))*(1+IF(GT$4=$A10,Вводные!$D$5*INDEX(Вводные!$G$13:$G$64,MATCH($A10,Вводные!$A$13:$A$64,0)),0))</f>
        <v>2000</v>
      </c>
      <c r="GU10" s="14" t="n">
        <f aca="false">INDEX(Вводные!$D$13:$F$64,MATCH($A10,Вводные!$A$13:$A$64,0),MATCH(GU$3,Вводные!$D$11:$F$11,0))*(1+IF(GU$4=$A10,Вводные!$D$5*INDEX(Вводные!$G$13:$G$64,MATCH($A10,Вводные!$A$13:$A$64,0)),0))</f>
        <v>2000</v>
      </c>
      <c r="GV10" s="14" t="n">
        <f aca="false">INDEX(Вводные!$D$13:$F$64,MATCH($A10,Вводные!$A$13:$A$64,0),MATCH(GV$3,Вводные!$D$11:$F$11,0))*(1+IF(GV$4=$A10,Вводные!$D$5*INDEX(Вводные!$G$13:$G$64,MATCH($A10,Вводные!$A$13:$A$64,0)),0))</f>
        <v>2000</v>
      </c>
      <c r="GW10" s="14" t="n">
        <f aca="false">INDEX(Вводные!$D$13:$F$64,MATCH($A10,Вводные!$A$13:$A$64,0),MATCH(GW$3,Вводные!$D$11:$F$11,0))*(1+IF(GW$4=$A10,Вводные!$D$5*INDEX(Вводные!$G$13:$G$64,MATCH($A10,Вводные!$A$13:$A$64,0)),0))</f>
        <v>2000</v>
      </c>
      <c r="GX10" s="14" t="n">
        <f aca="false">INDEX(Вводные!$D$13:$F$64,MATCH($A10,Вводные!$A$13:$A$64,0),MATCH(GX$3,Вводные!$D$11:$F$11,0))*(1+IF(GX$4=$A10,Вводные!$D$5*INDEX(Вводные!$G$13:$G$64,MATCH($A10,Вводные!$A$13:$A$64,0)),0))</f>
        <v>2000</v>
      </c>
      <c r="GY10" s="14" t="n">
        <f aca="false">INDEX(Вводные!$D$13:$F$64,MATCH($A10,Вводные!$A$13:$A$64,0),MATCH(GY$3,Вводные!$D$11:$F$11,0))*(1+IF(GY$4=$A10,Вводные!$D$5*INDEX(Вводные!$G$13:$G$64,MATCH($A10,Вводные!$A$13:$A$64,0)),0))</f>
        <v>2000</v>
      </c>
      <c r="GZ10" s="14" t="n">
        <f aca="false">INDEX(Вводные!$D$13:$F$64,MATCH($A10,Вводные!$A$13:$A$64,0),MATCH(GZ$3,Вводные!$D$11:$F$11,0))*(1+IF(GZ$4=$A10,Вводные!$D$5*INDEX(Вводные!$G$13:$G$64,MATCH($A10,Вводные!$A$13:$A$64,0)),0))</f>
        <v>2000</v>
      </c>
      <c r="HA10" s="14" t="n">
        <f aca="false">INDEX(Вводные!$D$13:$F$64,MATCH($A10,Вводные!$A$13:$A$64,0),MATCH(HA$3,Вводные!$D$11:$F$11,0))*(1+IF(HA$4=$A10,Вводные!$D$5*INDEX(Вводные!$G$13:$G$64,MATCH($A10,Вводные!$A$13:$A$64,0)),0))</f>
        <v>2000</v>
      </c>
      <c r="HB10" s="14" t="n">
        <f aca="false">INDEX(Вводные!$D$13:$F$64,MATCH($A10,Вводные!$A$13:$A$64,0),MATCH(HB$3,Вводные!$D$11:$F$11,0))*(1+IF(HB$4=$A10,Вводные!$D$5*INDEX(Вводные!$G$13:$G$64,MATCH($A10,Вводные!$A$13:$A$64,0)),0))</f>
        <v>2000</v>
      </c>
      <c r="HC10" s="14" t="n">
        <f aca="false">INDEX(Вводные!$D$13:$F$64,MATCH($A10,Вводные!$A$13:$A$64,0),MATCH(HC$3,Вводные!$D$11:$F$11,0))*(1+IF(HC$4=$A10,Вводные!$D$5*INDEX(Вводные!$G$13:$G$64,MATCH($A10,Вводные!$A$13:$A$64,0)),0))</f>
        <v>2000</v>
      </c>
      <c r="HD10" s="14" t="n">
        <f aca="false">INDEX(Вводные!$D$13:$F$64,MATCH($A10,Вводные!$A$13:$A$64,0),MATCH(HD$3,Вводные!$D$11:$F$11,0))*(1+IF(HD$4=$A10,Вводные!$D$5*INDEX(Вводные!$G$13:$G$64,MATCH($A10,Вводные!$A$13:$A$64,0)),0))</f>
        <v>2000</v>
      </c>
      <c r="HE10" s="14" t="n">
        <f aca="false">INDEX(Вводные!$D$13:$F$64,MATCH($A10,Вводные!$A$13:$A$64,0),MATCH(HE$3,Вводные!$D$11:$F$11,0))*(1+IF(HE$4=$A10,Вводные!$D$5*INDEX(Вводные!$G$13:$G$64,MATCH($A10,Вводные!$A$13:$A$64,0)),0))</f>
        <v>2000</v>
      </c>
      <c r="HF10" s="14" t="n">
        <f aca="false">INDEX(Вводные!$D$13:$F$64,MATCH($A10,Вводные!$A$13:$A$64,0),MATCH(HF$3,Вводные!$D$11:$F$11,0))*(1+IF(HF$4=$A10,Вводные!$D$5*INDEX(Вводные!$G$13:$G$64,MATCH($A10,Вводные!$A$13:$A$64,0)),0))</f>
        <v>2000</v>
      </c>
      <c r="HG10" s="14" t="n">
        <f aca="false">INDEX(Вводные!$D$13:$F$64,MATCH($A10,Вводные!$A$13:$A$64,0),MATCH(HG$3,Вводные!$D$11:$F$11,0))*(1+IF(HG$4=$A10,Вводные!$D$5*INDEX(Вводные!$G$13:$G$64,MATCH($A10,Вводные!$A$13:$A$64,0)),0))</f>
        <v>2000</v>
      </c>
      <c r="HH10" s="14" t="n">
        <f aca="false">INDEX(Вводные!$D$13:$F$64,MATCH($A10,Вводные!$A$13:$A$64,0),MATCH(HH$3,Вводные!$D$11:$F$11,0))*(1+IF(HH$4=$A10,Вводные!$D$5*INDEX(Вводные!$G$13:$G$64,MATCH($A10,Вводные!$A$13:$A$64,0)),0))</f>
        <v>2000</v>
      </c>
      <c r="HI10" s="14" t="n">
        <f aca="false">INDEX(Вводные!$D$13:$F$64,MATCH($A10,Вводные!$A$13:$A$64,0),MATCH(HI$3,Вводные!$D$11:$F$11,0))*(1+IF(HI$4=$A10,Вводные!$D$5*INDEX(Вводные!$G$13:$G$64,MATCH($A10,Вводные!$A$13:$A$64,0)),0))</f>
        <v>2000</v>
      </c>
      <c r="HJ10" s="14" t="n">
        <f aca="false">INDEX(Вводные!$D$13:$F$64,MATCH($A10,Вводные!$A$13:$A$64,0),MATCH(HJ$3,Вводные!$D$11:$F$11,0))*(1+IF(HJ$4=$A10,Вводные!$D$5*INDEX(Вводные!$G$13:$G$64,MATCH($A10,Вводные!$A$13:$A$64,0)),0))</f>
        <v>2000</v>
      </c>
      <c r="HK10" s="14" t="n">
        <f aca="false">INDEX(Вводные!$D$13:$F$64,MATCH($A10,Вводные!$A$13:$A$64,0),MATCH(HK$3,Вводные!$D$11:$F$11,0))*(1+IF(HK$4=$A10,Вводные!$D$5*INDEX(Вводные!$G$13:$G$64,MATCH($A10,Вводные!$A$13:$A$64,0)),0))</f>
        <v>2000</v>
      </c>
      <c r="HL10" s="14" t="n">
        <f aca="false">INDEX(Вводные!$D$13:$F$64,MATCH($A10,Вводные!$A$13:$A$64,0),MATCH(HL$3,Вводные!$D$11:$F$11,0))*(1+IF(HL$4=$A10,Вводные!$D$5*INDEX(Вводные!$G$13:$G$64,MATCH($A10,Вводные!$A$13:$A$64,0)),0))</f>
        <v>120</v>
      </c>
      <c r="HM10" s="14" t="n">
        <f aca="false">INDEX(Вводные!$D$13:$F$64,MATCH($A10,Вводные!$A$13:$A$64,0),MATCH(HM$3,Вводные!$D$11:$F$11,0))*(1+IF(HM$4=$A10,Вводные!$D$5*INDEX(Вводные!$G$13:$G$64,MATCH($A10,Вводные!$A$13:$A$64,0)),0))</f>
        <v>121.2</v>
      </c>
      <c r="HN10" s="14" t="n">
        <f aca="false">INDEX(Вводные!$D$13:$F$64,MATCH($A10,Вводные!$A$13:$A$64,0),MATCH(HN$3,Вводные!$D$11:$F$11,0))*(1+IF(HN$4=$A10,Вводные!$D$5*INDEX(Вводные!$G$13:$G$64,MATCH($A10,Вводные!$A$13:$A$64,0)),0))</f>
        <v>120</v>
      </c>
      <c r="HO10" s="14" t="n">
        <f aca="false">INDEX(Вводные!$D$13:$F$64,MATCH($A10,Вводные!$A$13:$A$64,0),MATCH(HO$3,Вводные!$D$11:$F$11,0))*(1+IF(HO$4=$A10,Вводные!$D$5*INDEX(Вводные!$G$13:$G$64,MATCH($A10,Вводные!$A$13:$A$64,0)),0))</f>
        <v>120</v>
      </c>
      <c r="HP10" s="14" t="n">
        <f aca="false">INDEX(Вводные!$D$13:$F$64,MATCH($A10,Вводные!$A$13:$A$64,0),MATCH(HP$3,Вводные!$D$11:$F$11,0))*(1+IF(HP$4=$A10,Вводные!$D$5*INDEX(Вводные!$G$13:$G$64,MATCH($A10,Вводные!$A$13:$A$64,0)),0))</f>
        <v>120</v>
      </c>
      <c r="HQ10" s="14" t="n">
        <f aca="false">INDEX(Вводные!$D$13:$F$64,MATCH($A10,Вводные!$A$13:$A$64,0),MATCH(HQ$3,Вводные!$D$11:$F$11,0))*(1+IF(HQ$4=$A10,Вводные!$D$5*INDEX(Вводные!$G$13:$G$64,MATCH($A10,Вводные!$A$13:$A$64,0)),0))</f>
        <v>120</v>
      </c>
      <c r="HR10" s="14" t="n">
        <f aca="false">INDEX(Вводные!$D$13:$F$64,MATCH($A10,Вводные!$A$13:$A$64,0),MATCH(HR$3,Вводные!$D$11:$F$11,0))*(1+IF(HR$4=$A10,Вводные!$D$5*INDEX(Вводные!$G$13:$G$64,MATCH($A10,Вводные!$A$13:$A$64,0)),0))</f>
        <v>120</v>
      </c>
      <c r="HS10" s="14" t="n">
        <f aca="false">INDEX(Вводные!$D$13:$F$64,MATCH($A10,Вводные!$A$13:$A$64,0),MATCH(HS$3,Вводные!$D$11:$F$11,0))*(1+IF(HS$4=$A10,Вводные!$D$5*INDEX(Вводные!$G$13:$G$64,MATCH($A10,Вводные!$A$13:$A$64,0)),0))</f>
        <v>120</v>
      </c>
      <c r="HT10" s="14" t="n">
        <f aca="false">INDEX(Вводные!$D$13:$F$64,MATCH($A10,Вводные!$A$13:$A$64,0),MATCH(HT$3,Вводные!$D$11:$F$11,0))*(1+IF(HT$4=$A10,Вводные!$D$5*INDEX(Вводные!$G$13:$G$64,MATCH($A10,Вводные!$A$13:$A$64,0)),0))</f>
        <v>120</v>
      </c>
      <c r="HU10" s="14" t="n">
        <f aca="false">INDEX(Вводные!$D$13:$F$64,MATCH($A10,Вводные!$A$13:$A$64,0),MATCH(HU$3,Вводные!$D$11:$F$11,0))*(1+IF(HU$4=$A10,Вводные!$D$5*INDEX(Вводные!$G$13:$G$64,MATCH($A10,Вводные!$A$13:$A$64,0)),0))</f>
        <v>120</v>
      </c>
      <c r="HV10" s="14" t="n">
        <f aca="false">INDEX(Вводные!$D$13:$F$64,MATCH($A10,Вводные!$A$13:$A$64,0),MATCH(HV$3,Вводные!$D$11:$F$11,0))*(1+IF(HV$4=$A10,Вводные!$D$5*INDEX(Вводные!$G$13:$G$64,MATCH($A10,Вводные!$A$13:$A$64,0)),0))</f>
        <v>120</v>
      </c>
      <c r="HW10" s="14" t="n">
        <f aca="false">INDEX(Вводные!$D$13:$F$64,MATCH($A10,Вводные!$A$13:$A$64,0),MATCH(HW$3,Вводные!$D$11:$F$11,0))*(1+IF(HW$4=$A10,Вводные!$D$5*INDEX(Вводные!$G$13:$G$64,MATCH($A10,Вводные!$A$13:$A$64,0)),0))</f>
        <v>120</v>
      </c>
      <c r="HX10" s="14" t="n">
        <f aca="false">INDEX(Вводные!$D$13:$F$64,MATCH($A10,Вводные!$A$13:$A$64,0),MATCH(HX$3,Вводные!$D$11:$F$11,0))*(1+IF(HX$4=$A10,Вводные!$D$5*INDEX(Вводные!$G$13:$G$64,MATCH($A10,Вводные!$A$13:$A$64,0)),0))</f>
        <v>120</v>
      </c>
      <c r="HY10" s="14" t="n">
        <f aca="false">INDEX(Вводные!$D$13:$F$64,MATCH($A10,Вводные!$A$13:$A$64,0),MATCH(HY$3,Вводные!$D$11:$F$11,0))*(1+IF(HY$4=$A10,Вводные!$D$5*INDEX(Вводные!$G$13:$G$64,MATCH($A10,Вводные!$A$13:$A$64,0)),0))</f>
        <v>120</v>
      </c>
      <c r="HZ10" s="14" t="n">
        <f aca="false">INDEX(Вводные!$D$13:$F$64,MATCH($A10,Вводные!$A$13:$A$64,0),MATCH(HZ$3,Вводные!$D$11:$F$11,0))*(1+IF(HZ$4=$A10,Вводные!$D$5*INDEX(Вводные!$G$13:$G$64,MATCH($A10,Вводные!$A$13:$A$64,0)),0))</f>
        <v>120</v>
      </c>
      <c r="IA10" s="14" t="n">
        <f aca="false">INDEX(Вводные!$D$13:$F$64,MATCH($A10,Вводные!$A$13:$A$64,0),MATCH(IA$3,Вводные!$D$11:$F$11,0))*(1+IF(IA$4=$A10,Вводные!$D$5*INDEX(Вводные!$G$13:$G$64,MATCH($A10,Вводные!$A$13:$A$64,0)),0))</f>
        <v>120</v>
      </c>
      <c r="IB10" s="14" t="n">
        <f aca="false">INDEX(Вводные!$D$13:$F$64,MATCH($A10,Вводные!$A$13:$A$64,0),MATCH(IB$3,Вводные!$D$11:$F$11,0))*(1+IF(IB$4=$A10,Вводные!$D$5*INDEX(Вводные!$G$13:$G$64,MATCH($A10,Вводные!$A$13:$A$64,0)),0))</f>
        <v>120</v>
      </c>
      <c r="IC10" s="14" t="n">
        <f aca="false">INDEX(Вводные!$D$13:$F$64,MATCH($A10,Вводные!$A$13:$A$64,0),MATCH(IC$3,Вводные!$D$11:$F$11,0))*(1+IF(IC$4=$A10,Вводные!$D$5*INDEX(Вводные!$G$13:$G$64,MATCH($A10,Вводные!$A$13:$A$64,0)),0))</f>
        <v>120</v>
      </c>
      <c r="ID10" s="14" t="n">
        <f aca="false">INDEX(Вводные!$D$13:$F$64,MATCH($A10,Вводные!$A$13:$A$64,0),MATCH(ID$3,Вводные!$D$11:$F$11,0))*(1+IF(ID$4=$A10,Вводные!$D$5*INDEX(Вводные!$G$13:$G$64,MATCH($A10,Вводные!$A$13:$A$64,0)),0))</f>
        <v>120</v>
      </c>
      <c r="IE10" s="14" t="n">
        <f aca="false">INDEX(Вводные!$D$13:$F$64,MATCH($A10,Вводные!$A$13:$A$64,0),MATCH(IE$3,Вводные!$D$11:$F$11,0))*(1+IF(IE$4=$A10,Вводные!$D$5*INDEX(Вводные!$G$13:$G$64,MATCH($A10,Вводные!$A$13:$A$64,0)),0))</f>
        <v>120</v>
      </c>
      <c r="IF10" s="14" t="n">
        <f aca="false">INDEX(Вводные!$D$13:$F$64,MATCH($A10,Вводные!$A$13:$A$64,0),MATCH(IF$3,Вводные!$D$11:$F$11,0))*(1+IF(IF$4=$A10,Вводные!$D$5*INDEX(Вводные!$G$13:$G$64,MATCH($A10,Вводные!$A$13:$A$64,0)),0))</f>
        <v>120</v>
      </c>
      <c r="IG10" s="14" t="n">
        <f aca="false">INDEX(Вводные!$D$13:$F$64,MATCH($A10,Вводные!$A$13:$A$64,0),MATCH(IG$3,Вводные!$D$11:$F$11,0))*(1+IF(IG$4=$A10,Вводные!$D$5*INDEX(Вводные!$G$13:$G$64,MATCH($A10,Вводные!$A$13:$A$64,0)),0))</f>
        <v>120</v>
      </c>
      <c r="IH10" s="14" t="n">
        <f aca="false">INDEX(Вводные!$D$13:$F$64,MATCH($A10,Вводные!$A$13:$A$64,0),MATCH(IH$3,Вводные!$D$11:$F$11,0))*(1+IF(IH$4=$A10,Вводные!$D$5*INDEX(Вводные!$G$13:$G$64,MATCH($A10,Вводные!$A$13:$A$64,0)),0))</f>
        <v>120</v>
      </c>
      <c r="II10" s="14" t="n">
        <f aca="false">INDEX(Вводные!$D$13:$F$64,MATCH($A10,Вводные!$A$13:$A$64,0),MATCH(II$3,Вводные!$D$11:$F$11,0))*(1+IF(II$4=$A10,Вводные!$D$5*INDEX(Вводные!$G$13:$G$64,MATCH($A10,Вводные!$A$13:$A$64,0)),0))</f>
        <v>120</v>
      </c>
      <c r="IJ10" s="14" t="n">
        <f aca="false">INDEX(Вводные!$D$13:$F$64,MATCH($A10,Вводные!$A$13:$A$64,0),MATCH(IJ$3,Вводные!$D$11:$F$11,0))*(1+IF(IJ$4=$A10,Вводные!$D$5*INDEX(Вводные!$G$13:$G$64,MATCH($A10,Вводные!$A$13:$A$64,0)),0))</f>
        <v>120</v>
      </c>
      <c r="IK10" s="14" t="n">
        <f aca="false">INDEX(Вводные!$D$13:$F$64,MATCH($A10,Вводные!$A$13:$A$64,0),MATCH(IK$3,Вводные!$D$11:$F$11,0))*(1+IF(IK$4=$A10,Вводные!$D$5*INDEX(Вводные!$G$13:$G$64,MATCH($A10,Вводные!$A$13:$A$64,0)),0))</f>
        <v>120</v>
      </c>
      <c r="IL10" s="14" t="n">
        <f aca="false">INDEX(Вводные!$D$13:$F$64,MATCH($A10,Вводные!$A$13:$A$64,0),MATCH(IL$3,Вводные!$D$11:$F$11,0))*(1+IF(IL$4=$A10,Вводные!$D$5*INDEX(Вводные!$G$13:$G$64,MATCH($A10,Вводные!$A$13:$A$64,0)),0))</f>
        <v>120</v>
      </c>
      <c r="IM10" s="14" t="n">
        <f aca="false">INDEX(Вводные!$D$13:$F$64,MATCH($A10,Вводные!$A$13:$A$64,0),MATCH(IM$3,Вводные!$D$11:$F$11,0))*(1+IF(IM$4=$A10,Вводные!$D$5*INDEX(Вводные!$G$13:$G$64,MATCH($A10,Вводные!$A$13:$A$64,0)),0))</f>
        <v>120</v>
      </c>
      <c r="IN10" s="14" t="n">
        <f aca="false">INDEX(Вводные!$D$13:$F$64,MATCH($A10,Вводные!$A$13:$A$64,0),MATCH(IN$3,Вводные!$D$11:$F$11,0))*(1+IF(IN$4=$A10,Вводные!$D$5*INDEX(Вводные!$G$13:$G$64,MATCH($A10,Вводные!$A$13:$A$64,0)),0))</f>
        <v>120</v>
      </c>
      <c r="IO10" s="14" t="n">
        <f aca="false">INDEX(Вводные!$D$13:$F$64,MATCH($A10,Вводные!$A$13:$A$64,0),MATCH(IO$3,Вводные!$D$11:$F$11,0))*(1+IF(IO$4=$A10,Вводные!$D$5*INDEX(Вводные!$G$13:$G$64,MATCH($A10,Вводные!$A$13:$A$64,0)),0))</f>
        <v>120</v>
      </c>
      <c r="IP10" s="14" t="n">
        <f aca="false">INDEX(Вводные!$D$13:$F$64,MATCH($A10,Вводные!$A$13:$A$64,0),MATCH(IP$3,Вводные!$D$11:$F$11,0))*(1+IF(IP$4=$A10,Вводные!$D$5*INDEX(Вводные!$G$13:$G$64,MATCH($A10,Вводные!$A$13:$A$64,0)),0))</f>
        <v>120</v>
      </c>
      <c r="IQ10" s="14" t="n">
        <f aca="false">INDEX(Вводные!$D$13:$F$64,MATCH($A10,Вводные!$A$13:$A$64,0),MATCH(IQ$3,Вводные!$D$11:$F$11,0))*(1+IF(IQ$4=$A10,Вводные!$D$5*INDEX(Вводные!$G$13:$G$64,MATCH($A10,Вводные!$A$13:$A$64,0)),0))</f>
        <v>120</v>
      </c>
      <c r="IR10" s="14" t="n">
        <f aca="false">INDEX(Вводные!$D$13:$F$64,MATCH($A10,Вводные!$A$13:$A$64,0),MATCH(IR$3,Вводные!$D$11:$F$11,0))*(1+IF(IR$4=$A10,Вводные!$D$5*INDEX(Вводные!$G$13:$G$64,MATCH($A10,Вводные!$A$13:$A$64,0)),0))</f>
        <v>120</v>
      </c>
      <c r="IS10" s="14" t="n">
        <f aca="false">INDEX(Вводные!$D$13:$F$64,MATCH($A10,Вводные!$A$13:$A$64,0),MATCH(IS$3,Вводные!$D$11:$F$11,0))*(1+IF(IS$4=$A10,Вводные!$D$5*INDEX(Вводные!$G$13:$G$64,MATCH($A10,Вводные!$A$13:$A$64,0)),0))</f>
        <v>120</v>
      </c>
      <c r="IT10" s="14" t="n">
        <f aca="false">INDEX(Вводные!$D$13:$F$64,MATCH($A10,Вводные!$A$13:$A$64,0),MATCH(IT$3,Вводные!$D$11:$F$11,0))*(1+IF(IT$4=$A10,Вводные!$D$5*INDEX(Вводные!$G$13:$G$64,MATCH($A10,Вводные!$A$13:$A$64,0)),0))</f>
        <v>120</v>
      </c>
      <c r="IU10" s="14" t="n">
        <f aca="false">INDEX(Вводные!$D$13:$F$64,MATCH($A10,Вводные!$A$13:$A$64,0),MATCH(IU$3,Вводные!$D$11:$F$11,0))*(1+IF(IU$4=$A10,Вводные!$D$5*INDEX(Вводные!$G$13:$G$64,MATCH($A10,Вводные!$A$13:$A$64,0)),0))</f>
        <v>120</v>
      </c>
      <c r="IV10" s="14" t="n">
        <f aca="false">INDEX(Вводные!$D$13:$F$64,MATCH($A10,Вводные!$A$13:$A$64,0),MATCH(IV$3,Вводные!$D$11:$F$11,0))*(1+IF(IV$4=$A10,Вводные!$D$5*INDEX(Вводные!$G$13:$G$64,MATCH($A10,Вводные!$A$13:$A$64,0)),0))</f>
        <v>120</v>
      </c>
      <c r="IW10" s="14" t="n">
        <f aca="false">INDEX(Вводные!$D$13:$F$64,MATCH($A10,Вводные!$A$13:$A$64,0),MATCH(IW$3,Вводные!$D$11:$F$11,0))*(1+IF(IW$4=$A10,Вводные!$D$5*INDEX(Вводные!$G$13:$G$64,MATCH($A10,Вводные!$A$13:$A$64,0)),0))</f>
        <v>120</v>
      </c>
      <c r="IX10" s="14" t="n">
        <f aca="false">INDEX(Вводные!$D$13:$F$64,MATCH($A10,Вводные!$A$13:$A$64,0),MATCH(IX$3,Вводные!$D$11:$F$11,0))*(1+IF(IX$4=$A10,Вводные!$D$5*INDEX(Вводные!$G$13:$G$64,MATCH($A10,Вводные!$A$13:$A$64,0)),0))</f>
        <v>120</v>
      </c>
      <c r="IY10" s="14" t="n">
        <f aca="false">INDEX(Вводные!$D$13:$F$64,MATCH($A10,Вводные!$A$13:$A$64,0),MATCH(IY$3,Вводные!$D$11:$F$11,0))*(1+IF(IY$4=$A10,Вводные!$D$5*INDEX(Вводные!$G$13:$G$64,MATCH($A10,Вводные!$A$13:$A$64,0)),0))</f>
        <v>120</v>
      </c>
      <c r="IZ10" s="14" t="n">
        <f aca="false">INDEX(Вводные!$D$13:$F$64,MATCH($A10,Вводные!$A$13:$A$64,0),MATCH(IZ$3,Вводные!$D$11:$F$11,0))*(1+IF(IZ$4=$A10,Вводные!$D$5*INDEX(Вводные!$G$13:$G$64,MATCH($A10,Вводные!$A$13:$A$64,0)),0))</f>
        <v>120</v>
      </c>
      <c r="JA10" s="14" t="n">
        <f aca="false">INDEX(Вводные!$D$13:$F$64,MATCH($A10,Вводные!$A$13:$A$64,0),MATCH(JA$3,Вводные!$D$11:$F$11,0))*(1+IF(JA$4=$A10,Вводные!$D$5*INDEX(Вводные!$G$13:$G$64,MATCH($A10,Вводные!$A$13:$A$64,0)),0))</f>
        <v>120</v>
      </c>
    </row>
    <row r="11" customFormat="false" ht="15" hidden="false" customHeight="false" outlineLevel="0" collapsed="false">
      <c r="A11" s="13" t="s">
        <v>304</v>
      </c>
      <c r="B11" s="13" t="s">
        <v>305</v>
      </c>
      <c r="C11" s="13" t="s">
        <v>194</v>
      </c>
      <c r="D11" s="9" t="s">
        <v>36</v>
      </c>
      <c r="E11" s="32" t="n">
        <f aca="false">INDEX(Вводные!$D$13:$F$64,MATCH($A11,Вводные!$A$13:$A$64,0),MATCH(E$3,Вводные!$D$11:$F$11,0))*(1+IF(E$4=$A11,Вводные!$D$5*INDEX(Вводные!$G$13:$G$64,MATCH($A11,Вводные!$A$13:$A$64,0)),0))</f>
        <v>0.45</v>
      </c>
      <c r="F11" s="32" t="n">
        <f aca="false">INDEX(Вводные!$D$13:$F$64,MATCH($A11,Вводные!$A$13:$A$64,0),MATCH(F$3,Вводные!$D$11:$F$11,0))*(1+IF(F$4=$A11,Вводные!$D$5*INDEX(Вводные!$G$13:$G$64,MATCH($A11,Вводные!$A$13:$A$64,0)),0))</f>
        <v>0.7</v>
      </c>
      <c r="G11" s="32" t="n">
        <f aca="false">INDEX(Вводные!$D$13:$F$64,MATCH($A11,Вводные!$A$13:$A$64,0),MATCH(G$3,Вводные!$D$11:$F$11,0))*(1+IF(G$4=$A11,Вводные!$D$5*INDEX(Вводные!$G$13:$G$64,MATCH($A11,Вводные!$A$13:$A$64,0)),0))</f>
        <v>0.4</v>
      </c>
      <c r="H11" s="60"/>
      <c r="J11" s="32" t="n">
        <f aca="false">INDEX(Вводные!$D$13:$F$64,MATCH($A11,Вводные!$A$13:$A$64,0),MATCH(J$3,Вводные!$D$11:$F$11,0))*(1+IF(J$4=$A11,Вводные!$D$5*INDEX(Вводные!$G$13:$G$64,MATCH($A11,Вводные!$A$13:$A$64,0)),0))</f>
        <v>0.45</v>
      </c>
      <c r="K11" s="32" t="n">
        <f aca="false">INDEX(Вводные!$D$13:$F$64,MATCH($A11,Вводные!$A$13:$A$64,0),MATCH(K$3,Вводные!$D$11:$F$11,0))*(1+IF(K$4=$A11,Вводные!$D$5*INDEX(Вводные!$G$13:$G$64,MATCH($A11,Вводные!$A$13:$A$64,0)),0))</f>
        <v>0.45</v>
      </c>
      <c r="L11" s="32" t="n">
        <f aca="false">INDEX(Вводные!$D$13:$F$64,MATCH($A11,Вводные!$A$13:$A$64,0),MATCH(L$3,Вводные!$D$11:$F$11,0))*(1+IF(L$4=$A11,Вводные!$D$5*INDEX(Вводные!$G$13:$G$64,MATCH($A11,Вводные!$A$13:$A$64,0)),0))</f>
        <v>0.4545</v>
      </c>
      <c r="M11" s="32" t="n">
        <f aca="false">INDEX(Вводные!$D$13:$F$64,MATCH($A11,Вводные!$A$13:$A$64,0),MATCH(M$3,Вводные!$D$11:$F$11,0))*(1+IF(M$4=$A11,Вводные!$D$5*INDEX(Вводные!$G$13:$G$64,MATCH($A11,Вводные!$A$13:$A$64,0)),0))</f>
        <v>0.45</v>
      </c>
      <c r="N11" s="32" t="n">
        <f aca="false">INDEX(Вводные!$D$13:$F$64,MATCH($A11,Вводные!$A$13:$A$64,0),MATCH(N$3,Вводные!$D$11:$F$11,0))*(1+IF(N$4=$A11,Вводные!$D$5*INDEX(Вводные!$G$13:$G$64,MATCH($A11,Вводные!$A$13:$A$64,0)),0))</f>
        <v>0.45</v>
      </c>
      <c r="O11" s="32" t="n">
        <f aca="false">INDEX(Вводные!$D$13:$F$64,MATCH($A11,Вводные!$A$13:$A$64,0),MATCH(O$3,Вводные!$D$11:$F$11,0))*(1+IF(O$4=$A11,Вводные!$D$5*INDEX(Вводные!$G$13:$G$64,MATCH($A11,Вводные!$A$13:$A$64,0)),0))</f>
        <v>0.45</v>
      </c>
      <c r="P11" s="32" t="n">
        <f aca="false">INDEX(Вводные!$D$13:$F$64,MATCH($A11,Вводные!$A$13:$A$64,0),MATCH(P$3,Вводные!$D$11:$F$11,0))*(1+IF(P$4=$A11,Вводные!$D$5*INDEX(Вводные!$G$13:$G$64,MATCH($A11,Вводные!$A$13:$A$64,0)),0))</f>
        <v>0.45</v>
      </c>
      <c r="Q11" s="32" t="n">
        <f aca="false">INDEX(Вводные!$D$13:$F$64,MATCH($A11,Вводные!$A$13:$A$64,0),MATCH(Q$3,Вводные!$D$11:$F$11,0))*(1+IF(Q$4=$A11,Вводные!$D$5*INDEX(Вводные!$G$13:$G$64,MATCH($A11,Вводные!$A$13:$A$64,0)),0))</f>
        <v>0.45</v>
      </c>
      <c r="R11" s="32" t="n">
        <f aca="false">INDEX(Вводные!$D$13:$F$64,MATCH($A11,Вводные!$A$13:$A$64,0),MATCH(R$3,Вводные!$D$11:$F$11,0))*(1+IF(R$4=$A11,Вводные!$D$5*INDEX(Вводные!$G$13:$G$64,MATCH($A11,Вводные!$A$13:$A$64,0)),0))</f>
        <v>0.45</v>
      </c>
      <c r="S11" s="32" t="n">
        <f aca="false">INDEX(Вводные!$D$13:$F$64,MATCH($A11,Вводные!$A$13:$A$64,0),MATCH(S$3,Вводные!$D$11:$F$11,0))*(1+IF(S$4=$A11,Вводные!$D$5*INDEX(Вводные!$G$13:$G$64,MATCH($A11,Вводные!$A$13:$A$64,0)),0))</f>
        <v>0.45</v>
      </c>
      <c r="T11" s="32" t="n">
        <f aca="false">INDEX(Вводные!$D$13:$F$64,MATCH($A11,Вводные!$A$13:$A$64,0),MATCH(T$3,Вводные!$D$11:$F$11,0))*(1+IF(T$4=$A11,Вводные!$D$5*INDEX(Вводные!$G$13:$G$64,MATCH($A11,Вводные!$A$13:$A$64,0)),0))</f>
        <v>0.45</v>
      </c>
      <c r="U11" s="32" t="n">
        <f aca="false">INDEX(Вводные!$D$13:$F$64,MATCH($A11,Вводные!$A$13:$A$64,0),MATCH(U$3,Вводные!$D$11:$F$11,0))*(1+IF(U$4=$A11,Вводные!$D$5*INDEX(Вводные!$G$13:$G$64,MATCH($A11,Вводные!$A$13:$A$64,0)),0))</f>
        <v>0.45</v>
      </c>
      <c r="V11" s="32" t="n">
        <f aca="false">INDEX(Вводные!$D$13:$F$64,MATCH($A11,Вводные!$A$13:$A$64,0),MATCH(V$3,Вводные!$D$11:$F$11,0))*(1+IF(V$4=$A11,Вводные!$D$5*INDEX(Вводные!$G$13:$G$64,MATCH($A11,Вводные!$A$13:$A$64,0)),0))</f>
        <v>0.45</v>
      </c>
      <c r="W11" s="32" t="n">
        <f aca="false">INDEX(Вводные!$D$13:$F$64,MATCH($A11,Вводные!$A$13:$A$64,0),MATCH(W$3,Вводные!$D$11:$F$11,0))*(1+IF(W$4=$A11,Вводные!$D$5*INDEX(Вводные!$G$13:$G$64,MATCH($A11,Вводные!$A$13:$A$64,0)),0))</f>
        <v>0.45</v>
      </c>
      <c r="X11" s="32" t="n">
        <f aca="false">INDEX(Вводные!$D$13:$F$64,MATCH($A11,Вводные!$A$13:$A$64,0),MATCH(X$3,Вводные!$D$11:$F$11,0))*(1+IF(X$4=$A11,Вводные!$D$5*INDEX(Вводные!$G$13:$G$64,MATCH($A11,Вводные!$A$13:$A$64,0)),0))</f>
        <v>0.45</v>
      </c>
      <c r="Y11" s="32" t="n">
        <f aca="false">INDEX(Вводные!$D$13:$F$64,MATCH($A11,Вводные!$A$13:$A$64,0),MATCH(Y$3,Вводные!$D$11:$F$11,0))*(1+IF(Y$4=$A11,Вводные!$D$5*INDEX(Вводные!$G$13:$G$64,MATCH($A11,Вводные!$A$13:$A$64,0)),0))</f>
        <v>0.45</v>
      </c>
      <c r="Z11" s="32" t="n">
        <f aca="false">INDEX(Вводные!$D$13:$F$64,MATCH($A11,Вводные!$A$13:$A$64,0),MATCH(Z$3,Вводные!$D$11:$F$11,0))*(1+IF(Z$4=$A11,Вводные!$D$5*INDEX(Вводные!$G$13:$G$64,MATCH($A11,Вводные!$A$13:$A$64,0)),0))</f>
        <v>0.45</v>
      </c>
      <c r="AA11" s="32" t="n">
        <f aca="false">INDEX(Вводные!$D$13:$F$64,MATCH($A11,Вводные!$A$13:$A$64,0),MATCH(AA$3,Вводные!$D$11:$F$11,0))*(1+IF(AA$4=$A11,Вводные!$D$5*INDEX(Вводные!$G$13:$G$64,MATCH($A11,Вводные!$A$13:$A$64,0)),0))</f>
        <v>0.45</v>
      </c>
      <c r="AB11" s="32" t="n">
        <f aca="false">INDEX(Вводные!$D$13:$F$64,MATCH($A11,Вводные!$A$13:$A$64,0),MATCH(AB$3,Вводные!$D$11:$F$11,0))*(1+IF(AB$4=$A11,Вводные!$D$5*INDEX(Вводные!$G$13:$G$64,MATCH($A11,Вводные!$A$13:$A$64,0)),0))</f>
        <v>0.45</v>
      </c>
      <c r="AC11" s="32" t="n">
        <f aca="false">INDEX(Вводные!$D$13:$F$64,MATCH($A11,Вводные!$A$13:$A$64,0),MATCH(AC$3,Вводные!$D$11:$F$11,0))*(1+IF(AC$4=$A11,Вводные!$D$5*INDEX(Вводные!$G$13:$G$64,MATCH($A11,Вводные!$A$13:$A$64,0)),0))</f>
        <v>0.45</v>
      </c>
      <c r="AD11" s="32" t="n">
        <f aca="false">INDEX(Вводные!$D$13:$F$64,MATCH($A11,Вводные!$A$13:$A$64,0),MATCH(AD$3,Вводные!$D$11:$F$11,0))*(1+IF(AD$4=$A11,Вводные!$D$5*INDEX(Вводные!$G$13:$G$64,MATCH($A11,Вводные!$A$13:$A$64,0)),0))</f>
        <v>0.45</v>
      </c>
      <c r="AE11" s="32" t="n">
        <f aca="false">INDEX(Вводные!$D$13:$F$64,MATCH($A11,Вводные!$A$13:$A$64,0),MATCH(AE$3,Вводные!$D$11:$F$11,0))*(1+IF(AE$4=$A11,Вводные!$D$5*INDEX(Вводные!$G$13:$G$64,MATCH($A11,Вводные!$A$13:$A$64,0)),0))</f>
        <v>0.45</v>
      </c>
      <c r="AF11" s="32" t="n">
        <f aca="false">INDEX(Вводные!$D$13:$F$64,MATCH($A11,Вводные!$A$13:$A$64,0),MATCH(AF$3,Вводные!$D$11:$F$11,0))*(1+IF(AF$4=$A11,Вводные!$D$5*INDEX(Вводные!$G$13:$G$64,MATCH($A11,Вводные!$A$13:$A$64,0)),0))</f>
        <v>0.45</v>
      </c>
      <c r="AG11" s="32" t="n">
        <f aca="false">INDEX(Вводные!$D$13:$F$64,MATCH($A11,Вводные!$A$13:$A$64,0),MATCH(AG$3,Вводные!$D$11:$F$11,0))*(1+IF(AG$4=$A11,Вводные!$D$5*INDEX(Вводные!$G$13:$G$64,MATCH($A11,Вводные!$A$13:$A$64,0)),0))</f>
        <v>0.45</v>
      </c>
      <c r="AH11" s="32" t="n">
        <f aca="false">INDEX(Вводные!$D$13:$F$64,MATCH($A11,Вводные!$A$13:$A$64,0),MATCH(AH$3,Вводные!$D$11:$F$11,0))*(1+IF(AH$4=$A11,Вводные!$D$5*INDEX(Вводные!$G$13:$G$64,MATCH($A11,Вводные!$A$13:$A$64,0)),0))</f>
        <v>0.45</v>
      </c>
      <c r="AI11" s="32" t="n">
        <f aca="false">INDEX(Вводные!$D$13:$F$64,MATCH($A11,Вводные!$A$13:$A$64,0),MATCH(AI$3,Вводные!$D$11:$F$11,0))*(1+IF(AI$4=$A11,Вводные!$D$5*INDEX(Вводные!$G$13:$G$64,MATCH($A11,Вводные!$A$13:$A$64,0)),0))</f>
        <v>0.45</v>
      </c>
      <c r="AJ11" s="32" t="n">
        <f aca="false">INDEX(Вводные!$D$13:$F$64,MATCH($A11,Вводные!$A$13:$A$64,0),MATCH(AJ$3,Вводные!$D$11:$F$11,0))*(1+IF(AJ$4=$A11,Вводные!$D$5*INDEX(Вводные!$G$13:$G$64,MATCH($A11,Вводные!$A$13:$A$64,0)),0))</f>
        <v>0.45</v>
      </c>
      <c r="AK11" s="32" t="n">
        <f aca="false">INDEX(Вводные!$D$13:$F$64,MATCH($A11,Вводные!$A$13:$A$64,0),MATCH(AK$3,Вводные!$D$11:$F$11,0))*(1+IF(AK$4=$A11,Вводные!$D$5*INDEX(Вводные!$G$13:$G$64,MATCH($A11,Вводные!$A$13:$A$64,0)),0))</f>
        <v>0.45</v>
      </c>
      <c r="AL11" s="32" t="n">
        <f aca="false">INDEX(Вводные!$D$13:$F$64,MATCH($A11,Вводные!$A$13:$A$64,0),MATCH(AL$3,Вводные!$D$11:$F$11,0))*(1+IF(AL$4=$A11,Вводные!$D$5*INDEX(Вводные!$G$13:$G$64,MATCH($A11,Вводные!$A$13:$A$64,0)),0))</f>
        <v>0.45</v>
      </c>
      <c r="AM11" s="32" t="n">
        <f aca="false">INDEX(Вводные!$D$13:$F$64,MATCH($A11,Вводные!$A$13:$A$64,0),MATCH(AM$3,Вводные!$D$11:$F$11,0))*(1+IF(AM$4=$A11,Вводные!$D$5*INDEX(Вводные!$G$13:$G$64,MATCH($A11,Вводные!$A$13:$A$64,0)),0))</f>
        <v>0.45</v>
      </c>
      <c r="AN11" s="32" t="n">
        <f aca="false">INDEX(Вводные!$D$13:$F$64,MATCH($A11,Вводные!$A$13:$A$64,0),MATCH(AN$3,Вводные!$D$11:$F$11,0))*(1+IF(AN$4=$A11,Вводные!$D$5*INDEX(Вводные!$G$13:$G$64,MATCH($A11,Вводные!$A$13:$A$64,0)),0))</f>
        <v>0.45</v>
      </c>
      <c r="AO11" s="32" t="n">
        <f aca="false">INDEX(Вводные!$D$13:$F$64,MATCH($A11,Вводные!$A$13:$A$64,0),MATCH(AO$3,Вводные!$D$11:$F$11,0))*(1+IF(AO$4=$A11,Вводные!$D$5*INDEX(Вводные!$G$13:$G$64,MATCH($A11,Вводные!$A$13:$A$64,0)),0))</f>
        <v>0.45</v>
      </c>
      <c r="AP11" s="32" t="n">
        <f aca="false">INDEX(Вводные!$D$13:$F$64,MATCH($A11,Вводные!$A$13:$A$64,0),MATCH(AP$3,Вводные!$D$11:$F$11,0))*(1+IF(AP$4=$A11,Вводные!$D$5*INDEX(Вводные!$G$13:$G$64,MATCH($A11,Вводные!$A$13:$A$64,0)),0))</f>
        <v>0.45</v>
      </c>
      <c r="AQ11" s="32" t="n">
        <f aca="false">INDEX(Вводные!$D$13:$F$64,MATCH($A11,Вводные!$A$13:$A$64,0),MATCH(AQ$3,Вводные!$D$11:$F$11,0))*(1+IF(AQ$4=$A11,Вводные!$D$5*INDEX(Вводные!$G$13:$G$64,MATCH($A11,Вводные!$A$13:$A$64,0)),0))</f>
        <v>0.45</v>
      </c>
      <c r="AR11" s="32" t="n">
        <f aca="false">INDEX(Вводные!$D$13:$F$64,MATCH($A11,Вводные!$A$13:$A$64,0),MATCH(AR$3,Вводные!$D$11:$F$11,0))*(1+IF(AR$4=$A11,Вводные!$D$5*INDEX(Вводные!$G$13:$G$64,MATCH($A11,Вводные!$A$13:$A$64,0)),0))</f>
        <v>0.45</v>
      </c>
      <c r="AS11" s="32" t="n">
        <f aca="false">INDEX(Вводные!$D$13:$F$64,MATCH($A11,Вводные!$A$13:$A$64,0),MATCH(AS$3,Вводные!$D$11:$F$11,0))*(1+IF(AS$4=$A11,Вводные!$D$5*INDEX(Вводные!$G$13:$G$64,MATCH($A11,Вводные!$A$13:$A$64,0)),0))</f>
        <v>0.45</v>
      </c>
      <c r="AT11" s="32" t="n">
        <f aca="false">INDEX(Вводные!$D$13:$F$64,MATCH($A11,Вводные!$A$13:$A$64,0),MATCH(AT$3,Вводные!$D$11:$F$11,0))*(1+IF(AT$4=$A11,Вводные!$D$5*INDEX(Вводные!$G$13:$G$64,MATCH($A11,Вводные!$A$13:$A$64,0)),0))</f>
        <v>0.45</v>
      </c>
      <c r="AU11" s="32" t="n">
        <f aca="false">INDEX(Вводные!$D$13:$F$64,MATCH($A11,Вводные!$A$13:$A$64,0),MATCH(AU$3,Вводные!$D$11:$F$11,0))*(1+IF(AU$4=$A11,Вводные!$D$5*INDEX(Вводные!$G$13:$G$64,MATCH($A11,Вводные!$A$13:$A$64,0)),0))</f>
        <v>0.45</v>
      </c>
      <c r="AV11" s="32" t="n">
        <f aca="false">INDEX(Вводные!$D$13:$F$64,MATCH($A11,Вводные!$A$13:$A$64,0),MATCH(AV$3,Вводные!$D$11:$F$11,0))*(1+IF(AV$4=$A11,Вводные!$D$5*INDEX(Вводные!$G$13:$G$64,MATCH($A11,Вводные!$A$13:$A$64,0)),0))</f>
        <v>0.45</v>
      </c>
      <c r="AW11" s="32" t="n">
        <f aca="false">INDEX(Вводные!$D$13:$F$64,MATCH($A11,Вводные!$A$13:$A$64,0),MATCH(AW$3,Вводные!$D$11:$F$11,0))*(1+IF(AW$4=$A11,Вводные!$D$5*INDEX(Вводные!$G$13:$G$64,MATCH($A11,Вводные!$A$13:$A$64,0)),0))</f>
        <v>0.45</v>
      </c>
      <c r="AX11" s="32" t="n">
        <f aca="false">INDEX(Вводные!$D$13:$F$64,MATCH($A11,Вводные!$A$13:$A$64,0),MATCH(AX$3,Вводные!$D$11:$F$11,0))*(1+IF(AX$4=$A11,Вводные!$D$5*INDEX(Вводные!$G$13:$G$64,MATCH($A11,Вводные!$A$13:$A$64,0)),0))</f>
        <v>0.45</v>
      </c>
      <c r="AY11" s="32" t="n">
        <f aca="false">INDEX(Вводные!$D$13:$F$64,MATCH($A11,Вводные!$A$13:$A$64,0),MATCH(AY$3,Вводные!$D$11:$F$11,0))*(1+IF(AY$4=$A11,Вводные!$D$5*INDEX(Вводные!$G$13:$G$64,MATCH($A11,Вводные!$A$13:$A$64,0)),0))</f>
        <v>0.45</v>
      </c>
      <c r="AZ11" s="32" t="n">
        <f aca="false">INDEX(Вводные!$D$13:$F$64,MATCH($A11,Вводные!$A$13:$A$64,0),MATCH(AZ$3,Вводные!$D$11:$F$11,0))*(1+IF(AZ$4=$A11,Вводные!$D$5*INDEX(Вводные!$G$13:$G$64,MATCH($A11,Вводные!$A$13:$A$64,0)),0))</f>
        <v>0.7</v>
      </c>
      <c r="BA11" s="32" t="n">
        <f aca="false">INDEX(Вводные!$D$13:$F$64,MATCH($A11,Вводные!$A$13:$A$64,0),MATCH(BA$3,Вводные!$D$11:$F$11,0))*(1+IF(BA$4=$A11,Вводные!$D$5*INDEX(Вводные!$G$13:$G$64,MATCH($A11,Вводные!$A$13:$A$64,0)),0))</f>
        <v>0.7</v>
      </c>
      <c r="BB11" s="32" t="n">
        <f aca="false">INDEX(Вводные!$D$13:$F$64,MATCH($A11,Вводные!$A$13:$A$64,0),MATCH(BB$3,Вводные!$D$11:$F$11,0))*(1+IF(BB$4=$A11,Вводные!$D$5*INDEX(Вводные!$G$13:$G$64,MATCH($A11,Вводные!$A$13:$A$64,0)),0))</f>
        <v>0.707</v>
      </c>
      <c r="BC11" s="32" t="n">
        <f aca="false">INDEX(Вводные!$D$13:$F$64,MATCH($A11,Вводные!$A$13:$A$64,0),MATCH(BC$3,Вводные!$D$11:$F$11,0))*(1+IF(BC$4=$A11,Вводные!$D$5*INDEX(Вводные!$G$13:$G$64,MATCH($A11,Вводные!$A$13:$A$64,0)),0))</f>
        <v>0.7</v>
      </c>
      <c r="BD11" s="32" t="n">
        <f aca="false">INDEX(Вводные!$D$13:$F$64,MATCH($A11,Вводные!$A$13:$A$64,0),MATCH(BD$3,Вводные!$D$11:$F$11,0))*(1+IF(BD$4=$A11,Вводные!$D$5*INDEX(Вводные!$G$13:$G$64,MATCH($A11,Вводные!$A$13:$A$64,0)),0))</f>
        <v>0.7</v>
      </c>
      <c r="BE11" s="32" t="n">
        <f aca="false">INDEX(Вводные!$D$13:$F$64,MATCH($A11,Вводные!$A$13:$A$64,0),MATCH(BE$3,Вводные!$D$11:$F$11,0))*(1+IF(BE$4=$A11,Вводные!$D$5*INDEX(Вводные!$G$13:$G$64,MATCH($A11,Вводные!$A$13:$A$64,0)),0))</f>
        <v>0.7</v>
      </c>
      <c r="BF11" s="32" t="n">
        <f aca="false">INDEX(Вводные!$D$13:$F$64,MATCH($A11,Вводные!$A$13:$A$64,0),MATCH(BF$3,Вводные!$D$11:$F$11,0))*(1+IF(BF$4=$A11,Вводные!$D$5*INDEX(Вводные!$G$13:$G$64,MATCH($A11,Вводные!$A$13:$A$64,0)),0))</f>
        <v>0.7</v>
      </c>
      <c r="BG11" s="32" t="n">
        <f aca="false">INDEX(Вводные!$D$13:$F$64,MATCH($A11,Вводные!$A$13:$A$64,0),MATCH(BG$3,Вводные!$D$11:$F$11,0))*(1+IF(BG$4=$A11,Вводные!$D$5*INDEX(Вводные!$G$13:$G$64,MATCH($A11,Вводные!$A$13:$A$64,0)),0))</f>
        <v>0.7</v>
      </c>
      <c r="BH11" s="32" t="n">
        <f aca="false">INDEX(Вводные!$D$13:$F$64,MATCH($A11,Вводные!$A$13:$A$64,0),MATCH(BH$3,Вводные!$D$11:$F$11,0))*(1+IF(BH$4=$A11,Вводные!$D$5*INDEX(Вводные!$G$13:$G$64,MATCH($A11,Вводные!$A$13:$A$64,0)),0))</f>
        <v>0.7</v>
      </c>
      <c r="BI11" s="32" t="n">
        <f aca="false">INDEX(Вводные!$D$13:$F$64,MATCH($A11,Вводные!$A$13:$A$64,0),MATCH(BI$3,Вводные!$D$11:$F$11,0))*(1+IF(BI$4=$A11,Вводные!$D$5*INDEX(Вводные!$G$13:$G$64,MATCH($A11,Вводные!$A$13:$A$64,0)),0))</f>
        <v>0.7</v>
      </c>
      <c r="BJ11" s="32" t="n">
        <f aca="false">INDEX(Вводные!$D$13:$F$64,MATCH($A11,Вводные!$A$13:$A$64,0),MATCH(BJ$3,Вводные!$D$11:$F$11,0))*(1+IF(BJ$4=$A11,Вводные!$D$5*INDEX(Вводные!$G$13:$G$64,MATCH($A11,Вводные!$A$13:$A$64,0)),0))</f>
        <v>0.7</v>
      </c>
      <c r="BK11" s="32" t="n">
        <f aca="false">INDEX(Вводные!$D$13:$F$64,MATCH($A11,Вводные!$A$13:$A$64,0),MATCH(BK$3,Вводные!$D$11:$F$11,0))*(1+IF(BK$4=$A11,Вводные!$D$5*INDEX(Вводные!$G$13:$G$64,MATCH($A11,Вводные!$A$13:$A$64,0)),0))</f>
        <v>0.7</v>
      </c>
      <c r="BL11" s="32" t="n">
        <f aca="false">INDEX(Вводные!$D$13:$F$64,MATCH($A11,Вводные!$A$13:$A$64,0),MATCH(BL$3,Вводные!$D$11:$F$11,0))*(1+IF(BL$4=$A11,Вводные!$D$5*INDEX(Вводные!$G$13:$G$64,MATCH($A11,Вводные!$A$13:$A$64,0)),0))</f>
        <v>0.7</v>
      </c>
      <c r="BM11" s="32" t="n">
        <f aca="false">INDEX(Вводные!$D$13:$F$64,MATCH($A11,Вводные!$A$13:$A$64,0),MATCH(BM$3,Вводные!$D$11:$F$11,0))*(1+IF(BM$4=$A11,Вводные!$D$5*INDEX(Вводные!$G$13:$G$64,MATCH($A11,Вводные!$A$13:$A$64,0)),0))</f>
        <v>0.7</v>
      </c>
      <c r="BN11" s="32" t="n">
        <f aca="false">INDEX(Вводные!$D$13:$F$64,MATCH($A11,Вводные!$A$13:$A$64,0),MATCH(BN$3,Вводные!$D$11:$F$11,0))*(1+IF(BN$4=$A11,Вводные!$D$5*INDEX(Вводные!$G$13:$G$64,MATCH($A11,Вводные!$A$13:$A$64,0)),0))</f>
        <v>0.7</v>
      </c>
      <c r="BO11" s="32" t="n">
        <f aca="false">INDEX(Вводные!$D$13:$F$64,MATCH($A11,Вводные!$A$13:$A$64,0),MATCH(BO$3,Вводные!$D$11:$F$11,0))*(1+IF(BO$4=$A11,Вводные!$D$5*INDEX(Вводные!$G$13:$G$64,MATCH($A11,Вводные!$A$13:$A$64,0)),0))</f>
        <v>0.7</v>
      </c>
      <c r="BP11" s="32" t="n">
        <f aca="false">INDEX(Вводные!$D$13:$F$64,MATCH($A11,Вводные!$A$13:$A$64,0),MATCH(BP$3,Вводные!$D$11:$F$11,0))*(1+IF(BP$4=$A11,Вводные!$D$5*INDEX(Вводные!$G$13:$G$64,MATCH($A11,Вводные!$A$13:$A$64,0)),0))</f>
        <v>0.7</v>
      </c>
      <c r="BQ11" s="32" t="n">
        <f aca="false">INDEX(Вводные!$D$13:$F$64,MATCH($A11,Вводные!$A$13:$A$64,0),MATCH(BQ$3,Вводные!$D$11:$F$11,0))*(1+IF(BQ$4=$A11,Вводные!$D$5*INDEX(Вводные!$G$13:$G$64,MATCH($A11,Вводные!$A$13:$A$64,0)),0))</f>
        <v>0.7</v>
      </c>
      <c r="BR11" s="32" t="n">
        <f aca="false">INDEX(Вводные!$D$13:$F$64,MATCH($A11,Вводные!$A$13:$A$64,0),MATCH(BR$3,Вводные!$D$11:$F$11,0))*(1+IF(BR$4=$A11,Вводные!$D$5*INDEX(Вводные!$G$13:$G$64,MATCH($A11,Вводные!$A$13:$A$64,0)),0))</f>
        <v>0.7</v>
      </c>
      <c r="BS11" s="32" t="n">
        <f aca="false">INDEX(Вводные!$D$13:$F$64,MATCH($A11,Вводные!$A$13:$A$64,0),MATCH(BS$3,Вводные!$D$11:$F$11,0))*(1+IF(BS$4=$A11,Вводные!$D$5*INDEX(Вводные!$G$13:$G$64,MATCH($A11,Вводные!$A$13:$A$64,0)),0))</f>
        <v>0.7</v>
      </c>
      <c r="BT11" s="32" t="n">
        <f aca="false">INDEX(Вводные!$D$13:$F$64,MATCH($A11,Вводные!$A$13:$A$64,0),MATCH(BT$3,Вводные!$D$11:$F$11,0))*(1+IF(BT$4=$A11,Вводные!$D$5*INDEX(Вводные!$G$13:$G$64,MATCH($A11,Вводные!$A$13:$A$64,0)),0))</f>
        <v>0.7</v>
      </c>
      <c r="BU11" s="32" t="n">
        <f aca="false">INDEX(Вводные!$D$13:$F$64,MATCH($A11,Вводные!$A$13:$A$64,0),MATCH(BU$3,Вводные!$D$11:$F$11,0))*(1+IF(BU$4=$A11,Вводные!$D$5*INDEX(Вводные!$G$13:$G$64,MATCH($A11,Вводные!$A$13:$A$64,0)),0))</f>
        <v>0.7</v>
      </c>
      <c r="BV11" s="32" t="n">
        <f aca="false">INDEX(Вводные!$D$13:$F$64,MATCH($A11,Вводные!$A$13:$A$64,0),MATCH(BV$3,Вводные!$D$11:$F$11,0))*(1+IF(BV$4=$A11,Вводные!$D$5*INDEX(Вводные!$G$13:$G$64,MATCH($A11,Вводные!$A$13:$A$64,0)),0))</f>
        <v>0.7</v>
      </c>
      <c r="BW11" s="32" t="n">
        <f aca="false">INDEX(Вводные!$D$13:$F$64,MATCH($A11,Вводные!$A$13:$A$64,0),MATCH(BW$3,Вводные!$D$11:$F$11,0))*(1+IF(BW$4=$A11,Вводные!$D$5*INDEX(Вводные!$G$13:$G$64,MATCH($A11,Вводные!$A$13:$A$64,0)),0))</f>
        <v>0.7</v>
      </c>
      <c r="BX11" s="32" t="n">
        <f aca="false">INDEX(Вводные!$D$13:$F$64,MATCH($A11,Вводные!$A$13:$A$64,0),MATCH(BX$3,Вводные!$D$11:$F$11,0))*(1+IF(BX$4=$A11,Вводные!$D$5*INDEX(Вводные!$G$13:$G$64,MATCH($A11,Вводные!$A$13:$A$64,0)),0))</f>
        <v>0.7</v>
      </c>
      <c r="BY11" s="32" t="n">
        <f aca="false">INDEX(Вводные!$D$13:$F$64,MATCH($A11,Вводные!$A$13:$A$64,0),MATCH(BY$3,Вводные!$D$11:$F$11,0))*(1+IF(BY$4=$A11,Вводные!$D$5*INDEX(Вводные!$G$13:$G$64,MATCH($A11,Вводные!$A$13:$A$64,0)),0))</f>
        <v>0.7</v>
      </c>
      <c r="BZ11" s="32" t="n">
        <f aca="false">INDEX(Вводные!$D$13:$F$64,MATCH($A11,Вводные!$A$13:$A$64,0),MATCH(BZ$3,Вводные!$D$11:$F$11,0))*(1+IF(BZ$4=$A11,Вводные!$D$5*INDEX(Вводные!$G$13:$G$64,MATCH($A11,Вводные!$A$13:$A$64,0)),0))</f>
        <v>0.7</v>
      </c>
      <c r="CA11" s="32" t="n">
        <f aca="false">INDEX(Вводные!$D$13:$F$64,MATCH($A11,Вводные!$A$13:$A$64,0),MATCH(CA$3,Вводные!$D$11:$F$11,0))*(1+IF(CA$4=$A11,Вводные!$D$5*INDEX(Вводные!$G$13:$G$64,MATCH($A11,Вводные!$A$13:$A$64,0)),0))</f>
        <v>0.7</v>
      </c>
      <c r="CB11" s="32" t="n">
        <f aca="false">INDEX(Вводные!$D$13:$F$64,MATCH($A11,Вводные!$A$13:$A$64,0),MATCH(CB$3,Вводные!$D$11:$F$11,0))*(1+IF(CB$4=$A11,Вводные!$D$5*INDEX(Вводные!$G$13:$G$64,MATCH($A11,Вводные!$A$13:$A$64,0)),0))</f>
        <v>0.7</v>
      </c>
      <c r="CC11" s="32" t="n">
        <f aca="false">INDEX(Вводные!$D$13:$F$64,MATCH($A11,Вводные!$A$13:$A$64,0),MATCH(CC$3,Вводные!$D$11:$F$11,0))*(1+IF(CC$4=$A11,Вводные!$D$5*INDEX(Вводные!$G$13:$G$64,MATCH($A11,Вводные!$A$13:$A$64,0)),0))</f>
        <v>0.7</v>
      </c>
      <c r="CD11" s="32" t="n">
        <f aca="false">INDEX(Вводные!$D$13:$F$64,MATCH($A11,Вводные!$A$13:$A$64,0),MATCH(CD$3,Вводные!$D$11:$F$11,0))*(1+IF(CD$4=$A11,Вводные!$D$5*INDEX(Вводные!$G$13:$G$64,MATCH($A11,Вводные!$A$13:$A$64,0)),0))</f>
        <v>0.7</v>
      </c>
      <c r="CE11" s="32" t="n">
        <f aca="false">INDEX(Вводные!$D$13:$F$64,MATCH($A11,Вводные!$A$13:$A$64,0),MATCH(CE$3,Вводные!$D$11:$F$11,0))*(1+IF(CE$4=$A11,Вводные!$D$5*INDEX(Вводные!$G$13:$G$64,MATCH($A11,Вводные!$A$13:$A$64,0)),0))</f>
        <v>0.7</v>
      </c>
      <c r="CF11" s="32" t="n">
        <f aca="false">INDEX(Вводные!$D$13:$F$64,MATCH($A11,Вводные!$A$13:$A$64,0),MATCH(CF$3,Вводные!$D$11:$F$11,0))*(1+IF(CF$4=$A11,Вводные!$D$5*INDEX(Вводные!$G$13:$G$64,MATCH($A11,Вводные!$A$13:$A$64,0)),0))</f>
        <v>0.7</v>
      </c>
      <c r="CG11" s="32" t="n">
        <f aca="false">INDEX(Вводные!$D$13:$F$64,MATCH($A11,Вводные!$A$13:$A$64,0),MATCH(CG$3,Вводные!$D$11:$F$11,0))*(1+IF(CG$4=$A11,Вводные!$D$5*INDEX(Вводные!$G$13:$G$64,MATCH($A11,Вводные!$A$13:$A$64,0)),0))</f>
        <v>0.7</v>
      </c>
      <c r="CH11" s="32" t="n">
        <f aca="false">INDEX(Вводные!$D$13:$F$64,MATCH($A11,Вводные!$A$13:$A$64,0),MATCH(CH$3,Вводные!$D$11:$F$11,0))*(1+IF(CH$4=$A11,Вводные!$D$5*INDEX(Вводные!$G$13:$G$64,MATCH($A11,Вводные!$A$13:$A$64,0)),0))</f>
        <v>0.7</v>
      </c>
      <c r="CI11" s="32" t="n">
        <f aca="false">INDEX(Вводные!$D$13:$F$64,MATCH($A11,Вводные!$A$13:$A$64,0),MATCH(CI$3,Вводные!$D$11:$F$11,0))*(1+IF(CI$4=$A11,Вводные!$D$5*INDEX(Вводные!$G$13:$G$64,MATCH($A11,Вводные!$A$13:$A$64,0)),0))</f>
        <v>0.7</v>
      </c>
      <c r="CJ11" s="32" t="n">
        <f aca="false">INDEX(Вводные!$D$13:$F$64,MATCH($A11,Вводные!$A$13:$A$64,0),MATCH(CJ$3,Вводные!$D$11:$F$11,0))*(1+IF(CJ$4=$A11,Вводные!$D$5*INDEX(Вводные!$G$13:$G$64,MATCH($A11,Вводные!$A$13:$A$64,0)),0))</f>
        <v>0.7</v>
      </c>
      <c r="CK11" s="32" t="n">
        <f aca="false">INDEX(Вводные!$D$13:$F$64,MATCH($A11,Вводные!$A$13:$A$64,0),MATCH(CK$3,Вводные!$D$11:$F$11,0))*(1+IF(CK$4=$A11,Вводные!$D$5*INDEX(Вводные!$G$13:$G$64,MATCH($A11,Вводные!$A$13:$A$64,0)),0))</f>
        <v>0.7</v>
      </c>
      <c r="CL11" s="32" t="n">
        <f aca="false">INDEX(Вводные!$D$13:$F$64,MATCH($A11,Вводные!$A$13:$A$64,0),MATCH(CL$3,Вводные!$D$11:$F$11,0))*(1+IF(CL$4=$A11,Вводные!$D$5*INDEX(Вводные!$G$13:$G$64,MATCH($A11,Вводные!$A$13:$A$64,0)),0))</f>
        <v>0.7</v>
      </c>
      <c r="CM11" s="32" t="n">
        <f aca="false">INDEX(Вводные!$D$13:$F$64,MATCH($A11,Вводные!$A$13:$A$64,0),MATCH(CM$3,Вводные!$D$11:$F$11,0))*(1+IF(CM$4=$A11,Вводные!$D$5*INDEX(Вводные!$G$13:$G$64,MATCH($A11,Вводные!$A$13:$A$64,0)),0))</f>
        <v>0.7</v>
      </c>
      <c r="CN11" s="32" t="n">
        <f aca="false">INDEX(Вводные!$D$13:$F$64,MATCH($A11,Вводные!$A$13:$A$64,0),MATCH(CN$3,Вводные!$D$11:$F$11,0))*(1+IF(CN$4=$A11,Вводные!$D$5*INDEX(Вводные!$G$13:$G$64,MATCH($A11,Вводные!$A$13:$A$64,0)),0))</f>
        <v>0.7</v>
      </c>
      <c r="CO11" s="32" t="n">
        <f aca="false">INDEX(Вводные!$D$13:$F$64,MATCH($A11,Вводные!$A$13:$A$64,0),MATCH(CO$3,Вводные!$D$11:$F$11,0))*(1+IF(CO$4=$A11,Вводные!$D$5*INDEX(Вводные!$G$13:$G$64,MATCH($A11,Вводные!$A$13:$A$64,0)),0))</f>
        <v>0.7</v>
      </c>
      <c r="CP11" s="32" t="n">
        <f aca="false">INDEX(Вводные!$D$13:$F$64,MATCH($A11,Вводные!$A$13:$A$64,0),MATCH(CP$3,Вводные!$D$11:$F$11,0))*(1+IF(CP$4=$A11,Вводные!$D$5*INDEX(Вводные!$G$13:$G$64,MATCH($A11,Вводные!$A$13:$A$64,0)),0))</f>
        <v>0.4</v>
      </c>
      <c r="CQ11" s="32" t="n">
        <f aca="false">INDEX(Вводные!$D$13:$F$64,MATCH($A11,Вводные!$A$13:$A$64,0),MATCH(CQ$3,Вводные!$D$11:$F$11,0))*(1+IF(CQ$4=$A11,Вводные!$D$5*INDEX(Вводные!$G$13:$G$64,MATCH($A11,Вводные!$A$13:$A$64,0)),0))</f>
        <v>0.4</v>
      </c>
      <c r="CR11" s="32" t="n">
        <f aca="false">INDEX(Вводные!$D$13:$F$64,MATCH($A11,Вводные!$A$13:$A$64,0),MATCH(CR$3,Вводные!$D$11:$F$11,0))*(1+IF(CR$4=$A11,Вводные!$D$5*INDEX(Вводные!$G$13:$G$64,MATCH($A11,Вводные!$A$13:$A$64,0)),0))</f>
        <v>0.404</v>
      </c>
      <c r="CS11" s="32" t="n">
        <f aca="false">INDEX(Вводные!$D$13:$F$64,MATCH($A11,Вводные!$A$13:$A$64,0),MATCH(CS$3,Вводные!$D$11:$F$11,0))*(1+IF(CS$4=$A11,Вводные!$D$5*INDEX(Вводные!$G$13:$G$64,MATCH($A11,Вводные!$A$13:$A$64,0)),0))</f>
        <v>0.4</v>
      </c>
      <c r="CT11" s="32" t="n">
        <f aca="false">INDEX(Вводные!$D$13:$F$64,MATCH($A11,Вводные!$A$13:$A$64,0),MATCH(CT$3,Вводные!$D$11:$F$11,0))*(1+IF(CT$4=$A11,Вводные!$D$5*INDEX(Вводные!$G$13:$G$64,MATCH($A11,Вводные!$A$13:$A$64,0)),0))</f>
        <v>0.4</v>
      </c>
      <c r="CU11" s="32" t="n">
        <f aca="false">INDEX(Вводные!$D$13:$F$64,MATCH($A11,Вводные!$A$13:$A$64,0),MATCH(CU$3,Вводные!$D$11:$F$11,0))*(1+IF(CU$4=$A11,Вводные!$D$5*INDEX(Вводные!$G$13:$G$64,MATCH($A11,Вводные!$A$13:$A$64,0)),0))</f>
        <v>0.4</v>
      </c>
      <c r="CV11" s="32" t="n">
        <f aca="false">INDEX(Вводные!$D$13:$F$64,MATCH($A11,Вводные!$A$13:$A$64,0),MATCH(CV$3,Вводные!$D$11:$F$11,0))*(1+IF(CV$4=$A11,Вводные!$D$5*INDEX(Вводные!$G$13:$G$64,MATCH($A11,Вводные!$A$13:$A$64,0)),0))</f>
        <v>0.4</v>
      </c>
      <c r="CW11" s="32" t="n">
        <f aca="false">INDEX(Вводные!$D$13:$F$64,MATCH($A11,Вводные!$A$13:$A$64,0),MATCH(CW$3,Вводные!$D$11:$F$11,0))*(1+IF(CW$4=$A11,Вводные!$D$5*INDEX(Вводные!$G$13:$G$64,MATCH($A11,Вводные!$A$13:$A$64,0)),0))</f>
        <v>0.4</v>
      </c>
      <c r="CX11" s="32" t="n">
        <f aca="false">INDEX(Вводные!$D$13:$F$64,MATCH($A11,Вводные!$A$13:$A$64,0),MATCH(CX$3,Вводные!$D$11:$F$11,0))*(1+IF(CX$4=$A11,Вводные!$D$5*INDEX(Вводные!$G$13:$G$64,MATCH($A11,Вводные!$A$13:$A$64,0)),0))</f>
        <v>0.4</v>
      </c>
      <c r="CY11" s="32" t="n">
        <f aca="false">INDEX(Вводные!$D$13:$F$64,MATCH($A11,Вводные!$A$13:$A$64,0),MATCH(CY$3,Вводные!$D$11:$F$11,0))*(1+IF(CY$4=$A11,Вводные!$D$5*INDEX(Вводные!$G$13:$G$64,MATCH($A11,Вводные!$A$13:$A$64,0)),0))</f>
        <v>0.4</v>
      </c>
      <c r="CZ11" s="32" t="n">
        <f aca="false">INDEX(Вводные!$D$13:$F$64,MATCH($A11,Вводные!$A$13:$A$64,0),MATCH(CZ$3,Вводные!$D$11:$F$11,0))*(1+IF(CZ$4=$A11,Вводные!$D$5*INDEX(Вводные!$G$13:$G$64,MATCH($A11,Вводные!$A$13:$A$64,0)),0))</f>
        <v>0.4</v>
      </c>
      <c r="DA11" s="32" t="n">
        <f aca="false">INDEX(Вводные!$D$13:$F$64,MATCH($A11,Вводные!$A$13:$A$64,0),MATCH(DA$3,Вводные!$D$11:$F$11,0))*(1+IF(DA$4=$A11,Вводные!$D$5*INDEX(Вводные!$G$13:$G$64,MATCH($A11,Вводные!$A$13:$A$64,0)),0))</f>
        <v>0.4</v>
      </c>
      <c r="DB11" s="32" t="n">
        <f aca="false">INDEX(Вводные!$D$13:$F$64,MATCH($A11,Вводные!$A$13:$A$64,0),MATCH(DB$3,Вводные!$D$11:$F$11,0))*(1+IF(DB$4=$A11,Вводные!$D$5*INDEX(Вводные!$G$13:$G$64,MATCH($A11,Вводные!$A$13:$A$64,0)),0))</f>
        <v>0.4</v>
      </c>
      <c r="DC11" s="32" t="n">
        <f aca="false">INDEX(Вводные!$D$13:$F$64,MATCH($A11,Вводные!$A$13:$A$64,0),MATCH(DC$3,Вводные!$D$11:$F$11,0))*(1+IF(DC$4=$A11,Вводные!$D$5*INDEX(Вводные!$G$13:$G$64,MATCH($A11,Вводные!$A$13:$A$64,0)),0))</f>
        <v>0.4</v>
      </c>
      <c r="DD11" s="32" t="n">
        <f aca="false">INDEX(Вводные!$D$13:$F$64,MATCH($A11,Вводные!$A$13:$A$64,0),MATCH(DD$3,Вводные!$D$11:$F$11,0))*(1+IF(DD$4=$A11,Вводные!$D$5*INDEX(Вводные!$G$13:$G$64,MATCH($A11,Вводные!$A$13:$A$64,0)),0))</f>
        <v>0.4</v>
      </c>
      <c r="DE11" s="32" t="n">
        <f aca="false">INDEX(Вводные!$D$13:$F$64,MATCH($A11,Вводные!$A$13:$A$64,0),MATCH(DE$3,Вводные!$D$11:$F$11,0))*(1+IF(DE$4=$A11,Вводные!$D$5*INDEX(Вводные!$G$13:$G$64,MATCH($A11,Вводные!$A$13:$A$64,0)),0))</f>
        <v>0.4</v>
      </c>
      <c r="DF11" s="32" t="n">
        <f aca="false">INDEX(Вводные!$D$13:$F$64,MATCH($A11,Вводные!$A$13:$A$64,0),MATCH(DF$3,Вводные!$D$11:$F$11,0))*(1+IF(DF$4=$A11,Вводные!$D$5*INDEX(Вводные!$G$13:$G$64,MATCH($A11,Вводные!$A$13:$A$64,0)),0))</f>
        <v>0.4</v>
      </c>
      <c r="DG11" s="32" t="n">
        <f aca="false">INDEX(Вводные!$D$13:$F$64,MATCH($A11,Вводные!$A$13:$A$64,0),MATCH(DG$3,Вводные!$D$11:$F$11,0))*(1+IF(DG$4=$A11,Вводные!$D$5*INDEX(Вводные!$G$13:$G$64,MATCH($A11,Вводные!$A$13:$A$64,0)),0))</f>
        <v>0.4</v>
      </c>
      <c r="DH11" s="32" t="n">
        <f aca="false">INDEX(Вводные!$D$13:$F$64,MATCH($A11,Вводные!$A$13:$A$64,0),MATCH(DH$3,Вводные!$D$11:$F$11,0))*(1+IF(DH$4=$A11,Вводные!$D$5*INDEX(Вводные!$G$13:$G$64,MATCH($A11,Вводные!$A$13:$A$64,0)),0))</f>
        <v>0.4</v>
      </c>
      <c r="DI11" s="32" t="n">
        <f aca="false">INDEX(Вводные!$D$13:$F$64,MATCH($A11,Вводные!$A$13:$A$64,0),MATCH(DI$3,Вводные!$D$11:$F$11,0))*(1+IF(DI$4=$A11,Вводные!$D$5*INDEX(Вводные!$G$13:$G$64,MATCH($A11,Вводные!$A$13:$A$64,0)),0))</f>
        <v>0.4</v>
      </c>
      <c r="DJ11" s="32" t="n">
        <f aca="false">INDEX(Вводные!$D$13:$F$64,MATCH($A11,Вводные!$A$13:$A$64,0),MATCH(DJ$3,Вводные!$D$11:$F$11,0))*(1+IF(DJ$4=$A11,Вводные!$D$5*INDEX(Вводные!$G$13:$G$64,MATCH($A11,Вводные!$A$13:$A$64,0)),0))</f>
        <v>0.4</v>
      </c>
      <c r="DK11" s="32" t="n">
        <f aca="false">INDEX(Вводные!$D$13:$F$64,MATCH($A11,Вводные!$A$13:$A$64,0),MATCH(DK$3,Вводные!$D$11:$F$11,0))*(1+IF(DK$4=$A11,Вводные!$D$5*INDEX(Вводные!$G$13:$G$64,MATCH($A11,Вводные!$A$13:$A$64,0)),0))</f>
        <v>0.4</v>
      </c>
      <c r="DL11" s="32" t="n">
        <f aca="false">INDEX(Вводные!$D$13:$F$64,MATCH($A11,Вводные!$A$13:$A$64,0),MATCH(DL$3,Вводные!$D$11:$F$11,0))*(1+IF(DL$4=$A11,Вводные!$D$5*INDEX(Вводные!$G$13:$G$64,MATCH($A11,Вводные!$A$13:$A$64,0)),0))</f>
        <v>0.4</v>
      </c>
      <c r="DM11" s="32" t="n">
        <f aca="false">INDEX(Вводные!$D$13:$F$64,MATCH($A11,Вводные!$A$13:$A$64,0),MATCH(DM$3,Вводные!$D$11:$F$11,0))*(1+IF(DM$4=$A11,Вводные!$D$5*INDEX(Вводные!$G$13:$G$64,MATCH($A11,Вводные!$A$13:$A$64,0)),0))</f>
        <v>0.4</v>
      </c>
      <c r="DN11" s="32" t="n">
        <f aca="false">INDEX(Вводные!$D$13:$F$64,MATCH($A11,Вводные!$A$13:$A$64,0),MATCH(DN$3,Вводные!$D$11:$F$11,0))*(1+IF(DN$4=$A11,Вводные!$D$5*INDEX(Вводные!$G$13:$G$64,MATCH($A11,Вводные!$A$13:$A$64,0)),0))</f>
        <v>0.4</v>
      </c>
      <c r="DO11" s="32" t="n">
        <f aca="false">INDEX(Вводные!$D$13:$F$64,MATCH($A11,Вводные!$A$13:$A$64,0),MATCH(DO$3,Вводные!$D$11:$F$11,0))*(1+IF(DO$4=$A11,Вводные!$D$5*INDEX(Вводные!$G$13:$G$64,MATCH($A11,Вводные!$A$13:$A$64,0)),0))</f>
        <v>0.4</v>
      </c>
      <c r="DP11" s="32" t="n">
        <f aca="false">INDEX(Вводные!$D$13:$F$64,MATCH($A11,Вводные!$A$13:$A$64,0),MATCH(DP$3,Вводные!$D$11:$F$11,0))*(1+IF(DP$4=$A11,Вводные!$D$5*INDEX(Вводные!$G$13:$G$64,MATCH($A11,Вводные!$A$13:$A$64,0)),0))</f>
        <v>0.4</v>
      </c>
      <c r="DQ11" s="32" t="n">
        <f aca="false">INDEX(Вводные!$D$13:$F$64,MATCH($A11,Вводные!$A$13:$A$64,0),MATCH(DQ$3,Вводные!$D$11:$F$11,0))*(1+IF(DQ$4=$A11,Вводные!$D$5*INDEX(Вводные!$G$13:$G$64,MATCH($A11,Вводные!$A$13:$A$64,0)),0))</f>
        <v>0.4</v>
      </c>
      <c r="DR11" s="32" t="n">
        <f aca="false">INDEX(Вводные!$D$13:$F$64,MATCH($A11,Вводные!$A$13:$A$64,0),MATCH(DR$3,Вводные!$D$11:$F$11,0))*(1+IF(DR$4=$A11,Вводные!$D$5*INDEX(Вводные!$G$13:$G$64,MATCH($A11,Вводные!$A$13:$A$64,0)),0))</f>
        <v>0.4</v>
      </c>
      <c r="DS11" s="32" t="n">
        <f aca="false">INDEX(Вводные!$D$13:$F$64,MATCH($A11,Вводные!$A$13:$A$64,0),MATCH(DS$3,Вводные!$D$11:$F$11,0))*(1+IF(DS$4=$A11,Вводные!$D$5*INDEX(Вводные!$G$13:$G$64,MATCH($A11,Вводные!$A$13:$A$64,0)),0))</f>
        <v>0.4</v>
      </c>
      <c r="DT11" s="32" t="n">
        <f aca="false">INDEX(Вводные!$D$13:$F$64,MATCH($A11,Вводные!$A$13:$A$64,0),MATCH(DT$3,Вводные!$D$11:$F$11,0))*(1+IF(DT$4=$A11,Вводные!$D$5*INDEX(Вводные!$G$13:$G$64,MATCH($A11,Вводные!$A$13:$A$64,0)),0))</f>
        <v>0.4</v>
      </c>
      <c r="DU11" s="32" t="n">
        <f aca="false">INDEX(Вводные!$D$13:$F$64,MATCH($A11,Вводные!$A$13:$A$64,0),MATCH(DU$3,Вводные!$D$11:$F$11,0))*(1+IF(DU$4=$A11,Вводные!$D$5*INDEX(Вводные!$G$13:$G$64,MATCH($A11,Вводные!$A$13:$A$64,0)),0))</f>
        <v>0.4</v>
      </c>
      <c r="DV11" s="32" t="n">
        <f aca="false">INDEX(Вводные!$D$13:$F$64,MATCH($A11,Вводные!$A$13:$A$64,0),MATCH(DV$3,Вводные!$D$11:$F$11,0))*(1+IF(DV$4=$A11,Вводные!$D$5*INDEX(Вводные!$G$13:$G$64,MATCH($A11,Вводные!$A$13:$A$64,0)),0))</f>
        <v>0.4</v>
      </c>
      <c r="DW11" s="32" t="n">
        <f aca="false">INDEX(Вводные!$D$13:$F$64,MATCH($A11,Вводные!$A$13:$A$64,0),MATCH(DW$3,Вводные!$D$11:$F$11,0))*(1+IF(DW$4=$A11,Вводные!$D$5*INDEX(Вводные!$G$13:$G$64,MATCH($A11,Вводные!$A$13:$A$64,0)),0))</f>
        <v>0.4</v>
      </c>
      <c r="DX11" s="32" t="n">
        <f aca="false">INDEX(Вводные!$D$13:$F$64,MATCH($A11,Вводные!$A$13:$A$64,0),MATCH(DX$3,Вводные!$D$11:$F$11,0))*(1+IF(DX$4=$A11,Вводные!$D$5*INDEX(Вводные!$G$13:$G$64,MATCH($A11,Вводные!$A$13:$A$64,0)),0))</f>
        <v>0.4</v>
      </c>
      <c r="DY11" s="32" t="n">
        <f aca="false">INDEX(Вводные!$D$13:$F$64,MATCH($A11,Вводные!$A$13:$A$64,0),MATCH(DY$3,Вводные!$D$11:$F$11,0))*(1+IF(DY$4=$A11,Вводные!$D$5*INDEX(Вводные!$G$13:$G$64,MATCH($A11,Вводные!$A$13:$A$64,0)),0))</f>
        <v>0.4</v>
      </c>
      <c r="DZ11" s="32" t="n">
        <f aca="false">INDEX(Вводные!$D$13:$F$64,MATCH($A11,Вводные!$A$13:$A$64,0),MATCH(DZ$3,Вводные!$D$11:$F$11,0))*(1+IF(DZ$4=$A11,Вводные!$D$5*INDEX(Вводные!$G$13:$G$64,MATCH($A11,Вводные!$A$13:$A$64,0)),0))</f>
        <v>0.4</v>
      </c>
      <c r="EA11" s="32" t="n">
        <f aca="false">INDEX(Вводные!$D$13:$F$64,MATCH($A11,Вводные!$A$13:$A$64,0),MATCH(EA$3,Вводные!$D$11:$F$11,0))*(1+IF(EA$4=$A11,Вводные!$D$5*INDEX(Вводные!$G$13:$G$64,MATCH($A11,Вводные!$A$13:$A$64,0)),0))</f>
        <v>0.4</v>
      </c>
      <c r="EB11" s="32" t="n">
        <f aca="false">INDEX(Вводные!$D$13:$F$64,MATCH($A11,Вводные!$A$13:$A$64,0),MATCH(EB$3,Вводные!$D$11:$F$11,0))*(1+IF(EB$4=$A11,Вводные!$D$5*INDEX(Вводные!$G$13:$G$64,MATCH($A11,Вводные!$A$13:$A$64,0)),0))</f>
        <v>0.4</v>
      </c>
      <c r="EC11" s="32" t="n">
        <f aca="false">INDEX(Вводные!$D$13:$F$64,MATCH($A11,Вводные!$A$13:$A$64,0),MATCH(EC$3,Вводные!$D$11:$F$11,0))*(1+IF(EC$4=$A11,Вводные!$D$5*INDEX(Вводные!$G$13:$G$64,MATCH($A11,Вводные!$A$13:$A$64,0)),0))</f>
        <v>0.4</v>
      </c>
      <c r="ED11" s="32" t="n">
        <f aca="false">INDEX(Вводные!$D$13:$F$64,MATCH($A11,Вводные!$A$13:$A$64,0),MATCH(ED$3,Вводные!$D$11:$F$11,0))*(1+IF(ED$4=$A11,Вводные!$D$5*INDEX(Вводные!$G$13:$G$64,MATCH($A11,Вводные!$A$13:$A$64,0)),0))</f>
        <v>0.4</v>
      </c>
      <c r="EE11" s="32" t="n">
        <f aca="false">INDEX(Вводные!$D$13:$F$64,MATCH($A11,Вводные!$A$13:$A$64,0),MATCH(EE$3,Вводные!$D$11:$F$11,0))*(1+IF(EE$4=$A11,Вводные!$D$5*INDEX(Вводные!$G$13:$G$64,MATCH($A11,Вводные!$A$13:$A$64,0)),0))</f>
        <v>0.4</v>
      </c>
      <c r="EF11" s="32" t="n">
        <f aca="false">INDEX(Вводные!$D$13:$F$64,MATCH($A11,Вводные!$A$13:$A$64,0),MATCH(EF$3,Вводные!$D$11:$F$11,0))*(1+IF(EF$4=$A11,Вводные!$D$5*INDEX(Вводные!$G$13:$G$64,MATCH($A11,Вводные!$A$13:$A$64,0)),0))</f>
        <v>0.45</v>
      </c>
      <c r="EG11" s="32" t="n">
        <f aca="false">INDEX(Вводные!$D$13:$F$64,MATCH($A11,Вводные!$A$13:$A$64,0),MATCH(EG$3,Вводные!$D$11:$F$11,0))*(1+IF(EG$4=$A11,Вводные!$D$5*INDEX(Вводные!$G$13:$G$64,MATCH($A11,Вводные!$A$13:$A$64,0)),0))</f>
        <v>0.45</v>
      </c>
      <c r="EH11" s="32" t="n">
        <f aca="false">INDEX(Вводные!$D$13:$F$64,MATCH($A11,Вводные!$A$13:$A$64,0),MATCH(EH$3,Вводные!$D$11:$F$11,0))*(1+IF(EH$4=$A11,Вводные!$D$5*INDEX(Вводные!$G$13:$G$64,MATCH($A11,Вводные!$A$13:$A$64,0)),0))</f>
        <v>0.4545</v>
      </c>
      <c r="EI11" s="32" t="n">
        <f aca="false">INDEX(Вводные!$D$13:$F$64,MATCH($A11,Вводные!$A$13:$A$64,0),MATCH(EI$3,Вводные!$D$11:$F$11,0))*(1+IF(EI$4=$A11,Вводные!$D$5*INDEX(Вводные!$G$13:$G$64,MATCH($A11,Вводные!$A$13:$A$64,0)),0))</f>
        <v>0.45</v>
      </c>
      <c r="EJ11" s="32" t="n">
        <f aca="false">INDEX(Вводные!$D$13:$F$64,MATCH($A11,Вводные!$A$13:$A$64,0),MATCH(EJ$3,Вводные!$D$11:$F$11,0))*(1+IF(EJ$4=$A11,Вводные!$D$5*INDEX(Вводные!$G$13:$G$64,MATCH($A11,Вводные!$A$13:$A$64,0)),0))</f>
        <v>0.45</v>
      </c>
      <c r="EK11" s="32" t="n">
        <f aca="false">INDEX(Вводные!$D$13:$F$64,MATCH($A11,Вводные!$A$13:$A$64,0),MATCH(EK$3,Вводные!$D$11:$F$11,0))*(1+IF(EK$4=$A11,Вводные!$D$5*INDEX(Вводные!$G$13:$G$64,MATCH($A11,Вводные!$A$13:$A$64,0)),0))</f>
        <v>0.45</v>
      </c>
      <c r="EL11" s="32" t="n">
        <f aca="false">INDEX(Вводные!$D$13:$F$64,MATCH($A11,Вводные!$A$13:$A$64,0),MATCH(EL$3,Вводные!$D$11:$F$11,0))*(1+IF(EL$4=$A11,Вводные!$D$5*INDEX(Вводные!$G$13:$G$64,MATCH($A11,Вводные!$A$13:$A$64,0)),0))</f>
        <v>0.45</v>
      </c>
      <c r="EM11" s="32" t="n">
        <f aca="false">INDEX(Вводные!$D$13:$F$64,MATCH($A11,Вводные!$A$13:$A$64,0),MATCH(EM$3,Вводные!$D$11:$F$11,0))*(1+IF(EM$4=$A11,Вводные!$D$5*INDEX(Вводные!$G$13:$G$64,MATCH($A11,Вводные!$A$13:$A$64,0)),0))</f>
        <v>0.45</v>
      </c>
      <c r="EN11" s="32" t="n">
        <f aca="false">INDEX(Вводные!$D$13:$F$64,MATCH($A11,Вводные!$A$13:$A$64,0),MATCH(EN$3,Вводные!$D$11:$F$11,0))*(1+IF(EN$4=$A11,Вводные!$D$5*INDEX(Вводные!$G$13:$G$64,MATCH($A11,Вводные!$A$13:$A$64,0)),0))</f>
        <v>0.45</v>
      </c>
      <c r="EO11" s="32" t="n">
        <f aca="false">INDEX(Вводные!$D$13:$F$64,MATCH($A11,Вводные!$A$13:$A$64,0),MATCH(EO$3,Вводные!$D$11:$F$11,0))*(1+IF(EO$4=$A11,Вводные!$D$5*INDEX(Вводные!$G$13:$G$64,MATCH($A11,Вводные!$A$13:$A$64,0)),0))</f>
        <v>0.45</v>
      </c>
      <c r="EP11" s="32" t="n">
        <f aca="false">INDEX(Вводные!$D$13:$F$64,MATCH($A11,Вводные!$A$13:$A$64,0),MATCH(EP$3,Вводные!$D$11:$F$11,0))*(1+IF(EP$4=$A11,Вводные!$D$5*INDEX(Вводные!$G$13:$G$64,MATCH($A11,Вводные!$A$13:$A$64,0)),0))</f>
        <v>0.45</v>
      </c>
      <c r="EQ11" s="32" t="n">
        <f aca="false">INDEX(Вводные!$D$13:$F$64,MATCH($A11,Вводные!$A$13:$A$64,0),MATCH(EQ$3,Вводные!$D$11:$F$11,0))*(1+IF(EQ$4=$A11,Вводные!$D$5*INDEX(Вводные!$G$13:$G$64,MATCH($A11,Вводные!$A$13:$A$64,0)),0))</f>
        <v>0.45</v>
      </c>
      <c r="ER11" s="32" t="n">
        <f aca="false">INDEX(Вводные!$D$13:$F$64,MATCH($A11,Вводные!$A$13:$A$64,0),MATCH(ER$3,Вводные!$D$11:$F$11,0))*(1+IF(ER$4=$A11,Вводные!$D$5*INDEX(Вводные!$G$13:$G$64,MATCH($A11,Вводные!$A$13:$A$64,0)),0))</f>
        <v>0.45</v>
      </c>
      <c r="ES11" s="32" t="n">
        <f aca="false">INDEX(Вводные!$D$13:$F$64,MATCH($A11,Вводные!$A$13:$A$64,0),MATCH(ES$3,Вводные!$D$11:$F$11,0))*(1+IF(ES$4=$A11,Вводные!$D$5*INDEX(Вводные!$G$13:$G$64,MATCH($A11,Вводные!$A$13:$A$64,0)),0))</f>
        <v>0.45</v>
      </c>
      <c r="ET11" s="32" t="n">
        <f aca="false">INDEX(Вводные!$D$13:$F$64,MATCH($A11,Вводные!$A$13:$A$64,0),MATCH(ET$3,Вводные!$D$11:$F$11,0))*(1+IF(ET$4=$A11,Вводные!$D$5*INDEX(Вводные!$G$13:$G$64,MATCH($A11,Вводные!$A$13:$A$64,0)),0))</f>
        <v>0.45</v>
      </c>
      <c r="EU11" s="32" t="n">
        <f aca="false">INDEX(Вводные!$D$13:$F$64,MATCH($A11,Вводные!$A$13:$A$64,0),MATCH(EU$3,Вводные!$D$11:$F$11,0))*(1+IF(EU$4=$A11,Вводные!$D$5*INDEX(Вводные!$G$13:$G$64,MATCH($A11,Вводные!$A$13:$A$64,0)),0))</f>
        <v>0.45</v>
      </c>
      <c r="EV11" s="32" t="n">
        <f aca="false">INDEX(Вводные!$D$13:$F$64,MATCH($A11,Вводные!$A$13:$A$64,0),MATCH(EV$3,Вводные!$D$11:$F$11,0))*(1+IF(EV$4=$A11,Вводные!$D$5*INDEX(Вводные!$G$13:$G$64,MATCH($A11,Вводные!$A$13:$A$64,0)),0))</f>
        <v>0.45</v>
      </c>
      <c r="EW11" s="32" t="n">
        <f aca="false">INDEX(Вводные!$D$13:$F$64,MATCH($A11,Вводные!$A$13:$A$64,0),MATCH(EW$3,Вводные!$D$11:$F$11,0))*(1+IF(EW$4=$A11,Вводные!$D$5*INDEX(Вводные!$G$13:$G$64,MATCH($A11,Вводные!$A$13:$A$64,0)),0))</f>
        <v>0.45</v>
      </c>
      <c r="EX11" s="32" t="n">
        <f aca="false">INDEX(Вводные!$D$13:$F$64,MATCH($A11,Вводные!$A$13:$A$64,0),MATCH(EX$3,Вводные!$D$11:$F$11,0))*(1+IF(EX$4=$A11,Вводные!$D$5*INDEX(Вводные!$G$13:$G$64,MATCH($A11,Вводные!$A$13:$A$64,0)),0))</f>
        <v>0.45</v>
      </c>
      <c r="EY11" s="32" t="n">
        <f aca="false">INDEX(Вводные!$D$13:$F$64,MATCH($A11,Вводные!$A$13:$A$64,0),MATCH(EY$3,Вводные!$D$11:$F$11,0))*(1+IF(EY$4=$A11,Вводные!$D$5*INDEX(Вводные!$G$13:$G$64,MATCH($A11,Вводные!$A$13:$A$64,0)),0))</f>
        <v>0.45</v>
      </c>
      <c r="EZ11" s="32" t="n">
        <f aca="false">INDEX(Вводные!$D$13:$F$64,MATCH($A11,Вводные!$A$13:$A$64,0),MATCH(EZ$3,Вводные!$D$11:$F$11,0))*(1+IF(EZ$4=$A11,Вводные!$D$5*INDEX(Вводные!$G$13:$G$64,MATCH($A11,Вводные!$A$13:$A$64,0)),0))</f>
        <v>0.45</v>
      </c>
      <c r="FA11" s="32" t="n">
        <f aca="false">INDEX(Вводные!$D$13:$F$64,MATCH($A11,Вводные!$A$13:$A$64,0),MATCH(FA$3,Вводные!$D$11:$F$11,0))*(1+IF(FA$4=$A11,Вводные!$D$5*INDEX(Вводные!$G$13:$G$64,MATCH($A11,Вводные!$A$13:$A$64,0)),0))</f>
        <v>0.45</v>
      </c>
      <c r="FB11" s="32" t="n">
        <f aca="false">INDEX(Вводные!$D$13:$F$64,MATCH($A11,Вводные!$A$13:$A$64,0),MATCH(FB$3,Вводные!$D$11:$F$11,0))*(1+IF(FB$4=$A11,Вводные!$D$5*INDEX(Вводные!$G$13:$G$64,MATCH($A11,Вводные!$A$13:$A$64,0)),0))</f>
        <v>0.45</v>
      </c>
      <c r="FC11" s="32" t="n">
        <f aca="false">INDEX(Вводные!$D$13:$F$64,MATCH($A11,Вводные!$A$13:$A$64,0),MATCH(FC$3,Вводные!$D$11:$F$11,0))*(1+IF(FC$4=$A11,Вводные!$D$5*INDEX(Вводные!$G$13:$G$64,MATCH($A11,Вводные!$A$13:$A$64,0)),0))</f>
        <v>0.45</v>
      </c>
      <c r="FD11" s="32" t="n">
        <f aca="false">INDEX(Вводные!$D$13:$F$64,MATCH($A11,Вводные!$A$13:$A$64,0),MATCH(FD$3,Вводные!$D$11:$F$11,0))*(1+IF(FD$4=$A11,Вводные!$D$5*INDEX(Вводные!$G$13:$G$64,MATCH($A11,Вводные!$A$13:$A$64,0)),0))</f>
        <v>0.45</v>
      </c>
      <c r="FE11" s="32" t="n">
        <f aca="false">INDEX(Вводные!$D$13:$F$64,MATCH($A11,Вводные!$A$13:$A$64,0),MATCH(FE$3,Вводные!$D$11:$F$11,0))*(1+IF(FE$4=$A11,Вводные!$D$5*INDEX(Вводные!$G$13:$G$64,MATCH($A11,Вводные!$A$13:$A$64,0)),0))</f>
        <v>0.45</v>
      </c>
      <c r="FF11" s="32" t="n">
        <f aca="false">INDEX(Вводные!$D$13:$F$64,MATCH($A11,Вводные!$A$13:$A$64,0),MATCH(FF$3,Вводные!$D$11:$F$11,0))*(1+IF(FF$4=$A11,Вводные!$D$5*INDEX(Вводные!$G$13:$G$64,MATCH($A11,Вводные!$A$13:$A$64,0)),0))</f>
        <v>0.45</v>
      </c>
      <c r="FG11" s="32" t="n">
        <f aca="false">INDEX(Вводные!$D$13:$F$64,MATCH($A11,Вводные!$A$13:$A$64,0),MATCH(FG$3,Вводные!$D$11:$F$11,0))*(1+IF(FG$4=$A11,Вводные!$D$5*INDEX(Вводные!$G$13:$G$64,MATCH($A11,Вводные!$A$13:$A$64,0)),0))</f>
        <v>0.45</v>
      </c>
      <c r="FH11" s="32" t="n">
        <f aca="false">INDEX(Вводные!$D$13:$F$64,MATCH($A11,Вводные!$A$13:$A$64,0),MATCH(FH$3,Вводные!$D$11:$F$11,0))*(1+IF(FH$4=$A11,Вводные!$D$5*INDEX(Вводные!$G$13:$G$64,MATCH($A11,Вводные!$A$13:$A$64,0)),0))</f>
        <v>0.45</v>
      </c>
      <c r="FI11" s="32" t="n">
        <f aca="false">INDEX(Вводные!$D$13:$F$64,MATCH($A11,Вводные!$A$13:$A$64,0),MATCH(FI$3,Вводные!$D$11:$F$11,0))*(1+IF(FI$4=$A11,Вводные!$D$5*INDEX(Вводные!$G$13:$G$64,MATCH($A11,Вводные!$A$13:$A$64,0)),0))</f>
        <v>0.45</v>
      </c>
      <c r="FJ11" s="32" t="n">
        <f aca="false">INDEX(Вводные!$D$13:$F$64,MATCH($A11,Вводные!$A$13:$A$64,0),MATCH(FJ$3,Вводные!$D$11:$F$11,0))*(1+IF(FJ$4=$A11,Вводные!$D$5*INDEX(Вводные!$G$13:$G$64,MATCH($A11,Вводные!$A$13:$A$64,0)),0))</f>
        <v>0.45</v>
      </c>
      <c r="FK11" s="32" t="n">
        <f aca="false">INDEX(Вводные!$D$13:$F$64,MATCH($A11,Вводные!$A$13:$A$64,0),MATCH(FK$3,Вводные!$D$11:$F$11,0))*(1+IF(FK$4=$A11,Вводные!$D$5*INDEX(Вводные!$G$13:$G$64,MATCH($A11,Вводные!$A$13:$A$64,0)),0))</f>
        <v>0.45</v>
      </c>
      <c r="FL11" s="32" t="n">
        <f aca="false">INDEX(Вводные!$D$13:$F$64,MATCH($A11,Вводные!$A$13:$A$64,0),MATCH(FL$3,Вводные!$D$11:$F$11,0))*(1+IF(FL$4=$A11,Вводные!$D$5*INDEX(Вводные!$G$13:$G$64,MATCH($A11,Вводные!$A$13:$A$64,0)),0))</f>
        <v>0.45</v>
      </c>
      <c r="FM11" s="32" t="n">
        <f aca="false">INDEX(Вводные!$D$13:$F$64,MATCH($A11,Вводные!$A$13:$A$64,0),MATCH(FM$3,Вводные!$D$11:$F$11,0))*(1+IF(FM$4=$A11,Вводные!$D$5*INDEX(Вводные!$G$13:$G$64,MATCH($A11,Вводные!$A$13:$A$64,0)),0))</f>
        <v>0.45</v>
      </c>
      <c r="FN11" s="32" t="n">
        <f aca="false">INDEX(Вводные!$D$13:$F$64,MATCH($A11,Вводные!$A$13:$A$64,0),MATCH(FN$3,Вводные!$D$11:$F$11,0))*(1+IF(FN$4=$A11,Вводные!$D$5*INDEX(Вводные!$G$13:$G$64,MATCH($A11,Вводные!$A$13:$A$64,0)),0))</f>
        <v>0.45</v>
      </c>
      <c r="FO11" s="32" t="n">
        <f aca="false">INDEX(Вводные!$D$13:$F$64,MATCH($A11,Вводные!$A$13:$A$64,0),MATCH(FO$3,Вводные!$D$11:$F$11,0))*(1+IF(FO$4=$A11,Вводные!$D$5*INDEX(Вводные!$G$13:$G$64,MATCH($A11,Вводные!$A$13:$A$64,0)),0))</f>
        <v>0.45</v>
      </c>
      <c r="FP11" s="32" t="n">
        <f aca="false">INDEX(Вводные!$D$13:$F$64,MATCH($A11,Вводные!$A$13:$A$64,0),MATCH(FP$3,Вводные!$D$11:$F$11,0))*(1+IF(FP$4=$A11,Вводные!$D$5*INDEX(Вводные!$G$13:$G$64,MATCH($A11,Вводные!$A$13:$A$64,0)),0))</f>
        <v>0.45</v>
      </c>
      <c r="FQ11" s="32" t="n">
        <f aca="false">INDEX(Вводные!$D$13:$F$64,MATCH($A11,Вводные!$A$13:$A$64,0),MATCH(FQ$3,Вводные!$D$11:$F$11,0))*(1+IF(FQ$4=$A11,Вводные!$D$5*INDEX(Вводные!$G$13:$G$64,MATCH($A11,Вводные!$A$13:$A$64,0)),0))</f>
        <v>0.45</v>
      </c>
      <c r="FR11" s="32" t="n">
        <f aca="false">INDEX(Вводные!$D$13:$F$64,MATCH($A11,Вводные!$A$13:$A$64,0),MATCH(FR$3,Вводные!$D$11:$F$11,0))*(1+IF(FR$4=$A11,Вводные!$D$5*INDEX(Вводные!$G$13:$G$64,MATCH($A11,Вводные!$A$13:$A$64,0)),0))</f>
        <v>0.45</v>
      </c>
      <c r="FS11" s="32" t="n">
        <f aca="false">INDEX(Вводные!$D$13:$F$64,MATCH($A11,Вводные!$A$13:$A$64,0),MATCH(FS$3,Вводные!$D$11:$F$11,0))*(1+IF(FS$4=$A11,Вводные!$D$5*INDEX(Вводные!$G$13:$G$64,MATCH($A11,Вводные!$A$13:$A$64,0)),0))</f>
        <v>0.45</v>
      </c>
      <c r="FT11" s="32" t="n">
        <f aca="false">INDEX(Вводные!$D$13:$F$64,MATCH($A11,Вводные!$A$13:$A$64,0),MATCH(FT$3,Вводные!$D$11:$F$11,0))*(1+IF(FT$4=$A11,Вводные!$D$5*INDEX(Вводные!$G$13:$G$64,MATCH($A11,Вводные!$A$13:$A$64,0)),0))</f>
        <v>0.45</v>
      </c>
      <c r="FU11" s="32" t="n">
        <f aca="false">INDEX(Вводные!$D$13:$F$64,MATCH($A11,Вводные!$A$13:$A$64,0),MATCH(FU$3,Вводные!$D$11:$F$11,0))*(1+IF(FU$4=$A11,Вводные!$D$5*INDEX(Вводные!$G$13:$G$64,MATCH($A11,Вводные!$A$13:$A$64,0)),0))</f>
        <v>0.45</v>
      </c>
      <c r="FV11" s="32" t="n">
        <f aca="false">INDEX(Вводные!$D$13:$F$64,MATCH($A11,Вводные!$A$13:$A$64,0),MATCH(FV$3,Вводные!$D$11:$F$11,0))*(1+IF(FV$4=$A11,Вводные!$D$5*INDEX(Вводные!$G$13:$G$64,MATCH($A11,Вводные!$A$13:$A$64,0)),0))</f>
        <v>0.7</v>
      </c>
      <c r="FW11" s="32" t="n">
        <f aca="false">INDEX(Вводные!$D$13:$F$64,MATCH($A11,Вводные!$A$13:$A$64,0),MATCH(FW$3,Вводные!$D$11:$F$11,0))*(1+IF(FW$4=$A11,Вводные!$D$5*INDEX(Вводные!$G$13:$G$64,MATCH($A11,Вводные!$A$13:$A$64,0)),0))</f>
        <v>0.7</v>
      </c>
      <c r="FX11" s="32" t="n">
        <f aca="false">INDEX(Вводные!$D$13:$F$64,MATCH($A11,Вводные!$A$13:$A$64,0),MATCH(FX$3,Вводные!$D$11:$F$11,0))*(1+IF(FX$4=$A11,Вводные!$D$5*INDEX(Вводные!$G$13:$G$64,MATCH($A11,Вводные!$A$13:$A$64,0)),0))</f>
        <v>0.707</v>
      </c>
      <c r="FY11" s="32" t="n">
        <f aca="false">INDEX(Вводные!$D$13:$F$64,MATCH($A11,Вводные!$A$13:$A$64,0),MATCH(FY$3,Вводные!$D$11:$F$11,0))*(1+IF(FY$4=$A11,Вводные!$D$5*INDEX(Вводные!$G$13:$G$64,MATCH($A11,Вводные!$A$13:$A$64,0)),0))</f>
        <v>0.7</v>
      </c>
      <c r="FZ11" s="32" t="n">
        <f aca="false">INDEX(Вводные!$D$13:$F$64,MATCH($A11,Вводные!$A$13:$A$64,0),MATCH(FZ$3,Вводные!$D$11:$F$11,0))*(1+IF(FZ$4=$A11,Вводные!$D$5*INDEX(Вводные!$G$13:$G$64,MATCH($A11,Вводные!$A$13:$A$64,0)),0))</f>
        <v>0.7</v>
      </c>
      <c r="GA11" s="32" t="n">
        <f aca="false">INDEX(Вводные!$D$13:$F$64,MATCH($A11,Вводные!$A$13:$A$64,0),MATCH(GA$3,Вводные!$D$11:$F$11,0))*(1+IF(GA$4=$A11,Вводные!$D$5*INDEX(Вводные!$G$13:$G$64,MATCH($A11,Вводные!$A$13:$A$64,0)),0))</f>
        <v>0.7</v>
      </c>
      <c r="GB11" s="32" t="n">
        <f aca="false">INDEX(Вводные!$D$13:$F$64,MATCH($A11,Вводные!$A$13:$A$64,0),MATCH(GB$3,Вводные!$D$11:$F$11,0))*(1+IF(GB$4=$A11,Вводные!$D$5*INDEX(Вводные!$G$13:$G$64,MATCH($A11,Вводные!$A$13:$A$64,0)),0))</f>
        <v>0.7</v>
      </c>
      <c r="GC11" s="32" t="n">
        <f aca="false">INDEX(Вводные!$D$13:$F$64,MATCH($A11,Вводные!$A$13:$A$64,0),MATCH(GC$3,Вводные!$D$11:$F$11,0))*(1+IF(GC$4=$A11,Вводные!$D$5*INDEX(Вводные!$G$13:$G$64,MATCH($A11,Вводные!$A$13:$A$64,0)),0))</f>
        <v>0.7</v>
      </c>
      <c r="GD11" s="32" t="n">
        <f aca="false">INDEX(Вводные!$D$13:$F$64,MATCH($A11,Вводные!$A$13:$A$64,0),MATCH(GD$3,Вводные!$D$11:$F$11,0))*(1+IF(GD$4=$A11,Вводные!$D$5*INDEX(Вводные!$G$13:$G$64,MATCH($A11,Вводные!$A$13:$A$64,0)),0))</f>
        <v>0.7</v>
      </c>
      <c r="GE11" s="32" t="n">
        <f aca="false">INDEX(Вводные!$D$13:$F$64,MATCH($A11,Вводные!$A$13:$A$64,0),MATCH(GE$3,Вводные!$D$11:$F$11,0))*(1+IF(GE$4=$A11,Вводные!$D$5*INDEX(Вводные!$G$13:$G$64,MATCH($A11,Вводные!$A$13:$A$64,0)),0))</f>
        <v>0.7</v>
      </c>
      <c r="GF11" s="32" t="n">
        <f aca="false">INDEX(Вводные!$D$13:$F$64,MATCH($A11,Вводные!$A$13:$A$64,0),MATCH(GF$3,Вводные!$D$11:$F$11,0))*(1+IF(GF$4=$A11,Вводные!$D$5*INDEX(Вводные!$G$13:$G$64,MATCH($A11,Вводные!$A$13:$A$64,0)),0))</f>
        <v>0.7</v>
      </c>
      <c r="GG11" s="32" t="n">
        <f aca="false">INDEX(Вводные!$D$13:$F$64,MATCH($A11,Вводные!$A$13:$A$64,0),MATCH(GG$3,Вводные!$D$11:$F$11,0))*(1+IF(GG$4=$A11,Вводные!$D$5*INDEX(Вводные!$G$13:$G$64,MATCH($A11,Вводные!$A$13:$A$64,0)),0))</f>
        <v>0.7</v>
      </c>
      <c r="GH11" s="32" t="n">
        <f aca="false">INDEX(Вводные!$D$13:$F$64,MATCH($A11,Вводные!$A$13:$A$64,0),MATCH(GH$3,Вводные!$D$11:$F$11,0))*(1+IF(GH$4=$A11,Вводные!$D$5*INDEX(Вводные!$G$13:$G$64,MATCH($A11,Вводные!$A$13:$A$64,0)),0))</f>
        <v>0.7</v>
      </c>
      <c r="GI11" s="32" t="n">
        <f aca="false">INDEX(Вводные!$D$13:$F$64,MATCH($A11,Вводные!$A$13:$A$64,0),MATCH(GI$3,Вводные!$D$11:$F$11,0))*(1+IF(GI$4=$A11,Вводные!$D$5*INDEX(Вводные!$G$13:$G$64,MATCH($A11,Вводные!$A$13:$A$64,0)),0))</f>
        <v>0.7</v>
      </c>
      <c r="GJ11" s="32" t="n">
        <f aca="false">INDEX(Вводные!$D$13:$F$64,MATCH($A11,Вводные!$A$13:$A$64,0),MATCH(GJ$3,Вводные!$D$11:$F$11,0))*(1+IF(GJ$4=$A11,Вводные!$D$5*INDEX(Вводные!$G$13:$G$64,MATCH($A11,Вводные!$A$13:$A$64,0)),0))</f>
        <v>0.7</v>
      </c>
      <c r="GK11" s="32" t="n">
        <f aca="false">INDEX(Вводные!$D$13:$F$64,MATCH($A11,Вводные!$A$13:$A$64,0),MATCH(GK$3,Вводные!$D$11:$F$11,0))*(1+IF(GK$4=$A11,Вводные!$D$5*INDEX(Вводные!$G$13:$G$64,MATCH($A11,Вводные!$A$13:$A$64,0)),0))</f>
        <v>0.7</v>
      </c>
      <c r="GL11" s="32" t="n">
        <f aca="false">INDEX(Вводные!$D$13:$F$64,MATCH($A11,Вводные!$A$13:$A$64,0),MATCH(GL$3,Вводные!$D$11:$F$11,0))*(1+IF(GL$4=$A11,Вводные!$D$5*INDEX(Вводные!$G$13:$G$64,MATCH($A11,Вводные!$A$13:$A$64,0)),0))</f>
        <v>0.7</v>
      </c>
      <c r="GM11" s="32" t="n">
        <f aca="false">INDEX(Вводные!$D$13:$F$64,MATCH($A11,Вводные!$A$13:$A$64,0),MATCH(GM$3,Вводные!$D$11:$F$11,0))*(1+IF(GM$4=$A11,Вводные!$D$5*INDEX(Вводные!$G$13:$G$64,MATCH($A11,Вводные!$A$13:$A$64,0)),0))</f>
        <v>0.7</v>
      </c>
      <c r="GN11" s="32" t="n">
        <f aca="false">INDEX(Вводные!$D$13:$F$64,MATCH($A11,Вводные!$A$13:$A$64,0),MATCH(GN$3,Вводные!$D$11:$F$11,0))*(1+IF(GN$4=$A11,Вводные!$D$5*INDEX(Вводные!$G$13:$G$64,MATCH($A11,Вводные!$A$13:$A$64,0)),0))</f>
        <v>0.7</v>
      </c>
      <c r="GO11" s="32" t="n">
        <f aca="false">INDEX(Вводные!$D$13:$F$64,MATCH($A11,Вводные!$A$13:$A$64,0),MATCH(GO$3,Вводные!$D$11:$F$11,0))*(1+IF(GO$4=$A11,Вводные!$D$5*INDEX(Вводные!$G$13:$G$64,MATCH($A11,Вводные!$A$13:$A$64,0)),0))</f>
        <v>0.7</v>
      </c>
      <c r="GP11" s="32" t="n">
        <f aca="false">INDEX(Вводные!$D$13:$F$64,MATCH($A11,Вводные!$A$13:$A$64,0),MATCH(GP$3,Вводные!$D$11:$F$11,0))*(1+IF(GP$4=$A11,Вводные!$D$5*INDEX(Вводные!$G$13:$G$64,MATCH($A11,Вводные!$A$13:$A$64,0)),0))</f>
        <v>0.7</v>
      </c>
      <c r="GQ11" s="32" t="n">
        <f aca="false">INDEX(Вводные!$D$13:$F$64,MATCH($A11,Вводные!$A$13:$A$64,0),MATCH(GQ$3,Вводные!$D$11:$F$11,0))*(1+IF(GQ$4=$A11,Вводные!$D$5*INDEX(Вводные!$G$13:$G$64,MATCH($A11,Вводные!$A$13:$A$64,0)),0))</f>
        <v>0.7</v>
      </c>
      <c r="GR11" s="32" t="n">
        <f aca="false">INDEX(Вводные!$D$13:$F$64,MATCH($A11,Вводные!$A$13:$A$64,0),MATCH(GR$3,Вводные!$D$11:$F$11,0))*(1+IF(GR$4=$A11,Вводные!$D$5*INDEX(Вводные!$G$13:$G$64,MATCH($A11,Вводные!$A$13:$A$64,0)),0))</f>
        <v>0.7</v>
      </c>
      <c r="GS11" s="32" t="n">
        <f aca="false">INDEX(Вводные!$D$13:$F$64,MATCH($A11,Вводные!$A$13:$A$64,0),MATCH(GS$3,Вводные!$D$11:$F$11,0))*(1+IF(GS$4=$A11,Вводные!$D$5*INDEX(Вводные!$G$13:$G$64,MATCH($A11,Вводные!$A$13:$A$64,0)),0))</f>
        <v>0.7</v>
      </c>
      <c r="GT11" s="32" t="n">
        <f aca="false">INDEX(Вводные!$D$13:$F$64,MATCH($A11,Вводные!$A$13:$A$64,0),MATCH(GT$3,Вводные!$D$11:$F$11,0))*(1+IF(GT$4=$A11,Вводные!$D$5*INDEX(Вводные!$G$13:$G$64,MATCH($A11,Вводные!$A$13:$A$64,0)),0))</f>
        <v>0.7</v>
      </c>
      <c r="GU11" s="32" t="n">
        <f aca="false">INDEX(Вводные!$D$13:$F$64,MATCH($A11,Вводные!$A$13:$A$64,0),MATCH(GU$3,Вводные!$D$11:$F$11,0))*(1+IF(GU$4=$A11,Вводные!$D$5*INDEX(Вводные!$G$13:$G$64,MATCH($A11,Вводные!$A$13:$A$64,0)),0))</f>
        <v>0.7</v>
      </c>
      <c r="GV11" s="32" t="n">
        <f aca="false">INDEX(Вводные!$D$13:$F$64,MATCH($A11,Вводные!$A$13:$A$64,0),MATCH(GV$3,Вводные!$D$11:$F$11,0))*(1+IF(GV$4=$A11,Вводные!$D$5*INDEX(Вводные!$G$13:$G$64,MATCH($A11,Вводные!$A$13:$A$64,0)),0))</f>
        <v>0.7</v>
      </c>
      <c r="GW11" s="32" t="n">
        <f aca="false">INDEX(Вводные!$D$13:$F$64,MATCH($A11,Вводные!$A$13:$A$64,0),MATCH(GW$3,Вводные!$D$11:$F$11,0))*(1+IF(GW$4=$A11,Вводные!$D$5*INDEX(Вводные!$G$13:$G$64,MATCH($A11,Вводные!$A$13:$A$64,0)),0))</f>
        <v>0.7</v>
      </c>
      <c r="GX11" s="32" t="n">
        <f aca="false">INDEX(Вводные!$D$13:$F$64,MATCH($A11,Вводные!$A$13:$A$64,0),MATCH(GX$3,Вводные!$D$11:$F$11,0))*(1+IF(GX$4=$A11,Вводные!$D$5*INDEX(Вводные!$G$13:$G$64,MATCH($A11,Вводные!$A$13:$A$64,0)),0))</f>
        <v>0.7</v>
      </c>
      <c r="GY11" s="32" t="n">
        <f aca="false">INDEX(Вводные!$D$13:$F$64,MATCH($A11,Вводные!$A$13:$A$64,0),MATCH(GY$3,Вводные!$D$11:$F$11,0))*(1+IF(GY$4=$A11,Вводные!$D$5*INDEX(Вводные!$G$13:$G$64,MATCH($A11,Вводные!$A$13:$A$64,0)),0))</f>
        <v>0.7</v>
      </c>
      <c r="GZ11" s="32" t="n">
        <f aca="false">INDEX(Вводные!$D$13:$F$64,MATCH($A11,Вводные!$A$13:$A$64,0),MATCH(GZ$3,Вводные!$D$11:$F$11,0))*(1+IF(GZ$4=$A11,Вводные!$D$5*INDEX(Вводные!$G$13:$G$64,MATCH($A11,Вводные!$A$13:$A$64,0)),0))</f>
        <v>0.7</v>
      </c>
      <c r="HA11" s="32" t="n">
        <f aca="false">INDEX(Вводные!$D$13:$F$64,MATCH($A11,Вводные!$A$13:$A$64,0),MATCH(HA$3,Вводные!$D$11:$F$11,0))*(1+IF(HA$4=$A11,Вводные!$D$5*INDEX(Вводные!$G$13:$G$64,MATCH($A11,Вводные!$A$13:$A$64,0)),0))</f>
        <v>0.7</v>
      </c>
      <c r="HB11" s="32" t="n">
        <f aca="false">INDEX(Вводные!$D$13:$F$64,MATCH($A11,Вводные!$A$13:$A$64,0),MATCH(HB$3,Вводные!$D$11:$F$11,0))*(1+IF(HB$4=$A11,Вводные!$D$5*INDEX(Вводные!$G$13:$G$64,MATCH($A11,Вводные!$A$13:$A$64,0)),0))</f>
        <v>0.7</v>
      </c>
      <c r="HC11" s="32" t="n">
        <f aca="false">INDEX(Вводные!$D$13:$F$64,MATCH($A11,Вводные!$A$13:$A$64,0),MATCH(HC$3,Вводные!$D$11:$F$11,0))*(1+IF(HC$4=$A11,Вводные!$D$5*INDEX(Вводные!$G$13:$G$64,MATCH($A11,Вводные!$A$13:$A$64,0)),0))</f>
        <v>0.7</v>
      </c>
      <c r="HD11" s="32" t="n">
        <f aca="false">INDEX(Вводные!$D$13:$F$64,MATCH($A11,Вводные!$A$13:$A$64,0),MATCH(HD$3,Вводные!$D$11:$F$11,0))*(1+IF(HD$4=$A11,Вводные!$D$5*INDEX(Вводные!$G$13:$G$64,MATCH($A11,Вводные!$A$13:$A$64,0)),0))</f>
        <v>0.7</v>
      </c>
      <c r="HE11" s="32" t="n">
        <f aca="false">INDEX(Вводные!$D$13:$F$64,MATCH($A11,Вводные!$A$13:$A$64,0),MATCH(HE$3,Вводные!$D$11:$F$11,0))*(1+IF(HE$4=$A11,Вводные!$D$5*INDEX(Вводные!$G$13:$G$64,MATCH($A11,Вводные!$A$13:$A$64,0)),0))</f>
        <v>0.7</v>
      </c>
      <c r="HF11" s="32" t="n">
        <f aca="false">INDEX(Вводные!$D$13:$F$64,MATCH($A11,Вводные!$A$13:$A$64,0),MATCH(HF$3,Вводные!$D$11:$F$11,0))*(1+IF(HF$4=$A11,Вводные!$D$5*INDEX(Вводные!$G$13:$G$64,MATCH($A11,Вводные!$A$13:$A$64,0)),0))</f>
        <v>0.7</v>
      </c>
      <c r="HG11" s="32" t="n">
        <f aca="false">INDEX(Вводные!$D$13:$F$64,MATCH($A11,Вводные!$A$13:$A$64,0),MATCH(HG$3,Вводные!$D$11:$F$11,0))*(1+IF(HG$4=$A11,Вводные!$D$5*INDEX(Вводные!$G$13:$G$64,MATCH($A11,Вводные!$A$13:$A$64,0)),0))</f>
        <v>0.7</v>
      </c>
      <c r="HH11" s="32" t="n">
        <f aca="false">INDEX(Вводные!$D$13:$F$64,MATCH($A11,Вводные!$A$13:$A$64,0),MATCH(HH$3,Вводные!$D$11:$F$11,0))*(1+IF(HH$4=$A11,Вводные!$D$5*INDEX(Вводные!$G$13:$G$64,MATCH($A11,Вводные!$A$13:$A$64,0)),0))</f>
        <v>0.7</v>
      </c>
      <c r="HI11" s="32" t="n">
        <f aca="false">INDEX(Вводные!$D$13:$F$64,MATCH($A11,Вводные!$A$13:$A$64,0),MATCH(HI$3,Вводные!$D$11:$F$11,0))*(1+IF(HI$4=$A11,Вводные!$D$5*INDEX(Вводные!$G$13:$G$64,MATCH($A11,Вводные!$A$13:$A$64,0)),0))</f>
        <v>0.7</v>
      </c>
      <c r="HJ11" s="32" t="n">
        <f aca="false">INDEX(Вводные!$D$13:$F$64,MATCH($A11,Вводные!$A$13:$A$64,0),MATCH(HJ$3,Вводные!$D$11:$F$11,0))*(1+IF(HJ$4=$A11,Вводные!$D$5*INDEX(Вводные!$G$13:$G$64,MATCH($A11,Вводные!$A$13:$A$64,0)),0))</f>
        <v>0.7</v>
      </c>
      <c r="HK11" s="32" t="n">
        <f aca="false">INDEX(Вводные!$D$13:$F$64,MATCH($A11,Вводные!$A$13:$A$64,0),MATCH(HK$3,Вводные!$D$11:$F$11,0))*(1+IF(HK$4=$A11,Вводные!$D$5*INDEX(Вводные!$G$13:$G$64,MATCH($A11,Вводные!$A$13:$A$64,0)),0))</f>
        <v>0.7</v>
      </c>
      <c r="HL11" s="32" t="n">
        <f aca="false">INDEX(Вводные!$D$13:$F$64,MATCH($A11,Вводные!$A$13:$A$64,0),MATCH(HL$3,Вводные!$D$11:$F$11,0))*(1+IF(HL$4=$A11,Вводные!$D$5*INDEX(Вводные!$G$13:$G$64,MATCH($A11,Вводные!$A$13:$A$64,0)),0))</f>
        <v>0.4</v>
      </c>
      <c r="HM11" s="32" t="n">
        <f aca="false">INDEX(Вводные!$D$13:$F$64,MATCH($A11,Вводные!$A$13:$A$64,0),MATCH(HM$3,Вводные!$D$11:$F$11,0))*(1+IF(HM$4=$A11,Вводные!$D$5*INDEX(Вводные!$G$13:$G$64,MATCH($A11,Вводные!$A$13:$A$64,0)),0))</f>
        <v>0.4</v>
      </c>
      <c r="HN11" s="32" t="n">
        <f aca="false">INDEX(Вводные!$D$13:$F$64,MATCH($A11,Вводные!$A$13:$A$64,0),MATCH(HN$3,Вводные!$D$11:$F$11,0))*(1+IF(HN$4=$A11,Вводные!$D$5*INDEX(Вводные!$G$13:$G$64,MATCH($A11,Вводные!$A$13:$A$64,0)),0))</f>
        <v>0.404</v>
      </c>
      <c r="HO11" s="32" t="n">
        <f aca="false">INDEX(Вводные!$D$13:$F$64,MATCH($A11,Вводные!$A$13:$A$64,0),MATCH(HO$3,Вводные!$D$11:$F$11,0))*(1+IF(HO$4=$A11,Вводные!$D$5*INDEX(Вводные!$G$13:$G$64,MATCH($A11,Вводные!$A$13:$A$64,0)),0))</f>
        <v>0.4</v>
      </c>
      <c r="HP11" s="32" t="n">
        <f aca="false">INDEX(Вводные!$D$13:$F$64,MATCH($A11,Вводные!$A$13:$A$64,0),MATCH(HP$3,Вводные!$D$11:$F$11,0))*(1+IF(HP$4=$A11,Вводные!$D$5*INDEX(Вводные!$G$13:$G$64,MATCH($A11,Вводные!$A$13:$A$64,0)),0))</f>
        <v>0.4</v>
      </c>
      <c r="HQ11" s="32" t="n">
        <f aca="false">INDEX(Вводные!$D$13:$F$64,MATCH($A11,Вводные!$A$13:$A$64,0),MATCH(HQ$3,Вводные!$D$11:$F$11,0))*(1+IF(HQ$4=$A11,Вводные!$D$5*INDEX(Вводные!$G$13:$G$64,MATCH($A11,Вводные!$A$13:$A$64,0)),0))</f>
        <v>0.4</v>
      </c>
      <c r="HR11" s="32" t="n">
        <f aca="false">INDEX(Вводные!$D$13:$F$64,MATCH($A11,Вводные!$A$13:$A$64,0),MATCH(HR$3,Вводные!$D$11:$F$11,0))*(1+IF(HR$4=$A11,Вводные!$D$5*INDEX(Вводные!$G$13:$G$64,MATCH($A11,Вводные!$A$13:$A$64,0)),0))</f>
        <v>0.4</v>
      </c>
      <c r="HS11" s="32" t="n">
        <f aca="false">INDEX(Вводные!$D$13:$F$64,MATCH($A11,Вводные!$A$13:$A$64,0),MATCH(HS$3,Вводные!$D$11:$F$11,0))*(1+IF(HS$4=$A11,Вводные!$D$5*INDEX(Вводные!$G$13:$G$64,MATCH($A11,Вводные!$A$13:$A$64,0)),0))</f>
        <v>0.4</v>
      </c>
      <c r="HT11" s="32" t="n">
        <f aca="false">INDEX(Вводные!$D$13:$F$64,MATCH($A11,Вводные!$A$13:$A$64,0),MATCH(HT$3,Вводные!$D$11:$F$11,0))*(1+IF(HT$4=$A11,Вводные!$D$5*INDEX(Вводные!$G$13:$G$64,MATCH($A11,Вводные!$A$13:$A$64,0)),0))</f>
        <v>0.4</v>
      </c>
      <c r="HU11" s="32" t="n">
        <f aca="false">INDEX(Вводные!$D$13:$F$64,MATCH($A11,Вводные!$A$13:$A$64,0),MATCH(HU$3,Вводные!$D$11:$F$11,0))*(1+IF(HU$4=$A11,Вводные!$D$5*INDEX(Вводные!$G$13:$G$64,MATCH($A11,Вводные!$A$13:$A$64,0)),0))</f>
        <v>0.4</v>
      </c>
      <c r="HV11" s="32" t="n">
        <f aca="false">INDEX(Вводные!$D$13:$F$64,MATCH($A11,Вводные!$A$13:$A$64,0),MATCH(HV$3,Вводные!$D$11:$F$11,0))*(1+IF(HV$4=$A11,Вводные!$D$5*INDEX(Вводные!$G$13:$G$64,MATCH($A11,Вводные!$A$13:$A$64,0)),0))</f>
        <v>0.4</v>
      </c>
      <c r="HW11" s="32" t="n">
        <f aca="false">INDEX(Вводные!$D$13:$F$64,MATCH($A11,Вводные!$A$13:$A$64,0),MATCH(HW$3,Вводные!$D$11:$F$11,0))*(1+IF(HW$4=$A11,Вводные!$D$5*INDEX(Вводные!$G$13:$G$64,MATCH($A11,Вводные!$A$13:$A$64,0)),0))</f>
        <v>0.4</v>
      </c>
      <c r="HX11" s="32" t="n">
        <f aca="false">INDEX(Вводные!$D$13:$F$64,MATCH($A11,Вводные!$A$13:$A$64,0),MATCH(HX$3,Вводные!$D$11:$F$11,0))*(1+IF(HX$4=$A11,Вводные!$D$5*INDEX(Вводные!$G$13:$G$64,MATCH($A11,Вводные!$A$13:$A$64,0)),0))</f>
        <v>0.4</v>
      </c>
      <c r="HY11" s="32" t="n">
        <f aca="false">INDEX(Вводные!$D$13:$F$64,MATCH($A11,Вводные!$A$13:$A$64,0),MATCH(HY$3,Вводные!$D$11:$F$11,0))*(1+IF(HY$4=$A11,Вводные!$D$5*INDEX(Вводные!$G$13:$G$64,MATCH($A11,Вводные!$A$13:$A$64,0)),0))</f>
        <v>0.4</v>
      </c>
      <c r="HZ11" s="32" t="n">
        <f aca="false">INDEX(Вводные!$D$13:$F$64,MATCH($A11,Вводные!$A$13:$A$64,0),MATCH(HZ$3,Вводные!$D$11:$F$11,0))*(1+IF(HZ$4=$A11,Вводные!$D$5*INDEX(Вводные!$G$13:$G$64,MATCH($A11,Вводные!$A$13:$A$64,0)),0))</f>
        <v>0.4</v>
      </c>
      <c r="IA11" s="32" t="n">
        <f aca="false">INDEX(Вводные!$D$13:$F$64,MATCH($A11,Вводные!$A$13:$A$64,0),MATCH(IA$3,Вводные!$D$11:$F$11,0))*(1+IF(IA$4=$A11,Вводные!$D$5*INDEX(Вводные!$G$13:$G$64,MATCH($A11,Вводные!$A$13:$A$64,0)),0))</f>
        <v>0.4</v>
      </c>
      <c r="IB11" s="32" t="n">
        <f aca="false">INDEX(Вводные!$D$13:$F$64,MATCH($A11,Вводные!$A$13:$A$64,0),MATCH(IB$3,Вводные!$D$11:$F$11,0))*(1+IF(IB$4=$A11,Вводные!$D$5*INDEX(Вводные!$G$13:$G$64,MATCH($A11,Вводные!$A$13:$A$64,0)),0))</f>
        <v>0.4</v>
      </c>
      <c r="IC11" s="32" t="n">
        <f aca="false">INDEX(Вводные!$D$13:$F$64,MATCH($A11,Вводные!$A$13:$A$64,0),MATCH(IC$3,Вводные!$D$11:$F$11,0))*(1+IF(IC$4=$A11,Вводные!$D$5*INDEX(Вводные!$G$13:$G$64,MATCH($A11,Вводные!$A$13:$A$64,0)),0))</f>
        <v>0.4</v>
      </c>
      <c r="ID11" s="32" t="n">
        <f aca="false">INDEX(Вводные!$D$13:$F$64,MATCH($A11,Вводные!$A$13:$A$64,0),MATCH(ID$3,Вводные!$D$11:$F$11,0))*(1+IF(ID$4=$A11,Вводные!$D$5*INDEX(Вводные!$G$13:$G$64,MATCH($A11,Вводные!$A$13:$A$64,0)),0))</f>
        <v>0.4</v>
      </c>
      <c r="IE11" s="32" t="n">
        <f aca="false">INDEX(Вводные!$D$13:$F$64,MATCH($A11,Вводные!$A$13:$A$64,0),MATCH(IE$3,Вводные!$D$11:$F$11,0))*(1+IF(IE$4=$A11,Вводные!$D$5*INDEX(Вводные!$G$13:$G$64,MATCH($A11,Вводные!$A$13:$A$64,0)),0))</f>
        <v>0.4</v>
      </c>
      <c r="IF11" s="32" t="n">
        <f aca="false">INDEX(Вводные!$D$13:$F$64,MATCH($A11,Вводные!$A$13:$A$64,0),MATCH(IF$3,Вводные!$D$11:$F$11,0))*(1+IF(IF$4=$A11,Вводные!$D$5*INDEX(Вводные!$G$13:$G$64,MATCH($A11,Вводные!$A$13:$A$64,0)),0))</f>
        <v>0.4</v>
      </c>
      <c r="IG11" s="32" t="n">
        <f aca="false">INDEX(Вводные!$D$13:$F$64,MATCH($A11,Вводные!$A$13:$A$64,0),MATCH(IG$3,Вводные!$D$11:$F$11,0))*(1+IF(IG$4=$A11,Вводные!$D$5*INDEX(Вводные!$G$13:$G$64,MATCH($A11,Вводные!$A$13:$A$64,0)),0))</f>
        <v>0.4</v>
      </c>
      <c r="IH11" s="32" t="n">
        <f aca="false">INDEX(Вводные!$D$13:$F$64,MATCH($A11,Вводные!$A$13:$A$64,0),MATCH(IH$3,Вводные!$D$11:$F$11,0))*(1+IF(IH$4=$A11,Вводные!$D$5*INDEX(Вводные!$G$13:$G$64,MATCH($A11,Вводные!$A$13:$A$64,0)),0))</f>
        <v>0.4</v>
      </c>
      <c r="II11" s="32" t="n">
        <f aca="false">INDEX(Вводные!$D$13:$F$64,MATCH($A11,Вводные!$A$13:$A$64,0),MATCH(II$3,Вводные!$D$11:$F$11,0))*(1+IF(II$4=$A11,Вводные!$D$5*INDEX(Вводные!$G$13:$G$64,MATCH($A11,Вводные!$A$13:$A$64,0)),0))</f>
        <v>0.4</v>
      </c>
      <c r="IJ11" s="32" t="n">
        <f aca="false">INDEX(Вводные!$D$13:$F$64,MATCH($A11,Вводные!$A$13:$A$64,0),MATCH(IJ$3,Вводные!$D$11:$F$11,0))*(1+IF(IJ$4=$A11,Вводные!$D$5*INDEX(Вводные!$G$13:$G$64,MATCH($A11,Вводные!$A$13:$A$64,0)),0))</f>
        <v>0.4</v>
      </c>
      <c r="IK11" s="32" t="n">
        <f aca="false">INDEX(Вводные!$D$13:$F$64,MATCH($A11,Вводные!$A$13:$A$64,0),MATCH(IK$3,Вводные!$D$11:$F$11,0))*(1+IF(IK$4=$A11,Вводные!$D$5*INDEX(Вводные!$G$13:$G$64,MATCH($A11,Вводные!$A$13:$A$64,0)),0))</f>
        <v>0.4</v>
      </c>
      <c r="IL11" s="32" t="n">
        <f aca="false">INDEX(Вводные!$D$13:$F$64,MATCH($A11,Вводные!$A$13:$A$64,0),MATCH(IL$3,Вводные!$D$11:$F$11,0))*(1+IF(IL$4=$A11,Вводные!$D$5*INDEX(Вводные!$G$13:$G$64,MATCH($A11,Вводные!$A$13:$A$64,0)),0))</f>
        <v>0.4</v>
      </c>
      <c r="IM11" s="32" t="n">
        <f aca="false">INDEX(Вводные!$D$13:$F$64,MATCH($A11,Вводные!$A$13:$A$64,0),MATCH(IM$3,Вводные!$D$11:$F$11,0))*(1+IF(IM$4=$A11,Вводные!$D$5*INDEX(Вводные!$G$13:$G$64,MATCH($A11,Вводные!$A$13:$A$64,0)),0))</f>
        <v>0.4</v>
      </c>
      <c r="IN11" s="32" t="n">
        <f aca="false">INDEX(Вводные!$D$13:$F$64,MATCH($A11,Вводные!$A$13:$A$64,0),MATCH(IN$3,Вводные!$D$11:$F$11,0))*(1+IF(IN$4=$A11,Вводные!$D$5*INDEX(Вводные!$G$13:$G$64,MATCH($A11,Вводные!$A$13:$A$64,0)),0))</f>
        <v>0.4</v>
      </c>
      <c r="IO11" s="32" t="n">
        <f aca="false">INDEX(Вводные!$D$13:$F$64,MATCH($A11,Вводные!$A$13:$A$64,0),MATCH(IO$3,Вводные!$D$11:$F$11,0))*(1+IF(IO$4=$A11,Вводные!$D$5*INDEX(Вводные!$G$13:$G$64,MATCH($A11,Вводные!$A$13:$A$64,0)),0))</f>
        <v>0.4</v>
      </c>
      <c r="IP11" s="32" t="n">
        <f aca="false">INDEX(Вводные!$D$13:$F$64,MATCH($A11,Вводные!$A$13:$A$64,0),MATCH(IP$3,Вводные!$D$11:$F$11,0))*(1+IF(IP$4=$A11,Вводные!$D$5*INDEX(Вводные!$G$13:$G$64,MATCH($A11,Вводные!$A$13:$A$64,0)),0))</f>
        <v>0.4</v>
      </c>
      <c r="IQ11" s="32" t="n">
        <f aca="false">INDEX(Вводные!$D$13:$F$64,MATCH($A11,Вводные!$A$13:$A$64,0),MATCH(IQ$3,Вводные!$D$11:$F$11,0))*(1+IF(IQ$4=$A11,Вводные!$D$5*INDEX(Вводные!$G$13:$G$64,MATCH($A11,Вводные!$A$13:$A$64,0)),0))</f>
        <v>0.4</v>
      </c>
      <c r="IR11" s="32" t="n">
        <f aca="false">INDEX(Вводные!$D$13:$F$64,MATCH($A11,Вводные!$A$13:$A$64,0),MATCH(IR$3,Вводные!$D$11:$F$11,0))*(1+IF(IR$4=$A11,Вводные!$D$5*INDEX(Вводные!$G$13:$G$64,MATCH($A11,Вводные!$A$13:$A$64,0)),0))</f>
        <v>0.4</v>
      </c>
      <c r="IS11" s="32" t="n">
        <f aca="false">INDEX(Вводные!$D$13:$F$64,MATCH($A11,Вводные!$A$13:$A$64,0),MATCH(IS$3,Вводные!$D$11:$F$11,0))*(1+IF(IS$4=$A11,Вводные!$D$5*INDEX(Вводные!$G$13:$G$64,MATCH($A11,Вводные!$A$13:$A$64,0)),0))</f>
        <v>0.4</v>
      </c>
      <c r="IT11" s="32" t="n">
        <f aca="false">INDEX(Вводные!$D$13:$F$64,MATCH($A11,Вводные!$A$13:$A$64,0),MATCH(IT$3,Вводные!$D$11:$F$11,0))*(1+IF(IT$4=$A11,Вводные!$D$5*INDEX(Вводные!$G$13:$G$64,MATCH($A11,Вводные!$A$13:$A$64,0)),0))</f>
        <v>0.4</v>
      </c>
      <c r="IU11" s="32" t="n">
        <f aca="false">INDEX(Вводные!$D$13:$F$64,MATCH($A11,Вводные!$A$13:$A$64,0),MATCH(IU$3,Вводные!$D$11:$F$11,0))*(1+IF(IU$4=$A11,Вводные!$D$5*INDEX(Вводные!$G$13:$G$64,MATCH($A11,Вводные!$A$13:$A$64,0)),0))</f>
        <v>0.4</v>
      </c>
      <c r="IV11" s="32" t="n">
        <f aca="false">INDEX(Вводные!$D$13:$F$64,MATCH($A11,Вводные!$A$13:$A$64,0),MATCH(IV$3,Вводные!$D$11:$F$11,0))*(1+IF(IV$4=$A11,Вводные!$D$5*INDEX(Вводные!$G$13:$G$64,MATCH($A11,Вводные!$A$13:$A$64,0)),0))</f>
        <v>0.4</v>
      </c>
      <c r="IW11" s="32" t="n">
        <f aca="false">INDEX(Вводные!$D$13:$F$64,MATCH($A11,Вводные!$A$13:$A$64,0),MATCH(IW$3,Вводные!$D$11:$F$11,0))*(1+IF(IW$4=$A11,Вводные!$D$5*INDEX(Вводные!$G$13:$G$64,MATCH($A11,Вводные!$A$13:$A$64,0)),0))</f>
        <v>0.4</v>
      </c>
      <c r="IX11" s="32" t="n">
        <f aca="false">INDEX(Вводные!$D$13:$F$64,MATCH($A11,Вводные!$A$13:$A$64,0),MATCH(IX$3,Вводные!$D$11:$F$11,0))*(1+IF(IX$4=$A11,Вводные!$D$5*INDEX(Вводные!$G$13:$G$64,MATCH($A11,Вводные!$A$13:$A$64,0)),0))</f>
        <v>0.4</v>
      </c>
      <c r="IY11" s="32" t="n">
        <f aca="false">INDEX(Вводные!$D$13:$F$64,MATCH($A11,Вводные!$A$13:$A$64,0),MATCH(IY$3,Вводные!$D$11:$F$11,0))*(1+IF(IY$4=$A11,Вводные!$D$5*INDEX(Вводные!$G$13:$G$64,MATCH($A11,Вводные!$A$13:$A$64,0)),0))</f>
        <v>0.4</v>
      </c>
      <c r="IZ11" s="32" t="n">
        <f aca="false">INDEX(Вводные!$D$13:$F$64,MATCH($A11,Вводные!$A$13:$A$64,0),MATCH(IZ$3,Вводные!$D$11:$F$11,0))*(1+IF(IZ$4=$A11,Вводные!$D$5*INDEX(Вводные!$G$13:$G$64,MATCH($A11,Вводные!$A$13:$A$64,0)),0))</f>
        <v>0.4</v>
      </c>
      <c r="JA11" s="32" t="n">
        <f aca="false">INDEX(Вводные!$D$13:$F$64,MATCH($A11,Вводные!$A$13:$A$64,0),MATCH(JA$3,Вводные!$D$11:$F$11,0))*(1+IF(JA$4=$A11,Вводные!$D$5*INDEX(Вводные!$G$13:$G$64,MATCH($A11,Вводные!$A$13:$A$64,0)),0))</f>
        <v>0.4</v>
      </c>
    </row>
    <row r="12" customFormat="false" ht="15" hidden="false" customHeight="false" outlineLevel="0" collapsed="false">
      <c r="A12" s="13" t="s">
        <v>306</v>
      </c>
      <c r="B12" s="13" t="s">
        <v>307</v>
      </c>
      <c r="C12" s="13" t="s">
        <v>194</v>
      </c>
      <c r="D12" s="9" t="s">
        <v>36</v>
      </c>
      <c r="E12" s="32" t="n">
        <f aca="false">INDEX(Вводные!$D$13:$F$64,MATCH($A12,Вводные!$A$13:$A$64,0),MATCH(E$3,Вводные!$D$11:$F$11,0))*(1+IF(E$4=$A12,Вводные!$D$5*INDEX(Вводные!$G$13:$G$64,MATCH($A12,Вводные!$A$13:$A$64,0)),0))</f>
        <v>0.55</v>
      </c>
      <c r="F12" s="32" t="n">
        <f aca="false">INDEX(Вводные!$D$13:$F$64,MATCH($A12,Вводные!$A$13:$A$64,0),MATCH(F$3,Вводные!$D$11:$F$11,0))*(1+IF(F$4=$A12,Вводные!$D$5*INDEX(Вводные!$G$13:$G$64,MATCH($A12,Вводные!$A$13:$A$64,0)),0))</f>
        <v>0.8</v>
      </c>
      <c r="G12" s="32" t="n">
        <f aca="false">INDEX(Вводные!$D$13:$F$64,MATCH($A12,Вводные!$A$13:$A$64,0),MATCH(G$3,Вводные!$D$11:$F$11,0))*(1+IF(G$4=$A12,Вводные!$D$5*INDEX(Вводные!$G$13:$G$64,MATCH($A12,Вводные!$A$13:$A$64,0)),0))</f>
        <v>0.75</v>
      </c>
      <c r="H12" s="60"/>
      <c r="J12" s="32" t="n">
        <f aca="false">INDEX(Вводные!$D$13:$F$64,MATCH($A12,Вводные!$A$13:$A$64,0),MATCH(J$3,Вводные!$D$11:$F$11,0))*(1+IF(J$4=$A12,Вводные!$D$5*INDEX(Вводные!$G$13:$G$64,MATCH($A12,Вводные!$A$13:$A$64,0)),0))</f>
        <v>0.55</v>
      </c>
      <c r="K12" s="32" t="n">
        <f aca="false">INDEX(Вводные!$D$13:$F$64,MATCH($A12,Вводные!$A$13:$A$64,0),MATCH(K$3,Вводные!$D$11:$F$11,0))*(1+IF(K$4=$A12,Вводные!$D$5*INDEX(Вводные!$G$13:$G$64,MATCH($A12,Вводные!$A$13:$A$64,0)),0))</f>
        <v>0.55</v>
      </c>
      <c r="L12" s="32" t="n">
        <f aca="false">INDEX(Вводные!$D$13:$F$64,MATCH($A12,Вводные!$A$13:$A$64,0),MATCH(L$3,Вводные!$D$11:$F$11,0))*(1+IF(L$4=$A12,Вводные!$D$5*INDEX(Вводные!$G$13:$G$64,MATCH($A12,Вводные!$A$13:$A$64,0)),0))</f>
        <v>0.55</v>
      </c>
      <c r="M12" s="32" t="n">
        <f aca="false">INDEX(Вводные!$D$13:$F$64,MATCH($A12,Вводные!$A$13:$A$64,0),MATCH(M$3,Вводные!$D$11:$F$11,0))*(1+IF(M$4=$A12,Вводные!$D$5*INDEX(Вводные!$G$13:$G$64,MATCH($A12,Вводные!$A$13:$A$64,0)),0))</f>
        <v>0.5555</v>
      </c>
      <c r="N12" s="32" t="n">
        <f aca="false">INDEX(Вводные!$D$13:$F$64,MATCH($A12,Вводные!$A$13:$A$64,0),MATCH(N$3,Вводные!$D$11:$F$11,0))*(1+IF(N$4=$A12,Вводные!$D$5*INDEX(Вводные!$G$13:$G$64,MATCH($A12,Вводные!$A$13:$A$64,0)),0))</f>
        <v>0.55</v>
      </c>
      <c r="O12" s="32" t="n">
        <f aca="false">INDEX(Вводные!$D$13:$F$64,MATCH($A12,Вводные!$A$13:$A$64,0),MATCH(O$3,Вводные!$D$11:$F$11,0))*(1+IF(O$4=$A12,Вводные!$D$5*INDEX(Вводные!$G$13:$G$64,MATCH($A12,Вводные!$A$13:$A$64,0)),0))</f>
        <v>0.55</v>
      </c>
      <c r="P12" s="32" t="n">
        <f aca="false">INDEX(Вводные!$D$13:$F$64,MATCH($A12,Вводные!$A$13:$A$64,0),MATCH(P$3,Вводные!$D$11:$F$11,0))*(1+IF(P$4=$A12,Вводные!$D$5*INDEX(Вводные!$G$13:$G$64,MATCH($A12,Вводные!$A$13:$A$64,0)),0))</f>
        <v>0.55</v>
      </c>
      <c r="Q12" s="32" t="n">
        <f aca="false">INDEX(Вводные!$D$13:$F$64,MATCH($A12,Вводные!$A$13:$A$64,0),MATCH(Q$3,Вводные!$D$11:$F$11,0))*(1+IF(Q$4=$A12,Вводные!$D$5*INDEX(Вводные!$G$13:$G$64,MATCH($A12,Вводные!$A$13:$A$64,0)),0))</f>
        <v>0.55</v>
      </c>
      <c r="R12" s="32" t="n">
        <f aca="false">INDEX(Вводные!$D$13:$F$64,MATCH($A12,Вводные!$A$13:$A$64,0),MATCH(R$3,Вводные!$D$11:$F$11,0))*(1+IF(R$4=$A12,Вводные!$D$5*INDEX(Вводные!$G$13:$G$64,MATCH($A12,Вводные!$A$13:$A$64,0)),0))</f>
        <v>0.55</v>
      </c>
      <c r="S12" s="32" t="n">
        <f aca="false">INDEX(Вводные!$D$13:$F$64,MATCH($A12,Вводные!$A$13:$A$64,0),MATCH(S$3,Вводные!$D$11:$F$11,0))*(1+IF(S$4=$A12,Вводные!$D$5*INDEX(Вводные!$G$13:$G$64,MATCH($A12,Вводные!$A$13:$A$64,0)),0))</f>
        <v>0.55</v>
      </c>
      <c r="T12" s="32" t="n">
        <f aca="false">INDEX(Вводные!$D$13:$F$64,MATCH($A12,Вводные!$A$13:$A$64,0),MATCH(T$3,Вводные!$D$11:$F$11,0))*(1+IF(T$4=$A12,Вводные!$D$5*INDEX(Вводные!$G$13:$G$64,MATCH($A12,Вводные!$A$13:$A$64,0)),0))</f>
        <v>0.55</v>
      </c>
      <c r="U12" s="32" t="n">
        <f aca="false">INDEX(Вводные!$D$13:$F$64,MATCH($A12,Вводные!$A$13:$A$64,0),MATCH(U$3,Вводные!$D$11:$F$11,0))*(1+IF(U$4=$A12,Вводные!$D$5*INDEX(Вводные!$G$13:$G$64,MATCH($A12,Вводные!$A$13:$A$64,0)),0))</f>
        <v>0.55</v>
      </c>
      <c r="V12" s="32" t="n">
        <f aca="false">INDEX(Вводные!$D$13:$F$64,MATCH($A12,Вводные!$A$13:$A$64,0),MATCH(V$3,Вводные!$D$11:$F$11,0))*(1+IF(V$4=$A12,Вводные!$D$5*INDEX(Вводные!$G$13:$G$64,MATCH($A12,Вводные!$A$13:$A$64,0)),0))</f>
        <v>0.55</v>
      </c>
      <c r="W12" s="32" t="n">
        <f aca="false">INDEX(Вводные!$D$13:$F$64,MATCH($A12,Вводные!$A$13:$A$64,0),MATCH(W$3,Вводные!$D$11:$F$11,0))*(1+IF(W$4=$A12,Вводные!$D$5*INDEX(Вводные!$G$13:$G$64,MATCH($A12,Вводные!$A$13:$A$64,0)),0))</f>
        <v>0.55</v>
      </c>
      <c r="X12" s="32" t="n">
        <f aca="false">INDEX(Вводные!$D$13:$F$64,MATCH($A12,Вводные!$A$13:$A$64,0),MATCH(X$3,Вводные!$D$11:$F$11,0))*(1+IF(X$4=$A12,Вводные!$D$5*INDEX(Вводные!$G$13:$G$64,MATCH($A12,Вводные!$A$13:$A$64,0)),0))</f>
        <v>0.55</v>
      </c>
      <c r="Y12" s="32" t="n">
        <f aca="false">INDEX(Вводные!$D$13:$F$64,MATCH($A12,Вводные!$A$13:$A$64,0),MATCH(Y$3,Вводные!$D$11:$F$11,0))*(1+IF(Y$4=$A12,Вводные!$D$5*INDEX(Вводные!$G$13:$G$64,MATCH($A12,Вводные!$A$13:$A$64,0)),0))</f>
        <v>0.55</v>
      </c>
      <c r="Z12" s="32" t="n">
        <f aca="false">INDEX(Вводные!$D$13:$F$64,MATCH($A12,Вводные!$A$13:$A$64,0),MATCH(Z$3,Вводные!$D$11:$F$11,0))*(1+IF(Z$4=$A12,Вводные!$D$5*INDEX(Вводные!$G$13:$G$64,MATCH($A12,Вводные!$A$13:$A$64,0)),0))</f>
        <v>0.55</v>
      </c>
      <c r="AA12" s="32" t="n">
        <f aca="false">INDEX(Вводные!$D$13:$F$64,MATCH($A12,Вводные!$A$13:$A$64,0),MATCH(AA$3,Вводные!$D$11:$F$11,0))*(1+IF(AA$4=$A12,Вводные!$D$5*INDEX(Вводные!$G$13:$G$64,MATCH($A12,Вводные!$A$13:$A$64,0)),0))</f>
        <v>0.55</v>
      </c>
      <c r="AB12" s="32" t="n">
        <f aca="false">INDEX(Вводные!$D$13:$F$64,MATCH($A12,Вводные!$A$13:$A$64,0),MATCH(AB$3,Вводные!$D$11:$F$11,0))*(1+IF(AB$4=$A12,Вводные!$D$5*INDEX(Вводные!$G$13:$G$64,MATCH($A12,Вводные!$A$13:$A$64,0)),0))</f>
        <v>0.55</v>
      </c>
      <c r="AC12" s="32" t="n">
        <f aca="false">INDEX(Вводные!$D$13:$F$64,MATCH($A12,Вводные!$A$13:$A$64,0),MATCH(AC$3,Вводные!$D$11:$F$11,0))*(1+IF(AC$4=$A12,Вводные!$D$5*INDEX(Вводные!$G$13:$G$64,MATCH($A12,Вводные!$A$13:$A$64,0)),0))</f>
        <v>0.55</v>
      </c>
      <c r="AD12" s="32" t="n">
        <f aca="false">INDEX(Вводные!$D$13:$F$64,MATCH($A12,Вводные!$A$13:$A$64,0),MATCH(AD$3,Вводные!$D$11:$F$11,0))*(1+IF(AD$4=$A12,Вводные!$D$5*INDEX(Вводные!$G$13:$G$64,MATCH($A12,Вводные!$A$13:$A$64,0)),0))</f>
        <v>0.55</v>
      </c>
      <c r="AE12" s="32" t="n">
        <f aca="false">INDEX(Вводные!$D$13:$F$64,MATCH($A12,Вводные!$A$13:$A$64,0),MATCH(AE$3,Вводные!$D$11:$F$11,0))*(1+IF(AE$4=$A12,Вводные!$D$5*INDEX(Вводные!$G$13:$G$64,MATCH($A12,Вводные!$A$13:$A$64,0)),0))</f>
        <v>0.55</v>
      </c>
      <c r="AF12" s="32" t="n">
        <f aca="false">INDEX(Вводные!$D$13:$F$64,MATCH($A12,Вводные!$A$13:$A$64,0),MATCH(AF$3,Вводные!$D$11:$F$11,0))*(1+IF(AF$4=$A12,Вводные!$D$5*INDEX(Вводные!$G$13:$G$64,MATCH($A12,Вводные!$A$13:$A$64,0)),0))</f>
        <v>0.55</v>
      </c>
      <c r="AG12" s="32" t="n">
        <f aca="false">INDEX(Вводные!$D$13:$F$64,MATCH($A12,Вводные!$A$13:$A$64,0),MATCH(AG$3,Вводные!$D$11:$F$11,0))*(1+IF(AG$4=$A12,Вводные!$D$5*INDEX(Вводные!$G$13:$G$64,MATCH($A12,Вводные!$A$13:$A$64,0)),0))</f>
        <v>0.55</v>
      </c>
      <c r="AH12" s="32" t="n">
        <f aca="false">INDEX(Вводные!$D$13:$F$64,MATCH($A12,Вводные!$A$13:$A$64,0),MATCH(AH$3,Вводные!$D$11:$F$11,0))*(1+IF(AH$4=$A12,Вводные!$D$5*INDEX(Вводные!$G$13:$G$64,MATCH($A12,Вводные!$A$13:$A$64,0)),0))</f>
        <v>0.55</v>
      </c>
      <c r="AI12" s="32" t="n">
        <f aca="false">INDEX(Вводные!$D$13:$F$64,MATCH($A12,Вводные!$A$13:$A$64,0),MATCH(AI$3,Вводные!$D$11:$F$11,0))*(1+IF(AI$4=$A12,Вводные!$D$5*INDEX(Вводные!$G$13:$G$64,MATCH($A12,Вводные!$A$13:$A$64,0)),0))</f>
        <v>0.55</v>
      </c>
      <c r="AJ12" s="32" t="n">
        <f aca="false">INDEX(Вводные!$D$13:$F$64,MATCH($A12,Вводные!$A$13:$A$64,0),MATCH(AJ$3,Вводные!$D$11:$F$11,0))*(1+IF(AJ$4=$A12,Вводные!$D$5*INDEX(Вводные!$G$13:$G$64,MATCH($A12,Вводные!$A$13:$A$64,0)),0))</f>
        <v>0.55</v>
      </c>
      <c r="AK12" s="32" t="n">
        <f aca="false">INDEX(Вводные!$D$13:$F$64,MATCH($A12,Вводные!$A$13:$A$64,0),MATCH(AK$3,Вводные!$D$11:$F$11,0))*(1+IF(AK$4=$A12,Вводные!$D$5*INDEX(Вводные!$G$13:$G$64,MATCH($A12,Вводные!$A$13:$A$64,0)),0))</f>
        <v>0.55</v>
      </c>
      <c r="AL12" s="32" t="n">
        <f aca="false">INDEX(Вводные!$D$13:$F$64,MATCH($A12,Вводные!$A$13:$A$64,0),MATCH(AL$3,Вводные!$D$11:$F$11,0))*(1+IF(AL$4=$A12,Вводные!$D$5*INDEX(Вводные!$G$13:$G$64,MATCH($A12,Вводные!$A$13:$A$64,0)),0))</f>
        <v>0.55</v>
      </c>
      <c r="AM12" s="32" t="n">
        <f aca="false">INDEX(Вводные!$D$13:$F$64,MATCH($A12,Вводные!$A$13:$A$64,0),MATCH(AM$3,Вводные!$D$11:$F$11,0))*(1+IF(AM$4=$A12,Вводные!$D$5*INDEX(Вводные!$G$13:$G$64,MATCH($A12,Вводные!$A$13:$A$64,0)),0))</f>
        <v>0.55</v>
      </c>
      <c r="AN12" s="32" t="n">
        <f aca="false">INDEX(Вводные!$D$13:$F$64,MATCH($A12,Вводные!$A$13:$A$64,0),MATCH(AN$3,Вводные!$D$11:$F$11,0))*(1+IF(AN$4=$A12,Вводные!$D$5*INDEX(Вводные!$G$13:$G$64,MATCH($A12,Вводные!$A$13:$A$64,0)),0))</f>
        <v>0.55</v>
      </c>
      <c r="AO12" s="32" t="n">
        <f aca="false">INDEX(Вводные!$D$13:$F$64,MATCH($A12,Вводные!$A$13:$A$64,0),MATCH(AO$3,Вводные!$D$11:$F$11,0))*(1+IF(AO$4=$A12,Вводные!$D$5*INDEX(Вводные!$G$13:$G$64,MATCH($A12,Вводные!$A$13:$A$64,0)),0))</f>
        <v>0.55</v>
      </c>
      <c r="AP12" s="32" t="n">
        <f aca="false">INDEX(Вводные!$D$13:$F$64,MATCH($A12,Вводные!$A$13:$A$64,0),MATCH(AP$3,Вводные!$D$11:$F$11,0))*(1+IF(AP$4=$A12,Вводные!$D$5*INDEX(Вводные!$G$13:$G$64,MATCH($A12,Вводные!$A$13:$A$64,0)),0))</f>
        <v>0.55</v>
      </c>
      <c r="AQ12" s="32" t="n">
        <f aca="false">INDEX(Вводные!$D$13:$F$64,MATCH($A12,Вводные!$A$13:$A$64,0),MATCH(AQ$3,Вводные!$D$11:$F$11,0))*(1+IF(AQ$4=$A12,Вводные!$D$5*INDEX(Вводные!$G$13:$G$64,MATCH($A12,Вводные!$A$13:$A$64,0)),0))</f>
        <v>0.55</v>
      </c>
      <c r="AR12" s="32" t="n">
        <f aca="false">INDEX(Вводные!$D$13:$F$64,MATCH($A12,Вводные!$A$13:$A$64,0),MATCH(AR$3,Вводные!$D$11:$F$11,0))*(1+IF(AR$4=$A12,Вводные!$D$5*INDEX(Вводные!$G$13:$G$64,MATCH($A12,Вводные!$A$13:$A$64,0)),0))</f>
        <v>0.55</v>
      </c>
      <c r="AS12" s="32" t="n">
        <f aca="false">INDEX(Вводные!$D$13:$F$64,MATCH($A12,Вводные!$A$13:$A$64,0),MATCH(AS$3,Вводные!$D$11:$F$11,0))*(1+IF(AS$4=$A12,Вводные!$D$5*INDEX(Вводные!$G$13:$G$64,MATCH($A12,Вводные!$A$13:$A$64,0)),0))</f>
        <v>0.55</v>
      </c>
      <c r="AT12" s="32" t="n">
        <f aca="false">INDEX(Вводные!$D$13:$F$64,MATCH($A12,Вводные!$A$13:$A$64,0),MATCH(AT$3,Вводные!$D$11:$F$11,0))*(1+IF(AT$4=$A12,Вводные!$D$5*INDEX(Вводные!$G$13:$G$64,MATCH($A12,Вводные!$A$13:$A$64,0)),0))</f>
        <v>0.55</v>
      </c>
      <c r="AU12" s="32" t="n">
        <f aca="false">INDEX(Вводные!$D$13:$F$64,MATCH($A12,Вводные!$A$13:$A$64,0),MATCH(AU$3,Вводные!$D$11:$F$11,0))*(1+IF(AU$4=$A12,Вводные!$D$5*INDEX(Вводные!$G$13:$G$64,MATCH($A12,Вводные!$A$13:$A$64,0)),0))</f>
        <v>0.55</v>
      </c>
      <c r="AV12" s="32" t="n">
        <f aca="false">INDEX(Вводные!$D$13:$F$64,MATCH($A12,Вводные!$A$13:$A$64,0),MATCH(AV$3,Вводные!$D$11:$F$11,0))*(1+IF(AV$4=$A12,Вводные!$D$5*INDEX(Вводные!$G$13:$G$64,MATCH($A12,Вводные!$A$13:$A$64,0)),0))</f>
        <v>0.55</v>
      </c>
      <c r="AW12" s="32" t="n">
        <f aca="false">INDEX(Вводные!$D$13:$F$64,MATCH($A12,Вводные!$A$13:$A$64,0),MATCH(AW$3,Вводные!$D$11:$F$11,0))*(1+IF(AW$4=$A12,Вводные!$D$5*INDEX(Вводные!$G$13:$G$64,MATCH($A12,Вводные!$A$13:$A$64,0)),0))</f>
        <v>0.55</v>
      </c>
      <c r="AX12" s="32" t="n">
        <f aca="false">INDEX(Вводные!$D$13:$F$64,MATCH($A12,Вводные!$A$13:$A$64,0),MATCH(AX$3,Вводные!$D$11:$F$11,0))*(1+IF(AX$4=$A12,Вводные!$D$5*INDEX(Вводные!$G$13:$G$64,MATCH($A12,Вводные!$A$13:$A$64,0)),0))</f>
        <v>0.55</v>
      </c>
      <c r="AY12" s="32" t="n">
        <f aca="false">INDEX(Вводные!$D$13:$F$64,MATCH($A12,Вводные!$A$13:$A$64,0),MATCH(AY$3,Вводные!$D$11:$F$11,0))*(1+IF(AY$4=$A12,Вводные!$D$5*INDEX(Вводные!$G$13:$G$64,MATCH($A12,Вводные!$A$13:$A$64,0)),0))</f>
        <v>0.55</v>
      </c>
      <c r="AZ12" s="32" t="n">
        <f aca="false">INDEX(Вводные!$D$13:$F$64,MATCH($A12,Вводные!$A$13:$A$64,0),MATCH(AZ$3,Вводные!$D$11:$F$11,0))*(1+IF(AZ$4=$A12,Вводные!$D$5*INDEX(Вводные!$G$13:$G$64,MATCH($A12,Вводные!$A$13:$A$64,0)),0))</f>
        <v>0.8</v>
      </c>
      <c r="BA12" s="32" t="n">
        <f aca="false">INDEX(Вводные!$D$13:$F$64,MATCH($A12,Вводные!$A$13:$A$64,0),MATCH(BA$3,Вводные!$D$11:$F$11,0))*(1+IF(BA$4=$A12,Вводные!$D$5*INDEX(Вводные!$G$13:$G$64,MATCH($A12,Вводные!$A$13:$A$64,0)),0))</f>
        <v>0.8</v>
      </c>
      <c r="BB12" s="32" t="n">
        <f aca="false">INDEX(Вводные!$D$13:$F$64,MATCH($A12,Вводные!$A$13:$A$64,0),MATCH(BB$3,Вводные!$D$11:$F$11,0))*(1+IF(BB$4=$A12,Вводные!$D$5*INDEX(Вводные!$G$13:$G$64,MATCH($A12,Вводные!$A$13:$A$64,0)),0))</f>
        <v>0.8</v>
      </c>
      <c r="BC12" s="32" t="n">
        <f aca="false">INDEX(Вводные!$D$13:$F$64,MATCH($A12,Вводные!$A$13:$A$64,0),MATCH(BC$3,Вводные!$D$11:$F$11,0))*(1+IF(BC$4=$A12,Вводные!$D$5*INDEX(Вводные!$G$13:$G$64,MATCH($A12,Вводные!$A$13:$A$64,0)),0))</f>
        <v>0.808</v>
      </c>
      <c r="BD12" s="32" t="n">
        <f aca="false">INDEX(Вводные!$D$13:$F$64,MATCH($A12,Вводные!$A$13:$A$64,0),MATCH(BD$3,Вводные!$D$11:$F$11,0))*(1+IF(BD$4=$A12,Вводные!$D$5*INDEX(Вводные!$G$13:$G$64,MATCH($A12,Вводные!$A$13:$A$64,0)),0))</f>
        <v>0.8</v>
      </c>
      <c r="BE12" s="32" t="n">
        <f aca="false">INDEX(Вводные!$D$13:$F$64,MATCH($A12,Вводные!$A$13:$A$64,0),MATCH(BE$3,Вводные!$D$11:$F$11,0))*(1+IF(BE$4=$A12,Вводные!$D$5*INDEX(Вводные!$G$13:$G$64,MATCH($A12,Вводные!$A$13:$A$64,0)),0))</f>
        <v>0.8</v>
      </c>
      <c r="BF12" s="32" t="n">
        <f aca="false">INDEX(Вводные!$D$13:$F$64,MATCH($A12,Вводные!$A$13:$A$64,0),MATCH(BF$3,Вводные!$D$11:$F$11,0))*(1+IF(BF$4=$A12,Вводные!$D$5*INDEX(Вводные!$G$13:$G$64,MATCH($A12,Вводные!$A$13:$A$64,0)),0))</f>
        <v>0.8</v>
      </c>
      <c r="BG12" s="32" t="n">
        <f aca="false">INDEX(Вводные!$D$13:$F$64,MATCH($A12,Вводные!$A$13:$A$64,0),MATCH(BG$3,Вводные!$D$11:$F$11,0))*(1+IF(BG$4=$A12,Вводные!$D$5*INDEX(Вводные!$G$13:$G$64,MATCH($A12,Вводные!$A$13:$A$64,0)),0))</f>
        <v>0.8</v>
      </c>
      <c r="BH12" s="32" t="n">
        <f aca="false">INDEX(Вводные!$D$13:$F$64,MATCH($A12,Вводные!$A$13:$A$64,0),MATCH(BH$3,Вводные!$D$11:$F$11,0))*(1+IF(BH$4=$A12,Вводные!$D$5*INDEX(Вводные!$G$13:$G$64,MATCH($A12,Вводные!$A$13:$A$64,0)),0))</f>
        <v>0.8</v>
      </c>
      <c r="BI12" s="32" t="n">
        <f aca="false">INDEX(Вводные!$D$13:$F$64,MATCH($A12,Вводные!$A$13:$A$64,0),MATCH(BI$3,Вводные!$D$11:$F$11,0))*(1+IF(BI$4=$A12,Вводные!$D$5*INDEX(Вводные!$G$13:$G$64,MATCH($A12,Вводные!$A$13:$A$64,0)),0))</f>
        <v>0.8</v>
      </c>
      <c r="BJ12" s="32" t="n">
        <f aca="false">INDEX(Вводные!$D$13:$F$64,MATCH($A12,Вводные!$A$13:$A$64,0),MATCH(BJ$3,Вводные!$D$11:$F$11,0))*(1+IF(BJ$4=$A12,Вводные!$D$5*INDEX(Вводные!$G$13:$G$64,MATCH($A12,Вводные!$A$13:$A$64,0)),0))</f>
        <v>0.8</v>
      </c>
      <c r="BK12" s="32" t="n">
        <f aca="false">INDEX(Вводные!$D$13:$F$64,MATCH($A12,Вводные!$A$13:$A$64,0),MATCH(BK$3,Вводные!$D$11:$F$11,0))*(1+IF(BK$4=$A12,Вводные!$D$5*INDEX(Вводные!$G$13:$G$64,MATCH($A12,Вводные!$A$13:$A$64,0)),0))</f>
        <v>0.8</v>
      </c>
      <c r="BL12" s="32" t="n">
        <f aca="false">INDEX(Вводные!$D$13:$F$64,MATCH($A12,Вводные!$A$13:$A$64,0),MATCH(BL$3,Вводные!$D$11:$F$11,0))*(1+IF(BL$4=$A12,Вводные!$D$5*INDEX(Вводные!$G$13:$G$64,MATCH($A12,Вводные!$A$13:$A$64,0)),0))</f>
        <v>0.8</v>
      </c>
      <c r="BM12" s="32" t="n">
        <f aca="false">INDEX(Вводные!$D$13:$F$64,MATCH($A12,Вводные!$A$13:$A$64,0),MATCH(BM$3,Вводные!$D$11:$F$11,0))*(1+IF(BM$4=$A12,Вводные!$D$5*INDEX(Вводные!$G$13:$G$64,MATCH($A12,Вводные!$A$13:$A$64,0)),0))</f>
        <v>0.8</v>
      </c>
      <c r="BN12" s="32" t="n">
        <f aca="false">INDEX(Вводные!$D$13:$F$64,MATCH($A12,Вводные!$A$13:$A$64,0),MATCH(BN$3,Вводные!$D$11:$F$11,0))*(1+IF(BN$4=$A12,Вводные!$D$5*INDEX(Вводные!$G$13:$G$64,MATCH($A12,Вводные!$A$13:$A$64,0)),0))</f>
        <v>0.8</v>
      </c>
      <c r="BO12" s="32" t="n">
        <f aca="false">INDEX(Вводные!$D$13:$F$64,MATCH($A12,Вводные!$A$13:$A$64,0),MATCH(BO$3,Вводные!$D$11:$F$11,0))*(1+IF(BO$4=$A12,Вводные!$D$5*INDEX(Вводные!$G$13:$G$64,MATCH($A12,Вводные!$A$13:$A$64,0)),0))</f>
        <v>0.8</v>
      </c>
      <c r="BP12" s="32" t="n">
        <f aca="false">INDEX(Вводные!$D$13:$F$64,MATCH($A12,Вводные!$A$13:$A$64,0),MATCH(BP$3,Вводные!$D$11:$F$11,0))*(1+IF(BP$4=$A12,Вводные!$D$5*INDEX(Вводные!$G$13:$G$64,MATCH($A12,Вводные!$A$13:$A$64,0)),0))</f>
        <v>0.8</v>
      </c>
      <c r="BQ12" s="32" t="n">
        <f aca="false">INDEX(Вводные!$D$13:$F$64,MATCH($A12,Вводные!$A$13:$A$64,0),MATCH(BQ$3,Вводные!$D$11:$F$11,0))*(1+IF(BQ$4=$A12,Вводные!$D$5*INDEX(Вводные!$G$13:$G$64,MATCH($A12,Вводные!$A$13:$A$64,0)),0))</f>
        <v>0.8</v>
      </c>
      <c r="BR12" s="32" t="n">
        <f aca="false">INDEX(Вводные!$D$13:$F$64,MATCH($A12,Вводные!$A$13:$A$64,0),MATCH(BR$3,Вводные!$D$11:$F$11,0))*(1+IF(BR$4=$A12,Вводные!$D$5*INDEX(Вводные!$G$13:$G$64,MATCH($A12,Вводные!$A$13:$A$64,0)),0))</f>
        <v>0.8</v>
      </c>
      <c r="BS12" s="32" t="n">
        <f aca="false">INDEX(Вводные!$D$13:$F$64,MATCH($A12,Вводные!$A$13:$A$64,0),MATCH(BS$3,Вводные!$D$11:$F$11,0))*(1+IF(BS$4=$A12,Вводные!$D$5*INDEX(Вводные!$G$13:$G$64,MATCH($A12,Вводные!$A$13:$A$64,0)),0))</f>
        <v>0.8</v>
      </c>
      <c r="BT12" s="32" t="n">
        <f aca="false">INDEX(Вводные!$D$13:$F$64,MATCH($A12,Вводные!$A$13:$A$64,0),MATCH(BT$3,Вводные!$D$11:$F$11,0))*(1+IF(BT$4=$A12,Вводные!$D$5*INDEX(Вводные!$G$13:$G$64,MATCH($A12,Вводные!$A$13:$A$64,0)),0))</f>
        <v>0.8</v>
      </c>
      <c r="BU12" s="32" t="n">
        <f aca="false">INDEX(Вводные!$D$13:$F$64,MATCH($A12,Вводные!$A$13:$A$64,0),MATCH(BU$3,Вводные!$D$11:$F$11,0))*(1+IF(BU$4=$A12,Вводные!$D$5*INDEX(Вводные!$G$13:$G$64,MATCH($A12,Вводные!$A$13:$A$64,0)),0))</f>
        <v>0.8</v>
      </c>
      <c r="BV12" s="32" t="n">
        <f aca="false">INDEX(Вводные!$D$13:$F$64,MATCH($A12,Вводные!$A$13:$A$64,0),MATCH(BV$3,Вводные!$D$11:$F$11,0))*(1+IF(BV$4=$A12,Вводные!$D$5*INDEX(Вводные!$G$13:$G$64,MATCH($A12,Вводные!$A$13:$A$64,0)),0))</f>
        <v>0.8</v>
      </c>
      <c r="BW12" s="32" t="n">
        <f aca="false">INDEX(Вводные!$D$13:$F$64,MATCH($A12,Вводные!$A$13:$A$64,0),MATCH(BW$3,Вводные!$D$11:$F$11,0))*(1+IF(BW$4=$A12,Вводные!$D$5*INDEX(Вводные!$G$13:$G$64,MATCH($A12,Вводные!$A$13:$A$64,0)),0))</f>
        <v>0.8</v>
      </c>
      <c r="BX12" s="32" t="n">
        <f aca="false">INDEX(Вводные!$D$13:$F$64,MATCH($A12,Вводные!$A$13:$A$64,0),MATCH(BX$3,Вводные!$D$11:$F$11,0))*(1+IF(BX$4=$A12,Вводные!$D$5*INDEX(Вводные!$G$13:$G$64,MATCH($A12,Вводные!$A$13:$A$64,0)),0))</f>
        <v>0.8</v>
      </c>
      <c r="BY12" s="32" t="n">
        <f aca="false">INDEX(Вводные!$D$13:$F$64,MATCH($A12,Вводные!$A$13:$A$64,0),MATCH(BY$3,Вводные!$D$11:$F$11,0))*(1+IF(BY$4=$A12,Вводные!$D$5*INDEX(Вводные!$G$13:$G$64,MATCH($A12,Вводные!$A$13:$A$64,0)),0))</f>
        <v>0.8</v>
      </c>
      <c r="BZ12" s="32" t="n">
        <f aca="false">INDEX(Вводные!$D$13:$F$64,MATCH($A12,Вводные!$A$13:$A$64,0),MATCH(BZ$3,Вводные!$D$11:$F$11,0))*(1+IF(BZ$4=$A12,Вводные!$D$5*INDEX(Вводные!$G$13:$G$64,MATCH($A12,Вводные!$A$13:$A$64,0)),0))</f>
        <v>0.8</v>
      </c>
      <c r="CA12" s="32" t="n">
        <f aca="false">INDEX(Вводные!$D$13:$F$64,MATCH($A12,Вводные!$A$13:$A$64,0),MATCH(CA$3,Вводные!$D$11:$F$11,0))*(1+IF(CA$4=$A12,Вводные!$D$5*INDEX(Вводные!$G$13:$G$64,MATCH($A12,Вводные!$A$13:$A$64,0)),0))</f>
        <v>0.8</v>
      </c>
      <c r="CB12" s="32" t="n">
        <f aca="false">INDEX(Вводные!$D$13:$F$64,MATCH($A12,Вводные!$A$13:$A$64,0),MATCH(CB$3,Вводные!$D$11:$F$11,0))*(1+IF(CB$4=$A12,Вводные!$D$5*INDEX(Вводные!$G$13:$G$64,MATCH($A12,Вводные!$A$13:$A$64,0)),0))</f>
        <v>0.8</v>
      </c>
      <c r="CC12" s="32" t="n">
        <f aca="false">INDEX(Вводные!$D$13:$F$64,MATCH($A12,Вводные!$A$13:$A$64,0),MATCH(CC$3,Вводные!$D$11:$F$11,0))*(1+IF(CC$4=$A12,Вводные!$D$5*INDEX(Вводные!$G$13:$G$64,MATCH($A12,Вводные!$A$13:$A$64,0)),0))</f>
        <v>0.8</v>
      </c>
      <c r="CD12" s="32" t="n">
        <f aca="false">INDEX(Вводные!$D$13:$F$64,MATCH($A12,Вводные!$A$13:$A$64,0),MATCH(CD$3,Вводные!$D$11:$F$11,0))*(1+IF(CD$4=$A12,Вводные!$D$5*INDEX(Вводные!$G$13:$G$64,MATCH($A12,Вводные!$A$13:$A$64,0)),0))</f>
        <v>0.8</v>
      </c>
      <c r="CE12" s="32" t="n">
        <f aca="false">INDEX(Вводные!$D$13:$F$64,MATCH($A12,Вводные!$A$13:$A$64,0),MATCH(CE$3,Вводные!$D$11:$F$11,0))*(1+IF(CE$4=$A12,Вводные!$D$5*INDEX(Вводные!$G$13:$G$64,MATCH($A12,Вводные!$A$13:$A$64,0)),0))</f>
        <v>0.8</v>
      </c>
      <c r="CF12" s="32" t="n">
        <f aca="false">INDEX(Вводные!$D$13:$F$64,MATCH($A12,Вводные!$A$13:$A$64,0),MATCH(CF$3,Вводные!$D$11:$F$11,0))*(1+IF(CF$4=$A12,Вводные!$D$5*INDEX(Вводные!$G$13:$G$64,MATCH($A12,Вводные!$A$13:$A$64,0)),0))</f>
        <v>0.8</v>
      </c>
      <c r="CG12" s="32" t="n">
        <f aca="false">INDEX(Вводные!$D$13:$F$64,MATCH($A12,Вводные!$A$13:$A$64,0),MATCH(CG$3,Вводные!$D$11:$F$11,0))*(1+IF(CG$4=$A12,Вводные!$D$5*INDEX(Вводные!$G$13:$G$64,MATCH($A12,Вводные!$A$13:$A$64,0)),0))</f>
        <v>0.8</v>
      </c>
      <c r="CH12" s="32" t="n">
        <f aca="false">INDEX(Вводные!$D$13:$F$64,MATCH($A12,Вводные!$A$13:$A$64,0),MATCH(CH$3,Вводные!$D$11:$F$11,0))*(1+IF(CH$4=$A12,Вводные!$D$5*INDEX(Вводные!$G$13:$G$64,MATCH($A12,Вводные!$A$13:$A$64,0)),0))</f>
        <v>0.8</v>
      </c>
      <c r="CI12" s="32" t="n">
        <f aca="false">INDEX(Вводные!$D$13:$F$64,MATCH($A12,Вводные!$A$13:$A$64,0),MATCH(CI$3,Вводные!$D$11:$F$11,0))*(1+IF(CI$4=$A12,Вводные!$D$5*INDEX(Вводные!$G$13:$G$64,MATCH($A12,Вводные!$A$13:$A$64,0)),0))</f>
        <v>0.8</v>
      </c>
      <c r="CJ12" s="32" t="n">
        <f aca="false">INDEX(Вводные!$D$13:$F$64,MATCH($A12,Вводные!$A$13:$A$64,0),MATCH(CJ$3,Вводные!$D$11:$F$11,0))*(1+IF(CJ$4=$A12,Вводные!$D$5*INDEX(Вводные!$G$13:$G$64,MATCH($A12,Вводные!$A$13:$A$64,0)),0))</f>
        <v>0.8</v>
      </c>
      <c r="CK12" s="32" t="n">
        <f aca="false">INDEX(Вводные!$D$13:$F$64,MATCH($A12,Вводные!$A$13:$A$64,0),MATCH(CK$3,Вводные!$D$11:$F$11,0))*(1+IF(CK$4=$A12,Вводные!$D$5*INDEX(Вводные!$G$13:$G$64,MATCH($A12,Вводные!$A$13:$A$64,0)),0))</f>
        <v>0.8</v>
      </c>
      <c r="CL12" s="32" t="n">
        <f aca="false">INDEX(Вводные!$D$13:$F$64,MATCH($A12,Вводные!$A$13:$A$64,0),MATCH(CL$3,Вводные!$D$11:$F$11,0))*(1+IF(CL$4=$A12,Вводные!$D$5*INDEX(Вводные!$G$13:$G$64,MATCH($A12,Вводные!$A$13:$A$64,0)),0))</f>
        <v>0.8</v>
      </c>
      <c r="CM12" s="32" t="n">
        <f aca="false">INDEX(Вводные!$D$13:$F$64,MATCH($A12,Вводные!$A$13:$A$64,0),MATCH(CM$3,Вводные!$D$11:$F$11,0))*(1+IF(CM$4=$A12,Вводные!$D$5*INDEX(Вводные!$G$13:$G$64,MATCH($A12,Вводные!$A$13:$A$64,0)),0))</f>
        <v>0.8</v>
      </c>
      <c r="CN12" s="32" t="n">
        <f aca="false">INDEX(Вводные!$D$13:$F$64,MATCH($A12,Вводные!$A$13:$A$64,0),MATCH(CN$3,Вводные!$D$11:$F$11,0))*(1+IF(CN$4=$A12,Вводные!$D$5*INDEX(Вводные!$G$13:$G$64,MATCH($A12,Вводные!$A$13:$A$64,0)),0))</f>
        <v>0.8</v>
      </c>
      <c r="CO12" s="32" t="n">
        <f aca="false">INDEX(Вводные!$D$13:$F$64,MATCH($A12,Вводные!$A$13:$A$64,0),MATCH(CO$3,Вводные!$D$11:$F$11,0))*(1+IF(CO$4=$A12,Вводные!$D$5*INDEX(Вводные!$G$13:$G$64,MATCH($A12,Вводные!$A$13:$A$64,0)),0))</f>
        <v>0.8</v>
      </c>
      <c r="CP12" s="32" t="n">
        <f aca="false">INDEX(Вводные!$D$13:$F$64,MATCH($A12,Вводные!$A$13:$A$64,0),MATCH(CP$3,Вводные!$D$11:$F$11,0))*(1+IF(CP$4=$A12,Вводные!$D$5*INDEX(Вводные!$G$13:$G$64,MATCH($A12,Вводные!$A$13:$A$64,0)),0))</f>
        <v>0.75</v>
      </c>
      <c r="CQ12" s="32" t="n">
        <f aca="false">INDEX(Вводные!$D$13:$F$64,MATCH($A12,Вводные!$A$13:$A$64,0),MATCH(CQ$3,Вводные!$D$11:$F$11,0))*(1+IF(CQ$4=$A12,Вводные!$D$5*INDEX(Вводные!$G$13:$G$64,MATCH($A12,Вводные!$A$13:$A$64,0)),0))</f>
        <v>0.75</v>
      </c>
      <c r="CR12" s="32" t="n">
        <f aca="false">INDEX(Вводные!$D$13:$F$64,MATCH($A12,Вводные!$A$13:$A$64,0),MATCH(CR$3,Вводные!$D$11:$F$11,0))*(1+IF(CR$4=$A12,Вводные!$D$5*INDEX(Вводные!$G$13:$G$64,MATCH($A12,Вводные!$A$13:$A$64,0)),0))</f>
        <v>0.75</v>
      </c>
      <c r="CS12" s="32" t="n">
        <f aca="false">INDEX(Вводные!$D$13:$F$64,MATCH($A12,Вводные!$A$13:$A$64,0),MATCH(CS$3,Вводные!$D$11:$F$11,0))*(1+IF(CS$4=$A12,Вводные!$D$5*INDEX(Вводные!$G$13:$G$64,MATCH($A12,Вводные!$A$13:$A$64,0)),0))</f>
        <v>0.7575</v>
      </c>
      <c r="CT12" s="32" t="n">
        <f aca="false">INDEX(Вводные!$D$13:$F$64,MATCH($A12,Вводные!$A$13:$A$64,0),MATCH(CT$3,Вводные!$D$11:$F$11,0))*(1+IF(CT$4=$A12,Вводные!$D$5*INDEX(Вводные!$G$13:$G$64,MATCH($A12,Вводные!$A$13:$A$64,0)),0))</f>
        <v>0.75</v>
      </c>
      <c r="CU12" s="32" t="n">
        <f aca="false">INDEX(Вводные!$D$13:$F$64,MATCH($A12,Вводные!$A$13:$A$64,0),MATCH(CU$3,Вводные!$D$11:$F$11,0))*(1+IF(CU$4=$A12,Вводные!$D$5*INDEX(Вводные!$G$13:$G$64,MATCH($A12,Вводные!$A$13:$A$64,0)),0))</f>
        <v>0.75</v>
      </c>
      <c r="CV12" s="32" t="n">
        <f aca="false">INDEX(Вводные!$D$13:$F$64,MATCH($A12,Вводные!$A$13:$A$64,0),MATCH(CV$3,Вводные!$D$11:$F$11,0))*(1+IF(CV$4=$A12,Вводные!$D$5*INDEX(Вводные!$G$13:$G$64,MATCH($A12,Вводные!$A$13:$A$64,0)),0))</f>
        <v>0.75</v>
      </c>
      <c r="CW12" s="32" t="n">
        <f aca="false">INDEX(Вводные!$D$13:$F$64,MATCH($A12,Вводные!$A$13:$A$64,0),MATCH(CW$3,Вводные!$D$11:$F$11,0))*(1+IF(CW$4=$A12,Вводные!$D$5*INDEX(Вводные!$G$13:$G$64,MATCH($A12,Вводные!$A$13:$A$64,0)),0))</f>
        <v>0.75</v>
      </c>
      <c r="CX12" s="32" t="n">
        <f aca="false">INDEX(Вводные!$D$13:$F$64,MATCH($A12,Вводные!$A$13:$A$64,0),MATCH(CX$3,Вводные!$D$11:$F$11,0))*(1+IF(CX$4=$A12,Вводные!$D$5*INDEX(Вводные!$G$13:$G$64,MATCH($A12,Вводные!$A$13:$A$64,0)),0))</f>
        <v>0.75</v>
      </c>
      <c r="CY12" s="32" t="n">
        <f aca="false">INDEX(Вводные!$D$13:$F$64,MATCH($A12,Вводные!$A$13:$A$64,0),MATCH(CY$3,Вводные!$D$11:$F$11,0))*(1+IF(CY$4=$A12,Вводные!$D$5*INDEX(Вводные!$G$13:$G$64,MATCH($A12,Вводные!$A$13:$A$64,0)),0))</f>
        <v>0.75</v>
      </c>
      <c r="CZ12" s="32" t="n">
        <f aca="false">INDEX(Вводные!$D$13:$F$64,MATCH($A12,Вводные!$A$13:$A$64,0),MATCH(CZ$3,Вводные!$D$11:$F$11,0))*(1+IF(CZ$4=$A12,Вводные!$D$5*INDEX(Вводные!$G$13:$G$64,MATCH($A12,Вводные!$A$13:$A$64,0)),0))</f>
        <v>0.75</v>
      </c>
      <c r="DA12" s="32" t="n">
        <f aca="false">INDEX(Вводные!$D$13:$F$64,MATCH($A12,Вводные!$A$13:$A$64,0),MATCH(DA$3,Вводные!$D$11:$F$11,0))*(1+IF(DA$4=$A12,Вводные!$D$5*INDEX(Вводные!$G$13:$G$64,MATCH($A12,Вводные!$A$13:$A$64,0)),0))</f>
        <v>0.75</v>
      </c>
      <c r="DB12" s="32" t="n">
        <f aca="false">INDEX(Вводные!$D$13:$F$64,MATCH($A12,Вводные!$A$13:$A$64,0),MATCH(DB$3,Вводные!$D$11:$F$11,0))*(1+IF(DB$4=$A12,Вводные!$D$5*INDEX(Вводные!$G$13:$G$64,MATCH($A12,Вводные!$A$13:$A$64,0)),0))</f>
        <v>0.75</v>
      </c>
      <c r="DC12" s="32" t="n">
        <f aca="false">INDEX(Вводные!$D$13:$F$64,MATCH($A12,Вводные!$A$13:$A$64,0),MATCH(DC$3,Вводные!$D$11:$F$11,0))*(1+IF(DC$4=$A12,Вводные!$D$5*INDEX(Вводные!$G$13:$G$64,MATCH($A12,Вводные!$A$13:$A$64,0)),0))</f>
        <v>0.75</v>
      </c>
      <c r="DD12" s="32" t="n">
        <f aca="false">INDEX(Вводные!$D$13:$F$64,MATCH($A12,Вводные!$A$13:$A$64,0),MATCH(DD$3,Вводные!$D$11:$F$11,0))*(1+IF(DD$4=$A12,Вводные!$D$5*INDEX(Вводные!$G$13:$G$64,MATCH($A12,Вводные!$A$13:$A$64,0)),0))</f>
        <v>0.75</v>
      </c>
      <c r="DE12" s="32" t="n">
        <f aca="false">INDEX(Вводные!$D$13:$F$64,MATCH($A12,Вводные!$A$13:$A$64,0),MATCH(DE$3,Вводные!$D$11:$F$11,0))*(1+IF(DE$4=$A12,Вводные!$D$5*INDEX(Вводные!$G$13:$G$64,MATCH($A12,Вводные!$A$13:$A$64,0)),0))</f>
        <v>0.75</v>
      </c>
      <c r="DF12" s="32" t="n">
        <f aca="false">INDEX(Вводные!$D$13:$F$64,MATCH($A12,Вводные!$A$13:$A$64,0),MATCH(DF$3,Вводные!$D$11:$F$11,0))*(1+IF(DF$4=$A12,Вводные!$D$5*INDEX(Вводные!$G$13:$G$64,MATCH($A12,Вводные!$A$13:$A$64,0)),0))</f>
        <v>0.75</v>
      </c>
      <c r="DG12" s="32" t="n">
        <f aca="false">INDEX(Вводные!$D$13:$F$64,MATCH($A12,Вводные!$A$13:$A$64,0),MATCH(DG$3,Вводные!$D$11:$F$11,0))*(1+IF(DG$4=$A12,Вводные!$D$5*INDEX(Вводные!$G$13:$G$64,MATCH($A12,Вводные!$A$13:$A$64,0)),0))</f>
        <v>0.75</v>
      </c>
      <c r="DH12" s="32" t="n">
        <f aca="false">INDEX(Вводные!$D$13:$F$64,MATCH($A12,Вводные!$A$13:$A$64,0),MATCH(DH$3,Вводные!$D$11:$F$11,0))*(1+IF(DH$4=$A12,Вводные!$D$5*INDEX(Вводные!$G$13:$G$64,MATCH($A12,Вводные!$A$13:$A$64,0)),0))</f>
        <v>0.75</v>
      </c>
      <c r="DI12" s="32" t="n">
        <f aca="false">INDEX(Вводные!$D$13:$F$64,MATCH($A12,Вводные!$A$13:$A$64,0),MATCH(DI$3,Вводные!$D$11:$F$11,0))*(1+IF(DI$4=$A12,Вводные!$D$5*INDEX(Вводные!$G$13:$G$64,MATCH($A12,Вводные!$A$13:$A$64,0)),0))</f>
        <v>0.75</v>
      </c>
      <c r="DJ12" s="32" t="n">
        <f aca="false">INDEX(Вводные!$D$13:$F$64,MATCH($A12,Вводные!$A$13:$A$64,0),MATCH(DJ$3,Вводные!$D$11:$F$11,0))*(1+IF(DJ$4=$A12,Вводные!$D$5*INDEX(Вводные!$G$13:$G$64,MATCH($A12,Вводные!$A$13:$A$64,0)),0))</f>
        <v>0.75</v>
      </c>
      <c r="DK12" s="32" t="n">
        <f aca="false">INDEX(Вводные!$D$13:$F$64,MATCH($A12,Вводные!$A$13:$A$64,0),MATCH(DK$3,Вводные!$D$11:$F$11,0))*(1+IF(DK$4=$A12,Вводные!$D$5*INDEX(Вводные!$G$13:$G$64,MATCH($A12,Вводные!$A$13:$A$64,0)),0))</f>
        <v>0.75</v>
      </c>
      <c r="DL12" s="32" t="n">
        <f aca="false">INDEX(Вводные!$D$13:$F$64,MATCH($A12,Вводные!$A$13:$A$64,0),MATCH(DL$3,Вводные!$D$11:$F$11,0))*(1+IF(DL$4=$A12,Вводные!$D$5*INDEX(Вводные!$G$13:$G$64,MATCH($A12,Вводные!$A$13:$A$64,0)),0))</f>
        <v>0.75</v>
      </c>
      <c r="DM12" s="32" t="n">
        <f aca="false">INDEX(Вводные!$D$13:$F$64,MATCH($A12,Вводные!$A$13:$A$64,0),MATCH(DM$3,Вводные!$D$11:$F$11,0))*(1+IF(DM$4=$A12,Вводные!$D$5*INDEX(Вводные!$G$13:$G$64,MATCH($A12,Вводные!$A$13:$A$64,0)),0))</f>
        <v>0.75</v>
      </c>
      <c r="DN12" s="32" t="n">
        <f aca="false">INDEX(Вводные!$D$13:$F$64,MATCH($A12,Вводные!$A$13:$A$64,0),MATCH(DN$3,Вводные!$D$11:$F$11,0))*(1+IF(DN$4=$A12,Вводные!$D$5*INDEX(Вводные!$G$13:$G$64,MATCH($A12,Вводные!$A$13:$A$64,0)),0))</f>
        <v>0.75</v>
      </c>
      <c r="DO12" s="32" t="n">
        <f aca="false">INDEX(Вводные!$D$13:$F$64,MATCH($A12,Вводные!$A$13:$A$64,0),MATCH(DO$3,Вводные!$D$11:$F$11,0))*(1+IF(DO$4=$A12,Вводные!$D$5*INDEX(Вводные!$G$13:$G$64,MATCH($A12,Вводные!$A$13:$A$64,0)),0))</f>
        <v>0.75</v>
      </c>
      <c r="DP12" s="32" t="n">
        <f aca="false">INDEX(Вводные!$D$13:$F$64,MATCH($A12,Вводные!$A$13:$A$64,0),MATCH(DP$3,Вводные!$D$11:$F$11,0))*(1+IF(DP$4=$A12,Вводные!$D$5*INDEX(Вводные!$G$13:$G$64,MATCH($A12,Вводные!$A$13:$A$64,0)),0))</f>
        <v>0.75</v>
      </c>
      <c r="DQ12" s="32" t="n">
        <f aca="false">INDEX(Вводные!$D$13:$F$64,MATCH($A12,Вводные!$A$13:$A$64,0),MATCH(DQ$3,Вводные!$D$11:$F$11,0))*(1+IF(DQ$4=$A12,Вводные!$D$5*INDEX(Вводные!$G$13:$G$64,MATCH($A12,Вводные!$A$13:$A$64,0)),0))</f>
        <v>0.75</v>
      </c>
      <c r="DR12" s="32" t="n">
        <f aca="false">INDEX(Вводные!$D$13:$F$64,MATCH($A12,Вводные!$A$13:$A$64,0),MATCH(DR$3,Вводные!$D$11:$F$11,0))*(1+IF(DR$4=$A12,Вводные!$D$5*INDEX(Вводные!$G$13:$G$64,MATCH($A12,Вводные!$A$13:$A$64,0)),0))</f>
        <v>0.75</v>
      </c>
      <c r="DS12" s="32" t="n">
        <f aca="false">INDEX(Вводные!$D$13:$F$64,MATCH($A12,Вводные!$A$13:$A$64,0),MATCH(DS$3,Вводные!$D$11:$F$11,0))*(1+IF(DS$4=$A12,Вводные!$D$5*INDEX(Вводные!$G$13:$G$64,MATCH($A12,Вводные!$A$13:$A$64,0)),0))</f>
        <v>0.75</v>
      </c>
      <c r="DT12" s="32" t="n">
        <f aca="false">INDEX(Вводные!$D$13:$F$64,MATCH($A12,Вводные!$A$13:$A$64,0),MATCH(DT$3,Вводные!$D$11:$F$11,0))*(1+IF(DT$4=$A12,Вводные!$D$5*INDEX(Вводные!$G$13:$G$64,MATCH($A12,Вводные!$A$13:$A$64,0)),0))</f>
        <v>0.75</v>
      </c>
      <c r="DU12" s="32" t="n">
        <f aca="false">INDEX(Вводные!$D$13:$F$64,MATCH($A12,Вводные!$A$13:$A$64,0),MATCH(DU$3,Вводные!$D$11:$F$11,0))*(1+IF(DU$4=$A12,Вводные!$D$5*INDEX(Вводные!$G$13:$G$64,MATCH($A12,Вводные!$A$13:$A$64,0)),0))</f>
        <v>0.75</v>
      </c>
      <c r="DV12" s="32" t="n">
        <f aca="false">INDEX(Вводные!$D$13:$F$64,MATCH($A12,Вводные!$A$13:$A$64,0),MATCH(DV$3,Вводные!$D$11:$F$11,0))*(1+IF(DV$4=$A12,Вводные!$D$5*INDEX(Вводные!$G$13:$G$64,MATCH($A12,Вводные!$A$13:$A$64,0)),0))</f>
        <v>0.75</v>
      </c>
      <c r="DW12" s="32" t="n">
        <f aca="false">INDEX(Вводные!$D$13:$F$64,MATCH($A12,Вводные!$A$13:$A$64,0),MATCH(DW$3,Вводные!$D$11:$F$11,0))*(1+IF(DW$4=$A12,Вводные!$D$5*INDEX(Вводные!$G$13:$G$64,MATCH($A12,Вводные!$A$13:$A$64,0)),0))</f>
        <v>0.75</v>
      </c>
      <c r="DX12" s="32" t="n">
        <f aca="false">INDEX(Вводные!$D$13:$F$64,MATCH($A12,Вводные!$A$13:$A$64,0),MATCH(DX$3,Вводные!$D$11:$F$11,0))*(1+IF(DX$4=$A12,Вводные!$D$5*INDEX(Вводные!$G$13:$G$64,MATCH($A12,Вводные!$A$13:$A$64,0)),0))</f>
        <v>0.75</v>
      </c>
      <c r="DY12" s="32" t="n">
        <f aca="false">INDEX(Вводные!$D$13:$F$64,MATCH($A12,Вводные!$A$13:$A$64,0),MATCH(DY$3,Вводные!$D$11:$F$11,0))*(1+IF(DY$4=$A12,Вводные!$D$5*INDEX(Вводные!$G$13:$G$64,MATCH($A12,Вводные!$A$13:$A$64,0)),0))</f>
        <v>0.75</v>
      </c>
      <c r="DZ12" s="32" t="n">
        <f aca="false">INDEX(Вводные!$D$13:$F$64,MATCH($A12,Вводные!$A$13:$A$64,0),MATCH(DZ$3,Вводные!$D$11:$F$11,0))*(1+IF(DZ$4=$A12,Вводные!$D$5*INDEX(Вводные!$G$13:$G$64,MATCH($A12,Вводные!$A$13:$A$64,0)),0))</f>
        <v>0.75</v>
      </c>
      <c r="EA12" s="32" t="n">
        <f aca="false">INDEX(Вводные!$D$13:$F$64,MATCH($A12,Вводные!$A$13:$A$64,0),MATCH(EA$3,Вводные!$D$11:$F$11,0))*(1+IF(EA$4=$A12,Вводные!$D$5*INDEX(Вводные!$G$13:$G$64,MATCH($A12,Вводные!$A$13:$A$64,0)),0))</f>
        <v>0.75</v>
      </c>
      <c r="EB12" s="32" t="n">
        <f aca="false">INDEX(Вводные!$D$13:$F$64,MATCH($A12,Вводные!$A$13:$A$64,0),MATCH(EB$3,Вводные!$D$11:$F$11,0))*(1+IF(EB$4=$A12,Вводные!$D$5*INDEX(Вводные!$G$13:$G$64,MATCH($A12,Вводные!$A$13:$A$64,0)),0))</f>
        <v>0.75</v>
      </c>
      <c r="EC12" s="32" t="n">
        <f aca="false">INDEX(Вводные!$D$13:$F$64,MATCH($A12,Вводные!$A$13:$A$64,0),MATCH(EC$3,Вводные!$D$11:$F$11,0))*(1+IF(EC$4=$A12,Вводные!$D$5*INDEX(Вводные!$G$13:$G$64,MATCH($A12,Вводные!$A$13:$A$64,0)),0))</f>
        <v>0.75</v>
      </c>
      <c r="ED12" s="32" t="n">
        <f aca="false">INDEX(Вводные!$D$13:$F$64,MATCH($A12,Вводные!$A$13:$A$64,0),MATCH(ED$3,Вводные!$D$11:$F$11,0))*(1+IF(ED$4=$A12,Вводные!$D$5*INDEX(Вводные!$G$13:$G$64,MATCH($A12,Вводные!$A$13:$A$64,0)),0))</f>
        <v>0.75</v>
      </c>
      <c r="EE12" s="32" t="n">
        <f aca="false">INDEX(Вводные!$D$13:$F$64,MATCH($A12,Вводные!$A$13:$A$64,0),MATCH(EE$3,Вводные!$D$11:$F$11,0))*(1+IF(EE$4=$A12,Вводные!$D$5*INDEX(Вводные!$G$13:$G$64,MATCH($A12,Вводные!$A$13:$A$64,0)),0))</f>
        <v>0.75</v>
      </c>
      <c r="EF12" s="32" t="n">
        <f aca="false">INDEX(Вводные!$D$13:$F$64,MATCH($A12,Вводные!$A$13:$A$64,0),MATCH(EF$3,Вводные!$D$11:$F$11,0))*(1+IF(EF$4=$A12,Вводные!$D$5*INDEX(Вводные!$G$13:$G$64,MATCH($A12,Вводные!$A$13:$A$64,0)),0))</f>
        <v>0.55</v>
      </c>
      <c r="EG12" s="32" t="n">
        <f aca="false">INDEX(Вводные!$D$13:$F$64,MATCH($A12,Вводные!$A$13:$A$64,0),MATCH(EG$3,Вводные!$D$11:$F$11,0))*(1+IF(EG$4=$A12,Вводные!$D$5*INDEX(Вводные!$G$13:$G$64,MATCH($A12,Вводные!$A$13:$A$64,0)),0))</f>
        <v>0.55</v>
      </c>
      <c r="EH12" s="32" t="n">
        <f aca="false">INDEX(Вводные!$D$13:$F$64,MATCH($A12,Вводные!$A$13:$A$64,0),MATCH(EH$3,Вводные!$D$11:$F$11,0))*(1+IF(EH$4=$A12,Вводные!$D$5*INDEX(Вводные!$G$13:$G$64,MATCH($A12,Вводные!$A$13:$A$64,0)),0))</f>
        <v>0.55</v>
      </c>
      <c r="EI12" s="32" t="n">
        <f aca="false">INDEX(Вводные!$D$13:$F$64,MATCH($A12,Вводные!$A$13:$A$64,0),MATCH(EI$3,Вводные!$D$11:$F$11,0))*(1+IF(EI$4=$A12,Вводные!$D$5*INDEX(Вводные!$G$13:$G$64,MATCH($A12,Вводные!$A$13:$A$64,0)),0))</f>
        <v>0.5555</v>
      </c>
      <c r="EJ12" s="32" t="n">
        <f aca="false">INDEX(Вводные!$D$13:$F$64,MATCH($A12,Вводные!$A$13:$A$64,0),MATCH(EJ$3,Вводные!$D$11:$F$11,0))*(1+IF(EJ$4=$A12,Вводные!$D$5*INDEX(Вводные!$G$13:$G$64,MATCH($A12,Вводные!$A$13:$A$64,0)),0))</f>
        <v>0.55</v>
      </c>
      <c r="EK12" s="32" t="n">
        <f aca="false">INDEX(Вводные!$D$13:$F$64,MATCH($A12,Вводные!$A$13:$A$64,0),MATCH(EK$3,Вводные!$D$11:$F$11,0))*(1+IF(EK$4=$A12,Вводные!$D$5*INDEX(Вводные!$G$13:$G$64,MATCH($A12,Вводные!$A$13:$A$64,0)),0))</f>
        <v>0.55</v>
      </c>
      <c r="EL12" s="32" t="n">
        <f aca="false">INDEX(Вводные!$D$13:$F$64,MATCH($A12,Вводные!$A$13:$A$64,0),MATCH(EL$3,Вводные!$D$11:$F$11,0))*(1+IF(EL$4=$A12,Вводные!$D$5*INDEX(Вводные!$G$13:$G$64,MATCH($A12,Вводные!$A$13:$A$64,0)),0))</f>
        <v>0.55</v>
      </c>
      <c r="EM12" s="32" t="n">
        <f aca="false">INDEX(Вводные!$D$13:$F$64,MATCH($A12,Вводные!$A$13:$A$64,0),MATCH(EM$3,Вводные!$D$11:$F$11,0))*(1+IF(EM$4=$A12,Вводные!$D$5*INDEX(Вводные!$G$13:$G$64,MATCH($A12,Вводные!$A$13:$A$64,0)),0))</f>
        <v>0.55</v>
      </c>
      <c r="EN12" s="32" t="n">
        <f aca="false">INDEX(Вводные!$D$13:$F$64,MATCH($A12,Вводные!$A$13:$A$64,0),MATCH(EN$3,Вводные!$D$11:$F$11,0))*(1+IF(EN$4=$A12,Вводные!$D$5*INDEX(Вводные!$G$13:$G$64,MATCH($A12,Вводные!$A$13:$A$64,0)),0))</f>
        <v>0.55</v>
      </c>
      <c r="EO12" s="32" t="n">
        <f aca="false">INDEX(Вводные!$D$13:$F$64,MATCH($A12,Вводные!$A$13:$A$64,0),MATCH(EO$3,Вводные!$D$11:$F$11,0))*(1+IF(EO$4=$A12,Вводные!$D$5*INDEX(Вводные!$G$13:$G$64,MATCH($A12,Вводные!$A$13:$A$64,0)),0))</f>
        <v>0.55</v>
      </c>
      <c r="EP12" s="32" t="n">
        <f aca="false">INDEX(Вводные!$D$13:$F$64,MATCH($A12,Вводные!$A$13:$A$64,0),MATCH(EP$3,Вводные!$D$11:$F$11,0))*(1+IF(EP$4=$A12,Вводные!$D$5*INDEX(Вводные!$G$13:$G$64,MATCH($A12,Вводные!$A$13:$A$64,0)),0))</f>
        <v>0.55</v>
      </c>
      <c r="EQ12" s="32" t="n">
        <f aca="false">INDEX(Вводные!$D$13:$F$64,MATCH($A12,Вводные!$A$13:$A$64,0),MATCH(EQ$3,Вводные!$D$11:$F$11,0))*(1+IF(EQ$4=$A12,Вводные!$D$5*INDEX(Вводные!$G$13:$G$64,MATCH($A12,Вводные!$A$13:$A$64,0)),0))</f>
        <v>0.55</v>
      </c>
      <c r="ER12" s="32" t="n">
        <f aca="false">INDEX(Вводные!$D$13:$F$64,MATCH($A12,Вводные!$A$13:$A$64,0),MATCH(ER$3,Вводные!$D$11:$F$11,0))*(1+IF(ER$4=$A12,Вводные!$D$5*INDEX(Вводные!$G$13:$G$64,MATCH($A12,Вводные!$A$13:$A$64,0)),0))</f>
        <v>0.55</v>
      </c>
      <c r="ES12" s="32" t="n">
        <f aca="false">INDEX(Вводные!$D$13:$F$64,MATCH($A12,Вводные!$A$13:$A$64,0),MATCH(ES$3,Вводные!$D$11:$F$11,0))*(1+IF(ES$4=$A12,Вводные!$D$5*INDEX(Вводные!$G$13:$G$64,MATCH($A12,Вводные!$A$13:$A$64,0)),0))</f>
        <v>0.55</v>
      </c>
      <c r="ET12" s="32" t="n">
        <f aca="false">INDEX(Вводные!$D$13:$F$64,MATCH($A12,Вводные!$A$13:$A$64,0),MATCH(ET$3,Вводные!$D$11:$F$11,0))*(1+IF(ET$4=$A12,Вводные!$D$5*INDEX(Вводные!$G$13:$G$64,MATCH($A12,Вводные!$A$13:$A$64,0)),0))</f>
        <v>0.55</v>
      </c>
      <c r="EU12" s="32" t="n">
        <f aca="false">INDEX(Вводные!$D$13:$F$64,MATCH($A12,Вводные!$A$13:$A$64,0),MATCH(EU$3,Вводные!$D$11:$F$11,0))*(1+IF(EU$4=$A12,Вводные!$D$5*INDEX(Вводные!$G$13:$G$64,MATCH($A12,Вводные!$A$13:$A$64,0)),0))</f>
        <v>0.55</v>
      </c>
      <c r="EV12" s="32" t="n">
        <f aca="false">INDEX(Вводные!$D$13:$F$64,MATCH($A12,Вводные!$A$13:$A$64,0),MATCH(EV$3,Вводные!$D$11:$F$11,0))*(1+IF(EV$4=$A12,Вводные!$D$5*INDEX(Вводные!$G$13:$G$64,MATCH($A12,Вводные!$A$13:$A$64,0)),0))</f>
        <v>0.55</v>
      </c>
      <c r="EW12" s="32" t="n">
        <f aca="false">INDEX(Вводные!$D$13:$F$64,MATCH($A12,Вводные!$A$13:$A$64,0),MATCH(EW$3,Вводные!$D$11:$F$11,0))*(1+IF(EW$4=$A12,Вводные!$D$5*INDEX(Вводные!$G$13:$G$64,MATCH($A12,Вводные!$A$13:$A$64,0)),0))</f>
        <v>0.55</v>
      </c>
      <c r="EX12" s="32" t="n">
        <f aca="false">INDEX(Вводные!$D$13:$F$64,MATCH($A12,Вводные!$A$13:$A$64,0),MATCH(EX$3,Вводные!$D$11:$F$11,0))*(1+IF(EX$4=$A12,Вводные!$D$5*INDEX(Вводные!$G$13:$G$64,MATCH($A12,Вводные!$A$13:$A$64,0)),0))</f>
        <v>0.55</v>
      </c>
      <c r="EY12" s="32" t="n">
        <f aca="false">INDEX(Вводные!$D$13:$F$64,MATCH($A12,Вводные!$A$13:$A$64,0),MATCH(EY$3,Вводные!$D$11:$F$11,0))*(1+IF(EY$4=$A12,Вводные!$D$5*INDEX(Вводные!$G$13:$G$64,MATCH($A12,Вводные!$A$13:$A$64,0)),0))</f>
        <v>0.55</v>
      </c>
      <c r="EZ12" s="32" t="n">
        <f aca="false">INDEX(Вводные!$D$13:$F$64,MATCH($A12,Вводные!$A$13:$A$64,0),MATCH(EZ$3,Вводные!$D$11:$F$11,0))*(1+IF(EZ$4=$A12,Вводные!$D$5*INDEX(Вводные!$G$13:$G$64,MATCH($A12,Вводные!$A$13:$A$64,0)),0))</f>
        <v>0.55</v>
      </c>
      <c r="FA12" s="32" t="n">
        <f aca="false">INDEX(Вводные!$D$13:$F$64,MATCH($A12,Вводные!$A$13:$A$64,0),MATCH(FA$3,Вводные!$D$11:$F$11,0))*(1+IF(FA$4=$A12,Вводные!$D$5*INDEX(Вводные!$G$13:$G$64,MATCH($A12,Вводные!$A$13:$A$64,0)),0))</f>
        <v>0.55</v>
      </c>
      <c r="FB12" s="32" t="n">
        <f aca="false">INDEX(Вводные!$D$13:$F$64,MATCH($A12,Вводные!$A$13:$A$64,0),MATCH(FB$3,Вводные!$D$11:$F$11,0))*(1+IF(FB$4=$A12,Вводные!$D$5*INDEX(Вводные!$G$13:$G$64,MATCH($A12,Вводные!$A$13:$A$64,0)),0))</f>
        <v>0.55</v>
      </c>
      <c r="FC12" s="32" t="n">
        <f aca="false">INDEX(Вводные!$D$13:$F$64,MATCH($A12,Вводные!$A$13:$A$64,0),MATCH(FC$3,Вводные!$D$11:$F$11,0))*(1+IF(FC$4=$A12,Вводные!$D$5*INDEX(Вводные!$G$13:$G$64,MATCH($A12,Вводные!$A$13:$A$64,0)),0))</f>
        <v>0.55</v>
      </c>
      <c r="FD12" s="32" t="n">
        <f aca="false">INDEX(Вводные!$D$13:$F$64,MATCH($A12,Вводные!$A$13:$A$64,0),MATCH(FD$3,Вводные!$D$11:$F$11,0))*(1+IF(FD$4=$A12,Вводные!$D$5*INDEX(Вводные!$G$13:$G$64,MATCH($A12,Вводные!$A$13:$A$64,0)),0))</f>
        <v>0.55</v>
      </c>
      <c r="FE12" s="32" t="n">
        <f aca="false">INDEX(Вводные!$D$13:$F$64,MATCH($A12,Вводные!$A$13:$A$64,0),MATCH(FE$3,Вводные!$D$11:$F$11,0))*(1+IF(FE$4=$A12,Вводные!$D$5*INDEX(Вводные!$G$13:$G$64,MATCH($A12,Вводные!$A$13:$A$64,0)),0))</f>
        <v>0.55</v>
      </c>
      <c r="FF12" s="32" t="n">
        <f aca="false">INDEX(Вводные!$D$13:$F$64,MATCH($A12,Вводные!$A$13:$A$64,0),MATCH(FF$3,Вводные!$D$11:$F$11,0))*(1+IF(FF$4=$A12,Вводные!$D$5*INDEX(Вводные!$G$13:$G$64,MATCH($A12,Вводные!$A$13:$A$64,0)),0))</f>
        <v>0.55</v>
      </c>
      <c r="FG12" s="32" t="n">
        <f aca="false">INDEX(Вводные!$D$13:$F$64,MATCH($A12,Вводные!$A$13:$A$64,0),MATCH(FG$3,Вводные!$D$11:$F$11,0))*(1+IF(FG$4=$A12,Вводные!$D$5*INDEX(Вводные!$G$13:$G$64,MATCH($A12,Вводные!$A$13:$A$64,0)),0))</f>
        <v>0.55</v>
      </c>
      <c r="FH12" s="32" t="n">
        <f aca="false">INDEX(Вводные!$D$13:$F$64,MATCH($A12,Вводные!$A$13:$A$64,0),MATCH(FH$3,Вводные!$D$11:$F$11,0))*(1+IF(FH$4=$A12,Вводные!$D$5*INDEX(Вводные!$G$13:$G$64,MATCH($A12,Вводные!$A$13:$A$64,0)),0))</f>
        <v>0.55</v>
      </c>
      <c r="FI12" s="32" t="n">
        <f aca="false">INDEX(Вводные!$D$13:$F$64,MATCH($A12,Вводные!$A$13:$A$64,0),MATCH(FI$3,Вводные!$D$11:$F$11,0))*(1+IF(FI$4=$A12,Вводные!$D$5*INDEX(Вводные!$G$13:$G$64,MATCH($A12,Вводные!$A$13:$A$64,0)),0))</f>
        <v>0.55</v>
      </c>
      <c r="FJ12" s="32" t="n">
        <f aca="false">INDEX(Вводные!$D$13:$F$64,MATCH($A12,Вводные!$A$13:$A$64,0),MATCH(FJ$3,Вводные!$D$11:$F$11,0))*(1+IF(FJ$4=$A12,Вводные!$D$5*INDEX(Вводные!$G$13:$G$64,MATCH($A12,Вводные!$A$13:$A$64,0)),0))</f>
        <v>0.55</v>
      </c>
      <c r="FK12" s="32" t="n">
        <f aca="false">INDEX(Вводные!$D$13:$F$64,MATCH($A12,Вводные!$A$13:$A$64,0),MATCH(FK$3,Вводные!$D$11:$F$11,0))*(1+IF(FK$4=$A12,Вводные!$D$5*INDEX(Вводные!$G$13:$G$64,MATCH($A12,Вводные!$A$13:$A$64,0)),0))</f>
        <v>0.55</v>
      </c>
      <c r="FL12" s="32" t="n">
        <f aca="false">INDEX(Вводные!$D$13:$F$64,MATCH($A12,Вводные!$A$13:$A$64,0),MATCH(FL$3,Вводные!$D$11:$F$11,0))*(1+IF(FL$4=$A12,Вводные!$D$5*INDEX(Вводные!$G$13:$G$64,MATCH($A12,Вводные!$A$13:$A$64,0)),0))</f>
        <v>0.55</v>
      </c>
      <c r="FM12" s="32" t="n">
        <f aca="false">INDEX(Вводные!$D$13:$F$64,MATCH($A12,Вводные!$A$13:$A$64,0),MATCH(FM$3,Вводные!$D$11:$F$11,0))*(1+IF(FM$4=$A12,Вводные!$D$5*INDEX(Вводные!$G$13:$G$64,MATCH($A12,Вводные!$A$13:$A$64,0)),0))</f>
        <v>0.55</v>
      </c>
      <c r="FN12" s="32" t="n">
        <f aca="false">INDEX(Вводные!$D$13:$F$64,MATCH($A12,Вводные!$A$13:$A$64,0),MATCH(FN$3,Вводные!$D$11:$F$11,0))*(1+IF(FN$4=$A12,Вводные!$D$5*INDEX(Вводные!$G$13:$G$64,MATCH($A12,Вводные!$A$13:$A$64,0)),0))</f>
        <v>0.55</v>
      </c>
      <c r="FO12" s="32" t="n">
        <f aca="false">INDEX(Вводные!$D$13:$F$64,MATCH($A12,Вводные!$A$13:$A$64,0),MATCH(FO$3,Вводные!$D$11:$F$11,0))*(1+IF(FO$4=$A12,Вводные!$D$5*INDEX(Вводные!$G$13:$G$64,MATCH($A12,Вводные!$A$13:$A$64,0)),0))</f>
        <v>0.55</v>
      </c>
      <c r="FP12" s="32" t="n">
        <f aca="false">INDEX(Вводные!$D$13:$F$64,MATCH($A12,Вводные!$A$13:$A$64,0),MATCH(FP$3,Вводные!$D$11:$F$11,0))*(1+IF(FP$4=$A12,Вводные!$D$5*INDEX(Вводные!$G$13:$G$64,MATCH($A12,Вводные!$A$13:$A$64,0)),0))</f>
        <v>0.55</v>
      </c>
      <c r="FQ12" s="32" t="n">
        <f aca="false">INDEX(Вводные!$D$13:$F$64,MATCH($A12,Вводные!$A$13:$A$64,0),MATCH(FQ$3,Вводные!$D$11:$F$11,0))*(1+IF(FQ$4=$A12,Вводные!$D$5*INDEX(Вводные!$G$13:$G$64,MATCH($A12,Вводные!$A$13:$A$64,0)),0))</f>
        <v>0.55</v>
      </c>
      <c r="FR12" s="32" t="n">
        <f aca="false">INDEX(Вводные!$D$13:$F$64,MATCH($A12,Вводные!$A$13:$A$64,0),MATCH(FR$3,Вводные!$D$11:$F$11,0))*(1+IF(FR$4=$A12,Вводные!$D$5*INDEX(Вводные!$G$13:$G$64,MATCH($A12,Вводные!$A$13:$A$64,0)),0))</f>
        <v>0.55</v>
      </c>
      <c r="FS12" s="32" t="n">
        <f aca="false">INDEX(Вводные!$D$13:$F$64,MATCH($A12,Вводные!$A$13:$A$64,0),MATCH(FS$3,Вводные!$D$11:$F$11,0))*(1+IF(FS$4=$A12,Вводные!$D$5*INDEX(Вводные!$G$13:$G$64,MATCH($A12,Вводные!$A$13:$A$64,0)),0))</f>
        <v>0.55</v>
      </c>
      <c r="FT12" s="32" t="n">
        <f aca="false">INDEX(Вводные!$D$13:$F$64,MATCH($A12,Вводные!$A$13:$A$64,0),MATCH(FT$3,Вводные!$D$11:$F$11,0))*(1+IF(FT$4=$A12,Вводные!$D$5*INDEX(Вводные!$G$13:$G$64,MATCH($A12,Вводные!$A$13:$A$64,0)),0))</f>
        <v>0.55</v>
      </c>
      <c r="FU12" s="32" t="n">
        <f aca="false">INDEX(Вводные!$D$13:$F$64,MATCH($A12,Вводные!$A$13:$A$64,0),MATCH(FU$3,Вводные!$D$11:$F$11,0))*(1+IF(FU$4=$A12,Вводные!$D$5*INDEX(Вводные!$G$13:$G$64,MATCH($A12,Вводные!$A$13:$A$64,0)),0))</f>
        <v>0.55</v>
      </c>
      <c r="FV12" s="32" t="n">
        <f aca="false">INDEX(Вводные!$D$13:$F$64,MATCH($A12,Вводные!$A$13:$A$64,0),MATCH(FV$3,Вводные!$D$11:$F$11,0))*(1+IF(FV$4=$A12,Вводные!$D$5*INDEX(Вводные!$G$13:$G$64,MATCH($A12,Вводные!$A$13:$A$64,0)),0))</f>
        <v>0.8</v>
      </c>
      <c r="FW12" s="32" t="n">
        <f aca="false">INDEX(Вводные!$D$13:$F$64,MATCH($A12,Вводные!$A$13:$A$64,0),MATCH(FW$3,Вводные!$D$11:$F$11,0))*(1+IF(FW$4=$A12,Вводные!$D$5*INDEX(Вводные!$G$13:$G$64,MATCH($A12,Вводные!$A$13:$A$64,0)),0))</f>
        <v>0.8</v>
      </c>
      <c r="FX12" s="32" t="n">
        <f aca="false">INDEX(Вводные!$D$13:$F$64,MATCH($A12,Вводные!$A$13:$A$64,0),MATCH(FX$3,Вводные!$D$11:$F$11,0))*(1+IF(FX$4=$A12,Вводные!$D$5*INDEX(Вводные!$G$13:$G$64,MATCH($A12,Вводные!$A$13:$A$64,0)),0))</f>
        <v>0.8</v>
      </c>
      <c r="FY12" s="32" t="n">
        <f aca="false">INDEX(Вводные!$D$13:$F$64,MATCH($A12,Вводные!$A$13:$A$64,0),MATCH(FY$3,Вводные!$D$11:$F$11,0))*(1+IF(FY$4=$A12,Вводные!$D$5*INDEX(Вводные!$G$13:$G$64,MATCH($A12,Вводные!$A$13:$A$64,0)),0))</f>
        <v>0.808</v>
      </c>
      <c r="FZ12" s="32" t="n">
        <f aca="false">INDEX(Вводные!$D$13:$F$64,MATCH($A12,Вводные!$A$13:$A$64,0),MATCH(FZ$3,Вводные!$D$11:$F$11,0))*(1+IF(FZ$4=$A12,Вводные!$D$5*INDEX(Вводные!$G$13:$G$64,MATCH($A12,Вводные!$A$13:$A$64,0)),0))</f>
        <v>0.8</v>
      </c>
      <c r="GA12" s="32" t="n">
        <f aca="false">INDEX(Вводные!$D$13:$F$64,MATCH($A12,Вводные!$A$13:$A$64,0),MATCH(GA$3,Вводные!$D$11:$F$11,0))*(1+IF(GA$4=$A12,Вводные!$D$5*INDEX(Вводные!$G$13:$G$64,MATCH($A12,Вводные!$A$13:$A$64,0)),0))</f>
        <v>0.8</v>
      </c>
      <c r="GB12" s="32" t="n">
        <f aca="false">INDEX(Вводные!$D$13:$F$64,MATCH($A12,Вводные!$A$13:$A$64,0),MATCH(GB$3,Вводные!$D$11:$F$11,0))*(1+IF(GB$4=$A12,Вводные!$D$5*INDEX(Вводные!$G$13:$G$64,MATCH($A12,Вводные!$A$13:$A$64,0)),0))</f>
        <v>0.8</v>
      </c>
      <c r="GC12" s="32" t="n">
        <f aca="false">INDEX(Вводные!$D$13:$F$64,MATCH($A12,Вводные!$A$13:$A$64,0),MATCH(GC$3,Вводные!$D$11:$F$11,0))*(1+IF(GC$4=$A12,Вводные!$D$5*INDEX(Вводные!$G$13:$G$64,MATCH($A12,Вводные!$A$13:$A$64,0)),0))</f>
        <v>0.8</v>
      </c>
      <c r="GD12" s="32" t="n">
        <f aca="false">INDEX(Вводные!$D$13:$F$64,MATCH($A12,Вводные!$A$13:$A$64,0),MATCH(GD$3,Вводные!$D$11:$F$11,0))*(1+IF(GD$4=$A12,Вводные!$D$5*INDEX(Вводные!$G$13:$G$64,MATCH($A12,Вводные!$A$13:$A$64,0)),0))</f>
        <v>0.8</v>
      </c>
      <c r="GE12" s="32" t="n">
        <f aca="false">INDEX(Вводные!$D$13:$F$64,MATCH($A12,Вводные!$A$13:$A$64,0),MATCH(GE$3,Вводные!$D$11:$F$11,0))*(1+IF(GE$4=$A12,Вводные!$D$5*INDEX(Вводные!$G$13:$G$64,MATCH($A12,Вводные!$A$13:$A$64,0)),0))</f>
        <v>0.8</v>
      </c>
      <c r="GF12" s="32" t="n">
        <f aca="false">INDEX(Вводные!$D$13:$F$64,MATCH($A12,Вводные!$A$13:$A$64,0),MATCH(GF$3,Вводные!$D$11:$F$11,0))*(1+IF(GF$4=$A12,Вводные!$D$5*INDEX(Вводные!$G$13:$G$64,MATCH($A12,Вводные!$A$13:$A$64,0)),0))</f>
        <v>0.8</v>
      </c>
      <c r="GG12" s="32" t="n">
        <f aca="false">INDEX(Вводные!$D$13:$F$64,MATCH($A12,Вводные!$A$13:$A$64,0),MATCH(GG$3,Вводные!$D$11:$F$11,0))*(1+IF(GG$4=$A12,Вводные!$D$5*INDEX(Вводные!$G$13:$G$64,MATCH($A12,Вводные!$A$13:$A$64,0)),0))</f>
        <v>0.8</v>
      </c>
      <c r="GH12" s="32" t="n">
        <f aca="false">INDEX(Вводные!$D$13:$F$64,MATCH($A12,Вводные!$A$13:$A$64,0),MATCH(GH$3,Вводные!$D$11:$F$11,0))*(1+IF(GH$4=$A12,Вводные!$D$5*INDEX(Вводные!$G$13:$G$64,MATCH($A12,Вводные!$A$13:$A$64,0)),0))</f>
        <v>0.8</v>
      </c>
      <c r="GI12" s="32" t="n">
        <f aca="false">INDEX(Вводные!$D$13:$F$64,MATCH($A12,Вводные!$A$13:$A$64,0),MATCH(GI$3,Вводные!$D$11:$F$11,0))*(1+IF(GI$4=$A12,Вводные!$D$5*INDEX(Вводные!$G$13:$G$64,MATCH($A12,Вводные!$A$13:$A$64,0)),0))</f>
        <v>0.8</v>
      </c>
      <c r="GJ12" s="32" t="n">
        <f aca="false">INDEX(Вводные!$D$13:$F$64,MATCH($A12,Вводные!$A$13:$A$64,0),MATCH(GJ$3,Вводные!$D$11:$F$11,0))*(1+IF(GJ$4=$A12,Вводные!$D$5*INDEX(Вводные!$G$13:$G$64,MATCH($A12,Вводные!$A$13:$A$64,0)),0))</f>
        <v>0.8</v>
      </c>
      <c r="GK12" s="32" t="n">
        <f aca="false">INDEX(Вводные!$D$13:$F$64,MATCH($A12,Вводные!$A$13:$A$64,0),MATCH(GK$3,Вводные!$D$11:$F$11,0))*(1+IF(GK$4=$A12,Вводные!$D$5*INDEX(Вводные!$G$13:$G$64,MATCH($A12,Вводные!$A$13:$A$64,0)),0))</f>
        <v>0.8</v>
      </c>
      <c r="GL12" s="32" t="n">
        <f aca="false">INDEX(Вводные!$D$13:$F$64,MATCH($A12,Вводные!$A$13:$A$64,0),MATCH(GL$3,Вводные!$D$11:$F$11,0))*(1+IF(GL$4=$A12,Вводные!$D$5*INDEX(Вводные!$G$13:$G$64,MATCH($A12,Вводные!$A$13:$A$64,0)),0))</f>
        <v>0.8</v>
      </c>
      <c r="GM12" s="32" t="n">
        <f aca="false">INDEX(Вводные!$D$13:$F$64,MATCH($A12,Вводные!$A$13:$A$64,0),MATCH(GM$3,Вводные!$D$11:$F$11,0))*(1+IF(GM$4=$A12,Вводные!$D$5*INDEX(Вводные!$G$13:$G$64,MATCH($A12,Вводные!$A$13:$A$64,0)),0))</f>
        <v>0.8</v>
      </c>
      <c r="GN12" s="32" t="n">
        <f aca="false">INDEX(Вводные!$D$13:$F$64,MATCH($A12,Вводные!$A$13:$A$64,0),MATCH(GN$3,Вводные!$D$11:$F$11,0))*(1+IF(GN$4=$A12,Вводные!$D$5*INDEX(Вводные!$G$13:$G$64,MATCH($A12,Вводные!$A$13:$A$64,0)),0))</f>
        <v>0.8</v>
      </c>
      <c r="GO12" s="32" t="n">
        <f aca="false">INDEX(Вводные!$D$13:$F$64,MATCH($A12,Вводные!$A$13:$A$64,0),MATCH(GO$3,Вводные!$D$11:$F$11,0))*(1+IF(GO$4=$A12,Вводные!$D$5*INDEX(Вводные!$G$13:$G$64,MATCH($A12,Вводные!$A$13:$A$64,0)),0))</f>
        <v>0.8</v>
      </c>
      <c r="GP12" s="32" t="n">
        <f aca="false">INDEX(Вводные!$D$13:$F$64,MATCH($A12,Вводные!$A$13:$A$64,0),MATCH(GP$3,Вводные!$D$11:$F$11,0))*(1+IF(GP$4=$A12,Вводные!$D$5*INDEX(Вводные!$G$13:$G$64,MATCH($A12,Вводные!$A$13:$A$64,0)),0))</f>
        <v>0.8</v>
      </c>
      <c r="GQ12" s="32" t="n">
        <f aca="false">INDEX(Вводные!$D$13:$F$64,MATCH($A12,Вводные!$A$13:$A$64,0),MATCH(GQ$3,Вводные!$D$11:$F$11,0))*(1+IF(GQ$4=$A12,Вводные!$D$5*INDEX(Вводные!$G$13:$G$64,MATCH($A12,Вводные!$A$13:$A$64,0)),0))</f>
        <v>0.8</v>
      </c>
      <c r="GR12" s="32" t="n">
        <f aca="false">INDEX(Вводные!$D$13:$F$64,MATCH($A12,Вводные!$A$13:$A$64,0),MATCH(GR$3,Вводные!$D$11:$F$11,0))*(1+IF(GR$4=$A12,Вводные!$D$5*INDEX(Вводные!$G$13:$G$64,MATCH($A12,Вводные!$A$13:$A$64,0)),0))</f>
        <v>0.8</v>
      </c>
      <c r="GS12" s="32" t="n">
        <f aca="false">INDEX(Вводные!$D$13:$F$64,MATCH($A12,Вводные!$A$13:$A$64,0),MATCH(GS$3,Вводные!$D$11:$F$11,0))*(1+IF(GS$4=$A12,Вводные!$D$5*INDEX(Вводные!$G$13:$G$64,MATCH($A12,Вводные!$A$13:$A$64,0)),0))</f>
        <v>0.8</v>
      </c>
      <c r="GT12" s="32" t="n">
        <f aca="false">INDEX(Вводные!$D$13:$F$64,MATCH($A12,Вводные!$A$13:$A$64,0),MATCH(GT$3,Вводные!$D$11:$F$11,0))*(1+IF(GT$4=$A12,Вводные!$D$5*INDEX(Вводные!$G$13:$G$64,MATCH($A12,Вводные!$A$13:$A$64,0)),0))</f>
        <v>0.8</v>
      </c>
      <c r="GU12" s="32" t="n">
        <f aca="false">INDEX(Вводные!$D$13:$F$64,MATCH($A12,Вводные!$A$13:$A$64,0),MATCH(GU$3,Вводные!$D$11:$F$11,0))*(1+IF(GU$4=$A12,Вводные!$D$5*INDEX(Вводные!$G$13:$G$64,MATCH($A12,Вводные!$A$13:$A$64,0)),0))</f>
        <v>0.8</v>
      </c>
      <c r="GV12" s="32" t="n">
        <f aca="false">INDEX(Вводные!$D$13:$F$64,MATCH($A12,Вводные!$A$13:$A$64,0),MATCH(GV$3,Вводные!$D$11:$F$11,0))*(1+IF(GV$4=$A12,Вводные!$D$5*INDEX(Вводные!$G$13:$G$64,MATCH($A12,Вводные!$A$13:$A$64,0)),0))</f>
        <v>0.8</v>
      </c>
      <c r="GW12" s="32" t="n">
        <f aca="false">INDEX(Вводные!$D$13:$F$64,MATCH($A12,Вводные!$A$13:$A$64,0),MATCH(GW$3,Вводные!$D$11:$F$11,0))*(1+IF(GW$4=$A12,Вводные!$D$5*INDEX(Вводные!$G$13:$G$64,MATCH($A12,Вводные!$A$13:$A$64,0)),0))</f>
        <v>0.8</v>
      </c>
      <c r="GX12" s="32" t="n">
        <f aca="false">INDEX(Вводные!$D$13:$F$64,MATCH($A12,Вводные!$A$13:$A$64,0),MATCH(GX$3,Вводные!$D$11:$F$11,0))*(1+IF(GX$4=$A12,Вводные!$D$5*INDEX(Вводные!$G$13:$G$64,MATCH($A12,Вводные!$A$13:$A$64,0)),0))</f>
        <v>0.8</v>
      </c>
      <c r="GY12" s="32" t="n">
        <f aca="false">INDEX(Вводные!$D$13:$F$64,MATCH($A12,Вводные!$A$13:$A$64,0),MATCH(GY$3,Вводные!$D$11:$F$11,0))*(1+IF(GY$4=$A12,Вводные!$D$5*INDEX(Вводные!$G$13:$G$64,MATCH($A12,Вводные!$A$13:$A$64,0)),0))</f>
        <v>0.8</v>
      </c>
      <c r="GZ12" s="32" t="n">
        <f aca="false">INDEX(Вводные!$D$13:$F$64,MATCH($A12,Вводные!$A$13:$A$64,0),MATCH(GZ$3,Вводные!$D$11:$F$11,0))*(1+IF(GZ$4=$A12,Вводные!$D$5*INDEX(Вводные!$G$13:$G$64,MATCH($A12,Вводные!$A$13:$A$64,0)),0))</f>
        <v>0.8</v>
      </c>
      <c r="HA12" s="32" t="n">
        <f aca="false">INDEX(Вводные!$D$13:$F$64,MATCH($A12,Вводные!$A$13:$A$64,0),MATCH(HA$3,Вводные!$D$11:$F$11,0))*(1+IF(HA$4=$A12,Вводные!$D$5*INDEX(Вводные!$G$13:$G$64,MATCH($A12,Вводные!$A$13:$A$64,0)),0))</f>
        <v>0.8</v>
      </c>
      <c r="HB12" s="32" t="n">
        <f aca="false">INDEX(Вводные!$D$13:$F$64,MATCH($A12,Вводные!$A$13:$A$64,0),MATCH(HB$3,Вводные!$D$11:$F$11,0))*(1+IF(HB$4=$A12,Вводные!$D$5*INDEX(Вводные!$G$13:$G$64,MATCH($A12,Вводные!$A$13:$A$64,0)),0))</f>
        <v>0.8</v>
      </c>
      <c r="HC12" s="32" t="n">
        <f aca="false">INDEX(Вводные!$D$13:$F$64,MATCH($A12,Вводные!$A$13:$A$64,0),MATCH(HC$3,Вводные!$D$11:$F$11,0))*(1+IF(HC$4=$A12,Вводные!$D$5*INDEX(Вводные!$G$13:$G$64,MATCH($A12,Вводные!$A$13:$A$64,0)),0))</f>
        <v>0.8</v>
      </c>
      <c r="HD12" s="32" t="n">
        <f aca="false">INDEX(Вводные!$D$13:$F$64,MATCH($A12,Вводные!$A$13:$A$64,0),MATCH(HD$3,Вводные!$D$11:$F$11,0))*(1+IF(HD$4=$A12,Вводные!$D$5*INDEX(Вводные!$G$13:$G$64,MATCH($A12,Вводные!$A$13:$A$64,0)),0))</f>
        <v>0.8</v>
      </c>
      <c r="HE12" s="32" t="n">
        <f aca="false">INDEX(Вводные!$D$13:$F$64,MATCH($A12,Вводные!$A$13:$A$64,0),MATCH(HE$3,Вводные!$D$11:$F$11,0))*(1+IF(HE$4=$A12,Вводные!$D$5*INDEX(Вводные!$G$13:$G$64,MATCH($A12,Вводные!$A$13:$A$64,0)),0))</f>
        <v>0.8</v>
      </c>
      <c r="HF12" s="32" t="n">
        <f aca="false">INDEX(Вводные!$D$13:$F$64,MATCH($A12,Вводные!$A$13:$A$64,0),MATCH(HF$3,Вводные!$D$11:$F$11,0))*(1+IF(HF$4=$A12,Вводные!$D$5*INDEX(Вводные!$G$13:$G$64,MATCH($A12,Вводные!$A$13:$A$64,0)),0))</f>
        <v>0.8</v>
      </c>
      <c r="HG12" s="32" t="n">
        <f aca="false">INDEX(Вводные!$D$13:$F$64,MATCH($A12,Вводные!$A$13:$A$64,0),MATCH(HG$3,Вводные!$D$11:$F$11,0))*(1+IF(HG$4=$A12,Вводные!$D$5*INDEX(Вводные!$G$13:$G$64,MATCH($A12,Вводные!$A$13:$A$64,0)),0))</f>
        <v>0.8</v>
      </c>
      <c r="HH12" s="32" t="n">
        <f aca="false">INDEX(Вводные!$D$13:$F$64,MATCH($A12,Вводные!$A$13:$A$64,0),MATCH(HH$3,Вводные!$D$11:$F$11,0))*(1+IF(HH$4=$A12,Вводные!$D$5*INDEX(Вводные!$G$13:$G$64,MATCH($A12,Вводные!$A$13:$A$64,0)),0))</f>
        <v>0.8</v>
      </c>
      <c r="HI12" s="32" t="n">
        <f aca="false">INDEX(Вводные!$D$13:$F$64,MATCH($A12,Вводные!$A$13:$A$64,0),MATCH(HI$3,Вводные!$D$11:$F$11,0))*(1+IF(HI$4=$A12,Вводные!$D$5*INDEX(Вводные!$G$13:$G$64,MATCH($A12,Вводные!$A$13:$A$64,0)),0))</f>
        <v>0.8</v>
      </c>
      <c r="HJ12" s="32" t="n">
        <f aca="false">INDEX(Вводные!$D$13:$F$64,MATCH($A12,Вводные!$A$13:$A$64,0),MATCH(HJ$3,Вводные!$D$11:$F$11,0))*(1+IF(HJ$4=$A12,Вводные!$D$5*INDEX(Вводные!$G$13:$G$64,MATCH($A12,Вводные!$A$13:$A$64,0)),0))</f>
        <v>0.8</v>
      </c>
      <c r="HK12" s="32" t="n">
        <f aca="false">INDEX(Вводные!$D$13:$F$64,MATCH($A12,Вводные!$A$13:$A$64,0),MATCH(HK$3,Вводные!$D$11:$F$11,0))*(1+IF(HK$4=$A12,Вводные!$D$5*INDEX(Вводные!$G$13:$G$64,MATCH($A12,Вводные!$A$13:$A$64,0)),0))</f>
        <v>0.8</v>
      </c>
      <c r="HL12" s="32" t="n">
        <f aca="false">INDEX(Вводные!$D$13:$F$64,MATCH($A12,Вводные!$A$13:$A$64,0),MATCH(HL$3,Вводные!$D$11:$F$11,0))*(1+IF(HL$4=$A12,Вводные!$D$5*INDEX(Вводные!$G$13:$G$64,MATCH($A12,Вводные!$A$13:$A$64,0)),0))</f>
        <v>0.75</v>
      </c>
      <c r="HM12" s="32" t="n">
        <f aca="false">INDEX(Вводные!$D$13:$F$64,MATCH($A12,Вводные!$A$13:$A$64,0),MATCH(HM$3,Вводные!$D$11:$F$11,0))*(1+IF(HM$4=$A12,Вводные!$D$5*INDEX(Вводные!$G$13:$G$64,MATCH($A12,Вводные!$A$13:$A$64,0)),0))</f>
        <v>0.75</v>
      </c>
      <c r="HN12" s="32" t="n">
        <f aca="false">INDEX(Вводные!$D$13:$F$64,MATCH($A12,Вводные!$A$13:$A$64,0),MATCH(HN$3,Вводные!$D$11:$F$11,0))*(1+IF(HN$4=$A12,Вводные!$D$5*INDEX(Вводные!$G$13:$G$64,MATCH($A12,Вводные!$A$13:$A$64,0)),0))</f>
        <v>0.75</v>
      </c>
      <c r="HO12" s="32" t="n">
        <f aca="false">INDEX(Вводные!$D$13:$F$64,MATCH($A12,Вводные!$A$13:$A$64,0),MATCH(HO$3,Вводные!$D$11:$F$11,0))*(1+IF(HO$4=$A12,Вводные!$D$5*INDEX(Вводные!$G$13:$G$64,MATCH($A12,Вводные!$A$13:$A$64,0)),0))</f>
        <v>0.7575</v>
      </c>
      <c r="HP12" s="32" t="n">
        <f aca="false">INDEX(Вводные!$D$13:$F$64,MATCH($A12,Вводные!$A$13:$A$64,0),MATCH(HP$3,Вводные!$D$11:$F$11,0))*(1+IF(HP$4=$A12,Вводные!$D$5*INDEX(Вводные!$G$13:$G$64,MATCH($A12,Вводные!$A$13:$A$64,0)),0))</f>
        <v>0.75</v>
      </c>
      <c r="HQ12" s="32" t="n">
        <f aca="false">INDEX(Вводные!$D$13:$F$64,MATCH($A12,Вводные!$A$13:$A$64,0),MATCH(HQ$3,Вводные!$D$11:$F$11,0))*(1+IF(HQ$4=$A12,Вводные!$D$5*INDEX(Вводные!$G$13:$G$64,MATCH($A12,Вводные!$A$13:$A$64,0)),0))</f>
        <v>0.75</v>
      </c>
      <c r="HR12" s="32" t="n">
        <f aca="false">INDEX(Вводные!$D$13:$F$64,MATCH($A12,Вводные!$A$13:$A$64,0),MATCH(HR$3,Вводные!$D$11:$F$11,0))*(1+IF(HR$4=$A12,Вводные!$D$5*INDEX(Вводные!$G$13:$G$64,MATCH($A12,Вводные!$A$13:$A$64,0)),0))</f>
        <v>0.75</v>
      </c>
      <c r="HS12" s="32" t="n">
        <f aca="false">INDEX(Вводные!$D$13:$F$64,MATCH($A12,Вводные!$A$13:$A$64,0),MATCH(HS$3,Вводные!$D$11:$F$11,0))*(1+IF(HS$4=$A12,Вводные!$D$5*INDEX(Вводные!$G$13:$G$64,MATCH($A12,Вводные!$A$13:$A$64,0)),0))</f>
        <v>0.75</v>
      </c>
      <c r="HT12" s="32" t="n">
        <f aca="false">INDEX(Вводные!$D$13:$F$64,MATCH($A12,Вводные!$A$13:$A$64,0),MATCH(HT$3,Вводные!$D$11:$F$11,0))*(1+IF(HT$4=$A12,Вводные!$D$5*INDEX(Вводные!$G$13:$G$64,MATCH($A12,Вводные!$A$13:$A$64,0)),0))</f>
        <v>0.75</v>
      </c>
      <c r="HU12" s="32" t="n">
        <f aca="false">INDEX(Вводные!$D$13:$F$64,MATCH($A12,Вводные!$A$13:$A$64,0),MATCH(HU$3,Вводные!$D$11:$F$11,0))*(1+IF(HU$4=$A12,Вводные!$D$5*INDEX(Вводные!$G$13:$G$64,MATCH($A12,Вводные!$A$13:$A$64,0)),0))</f>
        <v>0.75</v>
      </c>
      <c r="HV12" s="32" t="n">
        <f aca="false">INDEX(Вводные!$D$13:$F$64,MATCH($A12,Вводные!$A$13:$A$64,0),MATCH(HV$3,Вводные!$D$11:$F$11,0))*(1+IF(HV$4=$A12,Вводные!$D$5*INDEX(Вводные!$G$13:$G$64,MATCH($A12,Вводные!$A$13:$A$64,0)),0))</f>
        <v>0.75</v>
      </c>
      <c r="HW12" s="32" t="n">
        <f aca="false">INDEX(Вводные!$D$13:$F$64,MATCH($A12,Вводные!$A$13:$A$64,0),MATCH(HW$3,Вводные!$D$11:$F$11,0))*(1+IF(HW$4=$A12,Вводные!$D$5*INDEX(Вводные!$G$13:$G$64,MATCH($A12,Вводные!$A$13:$A$64,0)),0))</f>
        <v>0.75</v>
      </c>
      <c r="HX12" s="32" t="n">
        <f aca="false">INDEX(Вводные!$D$13:$F$64,MATCH($A12,Вводные!$A$13:$A$64,0),MATCH(HX$3,Вводные!$D$11:$F$11,0))*(1+IF(HX$4=$A12,Вводные!$D$5*INDEX(Вводные!$G$13:$G$64,MATCH($A12,Вводные!$A$13:$A$64,0)),0))</f>
        <v>0.75</v>
      </c>
      <c r="HY12" s="32" t="n">
        <f aca="false">INDEX(Вводные!$D$13:$F$64,MATCH($A12,Вводные!$A$13:$A$64,0),MATCH(HY$3,Вводные!$D$11:$F$11,0))*(1+IF(HY$4=$A12,Вводные!$D$5*INDEX(Вводные!$G$13:$G$64,MATCH($A12,Вводные!$A$13:$A$64,0)),0))</f>
        <v>0.75</v>
      </c>
      <c r="HZ12" s="32" t="n">
        <f aca="false">INDEX(Вводные!$D$13:$F$64,MATCH($A12,Вводные!$A$13:$A$64,0),MATCH(HZ$3,Вводные!$D$11:$F$11,0))*(1+IF(HZ$4=$A12,Вводные!$D$5*INDEX(Вводные!$G$13:$G$64,MATCH($A12,Вводные!$A$13:$A$64,0)),0))</f>
        <v>0.75</v>
      </c>
      <c r="IA12" s="32" t="n">
        <f aca="false">INDEX(Вводные!$D$13:$F$64,MATCH($A12,Вводные!$A$13:$A$64,0),MATCH(IA$3,Вводные!$D$11:$F$11,0))*(1+IF(IA$4=$A12,Вводные!$D$5*INDEX(Вводные!$G$13:$G$64,MATCH($A12,Вводные!$A$13:$A$64,0)),0))</f>
        <v>0.75</v>
      </c>
      <c r="IB12" s="32" t="n">
        <f aca="false">INDEX(Вводные!$D$13:$F$64,MATCH($A12,Вводные!$A$13:$A$64,0),MATCH(IB$3,Вводные!$D$11:$F$11,0))*(1+IF(IB$4=$A12,Вводные!$D$5*INDEX(Вводные!$G$13:$G$64,MATCH($A12,Вводные!$A$13:$A$64,0)),0))</f>
        <v>0.75</v>
      </c>
      <c r="IC12" s="32" t="n">
        <f aca="false">INDEX(Вводные!$D$13:$F$64,MATCH($A12,Вводные!$A$13:$A$64,0),MATCH(IC$3,Вводные!$D$11:$F$11,0))*(1+IF(IC$4=$A12,Вводные!$D$5*INDEX(Вводные!$G$13:$G$64,MATCH($A12,Вводные!$A$13:$A$64,0)),0))</f>
        <v>0.75</v>
      </c>
      <c r="ID12" s="32" t="n">
        <f aca="false">INDEX(Вводные!$D$13:$F$64,MATCH($A12,Вводные!$A$13:$A$64,0),MATCH(ID$3,Вводные!$D$11:$F$11,0))*(1+IF(ID$4=$A12,Вводные!$D$5*INDEX(Вводные!$G$13:$G$64,MATCH($A12,Вводные!$A$13:$A$64,0)),0))</f>
        <v>0.75</v>
      </c>
      <c r="IE12" s="32" t="n">
        <f aca="false">INDEX(Вводные!$D$13:$F$64,MATCH($A12,Вводные!$A$13:$A$64,0),MATCH(IE$3,Вводные!$D$11:$F$11,0))*(1+IF(IE$4=$A12,Вводные!$D$5*INDEX(Вводные!$G$13:$G$64,MATCH($A12,Вводные!$A$13:$A$64,0)),0))</f>
        <v>0.75</v>
      </c>
      <c r="IF12" s="32" t="n">
        <f aca="false">INDEX(Вводные!$D$13:$F$64,MATCH($A12,Вводные!$A$13:$A$64,0),MATCH(IF$3,Вводные!$D$11:$F$11,0))*(1+IF(IF$4=$A12,Вводные!$D$5*INDEX(Вводные!$G$13:$G$64,MATCH($A12,Вводные!$A$13:$A$64,0)),0))</f>
        <v>0.75</v>
      </c>
      <c r="IG12" s="32" t="n">
        <f aca="false">INDEX(Вводные!$D$13:$F$64,MATCH($A12,Вводные!$A$13:$A$64,0),MATCH(IG$3,Вводные!$D$11:$F$11,0))*(1+IF(IG$4=$A12,Вводные!$D$5*INDEX(Вводные!$G$13:$G$64,MATCH($A12,Вводные!$A$13:$A$64,0)),0))</f>
        <v>0.75</v>
      </c>
      <c r="IH12" s="32" t="n">
        <f aca="false">INDEX(Вводные!$D$13:$F$64,MATCH($A12,Вводные!$A$13:$A$64,0),MATCH(IH$3,Вводные!$D$11:$F$11,0))*(1+IF(IH$4=$A12,Вводные!$D$5*INDEX(Вводные!$G$13:$G$64,MATCH($A12,Вводные!$A$13:$A$64,0)),0))</f>
        <v>0.75</v>
      </c>
      <c r="II12" s="32" t="n">
        <f aca="false">INDEX(Вводные!$D$13:$F$64,MATCH($A12,Вводные!$A$13:$A$64,0),MATCH(II$3,Вводные!$D$11:$F$11,0))*(1+IF(II$4=$A12,Вводные!$D$5*INDEX(Вводные!$G$13:$G$64,MATCH($A12,Вводные!$A$13:$A$64,0)),0))</f>
        <v>0.75</v>
      </c>
      <c r="IJ12" s="32" t="n">
        <f aca="false">INDEX(Вводные!$D$13:$F$64,MATCH($A12,Вводные!$A$13:$A$64,0),MATCH(IJ$3,Вводные!$D$11:$F$11,0))*(1+IF(IJ$4=$A12,Вводные!$D$5*INDEX(Вводные!$G$13:$G$64,MATCH($A12,Вводные!$A$13:$A$64,0)),0))</f>
        <v>0.75</v>
      </c>
      <c r="IK12" s="32" t="n">
        <f aca="false">INDEX(Вводные!$D$13:$F$64,MATCH($A12,Вводные!$A$13:$A$64,0),MATCH(IK$3,Вводные!$D$11:$F$11,0))*(1+IF(IK$4=$A12,Вводные!$D$5*INDEX(Вводные!$G$13:$G$64,MATCH($A12,Вводные!$A$13:$A$64,0)),0))</f>
        <v>0.75</v>
      </c>
      <c r="IL12" s="32" t="n">
        <f aca="false">INDEX(Вводные!$D$13:$F$64,MATCH($A12,Вводные!$A$13:$A$64,0),MATCH(IL$3,Вводные!$D$11:$F$11,0))*(1+IF(IL$4=$A12,Вводные!$D$5*INDEX(Вводные!$G$13:$G$64,MATCH($A12,Вводные!$A$13:$A$64,0)),0))</f>
        <v>0.75</v>
      </c>
      <c r="IM12" s="32" t="n">
        <f aca="false">INDEX(Вводные!$D$13:$F$64,MATCH($A12,Вводные!$A$13:$A$64,0),MATCH(IM$3,Вводные!$D$11:$F$11,0))*(1+IF(IM$4=$A12,Вводные!$D$5*INDEX(Вводные!$G$13:$G$64,MATCH($A12,Вводные!$A$13:$A$64,0)),0))</f>
        <v>0.75</v>
      </c>
      <c r="IN12" s="32" t="n">
        <f aca="false">INDEX(Вводные!$D$13:$F$64,MATCH($A12,Вводные!$A$13:$A$64,0),MATCH(IN$3,Вводные!$D$11:$F$11,0))*(1+IF(IN$4=$A12,Вводные!$D$5*INDEX(Вводные!$G$13:$G$64,MATCH($A12,Вводные!$A$13:$A$64,0)),0))</f>
        <v>0.75</v>
      </c>
      <c r="IO12" s="32" t="n">
        <f aca="false">INDEX(Вводные!$D$13:$F$64,MATCH($A12,Вводные!$A$13:$A$64,0),MATCH(IO$3,Вводные!$D$11:$F$11,0))*(1+IF(IO$4=$A12,Вводные!$D$5*INDEX(Вводные!$G$13:$G$64,MATCH($A12,Вводные!$A$13:$A$64,0)),0))</f>
        <v>0.75</v>
      </c>
      <c r="IP12" s="32" t="n">
        <f aca="false">INDEX(Вводные!$D$13:$F$64,MATCH($A12,Вводные!$A$13:$A$64,0),MATCH(IP$3,Вводные!$D$11:$F$11,0))*(1+IF(IP$4=$A12,Вводные!$D$5*INDEX(Вводные!$G$13:$G$64,MATCH($A12,Вводные!$A$13:$A$64,0)),0))</f>
        <v>0.75</v>
      </c>
      <c r="IQ12" s="32" t="n">
        <f aca="false">INDEX(Вводные!$D$13:$F$64,MATCH($A12,Вводные!$A$13:$A$64,0),MATCH(IQ$3,Вводные!$D$11:$F$11,0))*(1+IF(IQ$4=$A12,Вводные!$D$5*INDEX(Вводные!$G$13:$G$64,MATCH($A12,Вводные!$A$13:$A$64,0)),0))</f>
        <v>0.75</v>
      </c>
      <c r="IR12" s="32" t="n">
        <f aca="false">INDEX(Вводные!$D$13:$F$64,MATCH($A12,Вводные!$A$13:$A$64,0),MATCH(IR$3,Вводные!$D$11:$F$11,0))*(1+IF(IR$4=$A12,Вводные!$D$5*INDEX(Вводные!$G$13:$G$64,MATCH($A12,Вводные!$A$13:$A$64,0)),0))</f>
        <v>0.75</v>
      </c>
      <c r="IS12" s="32" t="n">
        <f aca="false">INDEX(Вводные!$D$13:$F$64,MATCH($A12,Вводные!$A$13:$A$64,0),MATCH(IS$3,Вводные!$D$11:$F$11,0))*(1+IF(IS$4=$A12,Вводные!$D$5*INDEX(Вводные!$G$13:$G$64,MATCH($A12,Вводные!$A$13:$A$64,0)),0))</f>
        <v>0.75</v>
      </c>
      <c r="IT12" s="32" t="n">
        <f aca="false">INDEX(Вводные!$D$13:$F$64,MATCH($A12,Вводные!$A$13:$A$64,0),MATCH(IT$3,Вводные!$D$11:$F$11,0))*(1+IF(IT$4=$A12,Вводные!$D$5*INDEX(Вводные!$G$13:$G$64,MATCH($A12,Вводные!$A$13:$A$64,0)),0))</f>
        <v>0.75</v>
      </c>
      <c r="IU12" s="32" t="n">
        <f aca="false">INDEX(Вводные!$D$13:$F$64,MATCH($A12,Вводные!$A$13:$A$64,0),MATCH(IU$3,Вводные!$D$11:$F$11,0))*(1+IF(IU$4=$A12,Вводные!$D$5*INDEX(Вводные!$G$13:$G$64,MATCH($A12,Вводные!$A$13:$A$64,0)),0))</f>
        <v>0.75</v>
      </c>
      <c r="IV12" s="32" t="n">
        <f aca="false">INDEX(Вводные!$D$13:$F$64,MATCH($A12,Вводные!$A$13:$A$64,0),MATCH(IV$3,Вводные!$D$11:$F$11,0))*(1+IF(IV$4=$A12,Вводные!$D$5*INDEX(Вводные!$G$13:$G$64,MATCH($A12,Вводные!$A$13:$A$64,0)),0))</f>
        <v>0.75</v>
      </c>
      <c r="IW12" s="32" t="n">
        <f aca="false">INDEX(Вводные!$D$13:$F$64,MATCH($A12,Вводные!$A$13:$A$64,0),MATCH(IW$3,Вводные!$D$11:$F$11,0))*(1+IF(IW$4=$A12,Вводные!$D$5*INDEX(Вводные!$G$13:$G$64,MATCH($A12,Вводные!$A$13:$A$64,0)),0))</f>
        <v>0.75</v>
      </c>
      <c r="IX12" s="32" t="n">
        <f aca="false">INDEX(Вводные!$D$13:$F$64,MATCH($A12,Вводные!$A$13:$A$64,0),MATCH(IX$3,Вводные!$D$11:$F$11,0))*(1+IF(IX$4=$A12,Вводные!$D$5*INDEX(Вводные!$G$13:$G$64,MATCH($A12,Вводные!$A$13:$A$64,0)),0))</f>
        <v>0.75</v>
      </c>
      <c r="IY12" s="32" t="n">
        <f aca="false">INDEX(Вводные!$D$13:$F$64,MATCH($A12,Вводные!$A$13:$A$64,0),MATCH(IY$3,Вводные!$D$11:$F$11,0))*(1+IF(IY$4=$A12,Вводные!$D$5*INDEX(Вводные!$G$13:$G$64,MATCH($A12,Вводные!$A$13:$A$64,0)),0))</f>
        <v>0.75</v>
      </c>
      <c r="IZ12" s="32" t="n">
        <f aca="false">INDEX(Вводные!$D$13:$F$64,MATCH($A12,Вводные!$A$13:$A$64,0),MATCH(IZ$3,Вводные!$D$11:$F$11,0))*(1+IF(IZ$4=$A12,Вводные!$D$5*INDEX(Вводные!$G$13:$G$64,MATCH($A12,Вводные!$A$13:$A$64,0)),0))</f>
        <v>0.75</v>
      </c>
      <c r="JA12" s="32" t="n">
        <f aca="false">INDEX(Вводные!$D$13:$F$64,MATCH($A12,Вводные!$A$13:$A$64,0),MATCH(JA$3,Вводные!$D$11:$F$11,0))*(1+IF(JA$4=$A12,Вводные!$D$5*INDEX(Вводные!$G$13:$G$64,MATCH($A12,Вводные!$A$13:$A$64,0)),0))</f>
        <v>0.75</v>
      </c>
    </row>
    <row r="13" customFormat="false" ht="15" hidden="false" customHeight="false" outlineLevel="0" collapsed="false">
      <c r="A13" s="2" t="s">
        <v>136</v>
      </c>
      <c r="B13" s="13" t="s">
        <v>137</v>
      </c>
      <c r="C13" s="13" t="s">
        <v>185</v>
      </c>
      <c r="D13" s="9" t="s">
        <v>290</v>
      </c>
      <c r="E13" s="59" t="n">
        <f aca="false">E10*E11*E12</f>
        <v>74250</v>
      </c>
      <c r="F13" s="59" t="n">
        <f aca="false">F10*F11*F12</f>
        <v>1120</v>
      </c>
      <c r="G13" s="59" t="n">
        <f aca="false">G10*G11*G12</f>
        <v>36</v>
      </c>
      <c r="H13" s="59" t="n">
        <f aca="false">SUM(E13:G13)</f>
        <v>75406</v>
      </c>
      <c r="J13" s="59" t="n">
        <f aca="false">J10*J11*J12</f>
        <v>74250</v>
      </c>
      <c r="K13" s="59" t="n">
        <f aca="false">K10*K11*K12</f>
        <v>74992.5</v>
      </c>
      <c r="L13" s="59" t="n">
        <f aca="false">L10*L11*L12</f>
        <v>74992.5</v>
      </c>
      <c r="M13" s="59" t="n">
        <f aca="false">M10*M11*M12</f>
        <v>74992.5</v>
      </c>
      <c r="N13" s="59" t="n">
        <f aca="false">N10*N11*N12</f>
        <v>74250</v>
      </c>
      <c r="O13" s="59" t="n">
        <f aca="false">O10*O11*O12</f>
        <v>74250</v>
      </c>
      <c r="P13" s="59" t="n">
        <f aca="false">P10*P11*P12</f>
        <v>74250</v>
      </c>
      <c r="Q13" s="59" t="n">
        <f aca="false">Q10*Q11*Q12</f>
        <v>74250</v>
      </c>
      <c r="R13" s="59" t="n">
        <f aca="false">R10*R11*R12</f>
        <v>74250</v>
      </c>
      <c r="S13" s="59" t="n">
        <f aca="false">S10*S11*S12</f>
        <v>74250</v>
      </c>
      <c r="T13" s="59" t="n">
        <f aca="false">T10*T11*T12</f>
        <v>74250</v>
      </c>
      <c r="U13" s="59" t="n">
        <f aca="false">U10*U11*U12</f>
        <v>74250</v>
      </c>
      <c r="V13" s="59" t="n">
        <f aca="false">V10*V11*V12</f>
        <v>74250</v>
      </c>
      <c r="W13" s="59" t="n">
        <f aca="false">W10*W11*W12</f>
        <v>74250</v>
      </c>
      <c r="X13" s="59" t="n">
        <f aca="false">X10*X11*X12</f>
        <v>74250</v>
      </c>
      <c r="Y13" s="59" t="n">
        <f aca="false">Y10*Y11*Y12</f>
        <v>74250</v>
      </c>
      <c r="Z13" s="59" t="n">
        <f aca="false">Z10*Z11*Z12</f>
        <v>74250</v>
      </c>
      <c r="AA13" s="59" t="n">
        <f aca="false">AA10*AA11*AA12</f>
        <v>74250</v>
      </c>
      <c r="AB13" s="59" t="n">
        <f aca="false">AB10*AB11*AB12</f>
        <v>74250</v>
      </c>
      <c r="AC13" s="59" t="n">
        <f aca="false">AC10*AC11*AC12</f>
        <v>74250</v>
      </c>
      <c r="AD13" s="59" t="n">
        <f aca="false">AD10*AD11*AD12</f>
        <v>74250</v>
      </c>
      <c r="AE13" s="59" t="n">
        <f aca="false">AE10*AE11*AE12</f>
        <v>74250</v>
      </c>
      <c r="AF13" s="59" t="n">
        <f aca="false">AF10*AF11*AF12</f>
        <v>74250</v>
      </c>
      <c r="AG13" s="59" t="n">
        <f aca="false">AG10*AG11*AG12</f>
        <v>74250</v>
      </c>
      <c r="AH13" s="59" t="n">
        <f aca="false">AH10*AH11*AH12</f>
        <v>74250</v>
      </c>
      <c r="AI13" s="59" t="n">
        <f aca="false">AI10*AI11*AI12</f>
        <v>74250</v>
      </c>
      <c r="AJ13" s="59" t="n">
        <f aca="false">AJ10*AJ11*AJ12</f>
        <v>74250</v>
      </c>
      <c r="AK13" s="59" t="n">
        <f aca="false">AK10*AK11*AK12</f>
        <v>74250</v>
      </c>
      <c r="AL13" s="59" t="n">
        <f aca="false">AL10*AL11*AL12</f>
        <v>74250</v>
      </c>
      <c r="AM13" s="59" t="n">
        <f aca="false">AM10*AM11*AM12</f>
        <v>74250</v>
      </c>
      <c r="AN13" s="59" t="n">
        <f aca="false">AN10*AN11*AN12</f>
        <v>74250</v>
      </c>
      <c r="AO13" s="59" t="n">
        <f aca="false">AO10*AO11*AO12</f>
        <v>74250</v>
      </c>
      <c r="AP13" s="59" t="n">
        <f aca="false">AP10*AP11*AP12</f>
        <v>74250</v>
      </c>
      <c r="AQ13" s="59" t="n">
        <f aca="false">AQ10*AQ11*AQ12</f>
        <v>74250</v>
      </c>
      <c r="AR13" s="59" t="n">
        <f aca="false">AR10*AR11*AR12</f>
        <v>74250</v>
      </c>
      <c r="AS13" s="59" t="n">
        <f aca="false">AS10*AS11*AS12</f>
        <v>74250</v>
      </c>
      <c r="AT13" s="59" t="n">
        <f aca="false">AT10*AT11*AT12</f>
        <v>74250</v>
      </c>
      <c r="AU13" s="59" t="n">
        <f aca="false">AU10*AU11*AU12</f>
        <v>74250</v>
      </c>
      <c r="AV13" s="59" t="n">
        <f aca="false">AV10*AV11*AV12</f>
        <v>74250</v>
      </c>
      <c r="AW13" s="59" t="n">
        <f aca="false">AW10*AW11*AW12</f>
        <v>74250</v>
      </c>
      <c r="AX13" s="59" t="n">
        <f aca="false">AX10*AX11*AX12</f>
        <v>74250</v>
      </c>
      <c r="AY13" s="59" t="n">
        <f aca="false">AY10*AY11*AY12</f>
        <v>74250</v>
      </c>
      <c r="AZ13" s="59" t="n">
        <f aca="false">AZ10*AZ11*AZ12</f>
        <v>1120</v>
      </c>
      <c r="BA13" s="59" t="n">
        <f aca="false">BA10*BA11*BA12</f>
        <v>1131.2</v>
      </c>
      <c r="BB13" s="59" t="n">
        <f aca="false">BB10*BB11*BB12</f>
        <v>1131.2</v>
      </c>
      <c r="BC13" s="59" t="n">
        <f aca="false">BC10*BC11*BC12</f>
        <v>1131.2</v>
      </c>
      <c r="BD13" s="59" t="n">
        <f aca="false">BD10*BD11*BD12</f>
        <v>1120</v>
      </c>
      <c r="BE13" s="59" t="n">
        <f aca="false">BE10*BE11*BE12</f>
        <v>1120</v>
      </c>
      <c r="BF13" s="59" t="n">
        <f aca="false">BF10*BF11*BF12</f>
        <v>1120</v>
      </c>
      <c r="BG13" s="59" t="n">
        <f aca="false">BG10*BG11*BG12</f>
        <v>1120</v>
      </c>
      <c r="BH13" s="59" t="n">
        <f aca="false">BH10*BH11*BH12</f>
        <v>1120</v>
      </c>
      <c r="BI13" s="59" t="n">
        <f aca="false">BI10*BI11*BI12</f>
        <v>1120</v>
      </c>
      <c r="BJ13" s="59" t="n">
        <f aca="false">BJ10*BJ11*BJ12</f>
        <v>1120</v>
      </c>
      <c r="BK13" s="59" t="n">
        <f aca="false">BK10*BK11*BK12</f>
        <v>1120</v>
      </c>
      <c r="BL13" s="59" t="n">
        <f aca="false">BL10*BL11*BL12</f>
        <v>1120</v>
      </c>
      <c r="BM13" s="59" t="n">
        <f aca="false">BM10*BM11*BM12</f>
        <v>1120</v>
      </c>
      <c r="BN13" s="59" t="n">
        <f aca="false">BN10*BN11*BN12</f>
        <v>1120</v>
      </c>
      <c r="BO13" s="59" t="n">
        <f aca="false">BO10*BO11*BO12</f>
        <v>1120</v>
      </c>
      <c r="BP13" s="59" t="n">
        <f aca="false">BP10*BP11*BP12</f>
        <v>1120</v>
      </c>
      <c r="BQ13" s="59" t="n">
        <f aca="false">BQ10*BQ11*BQ12</f>
        <v>1120</v>
      </c>
      <c r="BR13" s="59" t="n">
        <f aca="false">BR10*BR11*BR12</f>
        <v>1120</v>
      </c>
      <c r="BS13" s="59" t="n">
        <f aca="false">BS10*BS11*BS12</f>
        <v>1120</v>
      </c>
      <c r="BT13" s="59" t="n">
        <f aca="false">BT10*BT11*BT12</f>
        <v>1120</v>
      </c>
      <c r="BU13" s="59" t="n">
        <f aca="false">BU10*BU11*BU12</f>
        <v>1120</v>
      </c>
      <c r="BV13" s="59" t="n">
        <f aca="false">BV10*BV11*BV12</f>
        <v>1120</v>
      </c>
      <c r="BW13" s="59" t="n">
        <f aca="false">BW10*BW11*BW12</f>
        <v>1120</v>
      </c>
      <c r="BX13" s="59" t="n">
        <f aca="false">BX10*BX11*BX12</f>
        <v>1120</v>
      </c>
      <c r="BY13" s="59" t="n">
        <f aca="false">BY10*BY11*BY12</f>
        <v>1120</v>
      </c>
      <c r="BZ13" s="59" t="n">
        <f aca="false">BZ10*BZ11*BZ12</f>
        <v>1120</v>
      </c>
      <c r="CA13" s="59" t="n">
        <f aca="false">CA10*CA11*CA12</f>
        <v>1120</v>
      </c>
      <c r="CB13" s="59" t="n">
        <f aca="false">CB10*CB11*CB12</f>
        <v>1120</v>
      </c>
      <c r="CC13" s="59" t="n">
        <f aca="false">CC10*CC11*CC12</f>
        <v>1120</v>
      </c>
      <c r="CD13" s="59" t="n">
        <f aca="false">CD10*CD11*CD12</f>
        <v>1120</v>
      </c>
      <c r="CE13" s="59" t="n">
        <f aca="false">CE10*CE11*CE12</f>
        <v>1120</v>
      </c>
      <c r="CF13" s="59" t="n">
        <f aca="false">CF10*CF11*CF12</f>
        <v>1120</v>
      </c>
      <c r="CG13" s="59" t="n">
        <f aca="false">CG10*CG11*CG12</f>
        <v>1120</v>
      </c>
      <c r="CH13" s="59" t="n">
        <f aca="false">CH10*CH11*CH12</f>
        <v>1120</v>
      </c>
      <c r="CI13" s="59" t="n">
        <f aca="false">CI10*CI11*CI12</f>
        <v>1120</v>
      </c>
      <c r="CJ13" s="59" t="n">
        <f aca="false">CJ10*CJ11*CJ12</f>
        <v>1120</v>
      </c>
      <c r="CK13" s="59" t="n">
        <f aca="false">CK10*CK11*CK12</f>
        <v>1120</v>
      </c>
      <c r="CL13" s="59" t="n">
        <f aca="false">CL10*CL11*CL12</f>
        <v>1120</v>
      </c>
      <c r="CM13" s="59" t="n">
        <f aca="false">CM10*CM11*CM12</f>
        <v>1120</v>
      </c>
      <c r="CN13" s="59" t="n">
        <f aca="false">CN10*CN11*CN12</f>
        <v>1120</v>
      </c>
      <c r="CO13" s="59" t="n">
        <f aca="false">CO10*CO11*CO12</f>
        <v>1120</v>
      </c>
      <c r="CP13" s="59" t="n">
        <f aca="false">CP10*CP11*CP12</f>
        <v>36</v>
      </c>
      <c r="CQ13" s="59" t="n">
        <f aca="false">CQ10*CQ11*CQ12</f>
        <v>36.36</v>
      </c>
      <c r="CR13" s="59" t="n">
        <f aca="false">CR10*CR11*CR12</f>
        <v>36.36</v>
      </c>
      <c r="CS13" s="59" t="n">
        <f aca="false">CS10*CS11*CS12</f>
        <v>36.36</v>
      </c>
      <c r="CT13" s="59" t="n">
        <f aca="false">CT10*CT11*CT12</f>
        <v>36</v>
      </c>
      <c r="CU13" s="59" t="n">
        <f aca="false">CU10*CU11*CU12</f>
        <v>36</v>
      </c>
      <c r="CV13" s="59" t="n">
        <f aca="false">CV10*CV11*CV12</f>
        <v>36</v>
      </c>
      <c r="CW13" s="59" t="n">
        <f aca="false">CW10*CW11*CW12</f>
        <v>36</v>
      </c>
      <c r="CX13" s="59" t="n">
        <f aca="false">CX10*CX11*CX12</f>
        <v>36</v>
      </c>
      <c r="CY13" s="59" t="n">
        <f aca="false">CY10*CY11*CY12</f>
        <v>36</v>
      </c>
      <c r="CZ13" s="59" t="n">
        <f aca="false">CZ10*CZ11*CZ12</f>
        <v>36</v>
      </c>
      <c r="DA13" s="59" t="n">
        <f aca="false">DA10*DA11*DA12</f>
        <v>36</v>
      </c>
      <c r="DB13" s="59" t="n">
        <f aca="false">DB10*DB11*DB12</f>
        <v>36</v>
      </c>
      <c r="DC13" s="59" t="n">
        <f aca="false">DC10*DC11*DC12</f>
        <v>36</v>
      </c>
      <c r="DD13" s="59" t="n">
        <f aca="false">DD10*DD11*DD12</f>
        <v>36</v>
      </c>
      <c r="DE13" s="59" t="n">
        <f aca="false">DE10*DE11*DE12</f>
        <v>36</v>
      </c>
      <c r="DF13" s="59" t="n">
        <f aca="false">DF10*DF11*DF12</f>
        <v>36</v>
      </c>
      <c r="DG13" s="59" t="n">
        <f aca="false">DG10*DG11*DG12</f>
        <v>36</v>
      </c>
      <c r="DH13" s="59" t="n">
        <f aca="false">DH10*DH11*DH12</f>
        <v>36</v>
      </c>
      <c r="DI13" s="59" t="n">
        <f aca="false">DI10*DI11*DI12</f>
        <v>36</v>
      </c>
      <c r="DJ13" s="59" t="n">
        <f aca="false">DJ10*DJ11*DJ12</f>
        <v>36</v>
      </c>
      <c r="DK13" s="59" t="n">
        <f aca="false">DK10*DK11*DK12</f>
        <v>36</v>
      </c>
      <c r="DL13" s="59" t="n">
        <f aca="false">DL10*DL11*DL12</f>
        <v>36</v>
      </c>
      <c r="DM13" s="59" t="n">
        <f aca="false">DM10*DM11*DM12</f>
        <v>36</v>
      </c>
      <c r="DN13" s="59" t="n">
        <f aca="false">DN10*DN11*DN12</f>
        <v>36</v>
      </c>
      <c r="DO13" s="59" t="n">
        <f aca="false">DO10*DO11*DO12</f>
        <v>36</v>
      </c>
      <c r="DP13" s="59" t="n">
        <f aca="false">DP10*DP11*DP12</f>
        <v>36</v>
      </c>
      <c r="DQ13" s="59" t="n">
        <f aca="false">DQ10*DQ11*DQ12</f>
        <v>36</v>
      </c>
      <c r="DR13" s="59" t="n">
        <f aca="false">DR10*DR11*DR12</f>
        <v>36</v>
      </c>
      <c r="DS13" s="59" t="n">
        <f aca="false">DS10*DS11*DS12</f>
        <v>36</v>
      </c>
      <c r="DT13" s="59" t="n">
        <f aca="false">DT10*DT11*DT12</f>
        <v>36</v>
      </c>
      <c r="DU13" s="59" t="n">
        <f aca="false">DU10*DU11*DU12</f>
        <v>36</v>
      </c>
      <c r="DV13" s="59" t="n">
        <f aca="false">DV10*DV11*DV12</f>
        <v>36</v>
      </c>
      <c r="DW13" s="59" t="n">
        <f aca="false">DW10*DW11*DW12</f>
        <v>36</v>
      </c>
      <c r="DX13" s="59" t="n">
        <f aca="false">DX10*DX11*DX12</f>
        <v>36</v>
      </c>
      <c r="DY13" s="59" t="n">
        <f aca="false">DY10*DY11*DY12</f>
        <v>36</v>
      </c>
      <c r="DZ13" s="59" t="n">
        <f aca="false">DZ10*DZ11*DZ12</f>
        <v>36</v>
      </c>
      <c r="EA13" s="59" t="n">
        <f aca="false">EA10*EA11*EA12</f>
        <v>36</v>
      </c>
      <c r="EB13" s="59" t="n">
        <f aca="false">EB10*EB11*EB12</f>
        <v>36</v>
      </c>
      <c r="EC13" s="59" t="n">
        <f aca="false">EC10*EC11*EC12</f>
        <v>36</v>
      </c>
      <c r="ED13" s="59" t="n">
        <f aca="false">ED10*ED11*ED12</f>
        <v>36</v>
      </c>
      <c r="EE13" s="59" t="n">
        <f aca="false">EE10*EE11*EE12</f>
        <v>36</v>
      </c>
      <c r="EF13" s="59" t="n">
        <f aca="false">EF10*EF11*EF12</f>
        <v>74250</v>
      </c>
      <c r="EG13" s="59" t="n">
        <f aca="false">EG10*EG11*EG12</f>
        <v>74992.5</v>
      </c>
      <c r="EH13" s="59" t="n">
        <f aca="false">EH10*EH11*EH12</f>
        <v>74992.5</v>
      </c>
      <c r="EI13" s="59" t="n">
        <f aca="false">EI10*EI11*EI12</f>
        <v>74992.5</v>
      </c>
      <c r="EJ13" s="59" t="n">
        <f aca="false">EJ10*EJ11*EJ12</f>
        <v>74250</v>
      </c>
      <c r="EK13" s="59" t="n">
        <f aca="false">EK10*EK11*EK12</f>
        <v>74250</v>
      </c>
      <c r="EL13" s="59" t="n">
        <f aca="false">EL10*EL11*EL12</f>
        <v>74250</v>
      </c>
      <c r="EM13" s="59" t="n">
        <f aca="false">EM10*EM11*EM12</f>
        <v>74250</v>
      </c>
      <c r="EN13" s="59" t="n">
        <f aca="false">EN10*EN11*EN12</f>
        <v>74250</v>
      </c>
      <c r="EO13" s="59" t="n">
        <f aca="false">EO10*EO11*EO12</f>
        <v>74250</v>
      </c>
      <c r="EP13" s="59" t="n">
        <f aca="false">EP10*EP11*EP12</f>
        <v>74250</v>
      </c>
      <c r="EQ13" s="59" t="n">
        <f aca="false">EQ10*EQ11*EQ12</f>
        <v>74250</v>
      </c>
      <c r="ER13" s="59" t="n">
        <f aca="false">ER10*ER11*ER12</f>
        <v>74250</v>
      </c>
      <c r="ES13" s="59" t="n">
        <f aca="false">ES10*ES11*ES12</f>
        <v>74250</v>
      </c>
      <c r="ET13" s="59" t="n">
        <f aca="false">ET10*ET11*ET12</f>
        <v>74250</v>
      </c>
      <c r="EU13" s="59" t="n">
        <f aca="false">EU10*EU11*EU12</f>
        <v>74250</v>
      </c>
      <c r="EV13" s="59" t="n">
        <f aca="false">EV10*EV11*EV12</f>
        <v>74250</v>
      </c>
      <c r="EW13" s="59" t="n">
        <f aca="false">EW10*EW11*EW12</f>
        <v>74250</v>
      </c>
      <c r="EX13" s="59" t="n">
        <f aca="false">EX10*EX11*EX12</f>
        <v>74250</v>
      </c>
      <c r="EY13" s="59" t="n">
        <f aca="false">EY10*EY11*EY12</f>
        <v>74250</v>
      </c>
      <c r="EZ13" s="59" t="n">
        <f aca="false">EZ10*EZ11*EZ12</f>
        <v>74250</v>
      </c>
      <c r="FA13" s="59" t="n">
        <f aca="false">FA10*FA11*FA12</f>
        <v>74250</v>
      </c>
      <c r="FB13" s="59" t="n">
        <f aca="false">FB10*FB11*FB12</f>
        <v>74250</v>
      </c>
      <c r="FC13" s="59" t="n">
        <f aca="false">FC10*FC11*FC12</f>
        <v>74250</v>
      </c>
      <c r="FD13" s="59" t="n">
        <f aca="false">FD10*FD11*FD12</f>
        <v>74250</v>
      </c>
      <c r="FE13" s="59" t="n">
        <f aca="false">FE10*FE11*FE12</f>
        <v>74250</v>
      </c>
      <c r="FF13" s="59" t="n">
        <f aca="false">FF10*FF11*FF12</f>
        <v>74250</v>
      </c>
      <c r="FG13" s="59" t="n">
        <f aca="false">FG10*FG11*FG12</f>
        <v>74250</v>
      </c>
      <c r="FH13" s="59" t="n">
        <f aca="false">FH10*FH11*FH12</f>
        <v>74250</v>
      </c>
      <c r="FI13" s="59" t="n">
        <f aca="false">FI10*FI11*FI12</f>
        <v>74250</v>
      </c>
      <c r="FJ13" s="59" t="n">
        <f aca="false">FJ10*FJ11*FJ12</f>
        <v>74250</v>
      </c>
      <c r="FK13" s="59" t="n">
        <f aca="false">FK10*FK11*FK12</f>
        <v>74250</v>
      </c>
      <c r="FL13" s="59" t="n">
        <f aca="false">FL10*FL11*FL12</f>
        <v>74250</v>
      </c>
      <c r="FM13" s="59" t="n">
        <f aca="false">FM10*FM11*FM12</f>
        <v>74250</v>
      </c>
      <c r="FN13" s="59" t="n">
        <f aca="false">FN10*FN11*FN12</f>
        <v>74250</v>
      </c>
      <c r="FO13" s="59" t="n">
        <f aca="false">FO10*FO11*FO12</f>
        <v>74250</v>
      </c>
      <c r="FP13" s="59" t="n">
        <f aca="false">FP10*FP11*FP12</f>
        <v>74250</v>
      </c>
      <c r="FQ13" s="59" t="n">
        <f aca="false">FQ10*FQ11*FQ12</f>
        <v>74250</v>
      </c>
      <c r="FR13" s="59" t="n">
        <f aca="false">FR10*FR11*FR12</f>
        <v>74250</v>
      </c>
      <c r="FS13" s="59" t="n">
        <f aca="false">FS10*FS11*FS12</f>
        <v>74250</v>
      </c>
      <c r="FT13" s="59" t="n">
        <f aca="false">FT10*FT11*FT12</f>
        <v>74250</v>
      </c>
      <c r="FU13" s="59" t="n">
        <f aca="false">FU10*FU11*FU12</f>
        <v>74250</v>
      </c>
      <c r="FV13" s="59" t="n">
        <f aca="false">FV10*FV11*FV12</f>
        <v>1120</v>
      </c>
      <c r="FW13" s="59" t="n">
        <f aca="false">FW10*FW11*FW12</f>
        <v>1131.2</v>
      </c>
      <c r="FX13" s="59" t="n">
        <f aca="false">FX10*FX11*FX12</f>
        <v>1131.2</v>
      </c>
      <c r="FY13" s="59" t="n">
        <f aca="false">FY10*FY11*FY12</f>
        <v>1131.2</v>
      </c>
      <c r="FZ13" s="59" t="n">
        <f aca="false">FZ10*FZ11*FZ12</f>
        <v>1120</v>
      </c>
      <c r="GA13" s="59" t="n">
        <f aca="false">GA10*GA11*GA12</f>
        <v>1120</v>
      </c>
      <c r="GB13" s="59" t="n">
        <f aca="false">GB10*GB11*GB12</f>
        <v>1120</v>
      </c>
      <c r="GC13" s="59" t="n">
        <f aca="false">GC10*GC11*GC12</f>
        <v>1120</v>
      </c>
      <c r="GD13" s="59" t="n">
        <f aca="false">GD10*GD11*GD12</f>
        <v>1120</v>
      </c>
      <c r="GE13" s="59" t="n">
        <f aca="false">GE10*GE11*GE12</f>
        <v>1120</v>
      </c>
      <c r="GF13" s="59" t="n">
        <f aca="false">GF10*GF11*GF12</f>
        <v>1120</v>
      </c>
      <c r="GG13" s="59" t="n">
        <f aca="false">GG10*GG11*GG12</f>
        <v>1120</v>
      </c>
      <c r="GH13" s="59" t="n">
        <f aca="false">GH10*GH11*GH12</f>
        <v>1120</v>
      </c>
      <c r="GI13" s="59" t="n">
        <f aca="false">GI10*GI11*GI12</f>
        <v>1120</v>
      </c>
      <c r="GJ13" s="59" t="n">
        <f aca="false">GJ10*GJ11*GJ12</f>
        <v>1120</v>
      </c>
      <c r="GK13" s="59" t="n">
        <f aca="false">GK10*GK11*GK12</f>
        <v>1120</v>
      </c>
      <c r="GL13" s="59" t="n">
        <f aca="false">GL10*GL11*GL12</f>
        <v>1120</v>
      </c>
      <c r="GM13" s="59" t="n">
        <f aca="false">GM10*GM11*GM12</f>
        <v>1120</v>
      </c>
      <c r="GN13" s="59" t="n">
        <f aca="false">GN10*GN11*GN12</f>
        <v>1120</v>
      </c>
      <c r="GO13" s="59" t="n">
        <f aca="false">GO10*GO11*GO12</f>
        <v>1120</v>
      </c>
      <c r="GP13" s="59" t="n">
        <f aca="false">GP10*GP11*GP12</f>
        <v>1120</v>
      </c>
      <c r="GQ13" s="59" t="n">
        <f aca="false">GQ10*GQ11*GQ12</f>
        <v>1120</v>
      </c>
      <c r="GR13" s="59" t="n">
        <f aca="false">GR10*GR11*GR12</f>
        <v>1120</v>
      </c>
      <c r="GS13" s="59" t="n">
        <f aca="false">GS10*GS11*GS12</f>
        <v>1120</v>
      </c>
      <c r="GT13" s="59" t="n">
        <f aca="false">GT10*GT11*GT12</f>
        <v>1120</v>
      </c>
      <c r="GU13" s="59" t="n">
        <f aca="false">GU10*GU11*GU12</f>
        <v>1120</v>
      </c>
      <c r="GV13" s="59" t="n">
        <f aca="false">GV10*GV11*GV12</f>
        <v>1120</v>
      </c>
      <c r="GW13" s="59" t="n">
        <f aca="false">GW10*GW11*GW12</f>
        <v>1120</v>
      </c>
      <c r="GX13" s="59" t="n">
        <f aca="false">GX10*GX11*GX12</f>
        <v>1120</v>
      </c>
      <c r="GY13" s="59" t="n">
        <f aca="false">GY10*GY11*GY12</f>
        <v>1120</v>
      </c>
      <c r="GZ13" s="59" t="n">
        <f aca="false">GZ10*GZ11*GZ12</f>
        <v>1120</v>
      </c>
      <c r="HA13" s="59" t="n">
        <f aca="false">HA10*HA11*HA12</f>
        <v>1120</v>
      </c>
      <c r="HB13" s="59" t="n">
        <f aca="false">HB10*HB11*HB12</f>
        <v>1120</v>
      </c>
      <c r="HC13" s="59" t="n">
        <f aca="false">HC10*HC11*HC12</f>
        <v>1120</v>
      </c>
      <c r="HD13" s="59" t="n">
        <f aca="false">HD10*HD11*HD12</f>
        <v>1120</v>
      </c>
      <c r="HE13" s="59" t="n">
        <f aca="false">HE10*HE11*HE12</f>
        <v>1120</v>
      </c>
      <c r="HF13" s="59" t="n">
        <f aca="false">HF10*HF11*HF12</f>
        <v>1120</v>
      </c>
      <c r="HG13" s="59" t="n">
        <f aca="false">HG10*HG11*HG12</f>
        <v>1120</v>
      </c>
      <c r="HH13" s="59" t="n">
        <f aca="false">HH10*HH11*HH12</f>
        <v>1120</v>
      </c>
      <c r="HI13" s="59" t="n">
        <f aca="false">HI10*HI11*HI12</f>
        <v>1120</v>
      </c>
      <c r="HJ13" s="59" t="n">
        <f aca="false">HJ10*HJ11*HJ12</f>
        <v>1120</v>
      </c>
      <c r="HK13" s="59" t="n">
        <f aca="false">HK10*HK11*HK12</f>
        <v>1120</v>
      </c>
      <c r="HL13" s="59" t="n">
        <f aca="false">HL10*HL11*HL12</f>
        <v>36</v>
      </c>
      <c r="HM13" s="59" t="n">
        <f aca="false">HM10*HM11*HM12</f>
        <v>36.36</v>
      </c>
      <c r="HN13" s="59" t="n">
        <f aca="false">HN10*HN11*HN12</f>
        <v>36.36</v>
      </c>
      <c r="HO13" s="59" t="n">
        <f aca="false">HO10*HO11*HO12</f>
        <v>36.36</v>
      </c>
      <c r="HP13" s="59" t="n">
        <f aca="false">HP10*HP11*HP12</f>
        <v>36</v>
      </c>
      <c r="HQ13" s="59" t="n">
        <f aca="false">HQ10*HQ11*HQ12</f>
        <v>36</v>
      </c>
      <c r="HR13" s="59" t="n">
        <f aca="false">HR10*HR11*HR12</f>
        <v>36</v>
      </c>
      <c r="HS13" s="59" t="n">
        <f aca="false">HS10*HS11*HS12</f>
        <v>36</v>
      </c>
      <c r="HT13" s="59" t="n">
        <f aca="false">HT10*HT11*HT12</f>
        <v>36</v>
      </c>
      <c r="HU13" s="59" t="n">
        <f aca="false">HU10*HU11*HU12</f>
        <v>36</v>
      </c>
      <c r="HV13" s="59" t="n">
        <f aca="false">HV10*HV11*HV12</f>
        <v>36</v>
      </c>
      <c r="HW13" s="59" t="n">
        <f aca="false">HW10*HW11*HW12</f>
        <v>36</v>
      </c>
      <c r="HX13" s="59" t="n">
        <f aca="false">HX10*HX11*HX12</f>
        <v>36</v>
      </c>
      <c r="HY13" s="59" t="n">
        <f aca="false">HY10*HY11*HY12</f>
        <v>36</v>
      </c>
      <c r="HZ13" s="59" t="n">
        <f aca="false">HZ10*HZ11*HZ12</f>
        <v>36</v>
      </c>
      <c r="IA13" s="59" t="n">
        <f aca="false">IA10*IA11*IA12</f>
        <v>36</v>
      </c>
      <c r="IB13" s="59" t="n">
        <f aca="false">IB10*IB11*IB12</f>
        <v>36</v>
      </c>
      <c r="IC13" s="59" t="n">
        <f aca="false">IC10*IC11*IC12</f>
        <v>36</v>
      </c>
      <c r="ID13" s="59" t="n">
        <f aca="false">ID10*ID11*ID12</f>
        <v>36</v>
      </c>
      <c r="IE13" s="59" t="n">
        <f aca="false">IE10*IE11*IE12</f>
        <v>36</v>
      </c>
      <c r="IF13" s="59" t="n">
        <f aca="false">IF10*IF11*IF12</f>
        <v>36</v>
      </c>
      <c r="IG13" s="59" t="n">
        <f aca="false">IG10*IG11*IG12</f>
        <v>36</v>
      </c>
      <c r="IH13" s="59" t="n">
        <f aca="false">IH10*IH11*IH12</f>
        <v>36</v>
      </c>
      <c r="II13" s="59" t="n">
        <f aca="false">II10*II11*II12</f>
        <v>36</v>
      </c>
      <c r="IJ13" s="59" t="n">
        <f aca="false">IJ10*IJ11*IJ12</f>
        <v>36</v>
      </c>
      <c r="IK13" s="59" t="n">
        <f aca="false">IK10*IK11*IK12</f>
        <v>36</v>
      </c>
      <c r="IL13" s="59" t="n">
        <f aca="false">IL10*IL11*IL12</f>
        <v>36</v>
      </c>
      <c r="IM13" s="59" t="n">
        <f aca="false">IM10*IM11*IM12</f>
        <v>36</v>
      </c>
      <c r="IN13" s="59" t="n">
        <f aca="false">IN10*IN11*IN12</f>
        <v>36</v>
      </c>
      <c r="IO13" s="59" t="n">
        <f aca="false">IO10*IO11*IO12</f>
        <v>36</v>
      </c>
      <c r="IP13" s="59" t="n">
        <f aca="false">IP10*IP11*IP12</f>
        <v>36</v>
      </c>
      <c r="IQ13" s="59" t="n">
        <f aca="false">IQ10*IQ11*IQ12</f>
        <v>36</v>
      </c>
      <c r="IR13" s="59" t="n">
        <f aca="false">IR10*IR11*IR12</f>
        <v>36</v>
      </c>
      <c r="IS13" s="59" t="n">
        <f aca="false">IS10*IS11*IS12</f>
        <v>36</v>
      </c>
      <c r="IT13" s="59" t="n">
        <f aca="false">IT10*IT11*IT12</f>
        <v>36</v>
      </c>
      <c r="IU13" s="59" t="n">
        <f aca="false">IU10*IU11*IU12</f>
        <v>36</v>
      </c>
      <c r="IV13" s="59" t="n">
        <f aca="false">IV10*IV11*IV12</f>
        <v>36</v>
      </c>
      <c r="IW13" s="59" t="n">
        <f aca="false">IW10*IW11*IW12</f>
        <v>36</v>
      </c>
      <c r="IX13" s="59" t="n">
        <f aca="false">IX10*IX11*IX12</f>
        <v>36</v>
      </c>
      <c r="IY13" s="59" t="n">
        <f aca="false">IY10*IY11*IY12</f>
        <v>36</v>
      </c>
      <c r="IZ13" s="59" t="n">
        <f aca="false">IZ10*IZ11*IZ12</f>
        <v>36</v>
      </c>
      <c r="JA13" s="59" t="n">
        <f aca="false">JA10*JA11*JA12</f>
        <v>36</v>
      </c>
    </row>
    <row r="14" customFormat="false" ht="15" hidden="false" customHeight="false" outlineLevel="0" collapsed="false">
      <c r="A14" s="13" t="s">
        <v>311</v>
      </c>
      <c r="B14" s="13" t="s">
        <v>312</v>
      </c>
      <c r="C14" s="13" t="s">
        <v>194</v>
      </c>
      <c r="D14" s="9" t="s">
        <v>36</v>
      </c>
      <c r="E14" s="32" t="n">
        <f aca="false">INDEX(Вводные!$D$13:$F$64,MATCH($A14,Вводные!$A$13:$A$64,0),MATCH(E$3,Вводные!$D$11:$F$11,0))*(1+IF(E$4=$A14,Вводные!$D$5*INDEX(Вводные!$G$13:$G$64,MATCH($A14,Вводные!$A$13:$A$64,0)),0))</f>
        <v>0.12</v>
      </c>
      <c r="F14" s="32" t="n">
        <f aca="false">INDEX(Вводные!$D$13:$F$64,MATCH($A14,Вводные!$A$13:$A$64,0),MATCH(F$3,Вводные!$D$11:$F$11,0))*(1+IF(F$4=$A14,Вводные!$D$5*INDEX(Вводные!$G$13:$G$64,MATCH($A14,Вводные!$A$13:$A$64,0)),0))</f>
        <v>0.06</v>
      </c>
      <c r="G14" s="32" t="n">
        <f aca="false">INDEX(Вводные!$D$13:$F$64,MATCH($A14,Вводные!$A$13:$A$64,0),MATCH(G$3,Вводные!$D$11:$F$11,0))*(1+IF(G$4=$A14,Вводные!$D$5*INDEX(Вводные!$G$13:$G$64,MATCH($A14,Вводные!$A$13:$A$64,0)),0))</f>
        <v>0.08</v>
      </c>
      <c r="H14" s="60"/>
      <c r="J14" s="32" t="n">
        <f aca="false">INDEX(Вводные!$D$13:$F$64,MATCH($A14,Вводные!$A$13:$A$64,0),MATCH(J$3,Вводные!$D$11:$F$11,0))*(1+IF(J$4=$A14,Вводные!$D$5*INDEX(Вводные!$G$13:$G$64,MATCH($A14,Вводные!$A$13:$A$64,0)),0))</f>
        <v>0.12</v>
      </c>
      <c r="K14" s="32" t="n">
        <f aca="false">INDEX(Вводные!$D$13:$F$64,MATCH($A14,Вводные!$A$13:$A$64,0),MATCH(K$3,Вводные!$D$11:$F$11,0))*(1+IF(K$4=$A14,Вводные!$D$5*INDEX(Вводные!$G$13:$G$64,MATCH($A14,Вводные!$A$13:$A$64,0)),0))</f>
        <v>0.12</v>
      </c>
      <c r="L14" s="32" t="n">
        <f aca="false">INDEX(Вводные!$D$13:$F$64,MATCH($A14,Вводные!$A$13:$A$64,0),MATCH(L$3,Вводные!$D$11:$F$11,0))*(1+IF(L$4=$A14,Вводные!$D$5*INDEX(Вводные!$G$13:$G$64,MATCH($A14,Вводные!$A$13:$A$64,0)),0))</f>
        <v>0.12</v>
      </c>
      <c r="M14" s="32" t="n">
        <f aca="false">INDEX(Вводные!$D$13:$F$64,MATCH($A14,Вводные!$A$13:$A$64,0),MATCH(M$3,Вводные!$D$11:$F$11,0))*(1+IF(M$4=$A14,Вводные!$D$5*INDEX(Вводные!$G$13:$G$64,MATCH($A14,Вводные!$A$13:$A$64,0)),0))</f>
        <v>0.12</v>
      </c>
      <c r="N14" s="32" t="n">
        <f aca="false">INDEX(Вводные!$D$13:$F$64,MATCH($A14,Вводные!$A$13:$A$64,0),MATCH(N$3,Вводные!$D$11:$F$11,0))*(1+IF(N$4=$A14,Вводные!$D$5*INDEX(Вводные!$G$13:$G$64,MATCH($A14,Вводные!$A$13:$A$64,0)),0))</f>
        <v>0.1188</v>
      </c>
      <c r="O14" s="32" t="n">
        <f aca="false">INDEX(Вводные!$D$13:$F$64,MATCH($A14,Вводные!$A$13:$A$64,0),MATCH(O$3,Вводные!$D$11:$F$11,0))*(1+IF(O$4=$A14,Вводные!$D$5*INDEX(Вводные!$G$13:$G$64,MATCH($A14,Вводные!$A$13:$A$64,0)),0))</f>
        <v>0.12</v>
      </c>
      <c r="P14" s="32" t="n">
        <f aca="false">INDEX(Вводные!$D$13:$F$64,MATCH($A14,Вводные!$A$13:$A$64,0),MATCH(P$3,Вводные!$D$11:$F$11,0))*(1+IF(P$4=$A14,Вводные!$D$5*INDEX(Вводные!$G$13:$G$64,MATCH($A14,Вводные!$A$13:$A$64,0)),0))</f>
        <v>0.12</v>
      </c>
      <c r="Q14" s="32" t="n">
        <f aca="false">INDEX(Вводные!$D$13:$F$64,MATCH($A14,Вводные!$A$13:$A$64,0),MATCH(Q$3,Вводные!$D$11:$F$11,0))*(1+IF(Q$4=$A14,Вводные!$D$5*INDEX(Вводные!$G$13:$G$64,MATCH($A14,Вводные!$A$13:$A$64,0)),0))</f>
        <v>0.12</v>
      </c>
      <c r="R14" s="32" t="n">
        <f aca="false">INDEX(Вводные!$D$13:$F$64,MATCH($A14,Вводные!$A$13:$A$64,0),MATCH(R$3,Вводные!$D$11:$F$11,0))*(1+IF(R$4=$A14,Вводные!$D$5*INDEX(Вводные!$G$13:$G$64,MATCH($A14,Вводные!$A$13:$A$64,0)),0))</f>
        <v>0.12</v>
      </c>
      <c r="S14" s="32" t="n">
        <f aca="false">INDEX(Вводные!$D$13:$F$64,MATCH($A14,Вводные!$A$13:$A$64,0),MATCH(S$3,Вводные!$D$11:$F$11,0))*(1+IF(S$4=$A14,Вводные!$D$5*INDEX(Вводные!$G$13:$G$64,MATCH($A14,Вводные!$A$13:$A$64,0)),0))</f>
        <v>0.12</v>
      </c>
      <c r="T14" s="32" t="n">
        <f aca="false">INDEX(Вводные!$D$13:$F$64,MATCH($A14,Вводные!$A$13:$A$64,0),MATCH(T$3,Вводные!$D$11:$F$11,0))*(1+IF(T$4=$A14,Вводные!$D$5*INDEX(Вводные!$G$13:$G$64,MATCH($A14,Вводные!$A$13:$A$64,0)),0))</f>
        <v>0.12</v>
      </c>
      <c r="U14" s="32" t="n">
        <f aca="false">INDEX(Вводные!$D$13:$F$64,MATCH($A14,Вводные!$A$13:$A$64,0),MATCH(U$3,Вводные!$D$11:$F$11,0))*(1+IF(U$4=$A14,Вводные!$D$5*INDEX(Вводные!$G$13:$G$64,MATCH($A14,Вводные!$A$13:$A$64,0)),0))</f>
        <v>0.12</v>
      </c>
      <c r="V14" s="32" t="n">
        <f aca="false">INDEX(Вводные!$D$13:$F$64,MATCH($A14,Вводные!$A$13:$A$64,0),MATCH(V$3,Вводные!$D$11:$F$11,0))*(1+IF(V$4=$A14,Вводные!$D$5*INDEX(Вводные!$G$13:$G$64,MATCH($A14,Вводные!$A$13:$A$64,0)),0))</f>
        <v>0.12</v>
      </c>
      <c r="W14" s="32" t="n">
        <f aca="false">INDEX(Вводные!$D$13:$F$64,MATCH($A14,Вводные!$A$13:$A$64,0),MATCH(W$3,Вводные!$D$11:$F$11,0))*(1+IF(W$4=$A14,Вводные!$D$5*INDEX(Вводные!$G$13:$G$64,MATCH($A14,Вводные!$A$13:$A$64,0)),0))</f>
        <v>0.12</v>
      </c>
      <c r="X14" s="32" t="n">
        <f aca="false">INDEX(Вводные!$D$13:$F$64,MATCH($A14,Вводные!$A$13:$A$64,0),MATCH(X$3,Вводные!$D$11:$F$11,0))*(1+IF(X$4=$A14,Вводные!$D$5*INDEX(Вводные!$G$13:$G$64,MATCH($A14,Вводные!$A$13:$A$64,0)),0))</f>
        <v>0.12</v>
      </c>
      <c r="Y14" s="32" t="n">
        <f aca="false">INDEX(Вводные!$D$13:$F$64,MATCH($A14,Вводные!$A$13:$A$64,0),MATCH(Y$3,Вводные!$D$11:$F$11,0))*(1+IF(Y$4=$A14,Вводные!$D$5*INDEX(Вводные!$G$13:$G$64,MATCH($A14,Вводные!$A$13:$A$64,0)),0))</f>
        <v>0.12</v>
      </c>
      <c r="Z14" s="32" t="n">
        <f aca="false">INDEX(Вводные!$D$13:$F$64,MATCH($A14,Вводные!$A$13:$A$64,0),MATCH(Z$3,Вводные!$D$11:$F$11,0))*(1+IF(Z$4=$A14,Вводные!$D$5*INDEX(Вводные!$G$13:$G$64,MATCH($A14,Вводные!$A$13:$A$64,0)),0))</f>
        <v>0.12</v>
      </c>
      <c r="AA14" s="32" t="n">
        <f aca="false">INDEX(Вводные!$D$13:$F$64,MATCH($A14,Вводные!$A$13:$A$64,0),MATCH(AA$3,Вводные!$D$11:$F$11,0))*(1+IF(AA$4=$A14,Вводные!$D$5*INDEX(Вводные!$G$13:$G$64,MATCH($A14,Вводные!$A$13:$A$64,0)),0))</f>
        <v>0.12</v>
      </c>
      <c r="AB14" s="32" t="n">
        <f aca="false">INDEX(Вводные!$D$13:$F$64,MATCH($A14,Вводные!$A$13:$A$64,0),MATCH(AB$3,Вводные!$D$11:$F$11,0))*(1+IF(AB$4=$A14,Вводные!$D$5*INDEX(Вводные!$G$13:$G$64,MATCH($A14,Вводные!$A$13:$A$64,0)),0))</f>
        <v>0.12</v>
      </c>
      <c r="AC14" s="32" t="n">
        <f aca="false">INDEX(Вводные!$D$13:$F$64,MATCH($A14,Вводные!$A$13:$A$64,0),MATCH(AC$3,Вводные!$D$11:$F$11,0))*(1+IF(AC$4=$A14,Вводные!$D$5*INDEX(Вводные!$G$13:$G$64,MATCH($A14,Вводные!$A$13:$A$64,0)),0))</f>
        <v>0.12</v>
      </c>
      <c r="AD14" s="32" t="n">
        <f aca="false">INDEX(Вводные!$D$13:$F$64,MATCH($A14,Вводные!$A$13:$A$64,0),MATCH(AD$3,Вводные!$D$11:$F$11,0))*(1+IF(AD$4=$A14,Вводные!$D$5*INDEX(Вводные!$G$13:$G$64,MATCH($A14,Вводные!$A$13:$A$64,0)),0))</f>
        <v>0.12</v>
      </c>
      <c r="AE14" s="32" t="n">
        <f aca="false">INDEX(Вводные!$D$13:$F$64,MATCH($A14,Вводные!$A$13:$A$64,0),MATCH(AE$3,Вводные!$D$11:$F$11,0))*(1+IF(AE$4=$A14,Вводные!$D$5*INDEX(Вводные!$G$13:$G$64,MATCH($A14,Вводные!$A$13:$A$64,0)),0))</f>
        <v>0.12</v>
      </c>
      <c r="AF14" s="32" t="n">
        <f aca="false">INDEX(Вводные!$D$13:$F$64,MATCH($A14,Вводные!$A$13:$A$64,0),MATCH(AF$3,Вводные!$D$11:$F$11,0))*(1+IF(AF$4=$A14,Вводные!$D$5*INDEX(Вводные!$G$13:$G$64,MATCH($A14,Вводные!$A$13:$A$64,0)),0))</f>
        <v>0.12</v>
      </c>
      <c r="AG14" s="32" t="n">
        <f aca="false">INDEX(Вводные!$D$13:$F$64,MATCH($A14,Вводные!$A$13:$A$64,0),MATCH(AG$3,Вводные!$D$11:$F$11,0))*(1+IF(AG$4=$A14,Вводные!$D$5*INDEX(Вводные!$G$13:$G$64,MATCH($A14,Вводные!$A$13:$A$64,0)),0))</f>
        <v>0.12</v>
      </c>
      <c r="AH14" s="32" t="n">
        <f aca="false">INDEX(Вводные!$D$13:$F$64,MATCH($A14,Вводные!$A$13:$A$64,0),MATCH(AH$3,Вводные!$D$11:$F$11,0))*(1+IF(AH$4=$A14,Вводные!$D$5*INDEX(Вводные!$G$13:$G$64,MATCH($A14,Вводные!$A$13:$A$64,0)),0))</f>
        <v>0.12</v>
      </c>
      <c r="AI14" s="32" t="n">
        <f aca="false">INDEX(Вводные!$D$13:$F$64,MATCH($A14,Вводные!$A$13:$A$64,0),MATCH(AI$3,Вводные!$D$11:$F$11,0))*(1+IF(AI$4=$A14,Вводные!$D$5*INDEX(Вводные!$G$13:$G$64,MATCH($A14,Вводные!$A$13:$A$64,0)),0))</f>
        <v>0.12</v>
      </c>
      <c r="AJ14" s="32" t="n">
        <f aca="false">INDEX(Вводные!$D$13:$F$64,MATCH($A14,Вводные!$A$13:$A$64,0),MATCH(AJ$3,Вводные!$D$11:$F$11,0))*(1+IF(AJ$4=$A14,Вводные!$D$5*INDEX(Вводные!$G$13:$G$64,MATCH($A14,Вводные!$A$13:$A$64,0)),0))</f>
        <v>0.12</v>
      </c>
      <c r="AK14" s="32" t="n">
        <f aca="false">INDEX(Вводные!$D$13:$F$64,MATCH($A14,Вводные!$A$13:$A$64,0),MATCH(AK$3,Вводные!$D$11:$F$11,0))*(1+IF(AK$4=$A14,Вводные!$D$5*INDEX(Вводные!$G$13:$G$64,MATCH($A14,Вводные!$A$13:$A$64,0)),0))</f>
        <v>0.12</v>
      </c>
      <c r="AL14" s="32" t="n">
        <f aca="false">INDEX(Вводные!$D$13:$F$64,MATCH($A14,Вводные!$A$13:$A$64,0),MATCH(AL$3,Вводные!$D$11:$F$11,0))*(1+IF(AL$4=$A14,Вводные!$D$5*INDEX(Вводные!$G$13:$G$64,MATCH($A14,Вводные!$A$13:$A$64,0)),0))</f>
        <v>0.12</v>
      </c>
      <c r="AM14" s="32" t="n">
        <f aca="false">INDEX(Вводные!$D$13:$F$64,MATCH($A14,Вводные!$A$13:$A$64,0),MATCH(AM$3,Вводные!$D$11:$F$11,0))*(1+IF(AM$4=$A14,Вводные!$D$5*INDEX(Вводные!$G$13:$G$64,MATCH($A14,Вводные!$A$13:$A$64,0)),0))</f>
        <v>0.12</v>
      </c>
      <c r="AN14" s="32" t="n">
        <f aca="false">INDEX(Вводные!$D$13:$F$64,MATCH($A14,Вводные!$A$13:$A$64,0),MATCH(AN$3,Вводные!$D$11:$F$11,0))*(1+IF(AN$4=$A14,Вводные!$D$5*INDEX(Вводные!$G$13:$G$64,MATCH($A14,Вводные!$A$13:$A$64,0)),0))</f>
        <v>0.12</v>
      </c>
      <c r="AO14" s="32" t="n">
        <f aca="false">INDEX(Вводные!$D$13:$F$64,MATCH($A14,Вводные!$A$13:$A$64,0),MATCH(AO$3,Вводные!$D$11:$F$11,0))*(1+IF(AO$4=$A14,Вводные!$D$5*INDEX(Вводные!$G$13:$G$64,MATCH($A14,Вводные!$A$13:$A$64,0)),0))</f>
        <v>0.12</v>
      </c>
      <c r="AP14" s="32" t="n">
        <f aca="false">INDEX(Вводные!$D$13:$F$64,MATCH($A14,Вводные!$A$13:$A$64,0),MATCH(AP$3,Вводные!$D$11:$F$11,0))*(1+IF(AP$4=$A14,Вводные!$D$5*INDEX(Вводные!$G$13:$G$64,MATCH($A14,Вводные!$A$13:$A$64,0)),0))</f>
        <v>0.12</v>
      </c>
      <c r="AQ14" s="32" t="n">
        <f aca="false">INDEX(Вводные!$D$13:$F$64,MATCH($A14,Вводные!$A$13:$A$64,0),MATCH(AQ$3,Вводные!$D$11:$F$11,0))*(1+IF(AQ$4=$A14,Вводные!$D$5*INDEX(Вводные!$G$13:$G$64,MATCH($A14,Вводные!$A$13:$A$64,0)),0))</f>
        <v>0.12</v>
      </c>
      <c r="AR14" s="32" t="n">
        <f aca="false">INDEX(Вводные!$D$13:$F$64,MATCH($A14,Вводные!$A$13:$A$64,0),MATCH(AR$3,Вводные!$D$11:$F$11,0))*(1+IF(AR$4=$A14,Вводные!$D$5*INDEX(Вводные!$G$13:$G$64,MATCH($A14,Вводные!$A$13:$A$64,0)),0))</f>
        <v>0.12</v>
      </c>
      <c r="AS14" s="32" t="n">
        <f aca="false">INDEX(Вводные!$D$13:$F$64,MATCH($A14,Вводные!$A$13:$A$64,0),MATCH(AS$3,Вводные!$D$11:$F$11,0))*(1+IF(AS$4=$A14,Вводные!$D$5*INDEX(Вводные!$G$13:$G$64,MATCH($A14,Вводные!$A$13:$A$64,0)),0))</f>
        <v>0.12</v>
      </c>
      <c r="AT14" s="32" t="n">
        <f aca="false">INDEX(Вводные!$D$13:$F$64,MATCH($A14,Вводные!$A$13:$A$64,0),MATCH(AT$3,Вводные!$D$11:$F$11,0))*(1+IF(AT$4=$A14,Вводные!$D$5*INDEX(Вводные!$G$13:$G$64,MATCH($A14,Вводные!$A$13:$A$64,0)),0))</f>
        <v>0.12</v>
      </c>
      <c r="AU14" s="32" t="n">
        <f aca="false">INDEX(Вводные!$D$13:$F$64,MATCH($A14,Вводные!$A$13:$A$64,0),MATCH(AU$3,Вводные!$D$11:$F$11,0))*(1+IF(AU$4=$A14,Вводные!$D$5*INDEX(Вводные!$G$13:$G$64,MATCH($A14,Вводные!$A$13:$A$64,0)),0))</f>
        <v>0.12</v>
      </c>
      <c r="AV14" s="32" t="n">
        <f aca="false">INDEX(Вводные!$D$13:$F$64,MATCH($A14,Вводные!$A$13:$A$64,0),MATCH(AV$3,Вводные!$D$11:$F$11,0))*(1+IF(AV$4=$A14,Вводные!$D$5*INDEX(Вводные!$G$13:$G$64,MATCH($A14,Вводные!$A$13:$A$64,0)),0))</f>
        <v>0.12</v>
      </c>
      <c r="AW14" s="32" t="n">
        <f aca="false">INDEX(Вводные!$D$13:$F$64,MATCH($A14,Вводные!$A$13:$A$64,0),MATCH(AW$3,Вводные!$D$11:$F$11,0))*(1+IF(AW$4=$A14,Вводные!$D$5*INDEX(Вводные!$G$13:$G$64,MATCH($A14,Вводные!$A$13:$A$64,0)),0))</f>
        <v>0.12</v>
      </c>
      <c r="AX14" s="32" t="n">
        <f aca="false">INDEX(Вводные!$D$13:$F$64,MATCH($A14,Вводные!$A$13:$A$64,0),MATCH(AX$3,Вводные!$D$11:$F$11,0))*(1+IF(AX$4=$A14,Вводные!$D$5*INDEX(Вводные!$G$13:$G$64,MATCH($A14,Вводные!$A$13:$A$64,0)),0))</f>
        <v>0.12</v>
      </c>
      <c r="AY14" s="32" t="n">
        <f aca="false">INDEX(Вводные!$D$13:$F$64,MATCH($A14,Вводные!$A$13:$A$64,0),MATCH(AY$3,Вводные!$D$11:$F$11,0))*(1+IF(AY$4=$A14,Вводные!$D$5*INDEX(Вводные!$G$13:$G$64,MATCH($A14,Вводные!$A$13:$A$64,0)),0))</f>
        <v>0.12</v>
      </c>
      <c r="AZ14" s="32" t="n">
        <f aca="false">INDEX(Вводные!$D$13:$F$64,MATCH($A14,Вводные!$A$13:$A$64,0),MATCH(AZ$3,Вводные!$D$11:$F$11,0))*(1+IF(AZ$4=$A14,Вводные!$D$5*INDEX(Вводные!$G$13:$G$64,MATCH($A14,Вводные!$A$13:$A$64,0)),0))</f>
        <v>0.06</v>
      </c>
      <c r="BA14" s="32" t="n">
        <f aca="false">INDEX(Вводные!$D$13:$F$64,MATCH($A14,Вводные!$A$13:$A$64,0),MATCH(BA$3,Вводные!$D$11:$F$11,0))*(1+IF(BA$4=$A14,Вводные!$D$5*INDEX(Вводные!$G$13:$G$64,MATCH($A14,Вводные!$A$13:$A$64,0)),0))</f>
        <v>0.06</v>
      </c>
      <c r="BB14" s="32" t="n">
        <f aca="false">INDEX(Вводные!$D$13:$F$64,MATCH($A14,Вводные!$A$13:$A$64,0),MATCH(BB$3,Вводные!$D$11:$F$11,0))*(1+IF(BB$4=$A14,Вводные!$D$5*INDEX(Вводные!$G$13:$G$64,MATCH($A14,Вводные!$A$13:$A$64,0)),0))</f>
        <v>0.06</v>
      </c>
      <c r="BC14" s="32" t="n">
        <f aca="false">INDEX(Вводные!$D$13:$F$64,MATCH($A14,Вводные!$A$13:$A$64,0),MATCH(BC$3,Вводные!$D$11:$F$11,0))*(1+IF(BC$4=$A14,Вводные!$D$5*INDEX(Вводные!$G$13:$G$64,MATCH($A14,Вводные!$A$13:$A$64,0)),0))</f>
        <v>0.06</v>
      </c>
      <c r="BD14" s="32" t="n">
        <f aca="false">INDEX(Вводные!$D$13:$F$64,MATCH($A14,Вводные!$A$13:$A$64,0),MATCH(BD$3,Вводные!$D$11:$F$11,0))*(1+IF(BD$4=$A14,Вводные!$D$5*INDEX(Вводные!$G$13:$G$64,MATCH($A14,Вводные!$A$13:$A$64,0)),0))</f>
        <v>0.0594</v>
      </c>
      <c r="BE14" s="32" t="n">
        <f aca="false">INDEX(Вводные!$D$13:$F$64,MATCH($A14,Вводные!$A$13:$A$64,0),MATCH(BE$3,Вводные!$D$11:$F$11,0))*(1+IF(BE$4=$A14,Вводные!$D$5*INDEX(Вводные!$G$13:$G$64,MATCH($A14,Вводные!$A$13:$A$64,0)),0))</f>
        <v>0.06</v>
      </c>
      <c r="BF14" s="32" t="n">
        <f aca="false">INDEX(Вводные!$D$13:$F$64,MATCH($A14,Вводные!$A$13:$A$64,0),MATCH(BF$3,Вводные!$D$11:$F$11,0))*(1+IF(BF$4=$A14,Вводные!$D$5*INDEX(Вводные!$G$13:$G$64,MATCH($A14,Вводные!$A$13:$A$64,0)),0))</f>
        <v>0.06</v>
      </c>
      <c r="BG14" s="32" t="n">
        <f aca="false">INDEX(Вводные!$D$13:$F$64,MATCH($A14,Вводные!$A$13:$A$64,0),MATCH(BG$3,Вводные!$D$11:$F$11,0))*(1+IF(BG$4=$A14,Вводные!$D$5*INDEX(Вводные!$G$13:$G$64,MATCH($A14,Вводные!$A$13:$A$64,0)),0))</f>
        <v>0.06</v>
      </c>
      <c r="BH14" s="32" t="n">
        <f aca="false">INDEX(Вводные!$D$13:$F$64,MATCH($A14,Вводные!$A$13:$A$64,0),MATCH(BH$3,Вводные!$D$11:$F$11,0))*(1+IF(BH$4=$A14,Вводные!$D$5*INDEX(Вводные!$G$13:$G$64,MATCH($A14,Вводные!$A$13:$A$64,0)),0))</f>
        <v>0.06</v>
      </c>
      <c r="BI14" s="32" t="n">
        <f aca="false">INDEX(Вводные!$D$13:$F$64,MATCH($A14,Вводные!$A$13:$A$64,0),MATCH(BI$3,Вводные!$D$11:$F$11,0))*(1+IF(BI$4=$A14,Вводные!$D$5*INDEX(Вводные!$G$13:$G$64,MATCH($A14,Вводные!$A$13:$A$64,0)),0))</f>
        <v>0.06</v>
      </c>
      <c r="BJ14" s="32" t="n">
        <f aca="false">INDEX(Вводные!$D$13:$F$64,MATCH($A14,Вводные!$A$13:$A$64,0),MATCH(BJ$3,Вводные!$D$11:$F$11,0))*(1+IF(BJ$4=$A14,Вводные!$D$5*INDEX(Вводные!$G$13:$G$64,MATCH($A14,Вводные!$A$13:$A$64,0)),0))</f>
        <v>0.06</v>
      </c>
      <c r="BK14" s="32" t="n">
        <f aca="false">INDEX(Вводные!$D$13:$F$64,MATCH($A14,Вводные!$A$13:$A$64,0),MATCH(BK$3,Вводные!$D$11:$F$11,0))*(1+IF(BK$4=$A14,Вводные!$D$5*INDEX(Вводные!$G$13:$G$64,MATCH($A14,Вводные!$A$13:$A$64,0)),0))</f>
        <v>0.06</v>
      </c>
      <c r="BL14" s="32" t="n">
        <f aca="false">INDEX(Вводные!$D$13:$F$64,MATCH($A14,Вводные!$A$13:$A$64,0),MATCH(BL$3,Вводные!$D$11:$F$11,0))*(1+IF(BL$4=$A14,Вводные!$D$5*INDEX(Вводные!$G$13:$G$64,MATCH($A14,Вводные!$A$13:$A$64,0)),0))</f>
        <v>0.06</v>
      </c>
      <c r="BM14" s="32" t="n">
        <f aca="false">INDEX(Вводные!$D$13:$F$64,MATCH($A14,Вводные!$A$13:$A$64,0),MATCH(BM$3,Вводные!$D$11:$F$11,0))*(1+IF(BM$4=$A14,Вводные!$D$5*INDEX(Вводные!$G$13:$G$64,MATCH($A14,Вводные!$A$13:$A$64,0)),0))</f>
        <v>0.06</v>
      </c>
      <c r="BN14" s="32" t="n">
        <f aca="false">INDEX(Вводные!$D$13:$F$64,MATCH($A14,Вводные!$A$13:$A$64,0),MATCH(BN$3,Вводные!$D$11:$F$11,0))*(1+IF(BN$4=$A14,Вводные!$D$5*INDEX(Вводные!$G$13:$G$64,MATCH($A14,Вводные!$A$13:$A$64,0)),0))</f>
        <v>0.06</v>
      </c>
      <c r="BO14" s="32" t="n">
        <f aca="false">INDEX(Вводные!$D$13:$F$64,MATCH($A14,Вводные!$A$13:$A$64,0),MATCH(BO$3,Вводные!$D$11:$F$11,0))*(1+IF(BO$4=$A14,Вводные!$D$5*INDEX(Вводные!$G$13:$G$64,MATCH($A14,Вводные!$A$13:$A$64,0)),0))</f>
        <v>0.06</v>
      </c>
      <c r="BP14" s="32" t="n">
        <f aca="false">INDEX(Вводные!$D$13:$F$64,MATCH($A14,Вводные!$A$13:$A$64,0),MATCH(BP$3,Вводные!$D$11:$F$11,0))*(1+IF(BP$4=$A14,Вводные!$D$5*INDEX(Вводные!$G$13:$G$64,MATCH($A14,Вводные!$A$13:$A$64,0)),0))</f>
        <v>0.06</v>
      </c>
      <c r="BQ14" s="32" t="n">
        <f aca="false">INDEX(Вводные!$D$13:$F$64,MATCH($A14,Вводные!$A$13:$A$64,0),MATCH(BQ$3,Вводные!$D$11:$F$11,0))*(1+IF(BQ$4=$A14,Вводные!$D$5*INDEX(Вводные!$G$13:$G$64,MATCH($A14,Вводные!$A$13:$A$64,0)),0))</f>
        <v>0.06</v>
      </c>
      <c r="BR14" s="32" t="n">
        <f aca="false">INDEX(Вводные!$D$13:$F$64,MATCH($A14,Вводные!$A$13:$A$64,0),MATCH(BR$3,Вводные!$D$11:$F$11,0))*(1+IF(BR$4=$A14,Вводные!$D$5*INDEX(Вводные!$G$13:$G$64,MATCH($A14,Вводные!$A$13:$A$64,0)),0))</f>
        <v>0.06</v>
      </c>
      <c r="BS14" s="32" t="n">
        <f aca="false">INDEX(Вводные!$D$13:$F$64,MATCH($A14,Вводные!$A$13:$A$64,0),MATCH(BS$3,Вводные!$D$11:$F$11,0))*(1+IF(BS$4=$A14,Вводные!$D$5*INDEX(Вводные!$G$13:$G$64,MATCH($A14,Вводные!$A$13:$A$64,0)),0))</f>
        <v>0.06</v>
      </c>
      <c r="BT14" s="32" t="n">
        <f aca="false">INDEX(Вводные!$D$13:$F$64,MATCH($A14,Вводные!$A$13:$A$64,0),MATCH(BT$3,Вводные!$D$11:$F$11,0))*(1+IF(BT$4=$A14,Вводные!$D$5*INDEX(Вводные!$G$13:$G$64,MATCH($A14,Вводные!$A$13:$A$64,0)),0))</f>
        <v>0.06</v>
      </c>
      <c r="BU14" s="32" t="n">
        <f aca="false">INDEX(Вводные!$D$13:$F$64,MATCH($A14,Вводные!$A$13:$A$64,0),MATCH(BU$3,Вводные!$D$11:$F$11,0))*(1+IF(BU$4=$A14,Вводные!$D$5*INDEX(Вводные!$G$13:$G$64,MATCH($A14,Вводные!$A$13:$A$64,0)),0))</f>
        <v>0.06</v>
      </c>
      <c r="BV14" s="32" t="n">
        <f aca="false">INDEX(Вводные!$D$13:$F$64,MATCH($A14,Вводные!$A$13:$A$64,0),MATCH(BV$3,Вводные!$D$11:$F$11,0))*(1+IF(BV$4=$A14,Вводные!$D$5*INDEX(Вводные!$G$13:$G$64,MATCH($A14,Вводные!$A$13:$A$64,0)),0))</f>
        <v>0.06</v>
      </c>
      <c r="BW14" s="32" t="n">
        <f aca="false">INDEX(Вводные!$D$13:$F$64,MATCH($A14,Вводные!$A$13:$A$64,0),MATCH(BW$3,Вводные!$D$11:$F$11,0))*(1+IF(BW$4=$A14,Вводные!$D$5*INDEX(Вводные!$G$13:$G$64,MATCH($A14,Вводные!$A$13:$A$64,0)),0))</f>
        <v>0.06</v>
      </c>
      <c r="BX14" s="32" t="n">
        <f aca="false">INDEX(Вводные!$D$13:$F$64,MATCH($A14,Вводные!$A$13:$A$64,0),MATCH(BX$3,Вводные!$D$11:$F$11,0))*(1+IF(BX$4=$A14,Вводные!$D$5*INDEX(Вводные!$G$13:$G$64,MATCH($A14,Вводные!$A$13:$A$64,0)),0))</f>
        <v>0.06</v>
      </c>
      <c r="BY14" s="32" t="n">
        <f aca="false">INDEX(Вводные!$D$13:$F$64,MATCH($A14,Вводные!$A$13:$A$64,0),MATCH(BY$3,Вводные!$D$11:$F$11,0))*(1+IF(BY$4=$A14,Вводные!$D$5*INDEX(Вводные!$G$13:$G$64,MATCH($A14,Вводные!$A$13:$A$64,0)),0))</f>
        <v>0.06</v>
      </c>
      <c r="BZ14" s="32" t="n">
        <f aca="false">INDEX(Вводные!$D$13:$F$64,MATCH($A14,Вводные!$A$13:$A$64,0),MATCH(BZ$3,Вводные!$D$11:$F$11,0))*(1+IF(BZ$4=$A14,Вводные!$D$5*INDEX(Вводные!$G$13:$G$64,MATCH($A14,Вводные!$A$13:$A$64,0)),0))</f>
        <v>0.06</v>
      </c>
      <c r="CA14" s="32" t="n">
        <f aca="false">INDEX(Вводные!$D$13:$F$64,MATCH($A14,Вводные!$A$13:$A$64,0),MATCH(CA$3,Вводные!$D$11:$F$11,0))*(1+IF(CA$4=$A14,Вводные!$D$5*INDEX(Вводные!$G$13:$G$64,MATCH($A14,Вводные!$A$13:$A$64,0)),0))</f>
        <v>0.06</v>
      </c>
      <c r="CB14" s="32" t="n">
        <f aca="false">INDEX(Вводные!$D$13:$F$64,MATCH($A14,Вводные!$A$13:$A$64,0),MATCH(CB$3,Вводные!$D$11:$F$11,0))*(1+IF(CB$4=$A14,Вводные!$D$5*INDEX(Вводные!$G$13:$G$64,MATCH($A14,Вводные!$A$13:$A$64,0)),0))</f>
        <v>0.06</v>
      </c>
      <c r="CC14" s="32" t="n">
        <f aca="false">INDEX(Вводные!$D$13:$F$64,MATCH($A14,Вводные!$A$13:$A$64,0),MATCH(CC$3,Вводные!$D$11:$F$11,0))*(1+IF(CC$4=$A14,Вводные!$D$5*INDEX(Вводные!$G$13:$G$64,MATCH($A14,Вводные!$A$13:$A$64,0)),0))</f>
        <v>0.06</v>
      </c>
      <c r="CD14" s="32" t="n">
        <f aca="false">INDEX(Вводные!$D$13:$F$64,MATCH($A14,Вводные!$A$13:$A$64,0),MATCH(CD$3,Вводные!$D$11:$F$11,0))*(1+IF(CD$4=$A14,Вводные!$D$5*INDEX(Вводные!$G$13:$G$64,MATCH($A14,Вводные!$A$13:$A$64,0)),0))</f>
        <v>0.06</v>
      </c>
      <c r="CE14" s="32" t="n">
        <f aca="false">INDEX(Вводные!$D$13:$F$64,MATCH($A14,Вводные!$A$13:$A$64,0),MATCH(CE$3,Вводные!$D$11:$F$11,0))*(1+IF(CE$4=$A14,Вводные!$D$5*INDEX(Вводные!$G$13:$G$64,MATCH($A14,Вводные!$A$13:$A$64,0)),0))</f>
        <v>0.06</v>
      </c>
      <c r="CF14" s="32" t="n">
        <f aca="false">INDEX(Вводные!$D$13:$F$64,MATCH($A14,Вводные!$A$13:$A$64,0),MATCH(CF$3,Вводные!$D$11:$F$11,0))*(1+IF(CF$4=$A14,Вводные!$D$5*INDEX(Вводные!$G$13:$G$64,MATCH($A14,Вводные!$A$13:$A$64,0)),0))</f>
        <v>0.06</v>
      </c>
      <c r="CG14" s="32" t="n">
        <f aca="false">INDEX(Вводные!$D$13:$F$64,MATCH($A14,Вводные!$A$13:$A$64,0),MATCH(CG$3,Вводные!$D$11:$F$11,0))*(1+IF(CG$4=$A14,Вводные!$D$5*INDEX(Вводные!$G$13:$G$64,MATCH($A14,Вводные!$A$13:$A$64,0)),0))</f>
        <v>0.06</v>
      </c>
      <c r="CH14" s="32" t="n">
        <f aca="false">INDEX(Вводные!$D$13:$F$64,MATCH($A14,Вводные!$A$13:$A$64,0),MATCH(CH$3,Вводные!$D$11:$F$11,0))*(1+IF(CH$4=$A14,Вводные!$D$5*INDEX(Вводные!$G$13:$G$64,MATCH($A14,Вводные!$A$13:$A$64,0)),0))</f>
        <v>0.06</v>
      </c>
      <c r="CI14" s="32" t="n">
        <f aca="false">INDEX(Вводные!$D$13:$F$64,MATCH($A14,Вводные!$A$13:$A$64,0),MATCH(CI$3,Вводные!$D$11:$F$11,0))*(1+IF(CI$4=$A14,Вводные!$D$5*INDEX(Вводные!$G$13:$G$64,MATCH($A14,Вводные!$A$13:$A$64,0)),0))</f>
        <v>0.06</v>
      </c>
      <c r="CJ14" s="32" t="n">
        <f aca="false">INDEX(Вводные!$D$13:$F$64,MATCH($A14,Вводные!$A$13:$A$64,0),MATCH(CJ$3,Вводные!$D$11:$F$11,0))*(1+IF(CJ$4=$A14,Вводные!$D$5*INDEX(Вводные!$G$13:$G$64,MATCH($A14,Вводные!$A$13:$A$64,0)),0))</f>
        <v>0.06</v>
      </c>
      <c r="CK14" s="32" t="n">
        <f aca="false">INDEX(Вводные!$D$13:$F$64,MATCH($A14,Вводные!$A$13:$A$64,0),MATCH(CK$3,Вводные!$D$11:$F$11,0))*(1+IF(CK$4=$A14,Вводные!$D$5*INDEX(Вводные!$G$13:$G$64,MATCH($A14,Вводные!$A$13:$A$64,0)),0))</f>
        <v>0.06</v>
      </c>
      <c r="CL14" s="32" t="n">
        <f aca="false">INDEX(Вводные!$D$13:$F$64,MATCH($A14,Вводные!$A$13:$A$64,0),MATCH(CL$3,Вводные!$D$11:$F$11,0))*(1+IF(CL$4=$A14,Вводные!$D$5*INDEX(Вводные!$G$13:$G$64,MATCH($A14,Вводные!$A$13:$A$64,0)),0))</f>
        <v>0.06</v>
      </c>
      <c r="CM14" s="32" t="n">
        <f aca="false">INDEX(Вводные!$D$13:$F$64,MATCH($A14,Вводные!$A$13:$A$64,0),MATCH(CM$3,Вводные!$D$11:$F$11,0))*(1+IF(CM$4=$A14,Вводные!$D$5*INDEX(Вводные!$G$13:$G$64,MATCH($A14,Вводные!$A$13:$A$64,0)),0))</f>
        <v>0.06</v>
      </c>
      <c r="CN14" s="32" t="n">
        <f aca="false">INDEX(Вводные!$D$13:$F$64,MATCH($A14,Вводные!$A$13:$A$64,0),MATCH(CN$3,Вводные!$D$11:$F$11,0))*(1+IF(CN$4=$A14,Вводные!$D$5*INDEX(Вводные!$G$13:$G$64,MATCH($A14,Вводные!$A$13:$A$64,0)),0))</f>
        <v>0.06</v>
      </c>
      <c r="CO14" s="32" t="n">
        <f aca="false">INDEX(Вводные!$D$13:$F$64,MATCH($A14,Вводные!$A$13:$A$64,0),MATCH(CO$3,Вводные!$D$11:$F$11,0))*(1+IF(CO$4=$A14,Вводные!$D$5*INDEX(Вводные!$G$13:$G$64,MATCH($A14,Вводные!$A$13:$A$64,0)),0))</f>
        <v>0.06</v>
      </c>
      <c r="CP14" s="32" t="n">
        <f aca="false">INDEX(Вводные!$D$13:$F$64,MATCH($A14,Вводные!$A$13:$A$64,0),MATCH(CP$3,Вводные!$D$11:$F$11,0))*(1+IF(CP$4=$A14,Вводные!$D$5*INDEX(Вводные!$G$13:$G$64,MATCH($A14,Вводные!$A$13:$A$64,0)),0))</f>
        <v>0.08</v>
      </c>
      <c r="CQ14" s="32" t="n">
        <f aca="false">INDEX(Вводные!$D$13:$F$64,MATCH($A14,Вводные!$A$13:$A$64,0),MATCH(CQ$3,Вводные!$D$11:$F$11,0))*(1+IF(CQ$4=$A14,Вводные!$D$5*INDEX(Вводные!$G$13:$G$64,MATCH($A14,Вводные!$A$13:$A$64,0)),0))</f>
        <v>0.08</v>
      </c>
      <c r="CR14" s="32" t="n">
        <f aca="false">INDEX(Вводные!$D$13:$F$64,MATCH($A14,Вводные!$A$13:$A$64,0),MATCH(CR$3,Вводные!$D$11:$F$11,0))*(1+IF(CR$4=$A14,Вводные!$D$5*INDEX(Вводные!$G$13:$G$64,MATCH($A14,Вводные!$A$13:$A$64,0)),0))</f>
        <v>0.08</v>
      </c>
      <c r="CS14" s="32" t="n">
        <f aca="false">INDEX(Вводные!$D$13:$F$64,MATCH($A14,Вводные!$A$13:$A$64,0),MATCH(CS$3,Вводные!$D$11:$F$11,0))*(1+IF(CS$4=$A14,Вводные!$D$5*INDEX(Вводные!$G$13:$G$64,MATCH($A14,Вводные!$A$13:$A$64,0)),0))</f>
        <v>0.08</v>
      </c>
      <c r="CT14" s="32" t="n">
        <f aca="false">INDEX(Вводные!$D$13:$F$64,MATCH($A14,Вводные!$A$13:$A$64,0),MATCH(CT$3,Вводные!$D$11:$F$11,0))*(1+IF(CT$4=$A14,Вводные!$D$5*INDEX(Вводные!$G$13:$G$64,MATCH($A14,Вводные!$A$13:$A$64,0)),0))</f>
        <v>0.0792</v>
      </c>
      <c r="CU14" s="32" t="n">
        <f aca="false">INDEX(Вводные!$D$13:$F$64,MATCH($A14,Вводные!$A$13:$A$64,0),MATCH(CU$3,Вводные!$D$11:$F$11,0))*(1+IF(CU$4=$A14,Вводные!$D$5*INDEX(Вводные!$G$13:$G$64,MATCH($A14,Вводные!$A$13:$A$64,0)),0))</f>
        <v>0.08</v>
      </c>
      <c r="CV14" s="32" t="n">
        <f aca="false">INDEX(Вводные!$D$13:$F$64,MATCH($A14,Вводные!$A$13:$A$64,0),MATCH(CV$3,Вводные!$D$11:$F$11,0))*(1+IF(CV$4=$A14,Вводные!$D$5*INDEX(Вводные!$G$13:$G$64,MATCH($A14,Вводные!$A$13:$A$64,0)),0))</f>
        <v>0.08</v>
      </c>
      <c r="CW14" s="32" t="n">
        <f aca="false">INDEX(Вводные!$D$13:$F$64,MATCH($A14,Вводные!$A$13:$A$64,0),MATCH(CW$3,Вводные!$D$11:$F$11,0))*(1+IF(CW$4=$A14,Вводные!$D$5*INDEX(Вводные!$G$13:$G$64,MATCH($A14,Вводные!$A$13:$A$64,0)),0))</f>
        <v>0.08</v>
      </c>
      <c r="CX14" s="32" t="n">
        <f aca="false">INDEX(Вводные!$D$13:$F$64,MATCH($A14,Вводные!$A$13:$A$64,0),MATCH(CX$3,Вводные!$D$11:$F$11,0))*(1+IF(CX$4=$A14,Вводные!$D$5*INDEX(Вводные!$G$13:$G$64,MATCH($A14,Вводные!$A$13:$A$64,0)),0))</f>
        <v>0.08</v>
      </c>
      <c r="CY14" s="32" t="n">
        <f aca="false">INDEX(Вводные!$D$13:$F$64,MATCH($A14,Вводные!$A$13:$A$64,0),MATCH(CY$3,Вводные!$D$11:$F$11,0))*(1+IF(CY$4=$A14,Вводные!$D$5*INDEX(Вводные!$G$13:$G$64,MATCH($A14,Вводные!$A$13:$A$64,0)),0))</f>
        <v>0.08</v>
      </c>
      <c r="CZ14" s="32" t="n">
        <f aca="false">INDEX(Вводные!$D$13:$F$64,MATCH($A14,Вводные!$A$13:$A$64,0),MATCH(CZ$3,Вводные!$D$11:$F$11,0))*(1+IF(CZ$4=$A14,Вводные!$D$5*INDEX(Вводные!$G$13:$G$64,MATCH($A14,Вводные!$A$13:$A$64,0)),0))</f>
        <v>0.08</v>
      </c>
      <c r="DA14" s="32" t="n">
        <f aca="false">INDEX(Вводные!$D$13:$F$64,MATCH($A14,Вводные!$A$13:$A$64,0),MATCH(DA$3,Вводные!$D$11:$F$11,0))*(1+IF(DA$4=$A14,Вводные!$D$5*INDEX(Вводные!$G$13:$G$64,MATCH($A14,Вводные!$A$13:$A$64,0)),0))</f>
        <v>0.08</v>
      </c>
      <c r="DB14" s="32" t="n">
        <f aca="false">INDEX(Вводные!$D$13:$F$64,MATCH($A14,Вводные!$A$13:$A$64,0),MATCH(DB$3,Вводные!$D$11:$F$11,0))*(1+IF(DB$4=$A14,Вводные!$D$5*INDEX(Вводные!$G$13:$G$64,MATCH($A14,Вводные!$A$13:$A$64,0)),0))</f>
        <v>0.08</v>
      </c>
      <c r="DC14" s="32" t="n">
        <f aca="false">INDEX(Вводные!$D$13:$F$64,MATCH($A14,Вводные!$A$13:$A$64,0),MATCH(DC$3,Вводные!$D$11:$F$11,0))*(1+IF(DC$4=$A14,Вводные!$D$5*INDEX(Вводные!$G$13:$G$64,MATCH($A14,Вводные!$A$13:$A$64,0)),0))</f>
        <v>0.08</v>
      </c>
      <c r="DD14" s="32" t="n">
        <f aca="false">INDEX(Вводные!$D$13:$F$64,MATCH($A14,Вводные!$A$13:$A$64,0),MATCH(DD$3,Вводные!$D$11:$F$11,0))*(1+IF(DD$4=$A14,Вводные!$D$5*INDEX(Вводные!$G$13:$G$64,MATCH($A14,Вводные!$A$13:$A$64,0)),0))</f>
        <v>0.08</v>
      </c>
      <c r="DE14" s="32" t="n">
        <f aca="false">INDEX(Вводные!$D$13:$F$64,MATCH($A14,Вводные!$A$13:$A$64,0),MATCH(DE$3,Вводные!$D$11:$F$11,0))*(1+IF(DE$4=$A14,Вводные!$D$5*INDEX(Вводные!$G$13:$G$64,MATCH($A14,Вводные!$A$13:$A$64,0)),0))</f>
        <v>0.08</v>
      </c>
      <c r="DF14" s="32" t="n">
        <f aca="false">INDEX(Вводные!$D$13:$F$64,MATCH($A14,Вводные!$A$13:$A$64,0),MATCH(DF$3,Вводные!$D$11:$F$11,0))*(1+IF(DF$4=$A14,Вводные!$D$5*INDEX(Вводные!$G$13:$G$64,MATCH($A14,Вводные!$A$13:$A$64,0)),0))</f>
        <v>0.08</v>
      </c>
      <c r="DG14" s="32" t="n">
        <f aca="false">INDEX(Вводные!$D$13:$F$64,MATCH($A14,Вводные!$A$13:$A$64,0),MATCH(DG$3,Вводные!$D$11:$F$11,0))*(1+IF(DG$4=$A14,Вводные!$D$5*INDEX(Вводные!$G$13:$G$64,MATCH($A14,Вводные!$A$13:$A$64,0)),0))</f>
        <v>0.08</v>
      </c>
      <c r="DH14" s="32" t="n">
        <f aca="false">INDEX(Вводные!$D$13:$F$64,MATCH($A14,Вводные!$A$13:$A$64,0),MATCH(DH$3,Вводные!$D$11:$F$11,0))*(1+IF(DH$4=$A14,Вводные!$D$5*INDEX(Вводные!$G$13:$G$64,MATCH($A14,Вводные!$A$13:$A$64,0)),0))</f>
        <v>0.08</v>
      </c>
      <c r="DI14" s="32" t="n">
        <f aca="false">INDEX(Вводные!$D$13:$F$64,MATCH($A14,Вводные!$A$13:$A$64,0),MATCH(DI$3,Вводные!$D$11:$F$11,0))*(1+IF(DI$4=$A14,Вводные!$D$5*INDEX(Вводные!$G$13:$G$64,MATCH($A14,Вводные!$A$13:$A$64,0)),0))</f>
        <v>0.08</v>
      </c>
      <c r="DJ14" s="32" t="n">
        <f aca="false">INDEX(Вводные!$D$13:$F$64,MATCH($A14,Вводные!$A$13:$A$64,0),MATCH(DJ$3,Вводные!$D$11:$F$11,0))*(1+IF(DJ$4=$A14,Вводные!$D$5*INDEX(Вводные!$G$13:$G$64,MATCH($A14,Вводные!$A$13:$A$64,0)),0))</f>
        <v>0.08</v>
      </c>
      <c r="DK14" s="32" t="n">
        <f aca="false">INDEX(Вводные!$D$13:$F$64,MATCH($A14,Вводные!$A$13:$A$64,0),MATCH(DK$3,Вводные!$D$11:$F$11,0))*(1+IF(DK$4=$A14,Вводные!$D$5*INDEX(Вводные!$G$13:$G$64,MATCH($A14,Вводные!$A$13:$A$64,0)),0))</f>
        <v>0.08</v>
      </c>
      <c r="DL14" s="32" t="n">
        <f aca="false">INDEX(Вводные!$D$13:$F$64,MATCH($A14,Вводные!$A$13:$A$64,0),MATCH(DL$3,Вводные!$D$11:$F$11,0))*(1+IF(DL$4=$A14,Вводные!$D$5*INDEX(Вводные!$G$13:$G$64,MATCH($A14,Вводные!$A$13:$A$64,0)),0))</f>
        <v>0.08</v>
      </c>
      <c r="DM14" s="32" t="n">
        <f aca="false">INDEX(Вводные!$D$13:$F$64,MATCH($A14,Вводные!$A$13:$A$64,0),MATCH(DM$3,Вводные!$D$11:$F$11,0))*(1+IF(DM$4=$A14,Вводные!$D$5*INDEX(Вводные!$G$13:$G$64,MATCH($A14,Вводные!$A$13:$A$64,0)),0))</f>
        <v>0.08</v>
      </c>
      <c r="DN14" s="32" t="n">
        <f aca="false">INDEX(Вводные!$D$13:$F$64,MATCH($A14,Вводные!$A$13:$A$64,0),MATCH(DN$3,Вводные!$D$11:$F$11,0))*(1+IF(DN$4=$A14,Вводные!$D$5*INDEX(Вводные!$G$13:$G$64,MATCH($A14,Вводные!$A$13:$A$64,0)),0))</f>
        <v>0.08</v>
      </c>
      <c r="DO14" s="32" t="n">
        <f aca="false">INDEX(Вводные!$D$13:$F$64,MATCH($A14,Вводные!$A$13:$A$64,0),MATCH(DO$3,Вводные!$D$11:$F$11,0))*(1+IF(DO$4=$A14,Вводные!$D$5*INDEX(Вводные!$G$13:$G$64,MATCH($A14,Вводные!$A$13:$A$64,0)),0))</f>
        <v>0.08</v>
      </c>
      <c r="DP14" s="32" t="n">
        <f aca="false">INDEX(Вводные!$D$13:$F$64,MATCH($A14,Вводные!$A$13:$A$64,0),MATCH(DP$3,Вводные!$D$11:$F$11,0))*(1+IF(DP$4=$A14,Вводные!$D$5*INDEX(Вводные!$G$13:$G$64,MATCH($A14,Вводные!$A$13:$A$64,0)),0))</f>
        <v>0.08</v>
      </c>
      <c r="DQ14" s="32" t="n">
        <f aca="false">INDEX(Вводные!$D$13:$F$64,MATCH($A14,Вводные!$A$13:$A$64,0),MATCH(DQ$3,Вводные!$D$11:$F$11,0))*(1+IF(DQ$4=$A14,Вводные!$D$5*INDEX(Вводные!$G$13:$G$64,MATCH($A14,Вводные!$A$13:$A$64,0)),0))</f>
        <v>0.08</v>
      </c>
      <c r="DR14" s="32" t="n">
        <f aca="false">INDEX(Вводные!$D$13:$F$64,MATCH($A14,Вводные!$A$13:$A$64,0),MATCH(DR$3,Вводные!$D$11:$F$11,0))*(1+IF(DR$4=$A14,Вводные!$D$5*INDEX(Вводные!$G$13:$G$64,MATCH($A14,Вводные!$A$13:$A$64,0)),0))</f>
        <v>0.08</v>
      </c>
      <c r="DS14" s="32" t="n">
        <f aca="false">INDEX(Вводные!$D$13:$F$64,MATCH($A14,Вводные!$A$13:$A$64,0),MATCH(DS$3,Вводные!$D$11:$F$11,0))*(1+IF(DS$4=$A14,Вводные!$D$5*INDEX(Вводные!$G$13:$G$64,MATCH($A14,Вводные!$A$13:$A$64,0)),0))</f>
        <v>0.08</v>
      </c>
      <c r="DT14" s="32" t="n">
        <f aca="false">INDEX(Вводные!$D$13:$F$64,MATCH($A14,Вводные!$A$13:$A$64,0),MATCH(DT$3,Вводные!$D$11:$F$11,0))*(1+IF(DT$4=$A14,Вводные!$D$5*INDEX(Вводные!$G$13:$G$64,MATCH($A14,Вводные!$A$13:$A$64,0)),0))</f>
        <v>0.08</v>
      </c>
      <c r="DU14" s="32" t="n">
        <f aca="false">INDEX(Вводные!$D$13:$F$64,MATCH($A14,Вводные!$A$13:$A$64,0),MATCH(DU$3,Вводные!$D$11:$F$11,0))*(1+IF(DU$4=$A14,Вводные!$D$5*INDEX(Вводные!$G$13:$G$64,MATCH($A14,Вводные!$A$13:$A$64,0)),0))</f>
        <v>0.08</v>
      </c>
      <c r="DV14" s="32" t="n">
        <f aca="false">INDEX(Вводные!$D$13:$F$64,MATCH($A14,Вводные!$A$13:$A$64,0),MATCH(DV$3,Вводные!$D$11:$F$11,0))*(1+IF(DV$4=$A14,Вводные!$D$5*INDEX(Вводные!$G$13:$G$64,MATCH($A14,Вводные!$A$13:$A$64,0)),0))</f>
        <v>0.08</v>
      </c>
      <c r="DW14" s="32" t="n">
        <f aca="false">INDEX(Вводные!$D$13:$F$64,MATCH($A14,Вводные!$A$13:$A$64,0),MATCH(DW$3,Вводные!$D$11:$F$11,0))*(1+IF(DW$4=$A14,Вводные!$D$5*INDEX(Вводные!$G$13:$G$64,MATCH($A14,Вводные!$A$13:$A$64,0)),0))</f>
        <v>0.08</v>
      </c>
      <c r="DX14" s="32" t="n">
        <f aca="false">INDEX(Вводные!$D$13:$F$64,MATCH($A14,Вводные!$A$13:$A$64,0),MATCH(DX$3,Вводные!$D$11:$F$11,0))*(1+IF(DX$4=$A14,Вводные!$D$5*INDEX(Вводные!$G$13:$G$64,MATCH($A14,Вводные!$A$13:$A$64,0)),0))</f>
        <v>0.08</v>
      </c>
      <c r="DY14" s="32" t="n">
        <f aca="false">INDEX(Вводные!$D$13:$F$64,MATCH($A14,Вводные!$A$13:$A$64,0),MATCH(DY$3,Вводные!$D$11:$F$11,0))*(1+IF(DY$4=$A14,Вводные!$D$5*INDEX(Вводные!$G$13:$G$64,MATCH($A14,Вводные!$A$13:$A$64,0)),0))</f>
        <v>0.08</v>
      </c>
      <c r="DZ14" s="32" t="n">
        <f aca="false">INDEX(Вводные!$D$13:$F$64,MATCH($A14,Вводные!$A$13:$A$64,0),MATCH(DZ$3,Вводные!$D$11:$F$11,0))*(1+IF(DZ$4=$A14,Вводные!$D$5*INDEX(Вводные!$G$13:$G$64,MATCH($A14,Вводные!$A$13:$A$64,0)),0))</f>
        <v>0.08</v>
      </c>
      <c r="EA14" s="32" t="n">
        <f aca="false">INDEX(Вводные!$D$13:$F$64,MATCH($A14,Вводные!$A$13:$A$64,0),MATCH(EA$3,Вводные!$D$11:$F$11,0))*(1+IF(EA$4=$A14,Вводные!$D$5*INDEX(Вводные!$G$13:$G$64,MATCH($A14,Вводные!$A$13:$A$64,0)),0))</f>
        <v>0.08</v>
      </c>
      <c r="EB14" s="32" t="n">
        <f aca="false">INDEX(Вводные!$D$13:$F$64,MATCH($A14,Вводные!$A$13:$A$64,0),MATCH(EB$3,Вводные!$D$11:$F$11,0))*(1+IF(EB$4=$A14,Вводные!$D$5*INDEX(Вводные!$G$13:$G$64,MATCH($A14,Вводные!$A$13:$A$64,0)),0))</f>
        <v>0.08</v>
      </c>
      <c r="EC14" s="32" t="n">
        <f aca="false">INDEX(Вводные!$D$13:$F$64,MATCH($A14,Вводные!$A$13:$A$64,0),MATCH(EC$3,Вводные!$D$11:$F$11,0))*(1+IF(EC$4=$A14,Вводные!$D$5*INDEX(Вводные!$G$13:$G$64,MATCH($A14,Вводные!$A$13:$A$64,0)),0))</f>
        <v>0.08</v>
      </c>
      <c r="ED14" s="32" t="n">
        <f aca="false">INDEX(Вводные!$D$13:$F$64,MATCH($A14,Вводные!$A$13:$A$64,0),MATCH(ED$3,Вводные!$D$11:$F$11,0))*(1+IF(ED$4=$A14,Вводные!$D$5*INDEX(Вводные!$G$13:$G$64,MATCH($A14,Вводные!$A$13:$A$64,0)),0))</f>
        <v>0.08</v>
      </c>
      <c r="EE14" s="32" t="n">
        <f aca="false">INDEX(Вводные!$D$13:$F$64,MATCH($A14,Вводные!$A$13:$A$64,0),MATCH(EE$3,Вводные!$D$11:$F$11,0))*(1+IF(EE$4=$A14,Вводные!$D$5*INDEX(Вводные!$G$13:$G$64,MATCH($A14,Вводные!$A$13:$A$64,0)),0))</f>
        <v>0.08</v>
      </c>
      <c r="EF14" s="32" t="n">
        <f aca="false">INDEX(Вводные!$D$13:$F$64,MATCH($A14,Вводные!$A$13:$A$64,0),MATCH(EF$3,Вводные!$D$11:$F$11,0))*(1+IF(EF$4=$A14,Вводные!$D$5*INDEX(Вводные!$G$13:$G$64,MATCH($A14,Вводные!$A$13:$A$64,0)),0))</f>
        <v>0.12</v>
      </c>
      <c r="EG14" s="32" t="n">
        <f aca="false">INDEX(Вводные!$D$13:$F$64,MATCH($A14,Вводные!$A$13:$A$64,0),MATCH(EG$3,Вводные!$D$11:$F$11,0))*(1+IF(EG$4=$A14,Вводные!$D$5*INDEX(Вводные!$G$13:$G$64,MATCH($A14,Вводные!$A$13:$A$64,0)),0))</f>
        <v>0.12</v>
      </c>
      <c r="EH14" s="32" t="n">
        <f aca="false">INDEX(Вводные!$D$13:$F$64,MATCH($A14,Вводные!$A$13:$A$64,0),MATCH(EH$3,Вводные!$D$11:$F$11,0))*(1+IF(EH$4=$A14,Вводные!$D$5*INDEX(Вводные!$G$13:$G$64,MATCH($A14,Вводные!$A$13:$A$64,0)),0))</f>
        <v>0.12</v>
      </c>
      <c r="EI14" s="32" t="n">
        <f aca="false">INDEX(Вводные!$D$13:$F$64,MATCH($A14,Вводные!$A$13:$A$64,0),MATCH(EI$3,Вводные!$D$11:$F$11,0))*(1+IF(EI$4=$A14,Вводные!$D$5*INDEX(Вводные!$G$13:$G$64,MATCH($A14,Вводные!$A$13:$A$64,0)),0))</f>
        <v>0.12</v>
      </c>
      <c r="EJ14" s="32" t="n">
        <f aca="false">INDEX(Вводные!$D$13:$F$64,MATCH($A14,Вводные!$A$13:$A$64,0),MATCH(EJ$3,Вводные!$D$11:$F$11,0))*(1+IF(EJ$4=$A14,Вводные!$D$5*INDEX(Вводные!$G$13:$G$64,MATCH($A14,Вводные!$A$13:$A$64,0)),0))</f>
        <v>0.1188</v>
      </c>
      <c r="EK14" s="32" t="n">
        <f aca="false">INDEX(Вводные!$D$13:$F$64,MATCH($A14,Вводные!$A$13:$A$64,0),MATCH(EK$3,Вводные!$D$11:$F$11,0))*(1+IF(EK$4=$A14,Вводные!$D$5*INDEX(Вводные!$G$13:$G$64,MATCH($A14,Вводные!$A$13:$A$64,0)),0))</f>
        <v>0.12</v>
      </c>
      <c r="EL14" s="32" t="n">
        <f aca="false">INDEX(Вводные!$D$13:$F$64,MATCH($A14,Вводные!$A$13:$A$64,0),MATCH(EL$3,Вводные!$D$11:$F$11,0))*(1+IF(EL$4=$A14,Вводные!$D$5*INDEX(Вводные!$G$13:$G$64,MATCH($A14,Вводные!$A$13:$A$64,0)),0))</f>
        <v>0.12</v>
      </c>
      <c r="EM14" s="32" t="n">
        <f aca="false">INDEX(Вводные!$D$13:$F$64,MATCH($A14,Вводные!$A$13:$A$64,0),MATCH(EM$3,Вводные!$D$11:$F$11,0))*(1+IF(EM$4=$A14,Вводные!$D$5*INDEX(Вводные!$G$13:$G$64,MATCH($A14,Вводные!$A$13:$A$64,0)),0))</f>
        <v>0.12</v>
      </c>
      <c r="EN14" s="32" t="n">
        <f aca="false">INDEX(Вводные!$D$13:$F$64,MATCH($A14,Вводные!$A$13:$A$64,0),MATCH(EN$3,Вводные!$D$11:$F$11,0))*(1+IF(EN$4=$A14,Вводные!$D$5*INDEX(Вводные!$G$13:$G$64,MATCH($A14,Вводные!$A$13:$A$64,0)),0))</f>
        <v>0.12</v>
      </c>
      <c r="EO14" s="32" t="n">
        <f aca="false">INDEX(Вводные!$D$13:$F$64,MATCH($A14,Вводные!$A$13:$A$64,0),MATCH(EO$3,Вводные!$D$11:$F$11,0))*(1+IF(EO$4=$A14,Вводные!$D$5*INDEX(Вводные!$G$13:$G$64,MATCH($A14,Вводные!$A$13:$A$64,0)),0))</f>
        <v>0.12</v>
      </c>
      <c r="EP14" s="32" t="n">
        <f aca="false">INDEX(Вводные!$D$13:$F$64,MATCH($A14,Вводные!$A$13:$A$64,0),MATCH(EP$3,Вводные!$D$11:$F$11,0))*(1+IF(EP$4=$A14,Вводные!$D$5*INDEX(Вводные!$G$13:$G$64,MATCH($A14,Вводные!$A$13:$A$64,0)),0))</f>
        <v>0.12</v>
      </c>
      <c r="EQ14" s="32" t="n">
        <f aca="false">INDEX(Вводные!$D$13:$F$64,MATCH($A14,Вводные!$A$13:$A$64,0),MATCH(EQ$3,Вводные!$D$11:$F$11,0))*(1+IF(EQ$4=$A14,Вводные!$D$5*INDEX(Вводные!$G$13:$G$64,MATCH($A14,Вводные!$A$13:$A$64,0)),0))</f>
        <v>0.12</v>
      </c>
      <c r="ER14" s="32" t="n">
        <f aca="false">INDEX(Вводные!$D$13:$F$64,MATCH($A14,Вводные!$A$13:$A$64,0),MATCH(ER$3,Вводные!$D$11:$F$11,0))*(1+IF(ER$4=$A14,Вводные!$D$5*INDEX(Вводные!$G$13:$G$64,MATCH($A14,Вводные!$A$13:$A$64,0)),0))</f>
        <v>0.12</v>
      </c>
      <c r="ES14" s="32" t="n">
        <f aca="false">INDEX(Вводные!$D$13:$F$64,MATCH($A14,Вводные!$A$13:$A$64,0),MATCH(ES$3,Вводные!$D$11:$F$11,0))*(1+IF(ES$4=$A14,Вводные!$D$5*INDEX(Вводные!$G$13:$G$64,MATCH($A14,Вводные!$A$13:$A$64,0)),0))</f>
        <v>0.12</v>
      </c>
      <c r="ET14" s="32" t="n">
        <f aca="false">INDEX(Вводные!$D$13:$F$64,MATCH($A14,Вводные!$A$13:$A$64,0),MATCH(ET$3,Вводные!$D$11:$F$11,0))*(1+IF(ET$4=$A14,Вводные!$D$5*INDEX(Вводные!$G$13:$G$64,MATCH($A14,Вводные!$A$13:$A$64,0)),0))</f>
        <v>0.12</v>
      </c>
      <c r="EU14" s="32" t="n">
        <f aca="false">INDEX(Вводные!$D$13:$F$64,MATCH($A14,Вводные!$A$13:$A$64,0),MATCH(EU$3,Вводные!$D$11:$F$11,0))*(1+IF(EU$4=$A14,Вводные!$D$5*INDEX(Вводные!$G$13:$G$64,MATCH($A14,Вводные!$A$13:$A$64,0)),0))</f>
        <v>0.12</v>
      </c>
      <c r="EV14" s="32" t="n">
        <f aca="false">INDEX(Вводные!$D$13:$F$64,MATCH($A14,Вводные!$A$13:$A$64,0),MATCH(EV$3,Вводные!$D$11:$F$11,0))*(1+IF(EV$4=$A14,Вводные!$D$5*INDEX(Вводные!$G$13:$G$64,MATCH($A14,Вводные!$A$13:$A$64,0)),0))</f>
        <v>0.12</v>
      </c>
      <c r="EW14" s="32" t="n">
        <f aca="false">INDEX(Вводные!$D$13:$F$64,MATCH($A14,Вводные!$A$13:$A$64,0),MATCH(EW$3,Вводные!$D$11:$F$11,0))*(1+IF(EW$4=$A14,Вводные!$D$5*INDEX(Вводные!$G$13:$G$64,MATCH($A14,Вводные!$A$13:$A$64,0)),0))</f>
        <v>0.12</v>
      </c>
      <c r="EX14" s="32" t="n">
        <f aca="false">INDEX(Вводные!$D$13:$F$64,MATCH($A14,Вводные!$A$13:$A$64,0),MATCH(EX$3,Вводные!$D$11:$F$11,0))*(1+IF(EX$4=$A14,Вводные!$D$5*INDEX(Вводные!$G$13:$G$64,MATCH($A14,Вводные!$A$13:$A$64,0)),0))</f>
        <v>0.12</v>
      </c>
      <c r="EY14" s="32" t="n">
        <f aca="false">INDEX(Вводные!$D$13:$F$64,MATCH($A14,Вводные!$A$13:$A$64,0),MATCH(EY$3,Вводные!$D$11:$F$11,0))*(1+IF(EY$4=$A14,Вводные!$D$5*INDEX(Вводные!$G$13:$G$64,MATCH($A14,Вводные!$A$13:$A$64,0)),0))</f>
        <v>0.12</v>
      </c>
      <c r="EZ14" s="32" t="n">
        <f aca="false">INDEX(Вводные!$D$13:$F$64,MATCH($A14,Вводные!$A$13:$A$64,0),MATCH(EZ$3,Вводные!$D$11:$F$11,0))*(1+IF(EZ$4=$A14,Вводные!$D$5*INDEX(Вводные!$G$13:$G$64,MATCH($A14,Вводные!$A$13:$A$64,0)),0))</f>
        <v>0.12</v>
      </c>
      <c r="FA14" s="32" t="n">
        <f aca="false">INDEX(Вводные!$D$13:$F$64,MATCH($A14,Вводные!$A$13:$A$64,0),MATCH(FA$3,Вводные!$D$11:$F$11,0))*(1+IF(FA$4=$A14,Вводные!$D$5*INDEX(Вводные!$G$13:$G$64,MATCH($A14,Вводные!$A$13:$A$64,0)),0))</f>
        <v>0.12</v>
      </c>
      <c r="FB14" s="32" t="n">
        <f aca="false">INDEX(Вводные!$D$13:$F$64,MATCH($A14,Вводные!$A$13:$A$64,0),MATCH(FB$3,Вводные!$D$11:$F$11,0))*(1+IF(FB$4=$A14,Вводные!$D$5*INDEX(Вводные!$G$13:$G$64,MATCH($A14,Вводные!$A$13:$A$64,0)),0))</f>
        <v>0.12</v>
      </c>
      <c r="FC14" s="32" t="n">
        <f aca="false">INDEX(Вводные!$D$13:$F$64,MATCH($A14,Вводные!$A$13:$A$64,0),MATCH(FC$3,Вводные!$D$11:$F$11,0))*(1+IF(FC$4=$A14,Вводные!$D$5*INDEX(Вводные!$G$13:$G$64,MATCH($A14,Вводные!$A$13:$A$64,0)),0))</f>
        <v>0.12</v>
      </c>
      <c r="FD14" s="32" t="n">
        <f aca="false">INDEX(Вводные!$D$13:$F$64,MATCH($A14,Вводные!$A$13:$A$64,0),MATCH(FD$3,Вводные!$D$11:$F$11,0))*(1+IF(FD$4=$A14,Вводные!$D$5*INDEX(Вводные!$G$13:$G$64,MATCH($A14,Вводные!$A$13:$A$64,0)),0))</f>
        <v>0.12</v>
      </c>
      <c r="FE14" s="32" t="n">
        <f aca="false">INDEX(Вводные!$D$13:$F$64,MATCH($A14,Вводные!$A$13:$A$64,0),MATCH(FE$3,Вводные!$D$11:$F$11,0))*(1+IF(FE$4=$A14,Вводные!$D$5*INDEX(Вводные!$G$13:$G$64,MATCH($A14,Вводные!$A$13:$A$64,0)),0))</f>
        <v>0.12</v>
      </c>
      <c r="FF14" s="32" t="n">
        <f aca="false">INDEX(Вводные!$D$13:$F$64,MATCH($A14,Вводные!$A$13:$A$64,0),MATCH(FF$3,Вводные!$D$11:$F$11,0))*(1+IF(FF$4=$A14,Вводные!$D$5*INDEX(Вводные!$G$13:$G$64,MATCH($A14,Вводные!$A$13:$A$64,0)),0))</f>
        <v>0.12</v>
      </c>
      <c r="FG14" s="32" t="n">
        <f aca="false">INDEX(Вводные!$D$13:$F$64,MATCH($A14,Вводные!$A$13:$A$64,0),MATCH(FG$3,Вводные!$D$11:$F$11,0))*(1+IF(FG$4=$A14,Вводные!$D$5*INDEX(Вводные!$G$13:$G$64,MATCH($A14,Вводные!$A$13:$A$64,0)),0))</f>
        <v>0.12</v>
      </c>
      <c r="FH14" s="32" t="n">
        <f aca="false">INDEX(Вводные!$D$13:$F$64,MATCH($A14,Вводные!$A$13:$A$64,0),MATCH(FH$3,Вводные!$D$11:$F$11,0))*(1+IF(FH$4=$A14,Вводные!$D$5*INDEX(Вводные!$G$13:$G$64,MATCH($A14,Вводные!$A$13:$A$64,0)),0))</f>
        <v>0.12</v>
      </c>
      <c r="FI14" s="32" t="n">
        <f aca="false">INDEX(Вводные!$D$13:$F$64,MATCH($A14,Вводные!$A$13:$A$64,0),MATCH(FI$3,Вводные!$D$11:$F$11,0))*(1+IF(FI$4=$A14,Вводные!$D$5*INDEX(Вводные!$G$13:$G$64,MATCH($A14,Вводные!$A$13:$A$64,0)),0))</f>
        <v>0.12</v>
      </c>
      <c r="FJ14" s="32" t="n">
        <f aca="false">INDEX(Вводные!$D$13:$F$64,MATCH($A14,Вводные!$A$13:$A$64,0),MATCH(FJ$3,Вводные!$D$11:$F$11,0))*(1+IF(FJ$4=$A14,Вводные!$D$5*INDEX(Вводные!$G$13:$G$64,MATCH($A14,Вводные!$A$13:$A$64,0)),0))</f>
        <v>0.12</v>
      </c>
      <c r="FK14" s="32" t="n">
        <f aca="false">INDEX(Вводные!$D$13:$F$64,MATCH($A14,Вводные!$A$13:$A$64,0),MATCH(FK$3,Вводные!$D$11:$F$11,0))*(1+IF(FK$4=$A14,Вводные!$D$5*INDEX(Вводные!$G$13:$G$64,MATCH($A14,Вводные!$A$13:$A$64,0)),0))</f>
        <v>0.12</v>
      </c>
      <c r="FL14" s="32" t="n">
        <f aca="false">INDEX(Вводные!$D$13:$F$64,MATCH($A14,Вводные!$A$13:$A$64,0),MATCH(FL$3,Вводные!$D$11:$F$11,0))*(1+IF(FL$4=$A14,Вводные!$D$5*INDEX(Вводные!$G$13:$G$64,MATCH($A14,Вводные!$A$13:$A$64,0)),0))</f>
        <v>0.12</v>
      </c>
      <c r="FM14" s="32" t="n">
        <f aca="false">INDEX(Вводные!$D$13:$F$64,MATCH($A14,Вводные!$A$13:$A$64,0),MATCH(FM$3,Вводные!$D$11:$F$11,0))*(1+IF(FM$4=$A14,Вводные!$D$5*INDEX(Вводные!$G$13:$G$64,MATCH($A14,Вводные!$A$13:$A$64,0)),0))</f>
        <v>0.12</v>
      </c>
      <c r="FN14" s="32" t="n">
        <f aca="false">INDEX(Вводные!$D$13:$F$64,MATCH($A14,Вводные!$A$13:$A$64,0),MATCH(FN$3,Вводные!$D$11:$F$11,0))*(1+IF(FN$4=$A14,Вводные!$D$5*INDEX(Вводные!$G$13:$G$64,MATCH($A14,Вводные!$A$13:$A$64,0)),0))</f>
        <v>0.12</v>
      </c>
      <c r="FO14" s="32" t="n">
        <f aca="false">INDEX(Вводные!$D$13:$F$64,MATCH($A14,Вводные!$A$13:$A$64,0),MATCH(FO$3,Вводные!$D$11:$F$11,0))*(1+IF(FO$4=$A14,Вводные!$D$5*INDEX(Вводные!$G$13:$G$64,MATCH($A14,Вводные!$A$13:$A$64,0)),0))</f>
        <v>0.12</v>
      </c>
      <c r="FP14" s="32" t="n">
        <f aca="false">INDEX(Вводные!$D$13:$F$64,MATCH($A14,Вводные!$A$13:$A$64,0),MATCH(FP$3,Вводные!$D$11:$F$11,0))*(1+IF(FP$4=$A14,Вводные!$D$5*INDEX(Вводные!$G$13:$G$64,MATCH($A14,Вводные!$A$13:$A$64,0)),0))</f>
        <v>0.12</v>
      </c>
      <c r="FQ14" s="32" t="n">
        <f aca="false">INDEX(Вводные!$D$13:$F$64,MATCH($A14,Вводные!$A$13:$A$64,0),MATCH(FQ$3,Вводные!$D$11:$F$11,0))*(1+IF(FQ$4=$A14,Вводные!$D$5*INDEX(Вводные!$G$13:$G$64,MATCH($A14,Вводные!$A$13:$A$64,0)),0))</f>
        <v>0.12</v>
      </c>
      <c r="FR14" s="32" t="n">
        <f aca="false">INDEX(Вводные!$D$13:$F$64,MATCH($A14,Вводные!$A$13:$A$64,0),MATCH(FR$3,Вводные!$D$11:$F$11,0))*(1+IF(FR$4=$A14,Вводные!$D$5*INDEX(Вводные!$G$13:$G$64,MATCH($A14,Вводные!$A$13:$A$64,0)),0))</f>
        <v>0.12</v>
      </c>
      <c r="FS14" s="32" t="n">
        <f aca="false">INDEX(Вводные!$D$13:$F$64,MATCH($A14,Вводные!$A$13:$A$64,0),MATCH(FS$3,Вводные!$D$11:$F$11,0))*(1+IF(FS$4=$A14,Вводные!$D$5*INDEX(Вводные!$G$13:$G$64,MATCH($A14,Вводные!$A$13:$A$64,0)),0))</f>
        <v>0.12</v>
      </c>
      <c r="FT14" s="32" t="n">
        <f aca="false">INDEX(Вводные!$D$13:$F$64,MATCH($A14,Вводные!$A$13:$A$64,0),MATCH(FT$3,Вводные!$D$11:$F$11,0))*(1+IF(FT$4=$A14,Вводные!$D$5*INDEX(Вводные!$G$13:$G$64,MATCH($A14,Вводные!$A$13:$A$64,0)),0))</f>
        <v>0.12</v>
      </c>
      <c r="FU14" s="32" t="n">
        <f aca="false">INDEX(Вводные!$D$13:$F$64,MATCH($A14,Вводные!$A$13:$A$64,0),MATCH(FU$3,Вводные!$D$11:$F$11,0))*(1+IF(FU$4=$A14,Вводные!$D$5*INDEX(Вводные!$G$13:$G$64,MATCH($A14,Вводные!$A$13:$A$64,0)),0))</f>
        <v>0.12</v>
      </c>
      <c r="FV14" s="32" t="n">
        <f aca="false">INDEX(Вводные!$D$13:$F$64,MATCH($A14,Вводные!$A$13:$A$64,0),MATCH(FV$3,Вводные!$D$11:$F$11,0))*(1+IF(FV$4=$A14,Вводные!$D$5*INDEX(Вводные!$G$13:$G$64,MATCH($A14,Вводные!$A$13:$A$64,0)),0))</f>
        <v>0.06</v>
      </c>
      <c r="FW14" s="32" t="n">
        <f aca="false">INDEX(Вводные!$D$13:$F$64,MATCH($A14,Вводные!$A$13:$A$64,0),MATCH(FW$3,Вводные!$D$11:$F$11,0))*(1+IF(FW$4=$A14,Вводные!$D$5*INDEX(Вводные!$G$13:$G$64,MATCH($A14,Вводные!$A$13:$A$64,0)),0))</f>
        <v>0.06</v>
      </c>
      <c r="FX14" s="32" t="n">
        <f aca="false">INDEX(Вводные!$D$13:$F$64,MATCH($A14,Вводные!$A$13:$A$64,0),MATCH(FX$3,Вводные!$D$11:$F$11,0))*(1+IF(FX$4=$A14,Вводные!$D$5*INDEX(Вводные!$G$13:$G$64,MATCH($A14,Вводные!$A$13:$A$64,0)),0))</f>
        <v>0.06</v>
      </c>
      <c r="FY14" s="32" t="n">
        <f aca="false">INDEX(Вводные!$D$13:$F$64,MATCH($A14,Вводные!$A$13:$A$64,0),MATCH(FY$3,Вводные!$D$11:$F$11,0))*(1+IF(FY$4=$A14,Вводные!$D$5*INDEX(Вводные!$G$13:$G$64,MATCH($A14,Вводные!$A$13:$A$64,0)),0))</f>
        <v>0.06</v>
      </c>
      <c r="FZ14" s="32" t="n">
        <f aca="false">INDEX(Вводные!$D$13:$F$64,MATCH($A14,Вводные!$A$13:$A$64,0),MATCH(FZ$3,Вводные!$D$11:$F$11,0))*(1+IF(FZ$4=$A14,Вводные!$D$5*INDEX(Вводные!$G$13:$G$64,MATCH($A14,Вводные!$A$13:$A$64,0)),0))</f>
        <v>0.0594</v>
      </c>
      <c r="GA14" s="32" t="n">
        <f aca="false">INDEX(Вводные!$D$13:$F$64,MATCH($A14,Вводные!$A$13:$A$64,0),MATCH(GA$3,Вводные!$D$11:$F$11,0))*(1+IF(GA$4=$A14,Вводные!$D$5*INDEX(Вводные!$G$13:$G$64,MATCH($A14,Вводные!$A$13:$A$64,0)),0))</f>
        <v>0.06</v>
      </c>
      <c r="GB14" s="32" t="n">
        <f aca="false">INDEX(Вводные!$D$13:$F$64,MATCH($A14,Вводные!$A$13:$A$64,0),MATCH(GB$3,Вводные!$D$11:$F$11,0))*(1+IF(GB$4=$A14,Вводные!$D$5*INDEX(Вводные!$G$13:$G$64,MATCH($A14,Вводные!$A$13:$A$64,0)),0))</f>
        <v>0.06</v>
      </c>
      <c r="GC14" s="32" t="n">
        <f aca="false">INDEX(Вводные!$D$13:$F$64,MATCH($A14,Вводные!$A$13:$A$64,0),MATCH(GC$3,Вводные!$D$11:$F$11,0))*(1+IF(GC$4=$A14,Вводные!$D$5*INDEX(Вводные!$G$13:$G$64,MATCH($A14,Вводные!$A$13:$A$64,0)),0))</f>
        <v>0.06</v>
      </c>
      <c r="GD14" s="32" t="n">
        <f aca="false">INDEX(Вводные!$D$13:$F$64,MATCH($A14,Вводные!$A$13:$A$64,0),MATCH(GD$3,Вводные!$D$11:$F$11,0))*(1+IF(GD$4=$A14,Вводные!$D$5*INDEX(Вводные!$G$13:$G$64,MATCH($A14,Вводные!$A$13:$A$64,0)),0))</f>
        <v>0.06</v>
      </c>
      <c r="GE14" s="32" t="n">
        <f aca="false">INDEX(Вводные!$D$13:$F$64,MATCH($A14,Вводные!$A$13:$A$64,0),MATCH(GE$3,Вводные!$D$11:$F$11,0))*(1+IF(GE$4=$A14,Вводные!$D$5*INDEX(Вводные!$G$13:$G$64,MATCH($A14,Вводные!$A$13:$A$64,0)),0))</f>
        <v>0.06</v>
      </c>
      <c r="GF14" s="32" t="n">
        <f aca="false">INDEX(Вводные!$D$13:$F$64,MATCH($A14,Вводные!$A$13:$A$64,0),MATCH(GF$3,Вводные!$D$11:$F$11,0))*(1+IF(GF$4=$A14,Вводные!$D$5*INDEX(Вводные!$G$13:$G$64,MATCH($A14,Вводные!$A$13:$A$64,0)),0))</f>
        <v>0.06</v>
      </c>
      <c r="GG14" s="32" t="n">
        <f aca="false">INDEX(Вводные!$D$13:$F$64,MATCH($A14,Вводные!$A$13:$A$64,0),MATCH(GG$3,Вводные!$D$11:$F$11,0))*(1+IF(GG$4=$A14,Вводные!$D$5*INDEX(Вводные!$G$13:$G$64,MATCH($A14,Вводные!$A$13:$A$64,0)),0))</f>
        <v>0.06</v>
      </c>
      <c r="GH14" s="32" t="n">
        <f aca="false">INDEX(Вводные!$D$13:$F$64,MATCH($A14,Вводные!$A$13:$A$64,0),MATCH(GH$3,Вводные!$D$11:$F$11,0))*(1+IF(GH$4=$A14,Вводные!$D$5*INDEX(Вводные!$G$13:$G$64,MATCH($A14,Вводные!$A$13:$A$64,0)),0))</f>
        <v>0.06</v>
      </c>
      <c r="GI14" s="32" t="n">
        <f aca="false">INDEX(Вводные!$D$13:$F$64,MATCH($A14,Вводные!$A$13:$A$64,0),MATCH(GI$3,Вводные!$D$11:$F$11,0))*(1+IF(GI$4=$A14,Вводные!$D$5*INDEX(Вводные!$G$13:$G$64,MATCH($A14,Вводные!$A$13:$A$64,0)),0))</f>
        <v>0.06</v>
      </c>
      <c r="GJ14" s="32" t="n">
        <f aca="false">INDEX(Вводные!$D$13:$F$64,MATCH($A14,Вводные!$A$13:$A$64,0),MATCH(GJ$3,Вводные!$D$11:$F$11,0))*(1+IF(GJ$4=$A14,Вводные!$D$5*INDEX(Вводные!$G$13:$G$64,MATCH($A14,Вводные!$A$13:$A$64,0)),0))</f>
        <v>0.06</v>
      </c>
      <c r="GK14" s="32" t="n">
        <f aca="false">INDEX(Вводные!$D$13:$F$64,MATCH($A14,Вводные!$A$13:$A$64,0),MATCH(GK$3,Вводные!$D$11:$F$11,0))*(1+IF(GK$4=$A14,Вводные!$D$5*INDEX(Вводные!$G$13:$G$64,MATCH($A14,Вводные!$A$13:$A$64,0)),0))</f>
        <v>0.06</v>
      </c>
      <c r="GL14" s="32" t="n">
        <f aca="false">INDEX(Вводные!$D$13:$F$64,MATCH($A14,Вводные!$A$13:$A$64,0),MATCH(GL$3,Вводные!$D$11:$F$11,0))*(1+IF(GL$4=$A14,Вводные!$D$5*INDEX(Вводные!$G$13:$G$64,MATCH($A14,Вводные!$A$13:$A$64,0)),0))</f>
        <v>0.06</v>
      </c>
      <c r="GM14" s="32" t="n">
        <f aca="false">INDEX(Вводные!$D$13:$F$64,MATCH($A14,Вводные!$A$13:$A$64,0),MATCH(GM$3,Вводные!$D$11:$F$11,0))*(1+IF(GM$4=$A14,Вводные!$D$5*INDEX(Вводные!$G$13:$G$64,MATCH($A14,Вводные!$A$13:$A$64,0)),0))</f>
        <v>0.06</v>
      </c>
      <c r="GN14" s="32" t="n">
        <f aca="false">INDEX(Вводные!$D$13:$F$64,MATCH($A14,Вводные!$A$13:$A$64,0),MATCH(GN$3,Вводные!$D$11:$F$11,0))*(1+IF(GN$4=$A14,Вводные!$D$5*INDEX(Вводные!$G$13:$G$64,MATCH($A14,Вводные!$A$13:$A$64,0)),0))</f>
        <v>0.06</v>
      </c>
      <c r="GO14" s="32" t="n">
        <f aca="false">INDEX(Вводные!$D$13:$F$64,MATCH($A14,Вводные!$A$13:$A$64,0),MATCH(GO$3,Вводные!$D$11:$F$11,0))*(1+IF(GO$4=$A14,Вводные!$D$5*INDEX(Вводные!$G$13:$G$64,MATCH($A14,Вводные!$A$13:$A$64,0)),0))</f>
        <v>0.06</v>
      </c>
      <c r="GP14" s="32" t="n">
        <f aca="false">INDEX(Вводные!$D$13:$F$64,MATCH($A14,Вводные!$A$13:$A$64,0),MATCH(GP$3,Вводные!$D$11:$F$11,0))*(1+IF(GP$4=$A14,Вводные!$D$5*INDEX(Вводные!$G$13:$G$64,MATCH($A14,Вводные!$A$13:$A$64,0)),0))</f>
        <v>0.06</v>
      </c>
      <c r="GQ14" s="32" t="n">
        <f aca="false">INDEX(Вводные!$D$13:$F$64,MATCH($A14,Вводные!$A$13:$A$64,0),MATCH(GQ$3,Вводные!$D$11:$F$11,0))*(1+IF(GQ$4=$A14,Вводные!$D$5*INDEX(Вводные!$G$13:$G$64,MATCH($A14,Вводные!$A$13:$A$64,0)),0))</f>
        <v>0.06</v>
      </c>
      <c r="GR14" s="32" t="n">
        <f aca="false">INDEX(Вводные!$D$13:$F$64,MATCH($A14,Вводные!$A$13:$A$64,0),MATCH(GR$3,Вводные!$D$11:$F$11,0))*(1+IF(GR$4=$A14,Вводные!$D$5*INDEX(Вводные!$G$13:$G$64,MATCH($A14,Вводные!$A$13:$A$64,0)),0))</f>
        <v>0.06</v>
      </c>
      <c r="GS14" s="32" t="n">
        <f aca="false">INDEX(Вводные!$D$13:$F$64,MATCH($A14,Вводные!$A$13:$A$64,0),MATCH(GS$3,Вводные!$D$11:$F$11,0))*(1+IF(GS$4=$A14,Вводные!$D$5*INDEX(Вводные!$G$13:$G$64,MATCH($A14,Вводные!$A$13:$A$64,0)),0))</f>
        <v>0.06</v>
      </c>
      <c r="GT14" s="32" t="n">
        <f aca="false">INDEX(Вводные!$D$13:$F$64,MATCH($A14,Вводные!$A$13:$A$64,0),MATCH(GT$3,Вводные!$D$11:$F$11,0))*(1+IF(GT$4=$A14,Вводные!$D$5*INDEX(Вводные!$G$13:$G$64,MATCH($A14,Вводные!$A$13:$A$64,0)),0))</f>
        <v>0.06</v>
      </c>
      <c r="GU14" s="32" t="n">
        <f aca="false">INDEX(Вводные!$D$13:$F$64,MATCH($A14,Вводные!$A$13:$A$64,0),MATCH(GU$3,Вводные!$D$11:$F$11,0))*(1+IF(GU$4=$A14,Вводные!$D$5*INDEX(Вводные!$G$13:$G$64,MATCH($A14,Вводные!$A$13:$A$64,0)),0))</f>
        <v>0.06</v>
      </c>
      <c r="GV14" s="32" t="n">
        <f aca="false">INDEX(Вводные!$D$13:$F$64,MATCH($A14,Вводные!$A$13:$A$64,0),MATCH(GV$3,Вводные!$D$11:$F$11,0))*(1+IF(GV$4=$A14,Вводные!$D$5*INDEX(Вводные!$G$13:$G$64,MATCH($A14,Вводные!$A$13:$A$64,0)),0))</f>
        <v>0.06</v>
      </c>
      <c r="GW14" s="32" t="n">
        <f aca="false">INDEX(Вводные!$D$13:$F$64,MATCH($A14,Вводные!$A$13:$A$64,0),MATCH(GW$3,Вводные!$D$11:$F$11,0))*(1+IF(GW$4=$A14,Вводные!$D$5*INDEX(Вводные!$G$13:$G$64,MATCH($A14,Вводные!$A$13:$A$64,0)),0))</f>
        <v>0.06</v>
      </c>
      <c r="GX14" s="32" t="n">
        <f aca="false">INDEX(Вводные!$D$13:$F$64,MATCH($A14,Вводные!$A$13:$A$64,0),MATCH(GX$3,Вводные!$D$11:$F$11,0))*(1+IF(GX$4=$A14,Вводные!$D$5*INDEX(Вводные!$G$13:$G$64,MATCH($A14,Вводные!$A$13:$A$64,0)),0))</f>
        <v>0.06</v>
      </c>
      <c r="GY14" s="32" t="n">
        <f aca="false">INDEX(Вводные!$D$13:$F$64,MATCH($A14,Вводные!$A$13:$A$64,0),MATCH(GY$3,Вводные!$D$11:$F$11,0))*(1+IF(GY$4=$A14,Вводные!$D$5*INDEX(Вводные!$G$13:$G$64,MATCH($A14,Вводные!$A$13:$A$64,0)),0))</f>
        <v>0.06</v>
      </c>
      <c r="GZ14" s="32" t="n">
        <f aca="false">INDEX(Вводные!$D$13:$F$64,MATCH($A14,Вводные!$A$13:$A$64,0),MATCH(GZ$3,Вводные!$D$11:$F$11,0))*(1+IF(GZ$4=$A14,Вводные!$D$5*INDEX(Вводные!$G$13:$G$64,MATCH($A14,Вводные!$A$13:$A$64,0)),0))</f>
        <v>0.06</v>
      </c>
      <c r="HA14" s="32" t="n">
        <f aca="false">INDEX(Вводные!$D$13:$F$64,MATCH($A14,Вводные!$A$13:$A$64,0),MATCH(HA$3,Вводные!$D$11:$F$11,0))*(1+IF(HA$4=$A14,Вводные!$D$5*INDEX(Вводные!$G$13:$G$64,MATCH($A14,Вводные!$A$13:$A$64,0)),0))</f>
        <v>0.06</v>
      </c>
      <c r="HB14" s="32" t="n">
        <f aca="false">INDEX(Вводные!$D$13:$F$64,MATCH($A14,Вводные!$A$13:$A$64,0),MATCH(HB$3,Вводные!$D$11:$F$11,0))*(1+IF(HB$4=$A14,Вводные!$D$5*INDEX(Вводные!$G$13:$G$64,MATCH($A14,Вводные!$A$13:$A$64,0)),0))</f>
        <v>0.06</v>
      </c>
      <c r="HC14" s="32" t="n">
        <f aca="false">INDEX(Вводные!$D$13:$F$64,MATCH($A14,Вводные!$A$13:$A$64,0),MATCH(HC$3,Вводные!$D$11:$F$11,0))*(1+IF(HC$4=$A14,Вводные!$D$5*INDEX(Вводные!$G$13:$G$64,MATCH($A14,Вводные!$A$13:$A$64,0)),0))</f>
        <v>0.06</v>
      </c>
      <c r="HD14" s="32" t="n">
        <f aca="false">INDEX(Вводные!$D$13:$F$64,MATCH($A14,Вводные!$A$13:$A$64,0),MATCH(HD$3,Вводные!$D$11:$F$11,0))*(1+IF(HD$4=$A14,Вводные!$D$5*INDEX(Вводные!$G$13:$G$64,MATCH($A14,Вводные!$A$13:$A$64,0)),0))</f>
        <v>0.06</v>
      </c>
      <c r="HE14" s="32" t="n">
        <f aca="false">INDEX(Вводные!$D$13:$F$64,MATCH($A14,Вводные!$A$13:$A$64,0),MATCH(HE$3,Вводные!$D$11:$F$11,0))*(1+IF(HE$4=$A14,Вводные!$D$5*INDEX(Вводные!$G$13:$G$64,MATCH($A14,Вводные!$A$13:$A$64,0)),0))</f>
        <v>0.06</v>
      </c>
      <c r="HF14" s="32" t="n">
        <f aca="false">INDEX(Вводные!$D$13:$F$64,MATCH($A14,Вводные!$A$13:$A$64,0),MATCH(HF$3,Вводные!$D$11:$F$11,0))*(1+IF(HF$4=$A14,Вводные!$D$5*INDEX(Вводные!$G$13:$G$64,MATCH($A14,Вводные!$A$13:$A$64,0)),0))</f>
        <v>0.06</v>
      </c>
      <c r="HG14" s="32" t="n">
        <f aca="false">INDEX(Вводные!$D$13:$F$64,MATCH($A14,Вводные!$A$13:$A$64,0),MATCH(HG$3,Вводные!$D$11:$F$11,0))*(1+IF(HG$4=$A14,Вводные!$D$5*INDEX(Вводные!$G$13:$G$64,MATCH($A14,Вводные!$A$13:$A$64,0)),0))</f>
        <v>0.06</v>
      </c>
      <c r="HH14" s="32" t="n">
        <f aca="false">INDEX(Вводные!$D$13:$F$64,MATCH($A14,Вводные!$A$13:$A$64,0),MATCH(HH$3,Вводные!$D$11:$F$11,0))*(1+IF(HH$4=$A14,Вводные!$D$5*INDEX(Вводные!$G$13:$G$64,MATCH($A14,Вводные!$A$13:$A$64,0)),0))</f>
        <v>0.06</v>
      </c>
      <c r="HI14" s="32" t="n">
        <f aca="false">INDEX(Вводные!$D$13:$F$64,MATCH($A14,Вводные!$A$13:$A$64,0),MATCH(HI$3,Вводные!$D$11:$F$11,0))*(1+IF(HI$4=$A14,Вводные!$D$5*INDEX(Вводные!$G$13:$G$64,MATCH($A14,Вводные!$A$13:$A$64,0)),0))</f>
        <v>0.06</v>
      </c>
      <c r="HJ14" s="32" t="n">
        <f aca="false">INDEX(Вводные!$D$13:$F$64,MATCH($A14,Вводные!$A$13:$A$64,0),MATCH(HJ$3,Вводные!$D$11:$F$11,0))*(1+IF(HJ$4=$A14,Вводные!$D$5*INDEX(Вводные!$G$13:$G$64,MATCH($A14,Вводные!$A$13:$A$64,0)),0))</f>
        <v>0.06</v>
      </c>
      <c r="HK14" s="32" t="n">
        <f aca="false">INDEX(Вводные!$D$13:$F$64,MATCH($A14,Вводные!$A$13:$A$64,0),MATCH(HK$3,Вводные!$D$11:$F$11,0))*(1+IF(HK$4=$A14,Вводные!$D$5*INDEX(Вводные!$G$13:$G$64,MATCH($A14,Вводные!$A$13:$A$64,0)),0))</f>
        <v>0.06</v>
      </c>
      <c r="HL14" s="32" t="n">
        <f aca="false">INDEX(Вводные!$D$13:$F$64,MATCH($A14,Вводные!$A$13:$A$64,0),MATCH(HL$3,Вводные!$D$11:$F$11,0))*(1+IF(HL$4=$A14,Вводные!$D$5*INDEX(Вводные!$G$13:$G$64,MATCH($A14,Вводные!$A$13:$A$64,0)),0))</f>
        <v>0.08</v>
      </c>
      <c r="HM14" s="32" t="n">
        <f aca="false">INDEX(Вводные!$D$13:$F$64,MATCH($A14,Вводные!$A$13:$A$64,0),MATCH(HM$3,Вводные!$D$11:$F$11,0))*(1+IF(HM$4=$A14,Вводные!$D$5*INDEX(Вводные!$G$13:$G$64,MATCH($A14,Вводные!$A$13:$A$64,0)),0))</f>
        <v>0.08</v>
      </c>
      <c r="HN14" s="32" t="n">
        <f aca="false">INDEX(Вводные!$D$13:$F$64,MATCH($A14,Вводные!$A$13:$A$64,0),MATCH(HN$3,Вводные!$D$11:$F$11,0))*(1+IF(HN$4=$A14,Вводные!$D$5*INDEX(Вводные!$G$13:$G$64,MATCH($A14,Вводные!$A$13:$A$64,0)),0))</f>
        <v>0.08</v>
      </c>
      <c r="HO14" s="32" t="n">
        <f aca="false">INDEX(Вводные!$D$13:$F$64,MATCH($A14,Вводные!$A$13:$A$64,0),MATCH(HO$3,Вводные!$D$11:$F$11,0))*(1+IF(HO$4=$A14,Вводные!$D$5*INDEX(Вводные!$G$13:$G$64,MATCH($A14,Вводные!$A$13:$A$64,0)),0))</f>
        <v>0.08</v>
      </c>
      <c r="HP14" s="32" t="n">
        <f aca="false">INDEX(Вводные!$D$13:$F$64,MATCH($A14,Вводные!$A$13:$A$64,0),MATCH(HP$3,Вводные!$D$11:$F$11,0))*(1+IF(HP$4=$A14,Вводные!$D$5*INDEX(Вводные!$G$13:$G$64,MATCH($A14,Вводные!$A$13:$A$64,0)),0))</f>
        <v>0.0792</v>
      </c>
      <c r="HQ14" s="32" t="n">
        <f aca="false">INDEX(Вводные!$D$13:$F$64,MATCH($A14,Вводные!$A$13:$A$64,0),MATCH(HQ$3,Вводные!$D$11:$F$11,0))*(1+IF(HQ$4=$A14,Вводные!$D$5*INDEX(Вводные!$G$13:$G$64,MATCH($A14,Вводные!$A$13:$A$64,0)),0))</f>
        <v>0.08</v>
      </c>
      <c r="HR14" s="32" t="n">
        <f aca="false">INDEX(Вводные!$D$13:$F$64,MATCH($A14,Вводные!$A$13:$A$64,0),MATCH(HR$3,Вводные!$D$11:$F$11,0))*(1+IF(HR$4=$A14,Вводные!$D$5*INDEX(Вводные!$G$13:$G$64,MATCH($A14,Вводные!$A$13:$A$64,0)),0))</f>
        <v>0.08</v>
      </c>
      <c r="HS14" s="32" t="n">
        <f aca="false">INDEX(Вводные!$D$13:$F$64,MATCH($A14,Вводные!$A$13:$A$64,0),MATCH(HS$3,Вводные!$D$11:$F$11,0))*(1+IF(HS$4=$A14,Вводные!$D$5*INDEX(Вводные!$G$13:$G$64,MATCH($A14,Вводные!$A$13:$A$64,0)),0))</f>
        <v>0.08</v>
      </c>
      <c r="HT14" s="32" t="n">
        <f aca="false">INDEX(Вводные!$D$13:$F$64,MATCH($A14,Вводные!$A$13:$A$64,0),MATCH(HT$3,Вводные!$D$11:$F$11,0))*(1+IF(HT$4=$A14,Вводные!$D$5*INDEX(Вводные!$G$13:$G$64,MATCH($A14,Вводные!$A$13:$A$64,0)),0))</f>
        <v>0.08</v>
      </c>
      <c r="HU14" s="32" t="n">
        <f aca="false">INDEX(Вводные!$D$13:$F$64,MATCH($A14,Вводные!$A$13:$A$64,0),MATCH(HU$3,Вводные!$D$11:$F$11,0))*(1+IF(HU$4=$A14,Вводные!$D$5*INDEX(Вводные!$G$13:$G$64,MATCH($A14,Вводные!$A$13:$A$64,0)),0))</f>
        <v>0.08</v>
      </c>
      <c r="HV14" s="32" t="n">
        <f aca="false">INDEX(Вводные!$D$13:$F$64,MATCH($A14,Вводные!$A$13:$A$64,0),MATCH(HV$3,Вводные!$D$11:$F$11,0))*(1+IF(HV$4=$A14,Вводные!$D$5*INDEX(Вводные!$G$13:$G$64,MATCH($A14,Вводные!$A$13:$A$64,0)),0))</f>
        <v>0.08</v>
      </c>
      <c r="HW14" s="32" t="n">
        <f aca="false">INDEX(Вводные!$D$13:$F$64,MATCH($A14,Вводные!$A$13:$A$64,0),MATCH(HW$3,Вводные!$D$11:$F$11,0))*(1+IF(HW$4=$A14,Вводные!$D$5*INDEX(Вводные!$G$13:$G$64,MATCH($A14,Вводные!$A$13:$A$64,0)),0))</f>
        <v>0.08</v>
      </c>
      <c r="HX14" s="32" t="n">
        <f aca="false">INDEX(Вводные!$D$13:$F$64,MATCH($A14,Вводные!$A$13:$A$64,0),MATCH(HX$3,Вводные!$D$11:$F$11,0))*(1+IF(HX$4=$A14,Вводные!$D$5*INDEX(Вводные!$G$13:$G$64,MATCH($A14,Вводные!$A$13:$A$64,0)),0))</f>
        <v>0.08</v>
      </c>
      <c r="HY14" s="32" t="n">
        <f aca="false">INDEX(Вводные!$D$13:$F$64,MATCH($A14,Вводные!$A$13:$A$64,0),MATCH(HY$3,Вводные!$D$11:$F$11,0))*(1+IF(HY$4=$A14,Вводные!$D$5*INDEX(Вводные!$G$13:$G$64,MATCH($A14,Вводные!$A$13:$A$64,0)),0))</f>
        <v>0.08</v>
      </c>
      <c r="HZ14" s="32" t="n">
        <f aca="false">INDEX(Вводные!$D$13:$F$64,MATCH($A14,Вводные!$A$13:$A$64,0),MATCH(HZ$3,Вводные!$D$11:$F$11,0))*(1+IF(HZ$4=$A14,Вводные!$D$5*INDEX(Вводные!$G$13:$G$64,MATCH($A14,Вводные!$A$13:$A$64,0)),0))</f>
        <v>0.08</v>
      </c>
      <c r="IA14" s="32" t="n">
        <f aca="false">INDEX(Вводные!$D$13:$F$64,MATCH($A14,Вводные!$A$13:$A$64,0),MATCH(IA$3,Вводные!$D$11:$F$11,0))*(1+IF(IA$4=$A14,Вводные!$D$5*INDEX(Вводные!$G$13:$G$64,MATCH($A14,Вводные!$A$13:$A$64,0)),0))</f>
        <v>0.08</v>
      </c>
      <c r="IB14" s="32" t="n">
        <f aca="false">INDEX(Вводные!$D$13:$F$64,MATCH($A14,Вводные!$A$13:$A$64,0),MATCH(IB$3,Вводные!$D$11:$F$11,0))*(1+IF(IB$4=$A14,Вводные!$D$5*INDEX(Вводные!$G$13:$G$64,MATCH($A14,Вводные!$A$13:$A$64,0)),0))</f>
        <v>0.08</v>
      </c>
      <c r="IC14" s="32" t="n">
        <f aca="false">INDEX(Вводные!$D$13:$F$64,MATCH($A14,Вводные!$A$13:$A$64,0),MATCH(IC$3,Вводные!$D$11:$F$11,0))*(1+IF(IC$4=$A14,Вводные!$D$5*INDEX(Вводные!$G$13:$G$64,MATCH($A14,Вводные!$A$13:$A$64,0)),0))</f>
        <v>0.08</v>
      </c>
      <c r="ID14" s="32" t="n">
        <f aca="false">INDEX(Вводные!$D$13:$F$64,MATCH($A14,Вводные!$A$13:$A$64,0),MATCH(ID$3,Вводные!$D$11:$F$11,0))*(1+IF(ID$4=$A14,Вводные!$D$5*INDEX(Вводные!$G$13:$G$64,MATCH($A14,Вводные!$A$13:$A$64,0)),0))</f>
        <v>0.08</v>
      </c>
      <c r="IE14" s="32" t="n">
        <f aca="false">INDEX(Вводные!$D$13:$F$64,MATCH($A14,Вводные!$A$13:$A$64,0),MATCH(IE$3,Вводные!$D$11:$F$11,0))*(1+IF(IE$4=$A14,Вводные!$D$5*INDEX(Вводные!$G$13:$G$64,MATCH($A14,Вводные!$A$13:$A$64,0)),0))</f>
        <v>0.08</v>
      </c>
      <c r="IF14" s="32" t="n">
        <f aca="false">INDEX(Вводные!$D$13:$F$64,MATCH($A14,Вводные!$A$13:$A$64,0),MATCH(IF$3,Вводные!$D$11:$F$11,0))*(1+IF(IF$4=$A14,Вводные!$D$5*INDEX(Вводные!$G$13:$G$64,MATCH($A14,Вводные!$A$13:$A$64,0)),0))</f>
        <v>0.08</v>
      </c>
      <c r="IG14" s="32" t="n">
        <f aca="false">INDEX(Вводные!$D$13:$F$64,MATCH($A14,Вводные!$A$13:$A$64,0),MATCH(IG$3,Вводные!$D$11:$F$11,0))*(1+IF(IG$4=$A14,Вводные!$D$5*INDEX(Вводные!$G$13:$G$64,MATCH($A14,Вводные!$A$13:$A$64,0)),0))</f>
        <v>0.08</v>
      </c>
      <c r="IH14" s="32" t="n">
        <f aca="false">INDEX(Вводные!$D$13:$F$64,MATCH($A14,Вводные!$A$13:$A$64,0),MATCH(IH$3,Вводные!$D$11:$F$11,0))*(1+IF(IH$4=$A14,Вводные!$D$5*INDEX(Вводные!$G$13:$G$64,MATCH($A14,Вводные!$A$13:$A$64,0)),0))</f>
        <v>0.08</v>
      </c>
      <c r="II14" s="32" t="n">
        <f aca="false">INDEX(Вводные!$D$13:$F$64,MATCH($A14,Вводные!$A$13:$A$64,0),MATCH(II$3,Вводные!$D$11:$F$11,0))*(1+IF(II$4=$A14,Вводные!$D$5*INDEX(Вводные!$G$13:$G$64,MATCH($A14,Вводные!$A$13:$A$64,0)),0))</f>
        <v>0.08</v>
      </c>
      <c r="IJ14" s="32" t="n">
        <f aca="false">INDEX(Вводные!$D$13:$F$64,MATCH($A14,Вводные!$A$13:$A$64,0),MATCH(IJ$3,Вводные!$D$11:$F$11,0))*(1+IF(IJ$4=$A14,Вводные!$D$5*INDEX(Вводные!$G$13:$G$64,MATCH($A14,Вводные!$A$13:$A$64,0)),0))</f>
        <v>0.08</v>
      </c>
      <c r="IK14" s="32" t="n">
        <f aca="false">INDEX(Вводные!$D$13:$F$64,MATCH($A14,Вводные!$A$13:$A$64,0),MATCH(IK$3,Вводные!$D$11:$F$11,0))*(1+IF(IK$4=$A14,Вводные!$D$5*INDEX(Вводные!$G$13:$G$64,MATCH($A14,Вводные!$A$13:$A$64,0)),0))</f>
        <v>0.08</v>
      </c>
      <c r="IL14" s="32" t="n">
        <f aca="false">INDEX(Вводные!$D$13:$F$64,MATCH($A14,Вводные!$A$13:$A$64,0),MATCH(IL$3,Вводные!$D$11:$F$11,0))*(1+IF(IL$4=$A14,Вводные!$D$5*INDEX(Вводные!$G$13:$G$64,MATCH($A14,Вводные!$A$13:$A$64,0)),0))</f>
        <v>0.08</v>
      </c>
      <c r="IM14" s="32" t="n">
        <f aca="false">INDEX(Вводные!$D$13:$F$64,MATCH($A14,Вводные!$A$13:$A$64,0),MATCH(IM$3,Вводные!$D$11:$F$11,0))*(1+IF(IM$4=$A14,Вводные!$D$5*INDEX(Вводные!$G$13:$G$64,MATCH($A14,Вводные!$A$13:$A$64,0)),0))</f>
        <v>0.08</v>
      </c>
      <c r="IN14" s="32" t="n">
        <f aca="false">INDEX(Вводные!$D$13:$F$64,MATCH($A14,Вводные!$A$13:$A$64,0),MATCH(IN$3,Вводные!$D$11:$F$11,0))*(1+IF(IN$4=$A14,Вводные!$D$5*INDEX(Вводные!$G$13:$G$64,MATCH($A14,Вводные!$A$13:$A$64,0)),0))</f>
        <v>0.08</v>
      </c>
      <c r="IO14" s="32" t="n">
        <f aca="false">INDEX(Вводные!$D$13:$F$64,MATCH($A14,Вводные!$A$13:$A$64,0),MATCH(IO$3,Вводные!$D$11:$F$11,0))*(1+IF(IO$4=$A14,Вводные!$D$5*INDEX(Вводные!$G$13:$G$64,MATCH($A14,Вводные!$A$13:$A$64,0)),0))</f>
        <v>0.08</v>
      </c>
      <c r="IP14" s="32" t="n">
        <f aca="false">INDEX(Вводные!$D$13:$F$64,MATCH($A14,Вводные!$A$13:$A$64,0),MATCH(IP$3,Вводные!$D$11:$F$11,0))*(1+IF(IP$4=$A14,Вводные!$D$5*INDEX(Вводные!$G$13:$G$64,MATCH($A14,Вводные!$A$13:$A$64,0)),0))</f>
        <v>0.08</v>
      </c>
      <c r="IQ14" s="32" t="n">
        <f aca="false">INDEX(Вводные!$D$13:$F$64,MATCH($A14,Вводные!$A$13:$A$64,0),MATCH(IQ$3,Вводные!$D$11:$F$11,0))*(1+IF(IQ$4=$A14,Вводные!$D$5*INDEX(Вводные!$G$13:$G$64,MATCH($A14,Вводные!$A$13:$A$64,0)),0))</f>
        <v>0.08</v>
      </c>
      <c r="IR14" s="32" t="n">
        <f aca="false">INDEX(Вводные!$D$13:$F$64,MATCH($A14,Вводные!$A$13:$A$64,0),MATCH(IR$3,Вводные!$D$11:$F$11,0))*(1+IF(IR$4=$A14,Вводные!$D$5*INDEX(Вводные!$G$13:$G$64,MATCH($A14,Вводные!$A$13:$A$64,0)),0))</f>
        <v>0.08</v>
      </c>
      <c r="IS14" s="32" t="n">
        <f aca="false">INDEX(Вводные!$D$13:$F$64,MATCH($A14,Вводные!$A$13:$A$64,0),MATCH(IS$3,Вводные!$D$11:$F$11,0))*(1+IF(IS$4=$A14,Вводные!$D$5*INDEX(Вводные!$G$13:$G$64,MATCH($A14,Вводные!$A$13:$A$64,0)),0))</f>
        <v>0.08</v>
      </c>
      <c r="IT14" s="32" t="n">
        <f aca="false">INDEX(Вводные!$D$13:$F$64,MATCH($A14,Вводные!$A$13:$A$64,0),MATCH(IT$3,Вводные!$D$11:$F$11,0))*(1+IF(IT$4=$A14,Вводные!$D$5*INDEX(Вводные!$G$13:$G$64,MATCH($A14,Вводные!$A$13:$A$64,0)),0))</f>
        <v>0.08</v>
      </c>
      <c r="IU14" s="32" t="n">
        <f aca="false">INDEX(Вводные!$D$13:$F$64,MATCH($A14,Вводные!$A$13:$A$64,0),MATCH(IU$3,Вводные!$D$11:$F$11,0))*(1+IF(IU$4=$A14,Вводные!$D$5*INDEX(Вводные!$G$13:$G$64,MATCH($A14,Вводные!$A$13:$A$64,0)),0))</f>
        <v>0.08</v>
      </c>
      <c r="IV14" s="32" t="n">
        <f aca="false">INDEX(Вводные!$D$13:$F$64,MATCH($A14,Вводные!$A$13:$A$64,0),MATCH(IV$3,Вводные!$D$11:$F$11,0))*(1+IF(IV$4=$A14,Вводные!$D$5*INDEX(Вводные!$G$13:$G$64,MATCH($A14,Вводные!$A$13:$A$64,0)),0))</f>
        <v>0.08</v>
      </c>
      <c r="IW14" s="32" t="n">
        <f aca="false">INDEX(Вводные!$D$13:$F$64,MATCH($A14,Вводные!$A$13:$A$64,0),MATCH(IW$3,Вводные!$D$11:$F$11,0))*(1+IF(IW$4=$A14,Вводные!$D$5*INDEX(Вводные!$G$13:$G$64,MATCH($A14,Вводные!$A$13:$A$64,0)),0))</f>
        <v>0.08</v>
      </c>
      <c r="IX14" s="32" t="n">
        <f aca="false">INDEX(Вводные!$D$13:$F$64,MATCH($A14,Вводные!$A$13:$A$64,0),MATCH(IX$3,Вводные!$D$11:$F$11,0))*(1+IF(IX$4=$A14,Вводные!$D$5*INDEX(Вводные!$G$13:$G$64,MATCH($A14,Вводные!$A$13:$A$64,0)),0))</f>
        <v>0.08</v>
      </c>
      <c r="IY14" s="32" t="n">
        <f aca="false">INDEX(Вводные!$D$13:$F$64,MATCH($A14,Вводные!$A$13:$A$64,0),MATCH(IY$3,Вводные!$D$11:$F$11,0))*(1+IF(IY$4=$A14,Вводные!$D$5*INDEX(Вводные!$G$13:$G$64,MATCH($A14,Вводные!$A$13:$A$64,0)),0))</f>
        <v>0.08</v>
      </c>
      <c r="IZ14" s="32" t="n">
        <f aca="false">INDEX(Вводные!$D$13:$F$64,MATCH($A14,Вводные!$A$13:$A$64,0),MATCH(IZ$3,Вводные!$D$11:$F$11,0))*(1+IF(IZ$4=$A14,Вводные!$D$5*INDEX(Вводные!$G$13:$G$64,MATCH($A14,Вводные!$A$13:$A$64,0)),0))</f>
        <v>0.08</v>
      </c>
      <c r="JA14" s="32" t="n">
        <f aca="false">INDEX(Вводные!$D$13:$F$64,MATCH($A14,Вводные!$A$13:$A$64,0),MATCH(JA$3,Вводные!$D$11:$F$11,0))*(1+IF(JA$4=$A14,Вводные!$D$5*INDEX(Вводные!$G$13:$G$64,MATCH($A14,Вводные!$A$13:$A$64,0)),0))</f>
        <v>0.08</v>
      </c>
    </row>
    <row r="15" customFormat="false" ht="15" hidden="false" customHeight="false" outlineLevel="0" collapsed="false">
      <c r="A15" s="2" t="s">
        <v>308</v>
      </c>
      <c r="B15" s="13" t="s">
        <v>309</v>
      </c>
      <c r="C15" s="13" t="s">
        <v>185</v>
      </c>
      <c r="D15" s="9" t="s">
        <v>310</v>
      </c>
      <c r="E15" s="59" t="n">
        <f aca="false">E9*E14</f>
        <v>60000</v>
      </c>
      <c r="F15" s="59" t="n">
        <f aca="false">F9*F14</f>
        <v>900</v>
      </c>
      <c r="G15" s="59" t="n">
        <f aca="false">G9*G14</f>
        <v>32</v>
      </c>
      <c r="H15" s="59" t="n">
        <f aca="false">SUM(E15:G15)</f>
        <v>60932</v>
      </c>
      <c r="J15" s="59" t="n">
        <f aca="false">J9*J14</f>
        <v>60000</v>
      </c>
      <c r="K15" s="59" t="n">
        <f aca="false">K9*K14</f>
        <v>60000</v>
      </c>
      <c r="L15" s="59" t="n">
        <f aca="false">L9*L14</f>
        <v>60000</v>
      </c>
      <c r="M15" s="59" t="n">
        <f aca="false">M9*M14</f>
        <v>60000</v>
      </c>
      <c r="N15" s="59" t="n">
        <f aca="false">N9*N14</f>
        <v>59400</v>
      </c>
      <c r="O15" s="59" t="n">
        <f aca="false">O9*O14</f>
        <v>60000</v>
      </c>
      <c r="P15" s="59" t="n">
        <f aca="false">P9*P14</f>
        <v>60000</v>
      </c>
      <c r="Q15" s="59" t="n">
        <f aca="false">Q9*Q14</f>
        <v>60000</v>
      </c>
      <c r="R15" s="59" t="n">
        <f aca="false">R9*R14</f>
        <v>60000</v>
      </c>
      <c r="S15" s="59" t="n">
        <f aca="false">S9*S14</f>
        <v>60000</v>
      </c>
      <c r="T15" s="59" t="n">
        <f aca="false">T9*T14</f>
        <v>60000</v>
      </c>
      <c r="U15" s="59" t="n">
        <f aca="false">U9*U14</f>
        <v>60000</v>
      </c>
      <c r="V15" s="59" t="n">
        <f aca="false">V9*V14</f>
        <v>60000</v>
      </c>
      <c r="W15" s="59" t="n">
        <f aca="false">W9*W14</f>
        <v>60000</v>
      </c>
      <c r="X15" s="59" t="n">
        <f aca="false">X9*X14</f>
        <v>60000</v>
      </c>
      <c r="Y15" s="59" t="n">
        <f aca="false">Y9*Y14</f>
        <v>60000</v>
      </c>
      <c r="Z15" s="59" t="n">
        <f aca="false">Z9*Z14</f>
        <v>60000</v>
      </c>
      <c r="AA15" s="59" t="n">
        <f aca="false">AA9*AA14</f>
        <v>60000</v>
      </c>
      <c r="AB15" s="59" t="n">
        <f aca="false">AB9*AB14</f>
        <v>60000</v>
      </c>
      <c r="AC15" s="59" t="n">
        <f aca="false">AC9*AC14</f>
        <v>60000</v>
      </c>
      <c r="AD15" s="59" t="n">
        <f aca="false">AD9*AD14</f>
        <v>60000</v>
      </c>
      <c r="AE15" s="59" t="n">
        <f aca="false">AE9*AE14</f>
        <v>60000</v>
      </c>
      <c r="AF15" s="59" t="n">
        <f aca="false">AF9*AF14</f>
        <v>60000</v>
      </c>
      <c r="AG15" s="59" t="n">
        <f aca="false">AG9*AG14</f>
        <v>60000</v>
      </c>
      <c r="AH15" s="59" t="n">
        <f aca="false">AH9*AH14</f>
        <v>60000</v>
      </c>
      <c r="AI15" s="59" t="n">
        <f aca="false">AI9*AI14</f>
        <v>60000</v>
      </c>
      <c r="AJ15" s="59" t="n">
        <f aca="false">AJ9*AJ14</f>
        <v>60000</v>
      </c>
      <c r="AK15" s="59" t="n">
        <f aca="false">AK9*AK14</f>
        <v>60000</v>
      </c>
      <c r="AL15" s="59" t="n">
        <f aca="false">AL9*AL14</f>
        <v>60000</v>
      </c>
      <c r="AM15" s="59" t="n">
        <f aca="false">AM9*AM14</f>
        <v>60000</v>
      </c>
      <c r="AN15" s="59" t="n">
        <f aca="false">AN9*AN14</f>
        <v>60000</v>
      </c>
      <c r="AO15" s="59" t="n">
        <f aca="false">AO9*AO14</f>
        <v>60000</v>
      </c>
      <c r="AP15" s="59" t="n">
        <f aca="false">AP9*AP14</f>
        <v>60000</v>
      </c>
      <c r="AQ15" s="59" t="n">
        <f aca="false">AQ9*AQ14</f>
        <v>60000</v>
      </c>
      <c r="AR15" s="59" t="n">
        <f aca="false">AR9*AR14</f>
        <v>60000</v>
      </c>
      <c r="AS15" s="59" t="n">
        <f aca="false">AS9*AS14</f>
        <v>60000</v>
      </c>
      <c r="AT15" s="59" t="n">
        <f aca="false">AT9*AT14</f>
        <v>60000</v>
      </c>
      <c r="AU15" s="59" t="n">
        <f aca="false">AU9*AU14</f>
        <v>60000</v>
      </c>
      <c r="AV15" s="59" t="n">
        <f aca="false">AV9*AV14</f>
        <v>60000</v>
      </c>
      <c r="AW15" s="59" t="n">
        <f aca="false">AW9*AW14</f>
        <v>60000</v>
      </c>
      <c r="AX15" s="59" t="n">
        <f aca="false">AX9*AX14</f>
        <v>60000</v>
      </c>
      <c r="AY15" s="59" t="n">
        <f aca="false">AY9*AY14</f>
        <v>60000</v>
      </c>
      <c r="AZ15" s="59" t="n">
        <f aca="false">AZ9*AZ14</f>
        <v>900</v>
      </c>
      <c r="BA15" s="59" t="n">
        <f aca="false">BA9*BA14</f>
        <v>900</v>
      </c>
      <c r="BB15" s="59" t="n">
        <f aca="false">BB9*BB14</f>
        <v>900</v>
      </c>
      <c r="BC15" s="59" t="n">
        <f aca="false">BC9*BC14</f>
        <v>900</v>
      </c>
      <c r="BD15" s="59" t="n">
        <f aca="false">BD9*BD14</f>
        <v>891</v>
      </c>
      <c r="BE15" s="59" t="n">
        <f aca="false">BE9*BE14</f>
        <v>900</v>
      </c>
      <c r="BF15" s="59" t="n">
        <f aca="false">BF9*BF14</f>
        <v>900</v>
      </c>
      <c r="BG15" s="59" t="n">
        <f aca="false">BG9*BG14</f>
        <v>900</v>
      </c>
      <c r="BH15" s="59" t="n">
        <f aca="false">BH9*BH14</f>
        <v>900</v>
      </c>
      <c r="BI15" s="59" t="n">
        <f aca="false">BI9*BI14</f>
        <v>900</v>
      </c>
      <c r="BJ15" s="59" t="n">
        <f aca="false">BJ9*BJ14</f>
        <v>900</v>
      </c>
      <c r="BK15" s="59" t="n">
        <f aca="false">BK9*BK14</f>
        <v>900</v>
      </c>
      <c r="BL15" s="59" t="n">
        <f aca="false">BL9*BL14</f>
        <v>900</v>
      </c>
      <c r="BM15" s="59" t="n">
        <f aca="false">BM9*BM14</f>
        <v>900</v>
      </c>
      <c r="BN15" s="59" t="n">
        <f aca="false">BN9*BN14</f>
        <v>900</v>
      </c>
      <c r="BO15" s="59" t="n">
        <f aca="false">BO9*BO14</f>
        <v>900</v>
      </c>
      <c r="BP15" s="59" t="n">
        <f aca="false">BP9*BP14</f>
        <v>900</v>
      </c>
      <c r="BQ15" s="59" t="n">
        <f aca="false">BQ9*BQ14</f>
        <v>900</v>
      </c>
      <c r="BR15" s="59" t="n">
        <f aca="false">BR9*BR14</f>
        <v>900</v>
      </c>
      <c r="BS15" s="59" t="n">
        <f aca="false">BS9*BS14</f>
        <v>900</v>
      </c>
      <c r="BT15" s="59" t="n">
        <f aca="false">BT9*BT14</f>
        <v>900</v>
      </c>
      <c r="BU15" s="59" t="n">
        <f aca="false">BU9*BU14</f>
        <v>900</v>
      </c>
      <c r="BV15" s="59" t="n">
        <f aca="false">BV9*BV14</f>
        <v>900</v>
      </c>
      <c r="BW15" s="59" t="n">
        <f aca="false">BW9*BW14</f>
        <v>900</v>
      </c>
      <c r="BX15" s="59" t="n">
        <f aca="false">BX9*BX14</f>
        <v>900</v>
      </c>
      <c r="BY15" s="59" t="n">
        <f aca="false">BY9*BY14</f>
        <v>900</v>
      </c>
      <c r="BZ15" s="59" t="n">
        <f aca="false">BZ9*BZ14</f>
        <v>900</v>
      </c>
      <c r="CA15" s="59" t="n">
        <f aca="false">CA9*CA14</f>
        <v>900</v>
      </c>
      <c r="CB15" s="59" t="n">
        <f aca="false">CB9*CB14</f>
        <v>900</v>
      </c>
      <c r="CC15" s="59" t="n">
        <f aca="false">CC9*CC14</f>
        <v>900</v>
      </c>
      <c r="CD15" s="59" t="n">
        <f aca="false">CD9*CD14</f>
        <v>900</v>
      </c>
      <c r="CE15" s="59" t="n">
        <f aca="false">CE9*CE14</f>
        <v>900</v>
      </c>
      <c r="CF15" s="59" t="n">
        <f aca="false">CF9*CF14</f>
        <v>900</v>
      </c>
      <c r="CG15" s="59" t="n">
        <f aca="false">CG9*CG14</f>
        <v>900</v>
      </c>
      <c r="CH15" s="59" t="n">
        <f aca="false">CH9*CH14</f>
        <v>900</v>
      </c>
      <c r="CI15" s="59" t="n">
        <f aca="false">CI9*CI14</f>
        <v>900</v>
      </c>
      <c r="CJ15" s="59" t="n">
        <f aca="false">CJ9*CJ14</f>
        <v>900</v>
      </c>
      <c r="CK15" s="59" t="n">
        <f aca="false">CK9*CK14</f>
        <v>900</v>
      </c>
      <c r="CL15" s="59" t="n">
        <f aca="false">CL9*CL14</f>
        <v>900</v>
      </c>
      <c r="CM15" s="59" t="n">
        <f aca="false">CM9*CM14</f>
        <v>900</v>
      </c>
      <c r="CN15" s="59" t="n">
        <f aca="false">CN9*CN14</f>
        <v>900</v>
      </c>
      <c r="CO15" s="59" t="n">
        <f aca="false">CO9*CO14</f>
        <v>900</v>
      </c>
      <c r="CP15" s="59" t="n">
        <f aca="false">CP9*CP14</f>
        <v>32</v>
      </c>
      <c r="CQ15" s="59" t="n">
        <f aca="false">CQ9*CQ14</f>
        <v>32</v>
      </c>
      <c r="CR15" s="59" t="n">
        <f aca="false">CR9*CR14</f>
        <v>32</v>
      </c>
      <c r="CS15" s="59" t="n">
        <f aca="false">CS9*CS14</f>
        <v>32</v>
      </c>
      <c r="CT15" s="59" t="n">
        <f aca="false">CT9*CT14</f>
        <v>31.68</v>
      </c>
      <c r="CU15" s="59" t="n">
        <f aca="false">CU9*CU14</f>
        <v>32</v>
      </c>
      <c r="CV15" s="59" t="n">
        <f aca="false">CV9*CV14</f>
        <v>32</v>
      </c>
      <c r="CW15" s="59" t="n">
        <f aca="false">CW9*CW14</f>
        <v>32</v>
      </c>
      <c r="CX15" s="59" t="n">
        <f aca="false">CX9*CX14</f>
        <v>32</v>
      </c>
      <c r="CY15" s="59" t="n">
        <f aca="false">CY9*CY14</f>
        <v>32</v>
      </c>
      <c r="CZ15" s="59" t="n">
        <f aca="false">CZ9*CZ14</f>
        <v>32</v>
      </c>
      <c r="DA15" s="59" t="n">
        <f aca="false">DA9*DA14</f>
        <v>32</v>
      </c>
      <c r="DB15" s="59" t="n">
        <f aca="false">DB9*DB14</f>
        <v>32</v>
      </c>
      <c r="DC15" s="59" t="n">
        <f aca="false">DC9*DC14</f>
        <v>32</v>
      </c>
      <c r="DD15" s="59" t="n">
        <f aca="false">DD9*DD14</f>
        <v>32</v>
      </c>
      <c r="DE15" s="59" t="n">
        <f aca="false">DE9*DE14</f>
        <v>32</v>
      </c>
      <c r="DF15" s="59" t="n">
        <f aca="false">DF9*DF14</f>
        <v>32</v>
      </c>
      <c r="DG15" s="59" t="n">
        <f aca="false">DG9*DG14</f>
        <v>32</v>
      </c>
      <c r="DH15" s="59" t="n">
        <f aca="false">DH9*DH14</f>
        <v>32</v>
      </c>
      <c r="DI15" s="59" t="n">
        <f aca="false">DI9*DI14</f>
        <v>32</v>
      </c>
      <c r="DJ15" s="59" t="n">
        <f aca="false">DJ9*DJ14</f>
        <v>32</v>
      </c>
      <c r="DK15" s="59" t="n">
        <f aca="false">DK9*DK14</f>
        <v>32</v>
      </c>
      <c r="DL15" s="59" t="n">
        <f aca="false">DL9*DL14</f>
        <v>32</v>
      </c>
      <c r="DM15" s="59" t="n">
        <f aca="false">DM9*DM14</f>
        <v>32</v>
      </c>
      <c r="DN15" s="59" t="n">
        <f aca="false">DN9*DN14</f>
        <v>32</v>
      </c>
      <c r="DO15" s="59" t="n">
        <f aca="false">DO9*DO14</f>
        <v>32</v>
      </c>
      <c r="DP15" s="59" t="n">
        <f aca="false">DP9*DP14</f>
        <v>32</v>
      </c>
      <c r="DQ15" s="59" t="n">
        <f aca="false">DQ9*DQ14</f>
        <v>32</v>
      </c>
      <c r="DR15" s="59" t="n">
        <f aca="false">DR9*DR14</f>
        <v>32</v>
      </c>
      <c r="DS15" s="59" t="n">
        <f aca="false">DS9*DS14</f>
        <v>32</v>
      </c>
      <c r="DT15" s="59" t="n">
        <f aca="false">DT9*DT14</f>
        <v>32</v>
      </c>
      <c r="DU15" s="59" t="n">
        <f aca="false">DU9*DU14</f>
        <v>32</v>
      </c>
      <c r="DV15" s="59" t="n">
        <f aca="false">DV9*DV14</f>
        <v>32</v>
      </c>
      <c r="DW15" s="59" t="n">
        <f aca="false">DW9*DW14</f>
        <v>32</v>
      </c>
      <c r="DX15" s="59" t="n">
        <f aca="false">DX9*DX14</f>
        <v>32</v>
      </c>
      <c r="DY15" s="59" t="n">
        <f aca="false">DY9*DY14</f>
        <v>32</v>
      </c>
      <c r="DZ15" s="59" t="n">
        <f aca="false">DZ9*DZ14</f>
        <v>32</v>
      </c>
      <c r="EA15" s="59" t="n">
        <f aca="false">EA9*EA14</f>
        <v>32</v>
      </c>
      <c r="EB15" s="59" t="n">
        <f aca="false">EB9*EB14</f>
        <v>32</v>
      </c>
      <c r="EC15" s="59" t="n">
        <f aca="false">EC9*EC14</f>
        <v>32</v>
      </c>
      <c r="ED15" s="59" t="n">
        <f aca="false">ED9*ED14</f>
        <v>32</v>
      </c>
      <c r="EE15" s="59" t="n">
        <f aca="false">EE9*EE14</f>
        <v>32</v>
      </c>
      <c r="EF15" s="59" t="n">
        <f aca="false">EF9*EF14</f>
        <v>60000</v>
      </c>
      <c r="EG15" s="59" t="n">
        <f aca="false">EG9*EG14</f>
        <v>60000</v>
      </c>
      <c r="EH15" s="59" t="n">
        <f aca="false">EH9*EH14</f>
        <v>60000</v>
      </c>
      <c r="EI15" s="59" t="n">
        <f aca="false">EI9*EI14</f>
        <v>60000</v>
      </c>
      <c r="EJ15" s="59" t="n">
        <f aca="false">EJ9*EJ14</f>
        <v>59400</v>
      </c>
      <c r="EK15" s="59" t="n">
        <f aca="false">EK9*EK14</f>
        <v>60000</v>
      </c>
      <c r="EL15" s="59" t="n">
        <f aca="false">EL9*EL14</f>
        <v>60000</v>
      </c>
      <c r="EM15" s="59" t="n">
        <f aca="false">EM9*EM14</f>
        <v>60000</v>
      </c>
      <c r="EN15" s="59" t="n">
        <f aca="false">EN9*EN14</f>
        <v>60000</v>
      </c>
      <c r="EO15" s="59" t="n">
        <f aca="false">EO9*EO14</f>
        <v>60000</v>
      </c>
      <c r="EP15" s="59" t="n">
        <f aca="false">EP9*EP14</f>
        <v>60000</v>
      </c>
      <c r="EQ15" s="59" t="n">
        <f aca="false">EQ9*EQ14</f>
        <v>60000</v>
      </c>
      <c r="ER15" s="59" t="n">
        <f aca="false">ER9*ER14</f>
        <v>60000</v>
      </c>
      <c r="ES15" s="59" t="n">
        <f aca="false">ES9*ES14</f>
        <v>60000</v>
      </c>
      <c r="ET15" s="59" t="n">
        <f aca="false">ET9*ET14</f>
        <v>60000</v>
      </c>
      <c r="EU15" s="59" t="n">
        <f aca="false">EU9*EU14</f>
        <v>60000</v>
      </c>
      <c r="EV15" s="59" t="n">
        <f aca="false">EV9*EV14</f>
        <v>60000</v>
      </c>
      <c r="EW15" s="59" t="n">
        <f aca="false">EW9*EW14</f>
        <v>60000</v>
      </c>
      <c r="EX15" s="59" t="n">
        <f aca="false">EX9*EX14</f>
        <v>60000</v>
      </c>
      <c r="EY15" s="59" t="n">
        <f aca="false">EY9*EY14</f>
        <v>60000</v>
      </c>
      <c r="EZ15" s="59" t="n">
        <f aca="false">EZ9*EZ14</f>
        <v>60000</v>
      </c>
      <c r="FA15" s="59" t="n">
        <f aca="false">FA9*FA14</f>
        <v>60000</v>
      </c>
      <c r="FB15" s="59" t="n">
        <f aca="false">FB9*FB14</f>
        <v>60000</v>
      </c>
      <c r="FC15" s="59" t="n">
        <f aca="false">FC9*FC14</f>
        <v>60000</v>
      </c>
      <c r="FD15" s="59" t="n">
        <f aca="false">FD9*FD14</f>
        <v>60000</v>
      </c>
      <c r="FE15" s="59" t="n">
        <f aca="false">FE9*FE14</f>
        <v>60000</v>
      </c>
      <c r="FF15" s="59" t="n">
        <f aca="false">FF9*FF14</f>
        <v>60000</v>
      </c>
      <c r="FG15" s="59" t="n">
        <f aca="false">FG9*FG14</f>
        <v>60000</v>
      </c>
      <c r="FH15" s="59" t="n">
        <f aca="false">FH9*FH14</f>
        <v>60000</v>
      </c>
      <c r="FI15" s="59" t="n">
        <f aca="false">FI9*FI14</f>
        <v>60000</v>
      </c>
      <c r="FJ15" s="59" t="n">
        <f aca="false">FJ9*FJ14</f>
        <v>60000</v>
      </c>
      <c r="FK15" s="59" t="n">
        <f aca="false">FK9*FK14</f>
        <v>60000</v>
      </c>
      <c r="FL15" s="59" t="n">
        <f aca="false">FL9*FL14</f>
        <v>60000</v>
      </c>
      <c r="FM15" s="59" t="n">
        <f aca="false">FM9*FM14</f>
        <v>60000</v>
      </c>
      <c r="FN15" s="59" t="n">
        <f aca="false">FN9*FN14</f>
        <v>60000</v>
      </c>
      <c r="FO15" s="59" t="n">
        <f aca="false">FO9*FO14</f>
        <v>60000</v>
      </c>
      <c r="FP15" s="59" t="n">
        <f aca="false">FP9*FP14</f>
        <v>60000</v>
      </c>
      <c r="FQ15" s="59" t="n">
        <f aca="false">FQ9*FQ14</f>
        <v>60000</v>
      </c>
      <c r="FR15" s="59" t="n">
        <f aca="false">FR9*FR14</f>
        <v>60000</v>
      </c>
      <c r="FS15" s="59" t="n">
        <f aca="false">FS9*FS14</f>
        <v>60000</v>
      </c>
      <c r="FT15" s="59" t="n">
        <f aca="false">FT9*FT14</f>
        <v>60000</v>
      </c>
      <c r="FU15" s="59" t="n">
        <f aca="false">FU9*FU14</f>
        <v>60000</v>
      </c>
      <c r="FV15" s="59" t="n">
        <f aca="false">FV9*FV14</f>
        <v>900</v>
      </c>
      <c r="FW15" s="59" t="n">
        <f aca="false">FW9*FW14</f>
        <v>900</v>
      </c>
      <c r="FX15" s="59" t="n">
        <f aca="false">FX9*FX14</f>
        <v>900</v>
      </c>
      <c r="FY15" s="59" t="n">
        <f aca="false">FY9*FY14</f>
        <v>900</v>
      </c>
      <c r="FZ15" s="59" t="n">
        <f aca="false">FZ9*FZ14</f>
        <v>891</v>
      </c>
      <c r="GA15" s="59" t="n">
        <f aca="false">GA9*GA14</f>
        <v>900</v>
      </c>
      <c r="GB15" s="59" t="n">
        <f aca="false">GB9*GB14</f>
        <v>900</v>
      </c>
      <c r="GC15" s="59" t="n">
        <f aca="false">GC9*GC14</f>
        <v>900</v>
      </c>
      <c r="GD15" s="59" t="n">
        <f aca="false">GD9*GD14</f>
        <v>900</v>
      </c>
      <c r="GE15" s="59" t="n">
        <f aca="false">GE9*GE14</f>
        <v>900</v>
      </c>
      <c r="GF15" s="59" t="n">
        <f aca="false">GF9*GF14</f>
        <v>900</v>
      </c>
      <c r="GG15" s="59" t="n">
        <f aca="false">GG9*GG14</f>
        <v>900</v>
      </c>
      <c r="GH15" s="59" t="n">
        <f aca="false">GH9*GH14</f>
        <v>900</v>
      </c>
      <c r="GI15" s="59" t="n">
        <f aca="false">GI9*GI14</f>
        <v>900</v>
      </c>
      <c r="GJ15" s="59" t="n">
        <f aca="false">GJ9*GJ14</f>
        <v>900</v>
      </c>
      <c r="GK15" s="59" t="n">
        <f aca="false">GK9*GK14</f>
        <v>900</v>
      </c>
      <c r="GL15" s="59" t="n">
        <f aca="false">GL9*GL14</f>
        <v>900</v>
      </c>
      <c r="GM15" s="59" t="n">
        <f aca="false">GM9*GM14</f>
        <v>900</v>
      </c>
      <c r="GN15" s="59" t="n">
        <f aca="false">GN9*GN14</f>
        <v>900</v>
      </c>
      <c r="GO15" s="59" t="n">
        <f aca="false">GO9*GO14</f>
        <v>900</v>
      </c>
      <c r="GP15" s="59" t="n">
        <f aca="false">GP9*GP14</f>
        <v>900</v>
      </c>
      <c r="GQ15" s="59" t="n">
        <f aca="false">GQ9*GQ14</f>
        <v>900</v>
      </c>
      <c r="GR15" s="59" t="n">
        <f aca="false">GR9*GR14</f>
        <v>900</v>
      </c>
      <c r="GS15" s="59" t="n">
        <f aca="false">GS9*GS14</f>
        <v>900</v>
      </c>
      <c r="GT15" s="59" t="n">
        <f aca="false">GT9*GT14</f>
        <v>900</v>
      </c>
      <c r="GU15" s="59" t="n">
        <f aca="false">GU9*GU14</f>
        <v>900</v>
      </c>
      <c r="GV15" s="59" t="n">
        <f aca="false">GV9*GV14</f>
        <v>900</v>
      </c>
      <c r="GW15" s="59" t="n">
        <f aca="false">GW9*GW14</f>
        <v>900</v>
      </c>
      <c r="GX15" s="59" t="n">
        <f aca="false">GX9*GX14</f>
        <v>900</v>
      </c>
      <c r="GY15" s="59" t="n">
        <f aca="false">GY9*GY14</f>
        <v>900</v>
      </c>
      <c r="GZ15" s="59" t="n">
        <f aca="false">GZ9*GZ14</f>
        <v>900</v>
      </c>
      <c r="HA15" s="59" t="n">
        <f aca="false">HA9*HA14</f>
        <v>900</v>
      </c>
      <c r="HB15" s="59" t="n">
        <f aca="false">HB9*HB14</f>
        <v>900</v>
      </c>
      <c r="HC15" s="59" t="n">
        <f aca="false">HC9*HC14</f>
        <v>900</v>
      </c>
      <c r="HD15" s="59" t="n">
        <f aca="false">HD9*HD14</f>
        <v>900</v>
      </c>
      <c r="HE15" s="59" t="n">
        <f aca="false">HE9*HE14</f>
        <v>900</v>
      </c>
      <c r="HF15" s="59" t="n">
        <f aca="false">HF9*HF14</f>
        <v>900</v>
      </c>
      <c r="HG15" s="59" t="n">
        <f aca="false">HG9*HG14</f>
        <v>900</v>
      </c>
      <c r="HH15" s="59" t="n">
        <f aca="false">HH9*HH14</f>
        <v>900</v>
      </c>
      <c r="HI15" s="59" t="n">
        <f aca="false">HI9*HI14</f>
        <v>900</v>
      </c>
      <c r="HJ15" s="59" t="n">
        <f aca="false">HJ9*HJ14</f>
        <v>900</v>
      </c>
      <c r="HK15" s="59" t="n">
        <f aca="false">HK9*HK14</f>
        <v>900</v>
      </c>
      <c r="HL15" s="59" t="n">
        <f aca="false">HL9*HL14</f>
        <v>32</v>
      </c>
      <c r="HM15" s="59" t="n">
        <f aca="false">HM9*HM14</f>
        <v>32</v>
      </c>
      <c r="HN15" s="59" t="n">
        <f aca="false">HN9*HN14</f>
        <v>32</v>
      </c>
      <c r="HO15" s="59" t="n">
        <f aca="false">HO9*HO14</f>
        <v>32</v>
      </c>
      <c r="HP15" s="59" t="n">
        <f aca="false">HP9*HP14</f>
        <v>31.68</v>
      </c>
      <c r="HQ15" s="59" t="n">
        <f aca="false">HQ9*HQ14</f>
        <v>32</v>
      </c>
      <c r="HR15" s="59" t="n">
        <f aca="false">HR9*HR14</f>
        <v>32</v>
      </c>
      <c r="HS15" s="59" t="n">
        <f aca="false">HS9*HS14</f>
        <v>32</v>
      </c>
      <c r="HT15" s="59" t="n">
        <f aca="false">HT9*HT14</f>
        <v>32</v>
      </c>
      <c r="HU15" s="59" t="n">
        <f aca="false">HU9*HU14</f>
        <v>32</v>
      </c>
      <c r="HV15" s="59" t="n">
        <f aca="false">HV9*HV14</f>
        <v>32</v>
      </c>
      <c r="HW15" s="59" t="n">
        <f aca="false">HW9*HW14</f>
        <v>32</v>
      </c>
      <c r="HX15" s="59" t="n">
        <f aca="false">HX9*HX14</f>
        <v>32</v>
      </c>
      <c r="HY15" s="59" t="n">
        <f aca="false">HY9*HY14</f>
        <v>32</v>
      </c>
      <c r="HZ15" s="59" t="n">
        <f aca="false">HZ9*HZ14</f>
        <v>32</v>
      </c>
      <c r="IA15" s="59" t="n">
        <f aca="false">IA9*IA14</f>
        <v>32</v>
      </c>
      <c r="IB15" s="59" t="n">
        <f aca="false">IB9*IB14</f>
        <v>32</v>
      </c>
      <c r="IC15" s="59" t="n">
        <f aca="false">IC9*IC14</f>
        <v>32</v>
      </c>
      <c r="ID15" s="59" t="n">
        <f aca="false">ID9*ID14</f>
        <v>32</v>
      </c>
      <c r="IE15" s="59" t="n">
        <f aca="false">IE9*IE14</f>
        <v>32</v>
      </c>
      <c r="IF15" s="59" t="n">
        <f aca="false">IF9*IF14</f>
        <v>32</v>
      </c>
      <c r="IG15" s="59" t="n">
        <f aca="false">IG9*IG14</f>
        <v>32</v>
      </c>
      <c r="IH15" s="59" t="n">
        <f aca="false">IH9*IH14</f>
        <v>32</v>
      </c>
      <c r="II15" s="59" t="n">
        <f aca="false">II9*II14</f>
        <v>32</v>
      </c>
      <c r="IJ15" s="59" t="n">
        <f aca="false">IJ9*IJ14</f>
        <v>32</v>
      </c>
      <c r="IK15" s="59" t="n">
        <f aca="false">IK9*IK14</f>
        <v>32</v>
      </c>
      <c r="IL15" s="59" t="n">
        <f aca="false">IL9*IL14</f>
        <v>32</v>
      </c>
      <c r="IM15" s="59" t="n">
        <f aca="false">IM9*IM14</f>
        <v>32</v>
      </c>
      <c r="IN15" s="59" t="n">
        <f aca="false">IN9*IN14</f>
        <v>32</v>
      </c>
      <c r="IO15" s="59" t="n">
        <f aca="false">IO9*IO14</f>
        <v>32</v>
      </c>
      <c r="IP15" s="59" t="n">
        <f aca="false">IP9*IP14</f>
        <v>32</v>
      </c>
      <c r="IQ15" s="59" t="n">
        <f aca="false">IQ9*IQ14</f>
        <v>32</v>
      </c>
      <c r="IR15" s="59" t="n">
        <f aca="false">IR9*IR14</f>
        <v>32</v>
      </c>
      <c r="IS15" s="59" t="n">
        <f aca="false">IS9*IS14</f>
        <v>32</v>
      </c>
      <c r="IT15" s="59" t="n">
        <f aca="false">IT9*IT14</f>
        <v>32</v>
      </c>
      <c r="IU15" s="59" t="n">
        <f aca="false">IU9*IU14</f>
        <v>32</v>
      </c>
      <c r="IV15" s="59" t="n">
        <f aca="false">IV9*IV14</f>
        <v>32</v>
      </c>
      <c r="IW15" s="59" t="n">
        <f aca="false">IW9*IW14</f>
        <v>32</v>
      </c>
      <c r="IX15" s="59" t="n">
        <f aca="false">IX9*IX14</f>
        <v>32</v>
      </c>
      <c r="IY15" s="59" t="n">
        <f aca="false">IY9*IY14</f>
        <v>32</v>
      </c>
      <c r="IZ15" s="59" t="n">
        <f aca="false">IZ9*IZ14</f>
        <v>32</v>
      </c>
      <c r="JA15" s="59" t="n">
        <f aca="false">JA9*JA14</f>
        <v>32</v>
      </c>
    </row>
    <row r="16" customFormat="false" ht="15" hidden="false" customHeight="false" outlineLevel="0" collapsed="false">
      <c r="A16" s="2" t="s">
        <v>134</v>
      </c>
      <c r="B16" s="13" t="s">
        <v>135</v>
      </c>
      <c r="C16" s="13" t="s">
        <v>185</v>
      </c>
      <c r="D16" s="9" t="s">
        <v>300</v>
      </c>
      <c r="E16" s="59" t="n">
        <f aca="false">IF(E$5=3,IF(E14&gt;0,E13/E14,E9),E9+IF(E$5=1,0.5,1)*(E13-E15))</f>
        <v>507125</v>
      </c>
      <c r="F16" s="59" t="n">
        <f aca="false">IF(F$5=3,IF(F14&gt;0,F13/F14,F9),F9+IF(F$5=1,0.5,1)*(F13-F15))</f>
        <v>15110</v>
      </c>
      <c r="G16" s="59" t="n">
        <f aca="false">IF(G$5=3,IF(G14&gt;0,G13/G14,G9),G9+IF(G$5=1,0.5,1)*(G13-G15))</f>
        <v>402</v>
      </c>
      <c r="H16" s="59" t="n">
        <f aca="false">SUM(E16:G16)</f>
        <v>522637</v>
      </c>
      <c r="J16" s="59" t="n">
        <f aca="false">IF(J$5=3,IF(J14&gt;0,J13/J14,J9),J9+IF(J$5=1,0.5,1)*(J13-J15))</f>
        <v>507125</v>
      </c>
      <c r="K16" s="59" t="n">
        <f aca="false">IF(K$5=3,IF(K14&gt;0,K13/K14,K9),K9+IF(K$5=1,0.5,1)*(K13-K15))</f>
        <v>507496.25</v>
      </c>
      <c r="L16" s="59" t="n">
        <f aca="false">IF(L$5=3,IF(L14&gt;0,L13/L14,L9),L9+IF(L$5=1,0.5,1)*(L13-L15))</f>
        <v>507496.25</v>
      </c>
      <c r="M16" s="59" t="n">
        <f aca="false">IF(M$5=3,IF(M14&gt;0,M13/M14,M9),M9+IF(M$5=1,0.5,1)*(M13-M15))</f>
        <v>507496.25</v>
      </c>
      <c r="N16" s="59" t="n">
        <f aca="false">IF(N$5=3,IF(N14&gt;0,N13/N14,N9),N9+IF(N$5=1,0.5,1)*(N13-N15))</f>
        <v>507425</v>
      </c>
      <c r="O16" s="59" t="n">
        <f aca="false">IF(O$5=3,IF(O14&gt;0,O13/O14,O9),O9+IF(O$5=1,0.5,1)*(O13-O15))</f>
        <v>507125</v>
      </c>
      <c r="P16" s="59" t="n">
        <f aca="false">IF(P$5=3,IF(P14&gt;0,P13/P14,P9),P9+IF(P$5=1,0.5,1)*(P13-P15))</f>
        <v>507125</v>
      </c>
      <c r="Q16" s="59" t="n">
        <f aca="false">IF(Q$5=3,IF(Q14&gt;0,Q13/Q14,Q9),Q9+IF(Q$5=1,0.5,1)*(Q13-Q15))</f>
        <v>507125</v>
      </c>
      <c r="R16" s="59" t="n">
        <f aca="false">IF(R$5=3,IF(R14&gt;0,R13/R14,R9),R9+IF(R$5=1,0.5,1)*(R13-R15))</f>
        <v>507125</v>
      </c>
      <c r="S16" s="59" t="n">
        <f aca="false">IF(S$5=3,IF(S14&gt;0,S13/S14,S9),S9+IF(S$5=1,0.5,1)*(S13-S15))</f>
        <v>507125</v>
      </c>
      <c r="T16" s="59" t="n">
        <f aca="false">IF(T$5=3,IF(T14&gt;0,T13/T14,T9),T9+IF(T$5=1,0.5,1)*(T13-T15))</f>
        <v>507125</v>
      </c>
      <c r="U16" s="59" t="n">
        <f aca="false">IF(U$5=3,IF(U14&gt;0,U13/U14,U9),U9+IF(U$5=1,0.5,1)*(U13-U15))</f>
        <v>507125</v>
      </c>
      <c r="V16" s="59" t="n">
        <f aca="false">IF(V$5=3,IF(V14&gt;0,V13/V14,V9),V9+IF(V$5=1,0.5,1)*(V13-V15))</f>
        <v>507125</v>
      </c>
      <c r="W16" s="59" t="n">
        <f aca="false">IF(W$5=3,IF(W14&gt;0,W13/W14,W9),W9+IF(W$5=1,0.5,1)*(W13-W15))</f>
        <v>507125</v>
      </c>
      <c r="X16" s="59" t="n">
        <f aca="false">IF(X$5=3,IF(X14&gt;0,X13/X14,X9),X9+IF(X$5=1,0.5,1)*(X13-X15))</f>
        <v>507125</v>
      </c>
      <c r="Y16" s="59" t="n">
        <f aca="false">IF(Y$5=3,IF(Y14&gt;0,Y13/Y14,Y9),Y9+IF(Y$5=1,0.5,1)*(Y13-Y15))</f>
        <v>507125</v>
      </c>
      <c r="Z16" s="59" t="n">
        <f aca="false">IF(Z$5=3,IF(Z14&gt;0,Z13/Z14,Z9),Z9+IF(Z$5=1,0.5,1)*(Z13-Z15))</f>
        <v>507125</v>
      </c>
      <c r="AA16" s="59" t="n">
        <f aca="false">IF(AA$5=3,IF(AA14&gt;0,AA13/AA14,AA9),AA9+IF(AA$5=1,0.5,1)*(AA13-AA15))</f>
        <v>507125</v>
      </c>
      <c r="AB16" s="59" t="n">
        <f aca="false">IF(AB$5=3,IF(AB14&gt;0,AB13/AB14,AB9),AB9+IF(AB$5=1,0.5,1)*(AB13-AB15))</f>
        <v>507125</v>
      </c>
      <c r="AC16" s="59" t="n">
        <f aca="false">IF(AC$5=3,IF(AC14&gt;0,AC13/AC14,AC9),AC9+IF(AC$5=1,0.5,1)*(AC13-AC15))</f>
        <v>507125</v>
      </c>
      <c r="AD16" s="59" t="n">
        <f aca="false">IF(AD$5=3,IF(AD14&gt;0,AD13/AD14,AD9),AD9+IF(AD$5=1,0.5,1)*(AD13-AD15))</f>
        <v>507125</v>
      </c>
      <c r="AE16" s="59" t="n">
        <f aca="false">IF(AE$5=3,IF(AE14&gt;0,AE13/AE14,AE9),AE9+IF(AE$5=1,0.5,1)*(AE13-AE15))</f>
        <v>507125</v>
      </c>
      <c r="AF16" s="59" t="n">
        <f aca="false">IF(AF$5=3,IF(AF14&gt;0,AF13/AF14,AF9),AF9+IF(AF$5=1,0.5,1)*(AF13-AF15))</f>
        <v>507125</v>
      </c>
      <c r="AG16" s="59" t="n">
        <f aca="false">IF(AG$5=3,IF(AG14&gt;0,AG13/AG14,AG9),AG9+IF(AG$5=1,0.5,1)*(AG13-AG15))</f>
        <v>507125</v>
      </c>
      <c r="AH16" s="59" t="n">
        <f aca="false">IF(AH$5=3,IF(AH14&gt;0,AH13/AH14,AH9),AH9+IF(AH$5=1,0.5,1)*(AH13-AH15))</f>
        <v>507125</v>
      </c>
      <c r="AI16" s="59" t="n">
        <f aca="false">IF(AI$5=3,IF(AI14&gt;0,AI13/AI14,AI9),AI9+IF(AI$5=1,0.5,1)*(AI13-AI15))</f>
        <v>507125</v>
      </c>
      <c r="AJ16" s="59" t="n">
        <f aca="false">IF(AJ$5=3,IF(AJ14&gt;0,AJ13/AJ14,AJ9),AJ9+IF(AJ$5=1,0.5,1)*(AJ13-AJ15))</f>
        <v>507125</v>
      </c>
      <c r="AK16" s="59" t="n">
        <f aca="false">IF(AK$5=3,IF(AK14&gt;0,AK13/AK14,AK9),AK9+IF(AK$5=1,0.5,1)*(AK13-AK15))</f>
        <v>507125</v>
      </c>
      <c r="AL16" s="59" t="n">
        <f aca="false">IF(AL$5=3,IF(AL14&gt;0,AL13/AL14,AL9),AL9+IF(AL$5=1,0.5,1)*(AL13-AL15))</f>
        <v>507125</v>
      </c>
      <c r="AM16" s="59" t="n">
        <f aca="false">IF(AM$5=3,IF(AM14&gt;0,AM13/AM14,AM9),AM9+IF(AM$5=1,0.5,1)*(AM13-AM15))</f>
        <v>507125</v>
      </c>
      <c r="AN16" s="59" t="n">
        <f aca="false">IF(AN$5=3,IF(AN14&gt;0,AN13/AN14,AN9),AN9+IF(AN$5=1,0.5,1)*(AN13-AN15))</f>
        <v>507125</v>
      </c>
      <c r="AO16" s="59" t="n">
        <f aca="false">IF(AO$5=3,IF(AO14&gt;0,AO13/AO14,AO9),AO9+IF(AO$5=1,0.5,1)*(AO13-AO15))</f>
        <v>507125</v>
      </c>
      <c r="AP16" s="59" t="n">
        <f aca="false">IF(AP$5=3,IF(AP14&gt;0,AP13/AP14,AP9),AP9+IF(AP$5=1,0.5,1)*(AP13-AP15))</f>
        <v>507125</v>
      </c>
      <c r="AQ16" s="59" t="n">
        <f aca="false">IF(AQ$5=3,IF(AQ14&gt;0,AQ13/AQ14,AQ9),AQ9+IF(AQ$5=1,0.5,1)*(AQ13-AQ15))</f>
        <v>507125</v>
      </c>
      <c r="AR16" s="59" t="n">
        <f aca="false">IF(AR$5=3,IF(AR14&gt;0,AR13/AR14,AR9),AR9+IF(AR$5=1,0.5,1)*(AR13-AR15))</f>
        <v>507125</v>
      </c>
      <c r="AS16" s="59" t="n">
        <f aca="false">IF(AS$5=3,IF(AS14&gt;0,AS13/AS14,AS9),AS9+IF(AS$5=1,0.5,1)*(AS13-AS15))</f>
        <v>507125</v>
      </c>
      <c r="AT16" s="59" t="n">
        <f aca="false">IF(AT$5=3,IF(AT14&gt;0,AT13/AT14,AT9),AT9+IF(AT$5=1,0.5,1)*(AT13-AT15))</f>
        <v>507125</v>
      </c>
      <c r="AU16" s="59" t="n">
        <f aca="false">IF(AU$5=3,IF(AU14&gt;0,AU13/AU14,AU9),AU9+IF(AU$5=1,0.5,1)*(AU13-AU15))</f>
        <v>507125</v>
      </c>
      <c r="AV16" s="59" t="n">
        <f aca="false">IF(AV$5=3,IF(AV14&gt;0,AV13/AV14,AV9),AV9+IF(AV$5=1,0.5,1)*(AV13-AV15))</f>
        <v>507125</v>
      </c>
      <c r="AW16" s="59" t="n">
        <f aca="false">IF(AW$5=3,IF(AW14&gt;0,AW13/AW14,AW9),AW9+IF(AW$5=1,0.5,1)*(AW13-AW15))</f>
        <v>507125</v>
      </c>
      <c r="AX16" s="59" t="n">
        <f aca="false">IF(AX$5=3,IF(AX14&gt;0,AX13/AX14,AX9),AX9+IF(AX$5=1,0.5,1)*(AX13-AX15))</f>
        <v>507125</v>
      </c>
      <c r="AY16" s="59" t="n">
        <f aca="false">IF(AY$5=3,IF(AY14&gt;0,AY13/AY14,AY9),AY9+IF(AY$5=1,0.5,1)*(AY13-AY15))</f>
        <v>507125</v>
      </c>
      <c r="AZ16" s="59" t="n">
        <f aca="false">IF(AZ$5=3,IF(AZ14&gt;0,AZ13/AZ14,AZ9),AZ9+IF(AZ$5=1,0.5,1)*(AZ13-AZ15))</f>
        <v>15110</v>
      </c>
      <c r="BA16" s="59" t="n">
        <f aca="false">IF(BA$5=3,IF(BA14&gt;0,BA13/BA14,BA9),BA9+IF(BA$5=1,0.5,1)*(BA13-BA15))</f>
        <v>15115.6</v>
      </c>
      <c r="BB16" s="59" t="n">
        <f aca="false">IF(BB$5=3,IF(BB14&gt;0,BB13/BB14,BB9),BB9+IF(BB$5=1,0.5,1)*(BB13-BB15))</f>
        <v>15115.6</v>
      </c>
      <c r="BC16" s="59" t="n">
        <f aca="false">IF(BC$5=3,IF(BC14&gt;0,BC13/BC14,BC9),BC9+IF(BC$5=1,0.5,1)*(BC13-BC15))</f>
        <v>15115.6</v>
      </c>
      <c r="BD16" s="59" t="n">
        <f aca="false">IF(BD$5=3,IF(BD14&gt;0,BD13/BD14,BD9),BD9+IF(BD$5=1,0.5,1)*(BD13-BD15))</f>
        <v>15114.5</v>
      </c>
      <c r="BE16" s="59" t="n">
        <f aca="false">IF(BE$5=3,IF(BE14&gt;0,BE13/BE14,BE9),BE9+IF(BE$5=1,0.5,1)*(BE13-BE15))</f>
        <v>15110</v>
      </c>
      <c r="BF16" s="59" t="n">
        <f aca="false">IF(BF$5=3,IF(BF14&gt;0,BF13/BF14,BF9),BF9+IF(BF$5=1,0.5,1)*(BF13-BF15))</f>
        <v>15110</v>
      </c>
      <c r="BG16" s="59" t="n">
        <f aca="false">IF(BG$5=3,IF(BG14&gt;0,BG13/BG14,BG9),BG9+IF(BG$5=1,0.5,1)*(BG13-BG15))</f>
        <v>15110</v>
      </c>
      <c r="BH16" s="59" t="n">
        <f aca="false">IF(BH$5=3,IF(BH14&gt;0,BH13/BH14,BH9),BH9+IF(BH$5=1,0.5,1)*(BH13-BH15))</f>
        <v>15110</v>
      </c>
      <c r="BI16" s="59" t="n">
        <f aca="false">IF(BI$5=3,IF(BI14&gt;0,BI13/BI14,BI9),BI9+IF(BI$5=1,0.5,1)*(BI13-BI15))</f>
        <v>15110</v>
      </c>
      <c r="BJ16" s="59" t="n">
        <f aca="false">IF(BJ$5=3,IF(BJ14&gt;0,BJ13/BJ14,BJ9),BJ9+IF(BJ$5=1,0.5,1)*(BJ13-BJ15))</f>
        <v>15110</v>
      </c>
      <c r="BK16" s="59" t="n">
        <f aca="false">IF(BK$5=3,IF(BK14&gt;0,BK13/BK14,BK9),BK9+IF(BK$5=1,0.5,1)*(BK13-BK15))</f>
        <v>15110</v>
      </c>
      <c r="BL16" s="59" t="n">
        <f aca="false">IF(BL$5=3,IF(BL14&gt;0,BL13/BL14,BL9),BL9+IF(BL$5=1,0.5,1)*(BL13-BL15))</f>
        <v>15110</v>
      </c>
      <c r="BM16" s="59" t="n">
        <f aca="false">IF(BM$5=3,IF(BM14&gt;0,BM13/BM14,BM9),BM9+IF(BM$5=1,0.5,1)*(BM13-BM15))</f>
        <v>15110</v>
      </c>
      <c r="BN16" s="59" t="n">
        <f aca="false">IF(BN$5=3,IF(BN14&gt;0,BN13/BN14,BN9),BN9+IF(BN$5=1,0.5,1)*(BN13-BN15))</f>
        <v>15110</v>
      </c>
      <c r="BO16" s="59" t="n">
        <f aca="false">IF(BO$5=3,IF(BO14&gt;0,BO13/BO14,BO9),BO9+IF(BO$5=1,0.5,1)*(BO13-BO15))</f>
        <v>15110</v>
      </c>
      <c r="BP16" s="59" t="n">
        <f aca="false">IF(BP$5=3,IF(BP14&gt;0,BP13/BP14,BP9),BP9+IF(BP$5=1,0.5,1)*(BP13-BP15))</f>
        <v>15110</v>
      </c>
      <c r="BQ16" s="59" t="n">
        <f aca="false">IF(BQ$5=3,IF(BQ14&gt;0,BQ13/BQ14,BQ9),BQ9+IF(BQ$5=1,0.5,1)*(BQ13-BQ15))</f>
        <v>15110</v>
      </c>
      <c r="BR16" s="59" t="n">
        <f aca="false">IF(BR$5=3,IF(BR14&gt;0,BR13/BR14,BR9),BR9+IF(BR$5=1,0.5,1)*(BR13-BR15))</f>
        <v>15110</v>
      </c>
      <c r="BS16" s="59" t="n">
        <f aca="false">IF(BS$5=3,IF(BS14&gt;0,BS13/BS14,BS9),BS9+IF(BS$5=1,0.5,1)*(BS13-BS15))</f>
        <v>15110</v>
      </c>
      <c r="BT16" s="59" t="n">
        <f aca="false">IF(BT$5=3,IF(BT14&gt;0,BT13/BT14,BT9),BT9+IF(BT$5=1,0.5,1)*(BT13-BT15))</f>
        <v>15110</v>
      </c>
      <c r="BU16" s="59" t="n">
        <f aca="false">IF(BU$5=3,IF(BU14&gt;0,BU13/BU14,BU9),BU9+IF(BU$5=1,0.5,1)*(BU13-BU15))</f>
        <v>15110</v>
      </c>
      <c r="BV16" s="59" t="n">
        <f aca="false">IF(BV$5=3,IF(BV14&gt;0,BV13/BV14,BV9),BV9+IF(BV$5=1,0.5,1)*(BV13-BV15))</f>
        <v>15110</v>
      </c>
      <c r="BW16" s="59" t="n">
        <f aca="false">IF(BW$5=3,IF(BW14&gt;0,BW13/BW14,BW9),BW9+IF(BW$5=1,0.5,1)*(BW13-BW15))</f>
        <v>15110</v>
      </c>
      <c r="BX16" s="59" t="n">
        <f aca="false">IF(BX$5=3,IF(BX14&gt;0,BX13/BX14,BX9),BX9+IF(BX$5=1,0.5,1)*(BX13-BX15))</f>
        <v>15110</v>
      </c>
      <c r="BY16" s="59" t="n">
        <f aca="false">IF(BY$5=3,IF(BY14&gt;0,BY13/BY14,BY9),BY9+IF(BY$5=1,0.5,1)*(BY13-BY15))</f>
        <v>15110</v>
      </c>
      <c r="BZ16" s="59" t="n">
        <f aca="false">IF(BZ$5=3,IF(BZ14&gt;0,BZ13/BZ14,BZ9),BZ9+IF(BZ$5=1,0.5,1)*(BZ13-BZ15))</f>
        <v>15110</v>
      </c>
      <c r="CA16" s="59" t="n">
        <f aca="false">IF(CA$5=3,IF(CA14&gt;0,CA13/CA14,CA9),CA9+IF(CA$5=1,0.5,1)*(CA13-CA15))</f>
        <v>15110</v>
      </c>
      <c r="CB16" s="59" t="n">
        <f aca="false">IF(CB$5=3,IF(CB14&gt;0,CB13/CB14,CB9),CB9+IF(CB$5=1,0.5,1)*(CB13-CB15))</f>
        <v>15110</v>
      </c>
      <c r="CC16" s="59" t="n">
        <f aca="false">IF(CC$5=3,IF(CC14&gt;0,CC13/CC14,CC9),CC9+IF(CC$5=1,0.5,1)*(CC13-CC15))</f>
        <v>15110</v>
      </c>
      <c r="CD16" s="59" t="n">
        <f aca="false">IF(CD$5=3,IF(CD14&gt;0,CD13/CD14,CD9),CD9+IF(CD$5=1,0.5,1)*(CD13-CD15))</f>
        <v>15110</v>
      </c>
      <c r="CE16" s="59" t="n">
        <f aca="false">IF(CE$5=3,IF(CE14&gt;0,CE13/CE14,CE9),CE9+IF(CE$5=1,0.5,1)*(CE13-CE15))</f>
        <v>15110</v>
      </c>
      <c r="CF16" s="59" t="n">
        <f aca="false">IF(CF$5=3,IF(CF14&gt;0,CF13/CF14,CF9),CF9+IF(CF$5=1,0.5,1)*(CF13-CF15))</f>
        <v>15110</v>
      </c>
      <c r="CG16" s="59" t="n">
        <f aca="false">IF(CG$5=3,IF(CG14&gt;0,CG13/CG14,CG9),CG9+IF(CG$5=1,0.5,1)*(CG13-CG15))</f>
        <v>15110</v>
      </c>
      <c r="CH16" s="59" t="n">
        <f aca="false">IF(CH$5=3,IF(CH14&gt;0,CH13/CH14,CH9),CH9+IF(CH$5=1,0.5,1)*(CH13-CH15))</f>
        <v>15110</v>
      </c>
      <c r="CI16" s="59" t="n">
        <f aca="false">IF(CI$5=3,IF(CI14&gt;0,CI13/CI14,CI9),CI9+IF(CI$5=1,0.5,1)*(CI13-CI15))</f>
        <v>15110</v>
      </c>
      <c r="CJ16" s="59" t="n">
        <f aca="false">IF(CJ$5=3,IF(CJ14&gt;0,CJ13/CJ14,CJ9),CJ9+IF(CJ$5=1,0.5,1)*(CJ13-CJ15))</f>
        <v>15110</v>
      </c>
      <c r="CK16" s="59" t="n">
        <f aca="false">IF(CK$5=3,IF(CK14&gt;0,CK13/CK14,CK9),CK9+IF(CK$5=1,0.5,1)*(CK13-CK15))</f>
        <v>15110</v>
      </c>
      <c r="CL16" s="59" t="n">
        <f aca="false">IF(CL$5=3,IF(CL14&gt;0,CL13/CL14,CL9),CL9+IF(CL$5=1,0.5,1)*(CL13-CL15))</f>
        <v>15110</v>
      </c>
      <c r="CM16" s="59" t="n">
        <f aca="false">IF(CM$5=3,IF(CM14&gt;0,CM13/CM14,CM9),CM9+IF(CM$5=1,0.5,1)*(CM13-CM15))</f>
        <v>15110</v>
      </c>
      <c r="CN16" s="59" t="n">
        <f aca="false">IF(CN$5=3,IF(CN14&gt;0,CN13/CN14,CN9),CN9+IF(CN$5=1,0.5,1)*(CN13-CN15))</f>
        <v>15110</v>
      </c>
      <c r="CO16" s="59" t="n">
        <f aca="false">IF(CO$5=3,IF(CO14&gt;0,CO13/CO14,CO9),CO9+IF(CO$5=1,0.5,1)*(CO13-CO15))</f>
        <v>15110</v>
      </c>
      <c r="CP16" s="59" t="n">
        <f aca="false">IF(CP$5=3,IF(CP14&gt;0,CP13/CP14,CP9),CP9+IF(CP$5=1,0.5,1)*(CP13-CP15))</f>
        <v>402</v>
      </c>
      <c r="CQ16" s="59" t="n">
        <f aca="false">IF(CQ$5=3,IF(CQ14&gt;0,CQ13/CQ14,CQ9),CQ9+IF(CQ$5=1,0.5,1)*(CQ13-CQ15))</f>
        <v>402.18</v>
      </c>
      <c r="CR16" s="59" t="n">
        <f aca="false">IF(CR$5=3,IF(CR14&gt;0,CR13/CR14,CR9),CR9+IF(CR$5=1,0.5,1)*(CR13-CR15))</f>
        <v>402.18</v>
      </c>
      <c r="CS16" s="59" t="n">
        <f aca="false">IF(CS$5=3,IF(CS14&gt;0,CS13/CS14,CS9),CS9+IF(CS$5=1,0.5,1)*(CS13-CS15))</f>
        <v>402.18</v>
      </c>
      <c r="CT16" s="59" t="n">
        <f aca="false">IF(CT$5=3,IF(CT14&gt;0,CT13/CT14,CT9),CT9+IF(CT$5=1,0.5,1)*(CT13-CT15))</f>
        <v>402.16</v>
      </c>
      <c r="CU16" s="59" t="n">
        <f aca="false">IF(CU$5=3,IF(CU14&gt;0,CU13/CU14,CU9),CU9+IF(CU$5=1,0.5,1)*(CU13-CU15))</f>
        <v>402</v>
      </c>
      <c r="CV16" s="59" t="n">
        <f aca="false">IF(CV$5=3,IF(CV14&gt;0,CV13/CV14,CV9),CV9+IF(CV$5=1,0.5,1)*(CV13-CV15))</f>
        <v>402</v>
      </c>
      <c r="CW16" s="59" t="n">
        <f aca="false">IF(CW$5=3,IF(CW14&gt;0,CW13/CW14,CW9),CW9+IF(CW$5=1,0.5,1)*(CW13-CW15))</f>
        <v>402</v>
      </c>
      <c r="CX16" s="59" t="n">
        <f aca="false">IF(CX$5=3,IF(CX14&gt;0,CX13/CX14,CX9),CX9+IF(CX$5=1,0.5,1)*(CX13-CX15))</f>
        <v>402</v>
      </c>
      <c r="CY16" s="59" t="n">
        <f aca="false">IF(CY$5=3,IF(CY14&gt;0,CY13/CY14,CY9),CY9+IF(CY$5=1,0.5,1)*(CY13-CY15))</f>
        <v>402</v>
      </c>
      <c r="CZ16" s="59" t="n">
        <f aca="false">IF(CZ$5=3,IF(CZ14&gt;0,CZ13/CZ14,CZ9),CZ9+IF(CZ$5=1,0.5,1)*(CZ13-CZ15))</f>
        <v>402</v>
      </c>
      <c r="DA16" s="59" t="n">
        <f aca="false">IF(DA$5=3,IF(DA14&gt;0,DA13/DA14,DA9),DA9+IF(DA$5=1,0.5,1)*(DA13-DA15))</f>
        <v>402</v>
      </c>
      <c r="DB16" s="59" t="n">
        <f aca="false">IF(DB$5=3,IF(DB14&gt;0,DB13/DB14,DB9),DB9+IF(DB$5=1,0.5,1)*(DB13-DB15))</f>
        <v>402</v>
      </c>
      <c r="DC16" s="59" t="n">
        <f aca="false">IF(DC$5=3,IF(DC14&gt;0,DC13/DC14,DC9),DC9+IF(DC$5=1,0.5,1)*(DC13-DC15))</f>
        <v>402</v>
      </c>
      <c r="DD16" s="59" t="n">
        <f aca="false">IF(DD$5=3,IF(DD14&gt;0,DD13/DD14,DD9),DD9+IF(DD$5=1,0.5,1)*(DD13-DD15))</f>
        <v>402</v>
      </c>
      <c r="DE16" s="59" t="n">
        <f aca="false">IF(DE$5=3,IF(DE14&gt;0,DE13/DE14,DE9),DE9+IF(DE$5=1,0.5,1)*(DE13-DE15))</f>
        <v>402</v>
      </c>
      <c r="DF16" s="59" t="n">
        <f aca="false">IF(DF$5=3,IF(DF14&gt;0,DF13/DF14,DF9),DF9+IF(DF$5=1,0.5,1)*(DF13-DF15))</f>
        <v>402</v>
      </c>
      <c r="DG16" s="59" t="n">
        <f aca="false">IF(DG$5=3,IF(DG14&gt;0,DG13/DG14,DG9),DG9+IF(DG$5=1,0.5,1)*(DG13-DG15))</f>
        <v>402</v>
      </c>
      <c r="DH16" s="59" t="n">
        <f aca="false">IF(DH$5=3,IF(DH14&gt;0,DH13/DH14,DH9),DH9+IF(DH$5=1,0.5,1)*(DH13-DH15))</f>
        <v>402</v>
      </c>
      <c r="DI16" s="59" t="n">
        <f aca="false">IF(DI$5=3,IF(DI14&gt;0,DI13/DI14,DI9),DI9+IF(DI$5=1,0.5,1)*(DI13-DI15))</f>
        <v>402</v>
      </c>
      <c r="DJ16" s="59" t="n">
        <f aca="false">IF(DJ$5=3,IF(DJ14&gt;0,DJ13/DJ14,DJ9),DJ9+IF(DJ$5=1,0.5,1)*(DJ13-DJ15))</f>
        <v>402</v>
      </c>
      <c r="DK16" s="59" t="n">
        <f aca="false">IF(DK$5=3,IF(DK14&gt;0,DK13/DK14,DK9),DK9+IF(DK$5=1,0.5,1)*(DK13-DK15))</f>
        <v>402</v>
      </c>
      <c r="DL16" s="59" t="n">
        <f aca="false">IF(DL$5=3,IF(DL14&gt;0,DL13/DL14,DL9),DL9+IF(DL$5=1,0.5,1)*(DL13-DL15))</f>
        <v>402</v>
      </c>
      <c r="DM16" s="59" t="n">
        <f aca="false">IF(DM$5=3,IF(DM14&gt;0,DM13/DM14,DM9),DM9+IF(DM$5=1,0.5,1)*(DM13-DM15))</f>
        <v>402</v>
      </c>
      <c r="DN16" s="59" t="n">
        <f aca="false">IF(DN$5=3,IF(DN14&gt;0,DN13/DN14,DN9),DN9+IF(DN$5=1,0.5,1)*(DN13-DN15))</f>
        <v>402</v>
      </c>
      <c r="DO16" s="59" t="n">
        <f aca="false">IF(DO$5=3,IF(DO14&gt;0,DO13/DO14,DO9),DO9+IF(DO$5=1,0.5,1)*(DO13-DO15))</f>
        <v>402</v>
      </c>
      <c r="DP16" s="59" t="n">
        <f aca="false">IF(DP$5=3,IF(DP14&gt;0,DP13/DP14,DP9),DP9+IF(DP$5=1,0.5,1)*(DP13-DP15))</f>
        <v>402</v>
      </c>
      <c r="DQ16" s="59" t="n">
        <f aca="false">IF(DQ$5=3,IF(DQ14&gt;0,DQ13/DQ14,DQ9),DQ9+IF(DQ$5=1,0.5,1)*(DQ13-DQ15))</f>
        <v>402</v>
      </c>
      <c r="DR16" s="59" t="n">
        <f aca="false">IF(DR$5=3,IF(DR14&gt;0,DR13/DR14,DR9),DR9+IF(DR$5=1,0.5,1)*(DR13-DR15))</f>
        <v>402</v>
      </c>
      <c r="DS16" s="59" t="n">
        <f aca="false">IF(DS$5=3,IF(DS14&gt;0,DS13/DS14,DS9),DS9+IF(DS$5=1,0.5,1)*(DS13-DS15))</f>
        <v>402</v>
      </c>
      <c r="DT16" s="59" t="n">
        <f aca="false">IF(DT$5=3,IF(DT14&gt;0,DT13/DT14,DT9),DT9+IF(DT$5=1,0.5,1)*(DT13-DT15))</f>
        <v>402</v>
      </c>
      <c r="DU16" s="59" t="n">
        <f aca="false">IF(DU$5=3,IF(DU14&gt;0,DU13/DU14,DU9),DU9+IF(DU$5=1,0.5,1)*(DU13-DU15))</f>
        <v>402</v>
      </c>
      <c r="DV16" s="59" t="n">
        <f aca="false">IF(DV$5=3,IF(DV14&gt;0,DV13/DV14,DV9),DV9+IF(DV$5=1,0.5,1)*(DV13-DV15))</f>
        <v>402</v>
      </c>
      <c r="DW16" s="59" t="n">
        <f aca="false">IF(DW$5=3,IF(DW14&gt;0,DW13/DW14,DW9),DW9+IF(DW$5=1,0.5,1)*(DW13-DW15))</f>
        <v>402</v>
      </c>
      <c r="DX16" s="59" t="n">
        <f aca="false">IF(DX$5=3,IF(DX14&gt;0,DX13/DX14,DX9),DX9+IF(DX$5=1,0.5,1)*(DX13-DX15))</f>
        <v>402</v>
      </c>
      <c r="DY16" s="59" t="n">
        <f aca="false">IF(DY$5=3,IF(DY14&gt;0,DY13/DY14,DY9),DY9+IF(DY$5=1,0.5,1)*(DY13-DY15))</f>
        <v>402</v>
      </c>
      <c r="DZ16" s="59" t="n">
        <f aca="false">IF(DZ$5=3,IF(DZ14&gt;0,DZ13/DZ14,DZ9),DZ9+IF(DZ$5=1,0.5,1)*(DZ13-DZ15))</f>
        <v>402</v>
      </c>
      <c r="EA16" s="59" t="n">
        <f aca="false">IF(EA$5=3,IF(EA14&gt;0,EA13/EA14,EA9),EA9+IF(EA$5=1,0.5,1)*(EA13-EA15))</f>
        <v>402</v>
      </c>
      <c r="EB16" s="59" t="n">
        <f aca="false">IF(EB$5=3,IF(EB14&gt;0,EB13/EB14,EB9),EB9+IF(EB$5=1,0.5,1)*(EB13-EB15))</f>
        <v>402</v>
      </c>
      <c r="EC16" s="59" t="n">
        <f aca="false">IF(EC$5=3,IF(EC14&gt;0,EC13/EC14,EC9),EC9+IF(EC$5=1,0.5,1)*(EC13-EC15))</f>
        <v>402</v>
      </c>
      <c r="ED16" s="59" t="n">
        <f aca="false">IF(ED$5=3,IF(ED14&gt;0,ED13/ED14,ED9),ED9+IF(ED$5=1,0.5,1)*(ED13-ED15))</f>
        <v>402</v>
      </c>
      <c r="EE16" s="59" t="n">
        <f aca="false">IF(EE$5=3,IF(EE14&gt;0,EE13/EE14,EE9),EE9+IF(EE$5=1,0.5,1)*(EE13-EE15))</f>
        <v>402</v>
      </c>
      <c r="EF16" s="59" t="n">
        <f aca="false">IF(EF$5=3,IF(EF14&gt;0,EF13/EF14,EF9),EF9+IF(EF$5=1,0.5,1)*(EF13-EF15))</f>
        <v>618750</v>
      </c>
      <c r="EG16" s="59" t="n">
        <f aca="false">IF(EG$5=3,IF(EG14&gt;0,EG13/EG14,EG9),EG9+IF(EG$5=1,0.5,1)*(EG13-EG15))</f>
        <v>624937.5</v>
      </c>
      <c r="EH16" s="59" t="n">
        <f aca="false">IF(EH$5=3,IF(EH14&gt;0,EH13/EH14,EH9),EH9+IF(EH$5=1,0.5,1)*(EH13-EH15))</f>
        <v>624937.5</v>
      </c>
      <c r="EI16" s="59" t="n">
        <f aca="false">IF(EI$5=3,IF(EI14&gt;0,EI13/EI14,EI9),EI9+IF(EI$5=1,0.5,1)*(EI13-EI15))</f>
        <v>624937.5</v>
      </c>
      <c r="EJ16" s="59" t="n">
        <f aca="false">IF(EJ$5=3,IF(EJ14&gt;0,EJ13/EJ14,EJ9),EJ9+IF(EJ$5=1,0.5,1)*(EJ13-EJ15))</f>
        <v>625000</v>
      </c>
      <c r="EK16" s="59" t="n">
        <f aca="false">IF(EK$5=3,IF(EK14&gt;0,EK13/EK14,EK9),EK9+IF(EK$5=1,0.5,1)*(EK13-EK15))</f>
        <v>618750</v>
      </c>
      <c r="EL16" s="59" t="n">
        <f aca="false">IF(EL$5=3,IF(EL14&gt;0,EL13/EL14,EL9),EL9+IF(EL$5=1,0.5,1)*(EL13-EL15))</f>
        <v>618750</v>
      </c>
      <c r="EM16" s="59" t="n">
        <f aca="false">IF(EM$5=3,IF(EM14&gt;0,EM13/EM14,EM9),EM9+IF(EM$5=1,0.5,1)*(EM13-EM15))</f>
        <v>618750</v>
      </c>
      <c r="EN16" s="59" t="n">
        <f aca="false">IF(EN$5=3,IF(EN14&gt;0,EN13/EN14,EN9),EN9+IF(EN$5=1,0.5,1)*(EN13-EN15))</f>
        <v>618750</v>
      </c>
      <c r="EO16" s="59" t="n">
        <f aca="false">IF(EO$5=3,IF(EO14&gt;0,EO13/EO14,EO9),EO9+IF(EO$5=1,0.5,1)*(EO13-EO15))</f>
        <v>618750</v>
      </c>
      <c r="EP16" s="59" t="n">
        <f aca="false">IF(EP$5=3,IF(EP14&gt;0,EP13/EP14,EP9),EP9+IF(EP$5=1,0.5,1)*(EP13-EP15))</f>
        <v>618750</v>
      </c>
      <c r="EQ16" s="59" t="n">
        <f aca="false">IF(EQ$5=3,IF(EQ14&gt;0,EQ13/EQ14,EQ9),EQ9+IF(EQ$5=1,0.5,1)*(EQ13-EQ15))</f>
        <v>618750</v>
      </c>
      <c r="ER16" s="59" t="n">
        <f aca="false">IF(ER$5=3,IF(ER14&gt;0,ER13/ER14,ER9),ER9+IF(ER$5=1,0.5,1)*(ER13-ER15))</f>
        <v>618750</v>
      </c>
      <c r="ES16" s="59" t="n">
        <f aca="false">IF(ES$5=3,IF(ES14&gt;0,ES13/ES14,ES9),ES9+IF(ES$5=1,0.5,1)*(ES13-ES15))</f>
        <v>618750</v>
      </c>
      <c r="ET16" s="59" t="n">
        <f aca="false">IF(ET$5=3,IF(ET14&gt;0,ET13/ET14,ET9),ET9+IF(ET$5=1,0.5,1)*(ET13-ET15))</f>
        <v>618750</v>
      </c>
      <c r="EU16" s="59" t="n">
        <f aca="false">IF(EU$5=3,IF(EU14&gt;0,EU13/EU14,EU9),EU9+IF(EU$5=1,0.5,1)*(EU13-EU15))</f>
        <v>618750</v>
      </c>
      <c r="EV16" s="59" t="n">
        <f aca="false">IF(EV$5=3,IF(EV14&gt;0,EV13/EV14,EV9),EV9+IF(EV$5=1,0.5,1)*(EV13-EV15))</f>
        <v>618750</v>
      </c>
      <c r="EW16" s="59" t="n">
        <f aca="false">IF(EW$5=3,IF(EW14&gt;0,EW13/EW14,EW9),EW9+IF(EW$5=1,0.5,1)*(EW13-EW15))</f>
        <v>618750</v>
      </c>
      <c r="EX16" s="59" t="n">
        <f aca="false">IF(EX$5=3,IF(EX14&gt;0,EX13/EX14,EX9),EX9+IF(EX$5=1,0.5,1)*(EX13-EX15))</f>
        <v>618750</v>
      </c>
      <c r="EY16" s="59" t="n">
        <f aca="false">IF(EY$5=3,IF(EY14&gt;0,EY13/EY14,EY9),EY9+IF(EY$5=1,0.5,1)*(EY13-EY15))</f>
        <v>618750</v>
      </c>
      <c r="EZ16" s="59" t="n">
        <f aca="false">IF(EZ$5=3,IF(EZ14&gt;0,EZ13/EZ14,EZ9),EZ9+IF(EZ$5=1,0.5,1)*(EZ13-EZ15))</f>
        <v>618750</v>
      </c>
      <c r="FA16" s="59" t="n">
        <f aca="false">IF(FA$5=3,IF(FA14&gt;0,FA13/FA14,FA9),FA9+IF(FA$5=1,0.5,1)*(FA13-FA15))</f>
        <v>618750</v>
      </c>
      <c r="FB16" s="59" t="n">
        <f aca="false">IF(FB$5=3,IF(FB14&gt;0,FB13/FB14,FB9),FB9+IF(FB$5=1,0.5,1)*(FB13-FB15))</f>
        <v>618750</v>
      </c>
      <c r="FC16" s="59" t="n">
        <f aca="false">IF(FC$5=3,IF(FC14&gt;0,FC13/FC14,FC9),FC9+IF(FC$5=1,0.5,1)*(FC13-FC15))</f>
        <v>618750</v>
      </c>
      <c r="FD16" s="59" t="n">
        <f aca="false">IF(FD$5=3,IF(FD14&gt;0,FD13/FD14,FD9),FD9+IF(FD$5=1,0.5,1)*(FD13-FD15))</f>
        <v>618750</v>
      </c>
      <c r="FE16" s="59" t="n">
        <f aca="false">IF(FE$5=3,IF(FE14&gt;0,FE13/FE14,FE9),FE9+IF(FE$5=1,0.5,1)*(FE13-FE15))</f>
        <v>618750</v>
      </c>
      <c r="FF16" s="59" t="n">
        <f aca="false">IF(FF$5=3,IF(FF14&gt;0,FF13/FF14,FF9),FF9+IF(FF$5=1,0.5,1)*(FF13-FF15))</f>
        <v>618750</v>
      </c>
      <c r="FG16" s="59" t="n">
        <f aca="false">IF(FG$5=3,IF(FG14&gt;0,FG13/FG14,FG9),FG9+IF(FG$5=1,0.5,1)*(FG13-FG15))</f>
        <v>618750</v>
      </c>
      <c r="FH16" s="59" t="n">
        <f aca="false">IF(FH$5=3,IF(FH14&gt;0,FH13/FH14,FH9),FH9+IF(FH$5=1,0.5,1)*(FH13-FH15))</f>
        <v>618750</v>
      </c>
      <c r="FI16" s="59" t="n">
        <f aca="false">IF(FI$5=3,IF(FI14&gt;0,FI13/FI14,FI9),FI9+IF(FI$5=1,0.5,1)*(FI13-FI15))</f>
        <v>618750</v>
      </c>
      <c r="FJ16" s="59" t="n">
        <f aca="false">IF(FJ$5=3,IF(FJ14&gt;0,FJ13/FJ14,FJ9),FJ9+IF(FJ$5=1,0.5,1)*(FJ13-FJ15))</f>
        <v>618750</v>
      </c>
      <c r="FK16" s="59" t="n">
        <f aca="false">IF(FK$5=3,IF(FK14&gt;0,FK13/FK14,FK9),FK9+IF(FK$5=1,0.5,1)*(FK13-FK15))</f>
        <v>618750</v>
      </c>
      <c r="FL16" s="59" t="n">
        <f aca="false">IF(FL$5=3,IF(FL14&gt;0,FL13/FL14,FL9),FL9+IF(FL$5=1,0.5,1)*(FL13-FL15))</f>
        <v>618750</v>
      </c>
      <c r="FM16" s="59" t="n">
        <f aca="false">IF(FM$5=3,IF(FM14&gt;0,FM13/FM14,FM9),FM9+IF(FM$5=1,0.5,1)*(FM13-FM15))</f>
        <v>618750</v>
      </c>
      <c r="FN16" s="59" t="n">
        <f aca="false">IF(FN$5=3,IF(FN14&gt;0,FN13/FN14,FN9),FN9+IF(FN$5=1,0.5,1)*(FN13-FN15))</f>
        <v>618750</v>
      </c>
      <c r="FO16" s="59" t="n">
        <f aca="false">IF(FO$5=3,IF(FO14&gt;0,FO13/FO14,FO9),FO9+IF(FO$5=1,0.5,1)*(FO13-FO15))</f>
        <v>618750</v>
      </c>
      <c r="FP16" s="59" t="n">
        <f aca="false">IF(FP$5=3,IF(FP14&gt;0,FP13/FP14,FP9),FP9+IF(FP$5=1,0.5,1)*(FP13-FP15))</f>
        <v>618750</v>
      </c>
      <c r="FQ16" s="59" t="n">
        <f aca="false">IF(FQ$5=3,IF(FQ14&gt;0,FQ13/FQ14,FQ9),FQ9+IF(FQ$5=1,0.5,1)*(FQ13-FQ15))</f>
        <v>618750</v>
      </c>
      <c r="FR16" s="59" t="n">
        <f aca="false">IF(FR$5=3,IF(FR14&gt;0,FR13/FR14,FR9),FR9+IF(FR$5=1,0.5,1)*(FR13-FR15))</f>
        <v>618750</v>
      </c>
      <c r="FS16" s="59" t="n">
        <f aca="false">IF(FS$5=3,IF(FS14&gt;0,FS13/FS14,FS9),FS9+IF(FS$5=1,0.5,1)*(FS13-FS15))</f>
        <v>618750</v>
      </c>
      <c r="FT16" s="59" t="n">
        <f aca="false">IF(FT$5=3,IF(FT14&gt;0,FT13/FT14,FT9),FT9+IF(FT$5=1,0.5,1)*(FT13-FT15))</f>
        <v>618750</v>
      </c>
      <c r="FU16" s="59" t="n">
        <f aca="false">IF(FU$5=3,IF(FU14&gt;0,FU13/FU14,FU9),FU9+IF(FU$5=1,0.5,1)*(FU13-FU15))</f>
        <v>618750</v>
      </c>
      <c r="FV16" s="59" t="n">
        <f aca="false">IF(FV$5=3,IF(FV14&gt;0,FV13/FV14,FV9),FV9+IF(FV$5=1,0.5,1)*(FV13-FV15))</f>
        <v>18666.6666666667</v>
      </c>
      <c r="FW16" s="59" t="n">
        <f aca="false">IF(FW$5=3,IF(FW14&gt;0,FW13/FW14,FW9),FW9+IF(FW$5=1,0.5,1)*(FW13-FW15))</f>
        <v>18853.3333333333</v>
      </c>
      <c r="FX16" s="59" t="n">
        <f aca="false">IF(FX$5=3,IF(FX14&gt;0,FX13/FX14,FX9),FX9+IF(FX$5=1,0.5,1)*(FX13-FX15))</f>
        <v>18853.3333333333</v>
      </c>
      <c r="FY16" s="59" t="n">
        <f aca="false">IF(FY$5=3,IF(FY14&gt;0,FY13/FY14,FY9),FY9+IF(FY$5=1,0.5,1)*(FY13-FY15))</f>
        <v>18853.3333333333</v>
      </c>
      <c r="FZ16" s="59" t="n">
        <f aca="false">IF(FZ$5=3,IF(FZ14&gt;0,FZ13/FZ14,FZ9),FZ9+IF(FZ$5=1,0.5,1)*(FZ13-FZ15))</f>
        <v>18855.2188552189</v>
      </c>
      <c r="GA16" s="59" t="n">
        <f aca="false">IF(GA$5=3,IF(GA14&gt;0,GA13/GA14,GA9),GA9+IF(GA$5=1,0.5,1)*(GA13-GA15))</f>
        <v>18666.6666666667</v>
      </c>
      <c r="GB16" s="59" t="n">
        <f aca="false">IF(GB$5=3,IF(GB14&gt;0,GB13/GB14,GB9),GB9+IF(GB$5=1,0.5,1)*(GB13-GB15))</f>
        <v>18666.6666666667</v>
      </c>
      <c r="GC16" s="59" t="n">
        <f aca="false">IF(GC$5=3,IF(GC14&gt;0,GC13/GC14,GC9),GC9+IF(GC$5=1,0.5,1)*(GC13-GC15))</f>
        <v>18666.6666666667</v>
      </c>
      <c r="GD16" s="59" t="n">
        <f aca="false">IF(GD$5=3,IF(GD14&gt;0,GD13/GD14,GD9),GD9+IF(GD$5=1,0.5,1)*(GD13-GD15))</f>
        <v>18666.6666666667</v>
      </c>
      <c r="GE16" s="59" t="n">
        <f aca="false">IF(GE$5=3,IF(GE14&gt;0,GE13/GE14,GE9),GE9+IF(GE$5=1,0.5,1)*(GE13-GE15))</f>
        <v>18666.6666666667</v>
      </c>
      <c r="GF16" s="59" t="n">
        <f aca="false">IF(GF$5=3,IF(GF14&gt;0,GF13/GF14,GF9),GF9+IF(GF$5=1,0.5,1)*(GF13-GF15))</f>
        <v>18666.6666666667</v>
      </c>
      <c r="GG16" s="59" t="n">
        <f aca="false">IF(GG$5=3,IF(GG14&gt;0,GG13/GG14,GG9),GG9+IF(GG$5=1,0.5,1)*(GG13-GG15))</f>
        <v>18666.6666666667</v>
      </c>
      <c r="GH16" s="59" t="n">
        <f aca="false">IF(GH$5=3,IF(GH14&gt;0,GH13/GH14,GH9),GH9+IF(GH$5=1,0.5,1)*(GH13-GH15))</f>
        <v>18666.6666666667</v>
      </c>
      <c r="GI16" s="59" t="n">
        <f aca="false">IF(GI$5=3,IF(GI14&gt;0,GI13/GI14,GI9),GI9+IF(GI$5=1,0.5,1)*(GI13-GI15))</f>
        <v>18666.6666666667</v>
      </c>
      <c r="GJ16" s="59" t="n">
        <f aca="false">IF(GJ$5=3,IF(GJ14&gt;0,GJ13/GJ14,GJ9),GJ9+IF(GJ$5=1,0.5,1)*(GJ13-GJ15))</f>
        <v>18666.6666666667</v>
      </c>
      <c r="GK16" s="59" t="n">
        <f aca="false">IF(GK$5=3,IF(GK14&gt;0,GK13/GK14,GK9),GK9+IF(GK$5=1,0.5,1)*(GK13-GK15))</f>
        <v>18666.6666666667</v>
      </c>
      <c r="GL16" s="59" t="n">
        <f aca="false">IF(GL$5=3,IF(GL14&gt;0,GL13/GL14,GL9),GL9+IF(GL$5=1,0.5,1)*(GL13-GL15))</f>
        <v>18666.6666666667</v>
      </c>
      <c r="GM16" s="59" t="n">
        <f aca="false">IF(GM$5=3,IF(GM14&gt;0,GM13/GM14,GM9),GM9+IF(GM$5=1,0.5,1)*(GM13-GM15))</f>
        <v>18666.6666666667</v>
      </c>
      <c r="GN16" s="59" t="n">
        <f aca="false">IF(GN$5=3,IF(GN14&gt;0,GN13/GN14,GN9),GN9+IF(GN$5=1,0.5,1)*(GN13-GN15))</f>
        <v>18666.6666666667</v>
      </c>
      <c r="GO16" s="59" t="n">
        <f aca="false">IF(GO$5=3,IF(GO14&gt;0,GO13/GO14,GO9),GO9+IF(GO$5=1,0.5,1)*(GO13-GO15))</f>
        <v>18666.6666666667</v>
      </c>
      <c r="GP16" s="59" t="n">
        <f aca="false">IF(GP$5=3,IF(GP14&gt;0,GP13/GP14,GP9),GP9+IF(GP$5=1,0.5,1)*(GP13-GP15))</f>
        <v>18666.6666666667</v>
      </c>
      <c r="GQ16" s="59" t="n">
        <f aca="false">IF(GQ$5=3,IF(GQ14&gt;0,GQ13/GQ14,GQ9),GQ9+IF(GQ$5=1,0.5,1)*(GQ13-GQ15))</f>
        <v>18666.6666666667</v>
      </c>
      <c r="GR16" s="59" t="n">
        <f aca="false">IF(GR$5=3,IF(GR14&gt;0,GR13/GR14,GR9),GR9+IF(GR$5=1,0.5,1)*(GR13-GR15))</f>
        <v>18666.6666666667</v>
      </c>
      <c r="GS16" s="59" t="n">
        <f aca="false">IF(GS$5=3,IF(GS14&gt;0,GS13/GS14,GS9),GS9+IF(GS$5=1,0.5,1)*(GS13-GS15))</f>
        <v>18666.6666666667</v>
      </c>
      <c r="GT16" s="59" t="n">
        <f aca="false">IF(GT$5=3,IF(GT14&gt;0,GT13/GT14,GT9),GT9+IF(GT$5=1,0.5,1)*(GT13-GT15))</f>
        <v>18666.6666666667</v>
      </c>
      <c r="GU16" s="59" t="n">
        <f aca="false">IF(GU$5=3,IF(GU14&gt;0,GU13/GU14,GU9),GU9+IF(GU$5=1,0.5,1)*(GU13-GU15))</f>
        <v>18666.6666666667</v>
      </c>
      <c r="GV16" s="59" t="n">
        <f aca="false">IF(GV$5=3,IF(GV14&gt;0,GV13/GV14,GV9),GV9+IF(GV$5=1,0.5,1)*(GV13-GV15))</f>
        <v>18666.6666666667</v>
      </c>
      <c r="GW16" s="59" t="n">
        <f aca="false">IF(GW$5=3,IF(GW14&gt;0,GW13/GW14,GW9),GW9+IF(GW$5=1,0.5,1)*(GW13-GW15))</f>
        <v>18666.6666666667</v>
      </c>
      <c r="GX16" s="59" t="n">
        <f aca="false">IF(GX$5=3,IF(GX14&gt;0,GX13/GX14,GX9),GX9+IF(GX$5=1,0.5,1)*(GX13-GX15))</f>
        <v>18666.6666666667</v>
      </c>
      <c r="GY16" s="59" t="n">
        <f aca="false">IF(GY$5=3,IF(GY14&gt;0,GY13/GY14,GY9),GY9+IF(GY$5=1,0.5,1)*(GY13-GY15))</f>
        <v>18666.6666666667</v>
      </c>
      <c r="GZ16" s="59" t="n">
        <f aca="false">IF(GZ$5=3,IF(GZ14&gt;0,GZ13/GZ14,GZ9),GZ9+IF(GZ$5=1,0.5,1)*(GZ13-GZ15))</f>
        <v>18666.6666666667</v>
      </c>
      <c r="HA16" s="59" t="n">
        <f aca="false">IF(HA$5=3,IF(HA14&gt;0,HA13/HA14,HA9),HA9+IF(HA$5=1,0.5,1)*(HA13-HA15))</f>
        <v>18666.6666666667</v>
      </c>
      <c r="HB16" s="59" t="n">
        <f aca="false">IF(HB$5=3,IF(HB14&gt;0,HB13/HB14,HB9),HB9+IF(HB$5=1,0.5,1)*(HB13-HB15))</f>
        <v>18666.6666666667</v>
      </c>
      <c r="HC16" s="59" t="n">
        <f aca="false">IF(HC$5=3,IF(HC14&gt;0,HC13/HC14,HC9),HC9+IF(HC$5=1,0.5,1)*(HC13-HC15))</f>
        <v>18666.6666666667</v>
      </c>
      <c r="HD16" s="59" t="n">
        <f aca="false">IF(HD$5=3,IF(HD14&gt;0,HD13/HD14,HD9),HD9+IF(HD$5=1,0.5,1)*(HD13-HD15))</f>
        <v>18666.6666666667</v>
      </c>
      <c r="HE16" s="59" t="n">
        <f aca="false">IF(HE$5=3,IF(HE14&gt;0,HE13/HE14,HE9),HE9+IF(HE$5=1,0.5,1)*(HE13-HE15))</f>
        <v>18666.6666666667</v>
      </c>
      <c r="HF16" s="59" t="n">
        <f aca="false">IF(HF$5=3,IF(HF14&gt;0,HF13/HF14,HF9),HF9+IF(HF$5=1,0.5,1)*(HF13-HF15))</f>
        <v>18666.6666666667</v>
      </c>
      <c r="HG16" s="59" t="n">
        <f aca="false">IF(HG$5=3,IF(HG14&gt;0,HG13/HG14,HG9),HG9+IF(HG$5=1,0.5,1)*(HG13-HG15))</f>
        <v>18666.6666666667</v>
      </c>
      <c r="HH16" s="59" t="n">
        <f aca="false">IF(HH$5=3,IF(HH14&gt;0,HH13/HH14,HH9),HH9+IF(HH$5=1,0.5,1)*(HH13-HH15))</f>
        <v>18666.6666666667</v>
      </c>
      <c r="HI16" s="59" t="n">
        <f aca="false">IF(HI$5=3,IF(HI14&gt;0,HI13/HI14,HI9),HI9+IF(HI$5=1,0.5,1)*(HI13-HI15))</f>
        <v>18666.6666666667</v>
      </c>
      <c r="HJ16" s="59" t="n">
        <f aca="false">IF(HJ$5=3,IF(HJ14&gt;0,HJ13/HJ14,HJ9),HJ9+IF(HJ$5=1,0.5,1)*(HJ13-HJ15))</f>
        <v>18666.6666666667</v>
      </c>
      <c r="HK16" s="59" t="n">
        <f aca="false">IF(HK$5=3,IF(HK14&gt;0,HK13/HK14,HK9),HK9+IF(HK$5=1,0.5,1)*(HK13-HK15))</f>
        <v>18666.6666666667</v>
      </c>
      <c r="HL16" s="59" t="n">
        <f aca="false">IF(HL$5=3,IF(HL14&gt;0,HL13/HL14,HL9),HL9+IF(HL$5=1,0.5,1)*(HL13-HL15))</f>
        <v>450</v>
      </c>
      <c r="HM16" s="59" t="n">
        <f aca="false">IF(HM$5=3,IF(HM14&gt;0,HM13/HM14,HM9),HM9+IF(HM$5=1,0.5,1)*(HM13-HM15))</f>
        <v>454.5</v>
      </c>
      <c r="HN16" s="59" t="n">
        <f aca="false">IF(HN$5=3,IF(HN14&gt;0,HN13/HN14,HN9),HN9+IF(HN$5=1,0.5,1)*(HN13-HN15))</f>
        <v>454.5</v>
      </c>
      <c r="HO16" s="59" t="n">
        <f aca="false">IF(HO$5=3,IF(HO14&gt;0,HO13/HO14,HO9),HO9+IF(HO$5=1,0.5,1)*(HO13-HO15))</f>
        <v>454.5</v>
      </c>
      <c r="HP16" s="59" t="n">
        <f aca="false">IF(HP$5=3,IF(HP14&gt;0,HP13/HP14,HP9),HP9+IF(HP$5=1,0.5,1)*(HP13-HP15))</f>
        <v>454.545454545455</v>
      </c>
      <c r="HQ16" s="59" t="n">
        <f aca="false">IF(HQ$5=3,IF(HQ14&gt;0,HQ13/HQ14,HQ9),HQ9+IF(HQ$5=1,0.5,1)*(HQ13-HQ15))</f>
        <v>450</v>
      </c>
      <c r="HR16" s="59" t="n">
        <f aca="false">IF(HR$5=3,IF(HR14&gt;0,HR13/HR14,HR9),HR9+IF(HR$5=1,0.5,1)*(HR13-HR15))</f>
        <v>450</v>
      </c>
      <c r="HS16" s="59" t="n">
        <f aca="false">IF(HS$5=3,IF(HS14&gt;0,HS13/HS14,HS9),HS9+IF(HS$5=1,0.5,1)*(HS13-HS15))</f>
        <v>450</v>
      </c>
      <c r="HT16" s="59" t="n">
        <f aca="false">IF(HT$5=3,IF(HT14&gt;0,HT13/HT14,HT9),HT9+IF(HT$5=1,0.5,1)*(HT13-HT15))</f>
        <v>450</v>
      </c>
      <c r="HU16" s="59" t="n">
        <f aca="false">IF(HU$5=3,IF(HU14&gt;0,HU13/HU14,HU9),HU9+IF(HU$5=1,0.5,1)*(HU13-HU15))</f>
        <v>450</v>
      </c>
      <c r="HV16" s="59" t="n">
        <f aca="false">IF(HV$5=3,IF(HV14&gt;0,HV13/HV14,HV9),HV9+IF(HV$5=1,0.5,1)*(HV13-HV15))</f>
        <v>450</v>
      </c>
      <c r="HW16" s="59" t="n">
        <f aca="false">IF(HW$5=3,IF(HW14&gt;0,HW13/HW14,HW9),HW9+IF(HW$5=1,0.5,1)*(HW13-HW15))</f>
        <v>450</v>
      </c>
      <c r="HX16" s="59" t="n">
        <f aca="false">IF(HX$5=3,IF(HX14&gt;0,HX13/HX14,HX9),HX9+IF(HX$5=1,0.5,1)*(HX13-HX15))</f>
        <v>450</v>
      </c>
      <c r="HY16" s="59" t="n">
        <f aca="false">IF(HY$5=3,IF(HY14&gt;0,HY13/HY14,HY9),HY9+IF(HY$5=1,0.5,1)*(HY13-HY15))</f>
        <v>450</v>
      </c>
      <c r="HZ16" s="59" t="n">
        <f aca="false">IF(HZ$5=3,IF(HZ14&gt;0,HZ13/HZ14,HZ9),HZ9+IF(HZ$5=1,0.5,1)*(HZ13-HZ15))</f>
        <v>450</v>
      </c>
      <c r="IA16" s="59" t="n">
        <f aca="false">IF(IA$5=3,IF(IA14&gt;0,IA13/IA14,IA9),IA9+IF(IA$5=1,0.5,1)*(IA13-IA15))</f>
        <v>450</v>
      </c>
      <c r="IB16" s="59" t="n">
        <f aca="false">IF(IB$5=3,IF(IB14&gt;0,IB13/IB14,IB9),IB9+IF(IB$5=1,0.5,1)*(IB13-IB15))</f>
        <v>450</v>
      </c>
      <c r="IC16" s="59" t="n">
        <f aca="false">IF(IC$5=3,IF(IC14&gt;0,IC13/IC14,IC9),IC9+IF(IC$5=1,0.5,1)*(IC13-IC15))</f>
        <v>450</v>
      </c>
      <c r="ID16" s="59" t="n">
        <f aca="false">IF(ID$5=3,IF(ID14&gt;0,ID13/ID14,ID9),ID9+IF(ID$5=1,0.5,1)*(ID13-ID15))</f>
        <v>450</v>
      </c>
      <c r="IE16" s="59" t="n">
        <f aca="false">IF(IE$5=3,IF(IE14&gt;0,IE13/IE14,IE9),IE9+IF(IE$5=1,0.5,1)*(IE13-IE15))</f>
        <v>450</v>
      </c>
      <c r="IF16" s="59" t="n">
        <f aca="false">IF(IF$5=3,IF(IF14&gt;0,IF13/IF14,IF9),IF9+IF(IF$5=1,0.5,1)*(IF13-IF15))</f>
        <v>450</v>
      </c>
      <c r="IG16" s="59" t="n">
        <f aca="false">IF(IG$5=3,IF(IG14&gt;0,IG13/IG14,IG9),IG9+IF(IG$5=1,0.5,1)*(IG13-IG15))</f>
        <v>450</v>
      </c>
      <c r="IH16" s="59" t="n">
        <f aca="false">IF(IH$5=3,IF(IH14&gt;0,IH13/IH14,IH9),IH9+IF(IH$5=1,0.5,1)*(IH13-IH15))</f>
        <v>450</v>
      </c>
      <c r="II16" s="59" t="n">
        <f aca="false">IF(II$5=3,IF(II14&gt;0,II13/II14,II9),II9+IF(II$5=1,0.5,1)*(II13-II15))</f>
        <v>450</v>
      </c>
      <c r="IJ16" s="59" t="n">
        <f aca="false">IF(IJ$5=3,IF(IJ14&gt;0,IJ13/IJ14,IJ9),IJ9+IF(IJ$5=1,0.5,1)*(IJ13-IJ15))</f>
        <v>450</v>
      </c>
      <c r="IK16" s="59" t="n">
        <f aca="false">IF(IK$5=3,IF(IK14&gt;0,IK13/IK14,IK9),IK9+IF(IK$5=1,0.5,1)*(IK13-IK15))</f>
        <v>450</v>
      </c>
      <c r="IL16" s="59" t="n">
        <f aca="false">IF(IL$5=3,IF(IL14&gt;0,IL13/IL14,IL9),IL9+IF(IL$5=1,0.5,1)*(IL13-IL15))</f>
        <v>450</v>
      </c>
      <c r="IM16" s="59" t="n">
        <f aca="false">IF(IM$5=3,IF(IM14&gt;0,IM13/IM14,IM9),IM9+IF(IM$5=1,0.5,1)*(IM13-IM15))</f>
        <v>450</v>
      </c>
      <c r="IN16" s="59" t="n">
        <f aca="false">IF(IN$5=3,IF(IN14&gt;0,IN13/IN14,IN9),IN9+IF(IN$5=1,0.5,1)*(IN13-IN15))</f>
        <v>450</v>
      </c>
      <c r="IO16" s="59" t="n">
        <f aca="false">IF(IO$5=3,IF(IO14&gt;0,IO13/IO14,IO9),IO9+IF(IO$5=1,0.5,1)*(IO13-IO15))</f>
        <v>450</v>
      </c>
      <c r="IP16" s="59" t="n">
        <f aca="false">IF(IP$5=3,IF(IP14&gt;0,IP13/IP14,IP9),IP9+IF(IP$5=1,0.5,1)*(IP13-IP15))</f>
        <v>450</v>
      </c>
      <c r="IQ16" s="59" t="n">
        <f aca="false">IF(IQ$5=3,IF(IQ14&gt;0,IQ13/IQ14,IQ9),IQ9+IF(IQ$5=1,0.5,1)*(IQ13-IQ15))</f>
        <v>450</v>
      </c>
      <c r="IR16" s="59" t="n">
        <f aca="false">IF(IR$5=3,IF(IR14&gt;0,IR13/IR14,IR9),IR9+IF(IR$5=1,0.5,1)*(IR13-IR15))</f>
        <v>450</v>
      </c>
      <c r="IS16" s="59" t="n">
        <f aca="false">IF(IS$5=3,IF(IS14&gt;0,IS13/IS14,IS9),IS9+IF(IS$5=1,0.5,1)*(IS13-IS15))</f>
        <v>450</v>
      </c>
      <c r="IT16" s="59" t="n">
        <f aca="false">IF(IT$5=3,IF(IT14&gt;0,IT13/IT14,IT9),IT9+IF(IT$5=1,0.5,1)*(IT13-IT15))</f>
        <v>450</v>
      </c>
      <c r="IU16" s="59" t="n">
        <f aca="false">IF(IU$5=3,IF(IU14&gt;0,IU13/IU14,IU9),IU9+IF(IU$5=1,0.5,1)*(IU13-IU15))</f>
        <v>450</v>
      </c>
      <c r="IV16" s="59" t="n">
        <f aca="false">IF(IV$5=3,IF(IV14&gt;0,IV13/IV14,IV9),IV9+IF(IV$5=1,0.5,1)*(IV13-IV15))</f>
        <v>450</v>
      </c>
      <c r="IW16" s="59" t="n">
        <f aca="false">IF(IW$5=3,IF(IW14&gt;0,IW13/IW14,IW9),IW9+IF(IW$5=1,0.5,1)*(IW13-IW15))</f>
        <v>450</v>
      </c>
      <c r="IX16" s="59" t="n">
        <f aca="false">IF(IX$5=3,IF(IX14&gt;0,IX13/IX14,IX9),IX9+IF(IX$5=1,0.5,1)*(IX13-IX15))</f>
        <v>450</v>
      </c>
      <c r="IY16" s="59" t="n">
        <f aca="false">IF(IY$5=3,IF(IY14&gt;0,IY13/IY14,IY9),IY9+IF(IY$5=1,0.5,1)*(IY13-IY15))</f>
        <v>450</v>
      </c>
      <c r="IZ16" s="59" t="n">
        <f aca="false">IF(IZ$5=3,IF(IZ14&gt;0,IZ13/IZ14,IZ9),IZ9+IF(IZ$5=1,0.5,1)*(IZ13-IZ15))</f>
        <v>450</v>
      </c>
      <c r="JA16" s="59" t="n">
        <f aca="false">IF(JA$5=3,IF(JA14&gt;0,JA13/JA14,JA9),JA9+IF(JA$5=1,0.5,1)*(JA13-JA15))</f>
        <v>450</v>
      </c>
    </row>
    <row r="17" customFormat="false" ht="15" hidden="false" customHeight="false" outlineLevel="0" collapsed="false">
      <c r="A17" s="13" t="s">
        <v>313</v>
      </c>
      <c r="B17" s="13" t="s">
        <v>314</v>
      </c>
      <c r="C17" s="13" t="s">
        <v>194</v>
      </c>
      <c r="D17" s="9" t="s">
        <v>36</v>
      </c>
      <c r="E17" s="32" t="n">
        <f aca="false">INDEX(Вводные!$D$13:$F$64,MATCH($A17,Вводные!$A$13:$A$64,0),MATCH(E$3,Вводные!$D$11:$F$11,0))*(1+IF(E$4=$A17,Вводные!$D$5*INDEX(Вводные!$G$13:$G$64,MATCH($A17,Вводные!$A$13:$A$64,0)),0))</f>
        <v>0.35</v>
      </c>
      <c r="F17" s="32" t="n">
        <f aca="false">INDEX(Вводные!$D$13:$F$64,MATCH($A17,Вводные!$A$13:$A$64,0),MATCH(F$3,Вводные!$D$11:$F$11,0))*(1+IF(F$4=$A17,Вводные!$D$5*INDEX(Вводные!$G$13:$G$64,MATCH($A17,Вводные!$A$13:$A$64,0)),0))</f>
        <v>0.55</v>
      </c>
      <c r="G17" s="32" t="n">
        <f aca="false">INDEX(Вводные!$D$13:$F$64,MATCH($A17,Вводные!$A$13:$A$64,0),MATCH(G$3,Вводные!$D$11:$F$11,0))*(1+IF(G$4=$A17,Вводные!$D$5*INDEX(Вводные!$G$13:$G$64,MATCH($A17,Вводные!$A$13:$A$64,0)),0))</f>
        <v>0.8</v>
      </c>
      <c r="H17" s="60"/>
      <c r="J17" s="32" t="n">
        <f aca="false">INDEX(Вводные!$D$13:$F$64,MATCH($A17,Вводные!$A$13:$A$64,0),MATCH(J$3,Вводные!$D$11:$F$11,0))*(1+IF(J$4=$A17,Вводные!$D$5*INDEX(Вводные!$G$13:$G$64,MATCH($A17,Вводные!$A$13:$A$64,0)),0))</f>
        <v>0.35</v>
      </c>
      <c r="K17" s="32" t="n">
        <f aca="false">INDEX(Вводные!$D$13:$F$64,MATCH($A17,Вводные!$A$13:$A$64,0),MATCH(K$3,Вводные!$D$11:$F$11,0))*(1+IF(K$4=$A17,Вводные!$D$5*INDEX(Вводные!$G$13:$G$64,MATCH($A17,Вводные!$A$13:$A$64,0)),0))</f>
        <v>0.35</v>
      </c>
      <c r="L17" s="32" t="n">
        <f aca="false">INDEX(Вводные!$D$13:$F$64,MATCH($A17,Вводные!$A$13:$A$64,0),MATCH(L$3,Вводные!$D$11:$F$11,0))*(1+IF(L$4=$A17,Вводные!$D$5*INDEX(Вводные!$G$13:$G$64,MATCH($A17,Вводные!$A$13:$A$64,0)),0))</f>
        <v>0.35</v>
      </c>
      <c r="M17" s="32" t="n">
        <f aca="false">INDEX(Вводные!$D$13:$F$64,MATCH($A17,Вводные!$A$13:$A$64,0),MATCH(M$3,Вводные!$D$11:$F$11,0))*(1+IF(M$4=$A17,Вводные!$D$5*INDEX(Вводные!$G$13:$G$64,MATCH($A17,Вводные!$A$13:$A$64,0)),0))</f>
        <v>0.35</v>
      </c>
      <c r="N17" s="32" t="n">
        <f aca="false">INDEX(Вводные!$D$13:$F$64,MATCH($A17,Вводные!$A$13:$A$64,0),MATCH(N$3,Вводные!$D$11:$F$11,0))*(1+IF(N$4=$A17,Вводные!$D$5*INDEX(Вводные!$G$13:$G$64,MATCH($A17,Вводные!$A$13:$A$64,0)),0))</f>
        <v>0.35</v>
      </c>
      <c r="O17" s="32" t="n">
        <f aca="false">INDEX(Вводные!$D$13:$F$64,MATCH($A17,Вводные!$A$13:$A$64,0),MATCH(O$3,Вводные!$D$11:$F$11,0))*(1+IF(O$4=$A17,Вводные!$D$5*INDEX(Вводные!$G$13:$G$64,MATCH($A17,Вводные!$A$13:$A$64,0)),0))</f>
        <v>0.3535</v>
      </c>
      <c r="P17" s="32" t="n">
        <f aca="false">INDEX(Вводные!$D$13:$F$64,MATCH($A17,Вводные!$A$13:$A$64,0),MATCH(P$3,Вводные!$D$11:$F$11,0))*(1+IF(P$4=$A17,Вводные!$D$5*INDEX(Вводные!$G$13:$G$64,MATCH($A17,Вводные!$A$13:$A$64,0)),0))</f>
        <v>0.35</v>
      </c>
      <c r="Q17" s="32" t="n">
        <f aca="false">INDEX(Вводные!$D$13:$F$64,MATCH($A17,Вводные!$A$13:$A$64,0),MATCH(Q$3,Вводные!$D$11:$F$11,0))*(1+IF(Q$4=$A17,Вводные!$D$5*INDEX(Вводные!$G$13:$G$64,MATCH($A17,Вводные!$A$13:$A$64,0)),0))</f>
        <v>0.35</v>
      </c>
      <c r="R17" s="32" t="n">
        <f aca="false">INDEX(Вводные!$D$13:$F$64,MATCH($A17,Вводные!$A$13:$A$64,0),MATCH(R$3,Вводные!$D$11:$F$11,0))*(1+IF(R$4=$A17,Вводные!$D$5*INDEX(Вводные!$G$13:$G$64,MATCH($A17,Вводные!$A$13:$A$64,0)),0))</f>
        <v>0.35</v>
      </c>
      <c r="S17" s="32" t="n">
        <f aca="false">INDEX(Вводные!$D$13:$F$64,MATCH($A17,Вводные!$A$13:$A$64,0),MATCH(S$3,Вводные!$D$11:$F$11,0))*(1+IF(S$4=$A17,Вводные!$D$5*INDEX(Вводные!$G$13:$G$64,MATCH($A17,Вводные!$A$13:$A$64,0)),0))</f>
        <v>0.35</v>
      </c>
      <c r="T17" s="32" t="n">
        <f aca="false">INDEX(Вводные!$D$13:$F$64,MATCH($A17,Вводные!$A$13:$A$64,0),MATCH(T$3,Вводные!$D$11:$F$11,0))*(1+IF(T$4=$A17,Вводные!$D$5*INDEX(Вводные!$G$13:$G$64,MATCH($A17,Вводные!$A$13:$A$64,0)),0))</f>
        <v>0.35</v>
      </c>
      <c r="U17" s="32" t="n">
        <f aca="false">INDEX(Вводные!$D$13:$F$64,MATCH($A17,Вводные!$A$13:$A$64,0),MATCH(U$3,Вводные!$D$11:$F$11,0))*(1+IF(U$4=$A17,Вводные!$D$5*INDEX(Вводные!$G$13:$G$64,MATCH($A17,Вводные!$A$13:$A$64,0)),0))</f>
        <v>0.35</v>
      </c>
      <c r="V17" s="32" t="n">
        <f aca="false">INDEX(Вводные!$D$13:$F$64,MATCH($A17,Вводные!$A$13:$A$64,0),MATCH(V$3,Вводные!$D$11:$F$11,0))*(1+IF(V$4=$A17,Вводные!$D$5*INDEX(Вводные!$G$13:$G$64,MATCH($A17,Вводные!$A$13:$A$64,0)),0))</f>
        <v>0.35</v>
      </c>
      <c r="W17" s="32" t="n">
        <f aca="false">INDEX(Вводные!$D$13:$F$64,MATCH($A17,Вводные!$A$13:$A$64,0),MATCH(W$3,Вводные!$D$11:$F$11,0))*(1+IF(W$4=$A17,Вводные!$D$5*INDEX(Вводные!$G$13:$G$64,MATCH($A17,Вводные!$A$13:$A$64,0)),0))</f>
        <v>0.35</v>
      </c>
      <c r="X17" s="32" t="n">
        <f aca="false">INDEX(Вводные!$D$13:$F$64,MATCH($A17,Вводные!$A$13:$A$64,0),MATCH(X$3,Вводные!$D$11:$F$11,0))*(1+IF(X$4=$A17,Вводные!$D$5*INDEX(Вводные!$G$13:$G$64,MATCH($A17,Вводные!$A$13:$A$64,0)),0))</f>
        <v>0.35</v>
      </c>
      <c r="Y17" s="32" t="n">
        <f aca="false">INDEX(Вводные!$D$13:$F$64,MATCH($A17,Вводные!$A$13:$A$64,0),MATCH(Y$3,Вводные!$D$11:$F$11,0))*(1+IF(Y$4=$A17,Вводные!$D$5*INDEX(Вводные!$G$13:$G$64,MATCH($A17,Вводные!$A$13:$A$64,0)),0))</f>
        <v>0.35</v>
      </c>
      <c r="Z17" s="32" t="n">
        <f aca="false">INDEX(Вводные!$D$13:$F$64,MATCH($A17,Вводные!$A$13:$A$64,0),MATCH(Z$3,Вводные!$D$11:$F$11,0))*(1+IF(Z$4=$A17,Вводные!$D$5*INDEX(Вводные!$G$13:$G$64,MATCH($A17,Вводные!$A$13:$A$64,0)),0))</f>
        <v>0.35</v>
      </c>
      <c r="AA17" s="32" t="n">
        <f aca="false">INDEX(Вводные!$D$13:$F$64,MATCH($A17,Вводные!$A$13:$A$64,0),MATCH(AA$3,Вводные!$D$11:$F$11,0))*(1+IF(AA$4=$A17,Вводные!$D$5*INDEX(Вводные!$G$13:$G$64,MATCH($A17,Вводные!$A$13:$A$64,0)),0))</f>
        <v>0.35</v>
      </c>
      <c r="AB17" s="32" t="n">
        <f aca="false">INDEX(Вводные!$D$13:$F$64,MATCH($A17,Вводные!$A$13:$A$64,0),MATCH(AB$3,Вводные!$D$11:$F$11,0))*(1+IF(AB$4=$A17,Вводные!$D$5*INDEX(Вводные!$G$13:$G$64,MATCH($A17,Вводные!$A$13:$A$64,0)),0))</f>
        <v>0.35</v>
      </c>
      <c r="AC17" s="32" t="n">
        <f aca="false">INDEX(Вводные!$D$13:$F$64,MATCH($A17,Вводные!$A$13:$A$64,0),MATCH(AC$3,Вводные!$D$11:$F$11,0))*(1+IF(AC$4=$A17,Вводные!$D$5*INDEX(Вводные!$G$13:$G$64,MATCH($A17,Вводные!$A$13:$A$64,0)),0))</f>
        <v>0.35</v>
      </c>
      <c r="AD17" s="32" t="n">
        <f aca="false">INDEX(Вводные!$D$13:$F$64,MATCH($A17,Вводные!$A$13:$A$64,0),MATCH(AD$3,Вводные!$D$11:$F$11,0))*(1+IF(AD$4=$A17,Вводные!$D$5*INDEX(Вводные!$G$13:$G$64,MATCH($A17,Вводные!$A$13:$A$64,0)),0))</f>
        <v>0.35</v>
      </c>
      <c r="AE17" s="32" t="n">
        <f aca="false">INDEX(Вводные!$D$13:$F$64,MATCH($A17,Вводные!$A$13:$A$64,0),MATCH(AE$3,Вводные!$D$11:$F$11,0))*(1+IF(AE$4=$A17,Вводные!$D$5*INDEX(Вводные!$G$13:$G$64,MATCH($A17,Вводные!$A$13:$A$64,0)),0))</f>
        <v>0.35</v>
      </c>
      <c r="AF17" s="32" t="n">
        <f aca="false">INDEX(Вводные!$D$13:$F$64,MATCH($A17,Вводные!$A$13:$A$64,0),MATCH(AF$3,Вводные!$D$11:$F$11,0))*(1+IF(AF$4=$A17,Вводные!$D$5*INDEX(Вводные!$G$13:$G$64,MATCH($A17,Вводные!$A$13:$A$64,0)),0))</f>
        <v>0.35</v>
      </c>
      <c r="AG17" s="32" t="n">
        <f aca="false">INDEX(Вводные!$D$13:$F$64,MATCH($A17,Вводные!$A$13:$A$64,0),MATCH(AG$3,Вводные!$D$11:$F$11,0))*(1+IF(AG$4=$A17,Вводные!$D$5*INDEX(Вводные!$G$13:$G$64,MATCH($A17,Вводные!$A$13:$A$64,0)),0))</f>
        <v>0.35</v>
      </c>
      <c r="AH17" s="32" t="n">
        <f aca="false">INDEX(Вводные!$D$13:$F$64,MATCH($A17,Вводные!$A$13:$A$64,0),MATCH(AH$3,Вводные!$D$11:$F$11,0))*(1+IF(AH$4=$A17,Вводные!$D$5*INDEX(Вводные!$G$13:$G$64,MATCH($A17,Вводные!$A$13:$A$64,0)),0))</f>
        <v>0.35</v>
      </c>
      <c r="AI17" s="32" t="n">
        <f aca="false">INDEX(Вводные!$D$13:$F$64,MATCH($A17,Вводные!$A$13:$A$64,0),MATCH(AI$3,Вводные!$D$11:$F$11,0))*(1+IF(AI$4=$A17,Вводные!$D$5*INDEX(Вводные!$G$13:$G$64,MATCH($A17,Вводные!$A$13:$A$64,0)),0))</f>
        <v>0.35</v>
      </c>
      <c r="AJ17" s="32" t="n">
        <f aca="false">INDEX(Вводные!$D$13:$F$64,MATCH($A17,Вводные!$A$13:$A$64,0),MATCH(AJ$3,Вводные!$D$11:$F$11,0))*(1+IF(AJ$4=$A17,Вводные!$D$5*INDEX(Вводные!$G$13:$G$64,MATCH($A17,Вводные!$A$13:$A$64,0)),0))</f>
        <v>0.35</v>
      </c>
      <c r="AK17" s="32" t="n">
        <f aca="false">INDEX(Вводные!$D$13:$F$64,MATCH($A17,Вводные!$A$13:$A$64,0),MATCH(AK$3,Вводные!$D$11:$F$11,0))*(1+IF(AK$4=$A17,Вводные!$D$5*INDEX(Вводные!$G$13:$G$64,MATCH($A17,Вводные!$A$13:$A$64,0)),0))</f>
        <v>0.35</v>
      </c>
      <c r="AL17" s="32" t="n">
        <f aca="false">INDEX(Вводные!$D$13:$F$64,MATCH($A17,Вводные!$A$13:$A$64,0),MATCH(AL$3,Вводные!$D$11:$F$11,0))*(1+IF(AL$4=$A17,Вводные!$D$5*INDEX(Вводные!$G$13:$G$64,MATCH($A17,Вводные!$A$13:$A$64,0)),0))</f>
        <v>0.35</v>
      </c>
      <c r="AM17" s="32" t="n">
        <f aca="false">INDEX(Вводные!$D$13:$F$64,MATCH($A17,Вводные!$A$13:$A$64,0),MATCH(AM$3,Вводные!$D$11:$F$11,0))*(1+IF(AM$4=$A17,Вводные!$D$5*INDEX(Вводные!$G$13:$G$64,MATCH($A17,Вводные!$A$13:$A$64,0)),0))</f>
        <v>0.35</v>
      </c>
      <c r="AN17" s="32" t="n">
        <f aca="false">INDEX(Вводные!$D$13:$F$64,MATCH($A17,Вводные!$A$13:$A$64,0),MATCH(AN$3,Вводные!$D$11:$F$11,0))*(1+IF(AN$4=$A17,Вводные!$D$5*INDEX(Вводные!$G$13:$G$64,MATCH($A17,Вводные!$A$13:$A$64,0)),0))</f>
        <v>0.35</v>
      </c>
      <c r="AO17" s="32" t="n">
        <f aca="false">INDEX(Вводные!$D$13:$F$64,MATCH($A17,Вводные!$A$13:$A$64,0),MATCH(AO$3,Вводные!$D$11:$F$11,0))*(1+IF(AO$4=$A17,Вводные!$D$5*INDEX(Вводные!$G$13:$G$64,MATCH($A17,Вводные!$A$13:$A$64,0)),0))</f>
        <v>0.35</v>
      </c>
      <c r="AP17" s="32" t="n">
        <f aca="false">INDEX(Вводные!$D$13:$F$64,MATCH($A17,Вводные!$A$13:$A$64,0),MATCH(AP$3,Вводные!$D$11:$F$11,0))*(1+IF(AP$4=$A17,Вводные!$D$5*INDEX(Вводные!$G$13:$G$64,MATCH($A17,Вводные!$A$13:$A$64,0)),0))</f>
        <v>0.35</v>
      </c>
      <c r="AQ17" s="32" t="n">
        <f aca="false">INDEX(Вводные!$D$13:$F$64,MATCH($A17,Вводные!$A$13:$A$64,0),MATCH(AQ$3,Вводные!$D$11:$F$11,0))*(1+IF(AQ$4=$A17,Вводные!$D$5*INDEX(Вводные!$G$13:$G$64,MATCH($A17,Вводные!$A$13:$A$64,0)),0))</f>
        <v>0.35</v>
      </c>
      <c r="AR17" s="32" t="n">
        <f aca="false">INDEX(Вводные!$D$13:$F$64,MATCH($A17,Вводные!$A$13:$A$64,0),MATCH(AR$3,Вводные!$D$11:$F$11,0))*(1+IF(AR$4=$A17,Вводные!$D$5*INDEX(Вводные!$G$13:$G$64,MATCH($A17,Вводные!$A$13:$A$64,0)),0))</f>
        <v>0.35</v>
      </c>
      <c r="AS17" s="32" t="n">
        <f aca="false">INDEX(Вводные!$D$13:$F$64,MATCH($A17,Вводные!$A$13:$A$64,0),MATCH(AS$3,Вводные!$D$11:$F$11,0))*(1+IF(AS$4=$A17,Вводные!$D$5*INDEX(Вводные!$G$13:$G$64,MATCH($A17,Вводные!$A$13:$A$64,0)),0))</f>
        <v>0.35</v>
      </c>
      <c r="AT17" s="32" t="n">
        <f aca="false">INDEX(Вводные!$D$13:$F$64,MATCH($A17,Вводные!$A$13:$A$64,0),MATCH(AT$3,Вводные!$D$11:$F$11,0))*(1+IF(AT$4=$A17,Вводные!$D$5*INDEX(Вводные!$G$13:$G$64,MATCH($A17,Вводные!$A$13:$A$64,0)),0))</f>
        <v>0.35</v>
      </c>
      <c r="AU17" s="32" t="n">
        <f aca="false">INDEX(Вводные!$D$13:$F$64,MATCH($A17,Вводные!$A$13:$A$64,0),MATCH(AU$3,Вводные!$D$11:$F$11,0))*(1+IF(AU$4=$A17,Вводные!$D$5*INDEX(Вводные!$G$13:$G$64,MATCH($A17,Вводные!$A$13:$A$64,0)),0))</f>
        <v>0.35</v>
      </c>
      <c r="AV17" s="32" t="n">
        <f aca="false">INDEX(Вводные!$D$13:$F$64,MATCH($A17,Вводные!$A$13:$A$64,0),MATCH(AV$3,Вводные!$D$11:$F$11,0))*(1+IF(AV$4=$A17,Вводные!$D$5*INDEX(Вводные!$G$13:$G$64,MATCH($A17,Вводные!$A$13:$A$64,0)),0))</f>
        <v>0.35</v>
      </c>
      <c r="AW17" s="32" t="n">
        <f aca="false">INDEX(Вводные!$D$13:$F$64,MATCH($A17,Вводные!$A$13:$A$64,0),MATCH(AW$3,Вводные!$D$11:$F$11,0))*(1+IF(AW$4=$A17,Вводные!$D$5*INDEX(Вводные!$G$13:$G$64,MATCH($A17,Вводные!$A$13:$A$64,0)),0))</f>
        <v>0.35</v>
      </c>
      <c r="AX17" s="32" t="n">
        <f aca="false">INDEX(Вводные!$D$13:$F$64,MATCH($A17,Вводные!$A$13:$A$64,0),MATCH(AX$3,Вводные!$D$11:$F$11,0))*(1+IF(AX$4=$A17,Вводные!$D$5*INDEX(Вводные!$G$13:$G$64,MATCH($A17,Вводные!$A$13:$A$64,0)),0))</f>
        <v>0.35</v>
      </c>
      <c r="AY17" s="32" t="n">
        <f aca="false">INDEX(Вводные!$D$13:$F$64,MATCH($A17,Вводные!$A$13:$A$64,0),MATCH(AY$3,Вводные!$D$11:$F$11,0))*(1+IF(AY$4=$A17,Вводные!$D$5*INDEX(Вводные!$G$13:$G$64,MATCH($A17,Вводные!$A$13:$A$64,0)),0))</f>
        <v>0.35</v>
      </c>
      <c r="AZ17" s="32" t="n">
        <f aca="false">INDEX(Вводные!$D$13:$F$64,MATCH($A17,Вводные!$A$13:$A$64,0),MATCH(AZ$3,Вводные!$D$11:$F$11,0))*(1+IF(AZ$4=$A17,Вводные!$D$5*INDEX(Вводные!$G$13:$G$64,MATCH($A17,Вводные!$A$13:$A$64,0)),0))</f>
        <v>0.55</v>
      </c>
      <c r="BA17" s="32" t="n">
        <f aca="false">INDEX(Вводные!$D$13:$F$64,MATCH($A17,Вводные!$A$13:$A$64,0),MATCH(BA$3,Вводные!$D$11:$F$11,0))*(1+IF(BA$4=$A17,Вводные!$D$5*INDEX(Вводные!$G$13:$G$64,MATCH($A17,Вводные!$A$13:$A$64,0)),0))</f>
        <v>0.55</v>
      </c>
      <c r="BB17" s="32" t="n">
        <f aca="false">INDEX(Вводные!$D$13:$F$64,MATCH($A17,Вводные!$A$13:$A$64,0),MATCH(BB$3,Вводные!$D$11:$F$11,0))*(1+IF(BB$4=$A17,Вводные!$D$5*INDEX(Вводные!$G$13:$G$64,MATCH($A17,Вводные!$A$13:$A$64,0)),0))</f>
        <v>0.55</v>
      </c>
      <c r="BC17" s="32" t="n">
        <f aca="false">INDEX(Вводные!$D$13:$F$64,MATCH($A17,Вводные!$A$13:$A$64,0),MATCH(BC$3,Вводные!$D$11:$F$11,0))*(1+IF(BC$4=$A17,Вводные!$D$5*INDEX(Вводные!$G$13:$G$64,MATCH($A17,Вводные!$A$13:$A$64,0)),0))</f>
        <v>0.55</v>
      </c>
      <c r="BD17" s="32" t="n">
        <f aca="false">INDEX(Вводные!$D$13:$F$64,MATCH($A17,Вводные!$A$13:$A$64,0),MATCH(BD$3,Вводные!$D$11:$F$11,0))*(1+IF(BD$4=$A17,Вводные!$D$5*INDEX(Вводные!$G$13:$G$64,MATCH($A17,Вводные!$A$13:$A$64,0)),0))</f>
        <v>0.55</v>
      </c>
      <c r="BE17" s="32" t="n">
        <f aca="false">INDEX(Вводные!$D$13:$F$64,MATCH($A17,Вводные!$A$13:$A$64,0),MATCH(BE$3,Вводные!$D$11:$F$11,0))*(1+IF(BE$4=$A17,Вводные!$D$5*INDEX(Вводные!$G$13:$G$64,MATCH($A17,Вводные!$A$13:$A$64,0)),0))</f>
        <v>0.5555</v>
      </c>
      <c r="BF17" s="32" t="n">
        <f aca="false">INDEX(Вводные!$D$13:$F$64,MATCH($A17,Вводные!$A$13:$A$64,0),MATCH(BF$3,Вводные!$D$11:$F$11,0))*(1+IF(BF$4=$A17,Вводные!$D$5*INDEX(Вводные!$G$13:$G$64,MATCH($A17,Вводные!$A$13:$A$64,0)),0))</f>
        <v>0.55</v>
      </c>
      <c r="BG17" s="32" t="n">
        <f aca="false">INDEX(Вводные!$D$13:$F$64,MATCH($A17,Вводные!$A$13:$A$64,0),MATCH(BG$3,Вводные!$D$11:$F$11,0))*(1+IF(BG$4=$A17,Вводные!$D$5*INDEX(Вводные!$G$13:$G$64,MATCH($A17,Вводные!$A$13:$A$64,0)),0))</f>
        <v>0.55</v>
      </c>
      <c r="BH17" s="32" t="n">
        <f aca="false">INDEX(Вводные!$D$13:$F$64,MATCH($A17,Вводные!$A$13:$A$64,0),MATCH(BH$3,Вводные!$D$11:$F$11,0))*(1+IF(BH$4=$A17,Вводные!$D$5*INDEX(Вводные!$G$13:$G$64,MATCH($A17,Вводные!$A$13:$A$64,0)),0))</f>
        <v>0.55</v>
      </c>
      <c r="BI17" s="32" t="n">
        <f aca="false">INDEX(Вводные!$D$13:$F$64,MATCH($A17,Вводные!$A$13:$A$64,0),MATCH(BI$3,Вводные!$D$11:$F$11,0))*(1+IF(BI$4=$A17,Вводные!$D$5*INDEX(Вводные!$G$13:$G$64,MATCH($A17,Вводные!$A$13:$A$64,0)),0))</f>
        <v>0.55</v>
      </c>
      <c r="BJ17" s="32" t="n">
        <f aca="false">INDEX(Вводные!$D$13:$F$64,MATCH($A17,Вводные!$A$13:$A$64,0),MATCH(BJ$3,Вводные!$D$11:$F$11,0))*(1+IF(BJ$4=$A17,Вводные!$D$5*INDEX(Вводные!$G$13:$G$64,MATCH($A17,Вводные!$A$13:$A$64,0)),0))</f>
        <v>0.55</v>
      </c>
      <c r="BK17" s="32" t="n">
        <f aca="false">INDEX(Вводные!$D$13:$F$64,MATCH($A17,Вводные!$A$13:$A$64,0),MATCH(BK$3,Вводные!$D$11:$F$11,0))*(1+IF(BK$4=$A17,Вводные!$D$5*INDEX(Вводные!$G$13:$G$64,MATCH($A17,Вводные!$A$13:$A$64,0)),0))</f>
        <v>0.55</v>
      </c>
      <c r="BL17" s="32" t="n">
        <f aca="false">INDEX(Вводные!$D$13:$F$64,MATCH($A17,Вводные!$A$13:$A$64,0),MATCH(BL$3,Вводные!$D$11:$F$11,0))*(1+IF(BL$4=$A17,Вводные!$D$5*INDEX(Вводные!$G$13:$G$64,MATCH($A17,Вводные!$A$13:$A$64,0)),0))</f>
        <v>0.55</v>
      </c>
      <c r="BM17" s="32" t="n">
        <f aca="false">INDEX(Вводные!$D$13:$F$64,MATCH($A17,Вводные!$A$13:$A$64,0),MATCH(BM$3,Вводные!$D$11:$F$11,0))*(1+IF(BM$4=$A17,Вводные!$D$5*INDEX(Вводные!$G$13:$G$64,MATCH($A17,Вводные!$A$13:$A$64,0)),0))</f>
        <v>0.55</v>
      </c>
      <c r="BN17" s="32" t="n">
        <f aca="false">INDEX(Вводные!$D$13:$F$64,MATCH($A17,Вводные!$A$13:$A$64,0),MATCH(BN$3,Вводные!$D$11:$F$11,0))*(1+IF(BN$4=$A17,Вводные!$D$5*INDEX(Вводные!$G$13:$G$64,MATCH($A17,Вводные!$A$13:$A$64,0)),0))</f>
        <v>0.55</v>
      </c>
      <c r="BO17" s="32" t="n">
        <f aca="false">INDEX(Вводные!$D$13:$F$64,MATCH($A17,Вводные!$A$13:$A$64,0),MATCH(BO$3,Вводные!$D$11:$F$11,0))*(1+IF(BO$4=$A17,Вводные!$D$5*INDEX(Вводные!$G$13:$G$64,MATCH($A17,Вводные!$A$13:$A$64,0)),0))</f>
        <v>0.55</v>
      </c>
      <c r="BP17" s="32" t="n">
        <f aca="false">INDEX(Вводные!$D$13:$F$64,MATCH($A17,Вводные!$A$13:$A$64,0),MATCH(BP$3,Вводные!$D$11:$F$11,0))*(1+IF(BP$4=$A17,Вводные!$D$5*INDEX(Вводные!$G$13:$G$64,MATCH($A17,Вводные!$A$13:$A$64,0)),0))</f>
        <v>0.55</v>
      </c>
      <c r="BQ17" s="32" t="n">
        <f aca="false">INDEX(Вводные!$D$13:$F$64,MATCH($A17,Вводные!$A$13:$A$64,0),MATCH(BQ$3,Вводные!$D$11:$F$11,0))*(1+IF(BQ$4=$A17,Вводные!$D$5*INDEX(Вводные!$G$13:$G$64,MATCH($A17,Вводные!$A$13:$A$64,0)),0))</f>
        <v>0.55</v>
      </c>
      <c r="BR17" s="32" t="n">
        <f aca="false">INDEX(Вводные!$D$13:$F$64,MATCH($A17,Вводные!$A$13:$A$64,0),MATCH(BR$3,Вводные!$D$11:$F$11,0))*(1+IF(BR$4=$A17,Вводные!$D$5*INDEX(Вводные!$G$13:$G$64,MATCH($A17,Вводные!$A$13:$A$64,0)),0))</f>
        <v>0.55</v>
      </c>
      <c r="BS17" s="32" t="n">
        <f aca="false">INDEX(Вводные!$D$13:$F$64,MATCH($A17,Вводные!$A$13:$A$64,0),MATCH(BS$3,Вводные!$D$11:$F$11,0))*(1+IF(BS$4=$A17,Вводные!$D$5*INDEX(Вводные!$G$13:$G$64,MATCH($A17,Вводные!$A$13:$A$64,0)),0))</f>
        <v>0.55</v>
      </c>
      <c r="BT17" s="32" t="n">
        <f aca="false">INDEX(Вводные!$D$13:$F$64,MATCH($A17,Вводные!$A$13:$A$64,0),MATCH(BT$3,Вводные!$D$11:$F$11,0))*(1+IF(BT$4=$A17,Вводные!$D$5*INDEX(Вводные!$G$13:$G$64,MATCH($A17,Вводные!$A$13:$A$64,0)),0))</f>
        <v>0.55</v>
      </c>
      <c r="BU17" s="32" t="n">
        <f aca="false">INDEX(Вводные!$D$13:$F$64,MATCH($A17,Вводные!$A$13:$A$64,0),MATCH(BU$3,Вводные!$D$11:$F$11,0))*(1+IF(BU$4=$A17,Вводные!$D$5*INDEX(Вводные!$G$13:$G$64,MATCH($A17,Вводные!$A$13:$A$64,0)),0))</f>
        <v>0.55</v>
      </c>
      <c r="BV17" s="32" t="n">
        <f aca="false">INDEX(Вводные!$D$13:$F$64,MATCH($A17,Вводные!$A$13:$A$64,0),MATCH(BV$3,Вводные!$D$11:$F$11,0))*(1+IF(BV$4=$A17,Вводные!$D$5*INDEX(Вводные!$G$13:$G$64,MATCH($A17,Вводные!$A$13:$A$64,0)),0))</f>
        <v>0.55</v>
      </c>
      <c r="BW17" s="32" t="n">
        <f aca="false">INDEX(Вводные!$D$13:$F$64,MATCH($A17,Вводные!$A$13:$A$64,0),MATCH(BW$3,Вводные!$D$11:$F$11,0))*(1+IF(BW$4=$A17,Вводные!$D$5*INDEX(Вводные!$G$13:$G$64,MATCH($A17,Вводные!$A$13:$A$64,0)),0))</f>
        <v>0.55</v>
      </c>
      <c r="BX17" s="32" t="n">
        <f aca="false">INDEX(Вводные!$D$13:$F$64,MATCH($A17,Вводные!$A$13:$A$64,0),MATCH(BX$3,Вводные!$D$11:$F$11,0))*(1+IF(BX$4=$A17,Вводные!$D$5*INDEX(Вводные!$G$13:$G$64,MATCH($A17,Вводные!$A$13:$A$64,0)),0))</f>
        <v>0.55</v>
      </c>
      <c r="BY17" s="32" t="n">
        <f aca="false">INDEX(Вводные!$D$13:$F$64,MATCH($A17,Вводные!$A$13:$A$64,0),MATCH(BY$3,Вводные!$D$11:$F$11,0))*(1+IF(BY$4=$A17,Вводные!$D$5*INDEX(Вводные!$G$13:$G$64,MATCH($A17,Вводные!$A$13:$A$64,0)),0))</f>
        <v>0.55</v>
      </c>
      <c r="BZ17" s="32" t="n">
        <f aca="false">INDEX(Вводные!$D$13:$F$64,MATCH($A17,Вводные!$A$13:$A$64,0),MATCH(BZ$3,Вводные!$D$11:$F$11,0))*(1+IF(BZ$4=$A17,Вводные!$D$5*INDEX(Вводные!$G$13:$G$64,MATCH($A17,Вводные!$A$13:$A$64,0)),0))</f>
        <v>0.55</v>
      </c>
      <c r="CA17" s="32" t="n">
        <f aca="false">INDEX(Вводные!$D$13:$F$64,MATCH($A17,Вводные!$A$13:$A$64,0),MATCH(CA$3,Вводные!$D$11:$F$11,0))*(1+IF(CA$4=$A17,Вводные!$D$5*INDEX(Вводные!$G$13:$G$64,MATCH($A17,Вводные!$A$13:$A$64,0)),0))</f>
        <v>0.55</v>
      </c>
      <c r="CB17" s="32" t="n">
        <f aca="false">INDEX(Вводные!$D$13:$F$64,MATCH($A17,Вводные!$A$13:$A$64,0),MATCH(CB$3,Вводные!$D$11:$F$11,0))*(1+IF(CB$4=$A17,Вводные!$D$5*INDEX(Вводные!$G$13:$G$64,MATCH($A17,Вводные!$A$13:$A$64,0)),0))</f>
        <v>0.55</v>
      </c>
      <c r="CC17" s="32" t="n">
        <f aca="false">INDEX(Вводные!$D$13:$F$64,MATCH($A17,Вводные!$A$13:$A$64,0),MATCH(CC$3,Вводные!$D$11:$F$11,0))*(1+IF(CC$4=$A17,Вводные!$D$5*INDEX(Вводные!$G$13:$G$64,MATCH($A17,Вводные!$A$13:$A$64,0)),0))</f>
        <v>0.55</v>
      </c>
      <c r="CD17" s="32" t="n">
        <f aca="false">INDEX(Вводные!$D$13:$F$64,MATCH($A17,Вводные!$A$13:$A$64,0),MATCH(CD$3,Вводные!$D$11:$F$11,0))*(1+IF(CD$4=$A17,Вводные!$D$5*INDEX(Вводные!$G$13:$G$64,MATCH($A17,Вводные!$A$13:$A$64,0)),0))</f>
        <v>0.55</v>
      </c>
      <c r="CE17" s="32" t="n">
        <f aca="false">INDEX(Вводные!$D$13:$F$64,MATCH($A17,Вводные!$A$13:$A$64,0),MATCH(CE$3,Вводные!$D$11:$F$11,0))*(1+IF(CE$4=$A17,Вводные!$D$5*INDEX(Вводные!$G$13:$G$64,MATCH($A17,Вводные!$A$13:$A$64,0)),0))</f>
        <v>0.55</v>
      </c>
      <c r="CF17" s="32" t="n">
        <f aca="false">INDEX(Вводные!$D$13:$F$64,MATCH($A17,Вводные!$A$13:$A$64,0),MATCH(CF$3,Вводные!$D$11:$F$11,0))*(1+IF(CF$4=$A17,Вводные!$D$5*INDEX(Вводные!$G$13:$G$64,MATCH($A17,Вводные!$A$13:$A$64,0)),0))</f>
        <v>0.55</v>
      </c>
      <c r="CG17" s="32" t="n">
        <f aca="false">INDEX(Вводные!$D$13:$F$64,MATCH($A17,Вводные!$A$13:$A$64,0),MATCH(CG$3,Вводные!$D$11:$F$11,0))*(1+IF(CG$4=$A17,Вводные!$D$5*INDEX(Вводные!$G$13:$G$64,MATCH($A17,Вводные!$A$13:$A$64,0)),0))</f>
        <v>0.55</v>
      </c>
      <c r="CH17" s="32" t="n">
        <f aca="false">INDEX(Вводные!$D$13:$F$64,MATCH($A17,Вводные!$A$13:$A$64,0),MATCH(CH$3,Вводные!$D$11:$F$11,0))*(1+IF(CH$4=$A17,Вводные!$D$5*INDEX(Вводные!$G$13:$G$64,MATCH($A17,Вводные!$A$13:$A$64,0)),0))</f>
        <v>0.55</v>
      </c>
      <c r="CI17" s="32" t="n">
        <f aca="false">INDEX(Вводные!$D$13:$F$64,MATCH($A17,Вводные!$A$13:$A$64,0),MATCH(CI$3,Вводные!$D$11:$F$11,0))*(1+IF(CI$4=$A17,Вводные!$D$5*INDEX(Вводные!$G$13:$G$64,MATCH($A17,Вводные!$A$13:$A$64,0)),0))</f>
        <v>0.55</v>
      </c>
      <c r="CJ17" s="32" t="n">
        <f aca="false">INDEX(Вводные!$D$13:$F$64,MATCH($A17,Вводные!$A$13:$A$64,0),MATCH(CJ$3,Вводные!$D$11:$F$11,0))*(1+IF(CJ$4=$A17,Вводные!$D$5*INDEX(Вводные!$G$13:$G$64,MATCH($A17,Вводные!$A$13:$A$64,0)),0))</f>
        <v>0.55</v>
      </c>
      <c r="CK17" s="32" t="n">
        <f aca="false">INDEX(Вводные!$D$13:$F$64,MATCH($A17,Вводные!$A$13:$A$64,0),MATCH(CK$3,Вводные!$D$11:$F$11,0))*(1+IF(CK$4=$A17,Вводные!$D$5*INDEX(Вводные!$G$13:$G$64,MATCH($A17,Вводные!$A$13:$A$64,0)),0))</f>
        <v>0.55</v>
      </c>
      <c r="CL17" s="32" t="n">
        <f aca="false">INDEX(Вводные!$D$13:$F$64,MATCH($A17,Вводные!$A$13:$A$64,0),MATCH(CL$3,Вводные!$D$11:$F$11,0))*(1+IF(CL$4=$A17,Вводные!$D$5*INDEX(Вводные!$G$13:$G$64,MATCH($A17,Вводные!$A$13:$A$64,0)),0))</f>
        <v>0.55</v>
      </c>
      <c r="CM17" s="32" t="n">
        <f aca="false">INDEX(Вводные!$D$13:$F$64,MATCH($A17,Вводные!$A$13:$A$64,0),MATCH(CM$3,Вводные!$D$11:$F$11,0))*(1+IF(CM$4=$A17,Вводные!$D$5*INDEX(Вводные!$G$13:$G$64,MATCH($A17,Вводные!$A$13:$A$64,0)),0))</f>
        <v>0.55</v>
      </c>
      <c r="CN17" s="32" t="n">
        <f aca="false">INDEX(Вводные!$D$13:$F$64,MATCH($A17,Вводные!$A$13:$A$64,0),MATCH(CN$3,Вводные!$D$11:$F$11,0))*(1+IF(CN$4=$A17,Вводные!$D$5*INDEX(Вводные!$G$13:$G$64,MATCH($A17,Вводные!$A$13:$A$64,0)),0))</f>
        <v>0.55</v>
      </c>
      <c r="CO17" s="32" t="n">
        <f aca="false">INDEX(Вводные!$D$13:$F$64,MATCH($A17,Вводные!$A$13:$A$64,0),MATCH(CO$3,Вводные!$D$11:$F$11,0))*(1+IF(CO$4=$A17,Вводные!$D$5*INDEX(Вводные!$G$13:$G$64,MATCH($A17,Вводные!$A$13:$A$64,0)),0))</f>
        <v>0.55</v>
      </c>
      <c r="CP17" s="32" t="n">
        <f aca="false">INDEX(Вводные!$D$13:$F$64,MATCH($A17,Вводные!$A$13:$A$64,0),MATCH(CP$3,Вводные!$D$11:$F$11,0))*(1+IF(CP$4=$A17,Вводные!$D$5*INDEX(Вводные!$G$13:$G$64,MATCH($A17,Вводные!$A$13:$A$64,0)),0))</f>
        <v>0.8</v>
      </c>
      <c r="CQ17" s="32" t="n">
        <f aca="false">INDEX(Вводные!$D$13:$F$64,MATCH($A17,Вводные!$A$13:$A$64,0),MATCH(CQ$3,Вводные!$D$11:$F$11,0))*(1+IF(CQ$4=$A17,Вводные!$D$5*INDEX(Вводные!$G$13:$G$64,MATCH($A17,Вводные!$A$13:$A$64,0)),0))</f>
        <v>0.8</v>
      </c>
      <c r="CR17" s="32" t="n">
        <f aca="false">INDEX(Вводные!$D$13:$F$64,MATCH($A17,Вводные!$A$13:$A$64,0),MATCH(CR$3,Вводные!$D$11:$F$11,0))*(1+IF(CR$4=$A17,Вводные!$D$5*INDEX(Вводные!$G$13:$G$64,MATCH($A17,Вводные!$A$13:$A$64,0)),0))</f>
        <v>0.8</v>
      </c>
      <c r="CS17" s="32" t="n">
        <f aca="false">INDEX(Вводные!$D$13:$F$64,MATCH($A17,Вводные!$A$13:$A$64,0),MATCH(CS$3,Вводные!$D$11:$F$11,0))*(1+IF(CS$4=$A17,Вводные!$D$5*INDEX(Вводные!$G$13:$G$64,MATCH($A17,Вводные!$A$13:$A$64,0)),0))</f>
        <v>0.8</v>
      </c>
      <c r="CT17" s="32" t="n">
        <f aca="false">INDEX(Вводные!$D$13:$F$64,MATCH($A17,Вводные!$A$13:$A$64,0),MATCH(CT$3,Вводные!$D$11:$F$11,0))*(1+IF(CT$4=$A17,Вводные!$D$5*INDEX(Вводные!$G$13:$G$64,MATCH($A17,Вводные!$A$13:$A$64,0)),0))</f>
        <v>0.8</v>
      </c>
      <c r="CU17" s="32" t="n">
        <f aca="false">INDEX(Вводные!$D$13:$F$64,MATCH($A17,Вводные!$A$13:$A$64,0),MATCH(CU$3,Вводные!$D$11:$F$11,0))*(1+IF(CU$4=$A17,Вводные!$D$5*INDEX(Вводные!$G$13:$G$64,MATCH($A17,Вводные!$A$13:$A$64,0)),0))</f>
        <v>0.808</v>
      </c>
      <c r="CV17" s="32" t="n">
        <f aca="false">INDEX(Вводные!$D$13:$F$64,MATCH($A17,Вводные!$A$13:$A$64,0),MATCH(CV$3,Вводные!$D$11:$F$11,0))*(1+IF(CV$4=$A17,Вводные!$D$5*INDEX(Вводные!$G$13:$G$64,MATCH($A17,Вводные!$A$13:$A$64,0)),0))</f>
        <v>0.8</v>
      </c>
      <c r="CW17" s="32" t="n">
        <f aca="false">INDEX(Вводные!$D$13:$F$64,MATCH($A17,Вводные!$A$13:$A$64,0),MATCH(CW$3,Вводные!$D$11:$F$11,0))*(1+IF(CW$4=$A17,Вводные!$D$5*INDEX(Вводные!$G$13:$G$64,MATCH($A17,Вводные!$A$13:$A$64,0)),0))</f>
        <v>0.8</v>
      </c>
      <c r="CX17" s="32" t="n">
        <f aca="false">INDEX(Вводные!$D$13:$F$64,MATCH($A17,Вводные!$A$13:$A$64,0),MATCH(CX$3,Вводные!$D$11:$F$11,0))*(1+IF(CX$4=$A17,Вводные!$D$5*INDEX(Вводные!$G$13:$G$64,MATCH($A17,Вводные!$A$13:$A$64,0)),0))</f>
        <v>0.8</v>
      </c>
      <c r="CY17" s="32" t="n">
        <f aca="false">INDEX(Вводные!$D$13:$F$64,MATCH($A17,Вводные!$A$13:$A$64,0),MATCH(CY$3,Вводные!$D$11:$F$11,0))*(1+IF(CY$4=$A17,Вводные!$D$5*INDEX(Вводные!$G$13:$G$64,MATCH($A17,Вводные!$A$13:$A$64,0)),0))</f>
        <v>0.8</v>
      </c>
      <c r="CZ17" s="32" t="n">
        <f aca="false">INDEX(Вводные!$D$13:$F$64,MATCH($A17,Вводные!$A$13:$A$64,0),MATCH(CZ$3,Вводные!$D$11:$F$11,0))*(1+IF(CZ$4=$A17,Вводные!$D$5*INDEX(Вводные!$G$13:$G$64,MATCH($A17,Вводные!$A$13:$A$64,0)),0))</f>
        <v>0.8</v>
      </c>
      <c r="DA17" s="32" t="n">
        <f aca="false">INDEX(Вводные!$D$13:$F$64,MATCH($A17,Вводные!$A$13:$A$64,0),MATCH(DA$3,Вводные!$D$11:$F$11,0))*(1+IF(DA$4=$A17,Вводные!$D$5*INDEX(Вводные!$G$13:$G$64,MATCH($A17,Вводные!$A$13:$A$64,0)),0))</f>
        <v>0.8</v>
      </c>
      <c r="DB17" s="32" t="n">
        <f aca="false">INDEX(Вводные!$D$13:$F$64,MATCH($A17,Вводные!$A$13:$A$64,0),MATCH(DB$3,Вводные!$D$11:$F$11,0))*(1+IF(DB$4=$A17,Вводные!$D$5*INDEX(Вводные!$G$13:$G$64,MATCH($A17,Вводные!$A$13:$A$64,0)),0))</f>
        <v>0.8</v>
      </c>
      <c r="DC17" s="32" t="n">
        <f aca="false">INDEX(Вводные!$D$13:$F$64,MATCH($A17,Вводные!$A$13:$A$64,0),MATCH(DC$3,Вводные!$D$11:$F$11,0))*(1+IF(DC$4=$A17,Вводные!$D$5*INDEX(Вводные!$G$13:$G$64,MATCH($A17,Вводные!$A$13:$A$64,0)),0))</f>
        <v>0.8</v>
      </c>
      <c r="DD17" s="32" t="n">
        <f aca="false">INDEX(Вводные!$D$13:$F$64,MATCH($A17,Вводные!$A$13:$A$64,0),MATCH(DD$3,Вводные!$D$11:$F$11,0))*(1+IF(DD$4=$A17,Вводные!$D$5*INDEX(Вводные!$G$13:$G$64,MATCH($A17,Вводные!$A$13:$A$64,0)),0))</f>
        <v>0.8</v>
      </c>
      <c r="DE17" s="32" t="n">
        <f aca="false">INDEX(Вводные!$D$13:$F$64,MATCH($A17,Вводные!$A$13:$A$64,0),MATCH(DE$3,Вводные!$D$11:$F$11,0))*(1+IF(DE$4=$A17,Вводные!$D$5*INDEX(Вводные!$G$13:$G$64,MATCH($A17,Вводные!$A$13:$A$64,0)),0))</f>
        <v>0.8</v>
      </c>
      <c r="DF17" s="32" t="n">
        <f aca="false">INDEX(Вводные!$D$13:$F$64,MATCH($A17,Вводные!$A$13:$A$64,0),MATCH(DF$3,Вводные!$D$11:$F$11,0))*(1+IF(DF$4=$A17,Вводные!$D$5*INDEX(Вводные!$G$13:$G$64,MATCH($A17,Вводные!$A$13:$A$64,0)),0))</f>
        <v>0.8</v>
      </c>
      <c r="DG17" s="32" t="n">
        <f aca="false">INDEX(Вводные!$D$13:$F$64,MATCH($A17,Вводные!$A$13:$A$64,0),MATCH(DG$3,Вводные!$D$11:$F$11,0))*(1+IF(DG$4=$A17,Вводные!$D$5*INDEX(Вводные!$G$13:$G$64,MATCH($A17,Вводные!$A$13:$A$64,0)),0))</f>
        <v>0.8</v>
      </c>
      <c r="DH17" s="32" t="n">
        <f aca="false">INDEX(Вводные!$D$13:$F$64,MATCH($A17,Вводные!$A$13:$A$64,0),MATCH(DH$3,Вводные!$D$11:$F$11,0))*(1+IF(DH$4=$A17,Вводные!$D$5*INDEX(Вводные!$G$13:$G$64,MATCH($A17,Вводные!$A$13:$A$64,0)),0))</f>
        <v>0.8</v>
      </c>
      <c r="DI17" s="32" t="n">
        <f aca="false">INDEX(Вводные!$D$13:$F$64,MATCH($A17,Вводные!$A$13:$A$64,0),MATCH(DI$3,Вводные!$D$11:$F$11,0))*(1+IF(DI$4=$A17,Вводные!$D$5*INDEX(Вводные!$G$13:$G$64,MATCH($A17,Вводные!$A$13:$A$64,0)),0))</f>
        <v>0.8</v>
      </c>
      <c r="DJ17" s="32" t="n">
        <f aca="false">INDEX(Вводные!$D$13:$F$64,MATCH($A17,Вводные!$A$13:$A$64,0),MATCH(DJ$3,Вводные!$D$11:$F$11,0))*(1+IF(DJ$4=$A17,Вводные!$D$5*INDEX(Вводные!$G$13:$G$64,MATCH($A17,Вводные!$A$13:$A$64,0)),0))</f>
        <v>0.8</v>
      </c>
      <c r="DK17" s="32" t="n">
        <f aca="false">INDEX(Вводные!$D$13:$F$64,MATCH($A17,Вводные!$A$13:$A$64,0),MATCH(DK$3,Вводные!$D$11:$F$11,0))*(1+IF(DK$4=$A17,Вводные!$D$5*INDEX(Вводные!$G$13:$G$64,MATCH($A17,Вводные!$A$13:$A$64,0)),0))</f>
        <v>0.8</v>
      </c>
      <c r="DL17" s="32" t="n">
        <f aca="false">INDEX(Вводные!$D$13:$F$64,MATCH($A17,Вводные!$A$13:$A$64,0),MATCH(DL$3,Вводные!$D$11:$F$11,0))*(1+IF(DL$4=$A17,Вводные!$D$5*INDEX(Вводные!$G$13:$G$64,MATCH($A17,Вводные!$A$13:$A$64,0)),0))</f>
        <v>0.8</v>
      </c>
      <c r="DM17" s="32" t="n">
        <f aca="false">INDEX(Вводные!$D$13:$F$64,MATCH($A17,Вводные!$A$13:$A$64,0),MATCH(DM$3,Вводные!$D$11:$F$11,0))*(1+IF(DM$4=$A17,Вводные!$D$5*INDEX(Вводные!$G$13:$G$64,MATCH($A17,Вводные!$A$13:$A$64,0)),0))</f>
        <v>0.8</v>
      </c>
      <c r="DN17" s="32" t="n">
        <f aca="false">INDEX(Вводные!$D$13:$F$64,MATCH($A17,Вводные!$A$13:$A$64,0),MATCH(DN$3,Вводные!$D$11:$F$11,0))*(1+IF(DN$4=$A17,Вводные!$D$5*INDEX(Вводные!$G$13:$G$64,MATCH($A17,Вводные!$A$13:$A$64,0)),0))</f>
        <v>0.8</v>
      </c>
      <c r="DO17" s="32" t="n">
        <f aca="false">INDEX(Вводные!$D$13:$F$64,MATCH($A17,Вводные!$A$13:$A$64,0),MATCH(DO$3,Вводные!$D$11:$F$11,0))*(1+IF(DO$4=$A17,Вводные!$D$5*INDEX(Вводные!$G$13:$G$64,MATCH($A17,Вводные!$A$13:$A$64,0)),0))</f>
        <v>0.8</v>
      </c>
      <c r="DP17" s="32" t="n">
        <f aca="false">INDEX(Вводные!$D$13:$F$64,MATCH($A17,Вводные!$A$13:$A$64,0),MATCH(DP$3,Вводные!$D$11:$F$11,0))*(1+IF(DP$4=$A17,Вводные!$D$5*INDEX(Вводные!$G$13:$G$64,MATCH($A17,Вводные!$A$13:$A$64,0)),0))</f>
        <v>0.8</v>
      </c>
      <c r="DQ17" s="32" t="n">
        <f aca="false">INDEX(Вводные!$D$13:$F$64,MATCH($A17,Вводные!$A$13:$A$64,0),MATCH(DQ$3,Вводные!$D$11:$F$11,0))*(1+IF(DQ$4=$A17,Вводные!$D$5*INDEX(Вводные!$G$13:$G$64,MATCH($A17,Вводные!$A$13:$A$64,0)),0))</f>
        <v>0.8</v>
      </c>
      <c r="DR17" s="32" t="n">
        <f aca="false">INDEX(Вводные!$D$13:$F$64,MATCH($A17,Вводные!$A$13:$A$64,0),MATCH(DR$3,Вводные!$D$11:$F$11,0))*(1+IF(DR$4=$A17,Вводные!$D$5*INDEX(Вводные!$G$13:$G$64,MATCH($A17,Вводные!$A$13:$A$64,0)),0))</f>
        <v>0.8</v>
      </c>
      <c r="DS17" s="32" t="n">
        <f aca="false">INDEX(Вводные!$D$13:$F$64,MATCH($A17,Вводные!$A$13:$A$64,0),MATCH(DS$3,Вводные!$D$11:$F$11,0))*(1+IF(DS$4=$A17,Вводные!$D$5*INDEX(Вводные!$G$13:$G$64,MATCH($A17,Вводные!$A$13:$A$64,0)),0))</f>
        <v>0.8</v>
      </c>
      <c r="DT17" s="32" t="n">
        <f aca="false">INDEX(Вводные!$D$13:$F$64,MATCH($A17,Вводные!$A$13:$A$64,0),MATCH(DT$3,Вводные!$D$11:$F$11,0))*(1+IF(DT$4=$A17,Вводные!$D$5*INDEX(Вводные!$G$13:$G$64,MATCH($A17,Вводные!$A$13:$A$64,0)),0))</f>
        <v>0.8</v>
      </c>
      <c r="DU17" s="32" t="n">
        <f aca="false">INDEX(Вводные!$D$13:$F$64,MATCH($A17,Вводные!$A$13:$A$64,0),MATCH(DU$3,Вводные!$D$11:$F$11,0))*(1+IF(DU$4=$A17,Вводные!$D$5*INDEX(Вводные!$G$13:$G$64,MATCH($A17,Вводные!$A$13:$A$64,0)),0))</f>
        <v>0.8</v>
      </c>
      <c r="DV17" s="32" t="n">
        <f aca="false">INDEX(Вводные!$D$13:$F$64,MATCH($A17,Вводные!$A$13:$A$64,0),MATCH(DV$3,Вводные!$D$11:$F$11,0))*(1+IF(DV$4=$A17,Вводные!$D$5*INDEX(Вводные!$G$13:$G$64,MATCH($A17,Вводные!$A$13:$A$64,0)),0))</f>
        <v>0.8</v>
      </c>
      <c r="DW17" s="32" t="n">
        <f aca="false">INDEX(Вводные!$D$13:$F$64,MATCH($A17,Вводные!$A$13:$A$64,0),MATCH(DW$3,Вводные!$D$11:$F$11,0))*(1+IF(DW$4=$A17,Вводные!$D$5*INDEX(Вводные!$G$13:$G$64,MATCH($A17,Вводные!$A$13:$A$64,0)),0))</f>
        <v>0.8</v>
      </c>
      <c r="DX17" s="32" t="n">
        <f aca="false">INDEX(Вводные!$D$13:$F$64,MATCH($A17,Вводные!$A$13:$A$64,0),MATCH(DX$3,Вводные!$D$11:$F$11,0))*(1+IF(DX$4=$A17,Вводные!$D$5*INDEX(Вводные!$G$13:$G$64,MATCH($A17,Вводные!$A$13:$A$64,0)),0))</f>
        <v>0.8</v>
      </c>
      <c r="DY17" s="32" t="n">
        <f aca="false">INDEX(Вводные!$D$13:$F$64,MATCH($A17,Вводные!$A$13:$A$64,0),MATCH(DY$3,Вводные!$D$11:$F$11,0))*(1+IF(DY$4=$A17,Вводные!$D$5*INDEX(Вводные!$G$13:$G$64,MATCH($A17,Вводные!$A$13:$A$64,0)),0))</f>
        <v>0.8</v>
      </c>
      <c r="DZ17" s="32" t="n">
        <f aca="false">INDEX(Вводные!$D$13:$F$64,MATCH($A17,Вводные!$A$13:$A$64,0),MATCH(DZ$3,Вводные!$D$11:$F$11,0))*(1+IF(DZ$4=$A17,Вводные!$D$5*INDEX(Вводные!$G$13:$G$64,MATCH($A17,Вводные!$A$13:$A$64,0)),0))</f>
        <v>0.8</v>
      </c>
      <c r="EA17" s="32" t="n">
        <f aca="false">INDEX(Вводные!$D$13:$F$64,MATCH($A17,Вводные!$A$13:$A$64,0),MATCH(EA$3,Вводные!$D$11:$F$11,0))*(1+IF(EA$4=$A17,Вводные!$D$5*INDEX(Вводные!$G$13:$G$64,MATCH($A17,Вводные!$A$13:$A$64,0)),0))</f>
        <v>0.8</v>
      </c>
      <c r="EB17" s="32" t="n">
        <f aca="false">INDEX(Вводные!$D$13:$F$64,MATCH($A17,Вводные!$A$13:$A$64,0),MATCH(EB$3,Вводные!$D$11:$F$11,0))*(1+IF(EB$4=$A17,Вводные!$D$5*INDEX(Вводные!$G$13:$G$64,MATCH($A17,Вводные!$A$13:$A$64,0)),0))</f>
        <v>0.8</v>
      </c>
      <c r="EC17" s="32" t="n">
        <f aca="false">INDEX(Вводные!$D$13:$F$64,MATCH($A17,Вводные!$A$13:$A$64,0),MATCH(EC$3,Вводные!$D$11:$F$11,0))*(1+IF(EC$4=$A17,Вводные!$D$5*INDEX(Вводные!$G$13:$G$64,MATCH($A17,Вводные!$A$13:$A$64,0)),0))</f>
        <v>0.8</v>
      </c>
      <c r="ED17" s="32" t="n">
        <f aca="false">INDEX(Вводные!$D$13:$F$64,MATCH($A17,Вводные!$A$13:$A$64,0),MATCH(ED$3,Вводные!$D$11:$F$11,0))*(1+IF(ED$4=$A17,Вводные!$D$5*INDEX(Вводные!$G$13:$G$64,MATCH($A17,Вводные!$A$13:$A$64,0)),0))</f>
        <v>0.8</v>
      </c>
      <c r="EE17" s="32" t="n">
        <f aca="false">INDEX(Вводные!$D$13:$F$64,MATCH($A17,Вводные!$A$13:$A$64,0),MATCH(EE$3,Вводные!$D$11:$F$11,0))*(1+IF(EE$4=$A17,Вводные!$D$5*INDEX(Вводные!$G$13:$G$64,MATCH($A17,Вводные!$A$13:$A$64,0)),0))</f>
        <v>0.8</v>
      </c>
      <c r="EF17" s="32" t="n">
        <f aca="false">INDEX(Вводные!$D$13:$F$64,MATCH($A17,Вводные!$A$13:$A$64,0),MATCH(EF$3,Вводные!$D$11:$F$11,0))*(1+IF(EF$4=$A17,Вводные!$D$5*INDEX(Вводные!$G$13:$G$64,MATCH($A17,Вводные!$A$13:$A$64,0)),0))</f>
        <v>0.35</v>
      </c>
      <c r="EG17" s="32" t="n">
        <f aca="false">INDEX(Вводные!$D$13:$F$64,MATCH($A17,Вводные!$A$13:$A$64,0),MATCH(EG$3,Вводные!$D$11:$F$11,0))*(1+IF(EG$4=$A17,Вводные!$D$5*INDEX(Вводные!$G$13:$G$64,MATCH($A17,Вводные!$A$13:$A$64,0)),0))</f>
        <v>0.35</v>
      </c>
      <c r="EH17" s="32" t="n">
        <f aca="false">INDEX(Вводные!$D$13:$F$64,MATCH($A17,Вводные!$A$13:$A$64,0),MATCH(EH$3,Вводные!$D$11:$F$11,0))*(1+IF(EH$4=$A17,Вводные!$D$5*INDEX(Вводные!$G$13:$G$64,MATCH($A17,Вводные!$A$13:$A$64,0)),0))</f>
        <v>0.35</v>
      </c>
      <c r="EI17" s="32" t="n">
        <f aca="false">INDEX(Вводные!$D$13:$F$64,MATCH($A17,Вводные!$A$13:$A$64,0),MATCH(EI$3,Вводные!$D$11:$F$11,0))*(1+IF(EI$4=$A17,Вводные!$D$5*INDEX(Вводные!$G$13:$G$64,MATCH($A17,Вводные!$A$13:$A$64,0)),0))</f>
        <v>0.35</v>
      </c>
      <c r="EJ17" s="32" t="n">
        <f aca="false">INDEX(Вводные!$D$13:$F$64,MATCH($A17,Вводные!$A$13:$A$64,0),MATCH(EJ$3,Вводные!$D$11:$F$11,0))*(1+IF(EJ$4=$A17,Вводные!$D$5*INDEX(Вводные!$G$13:$G$64,MATCH($A17,Вводные!$A$13:$A$64,0)),0))</f>
        <v>0.35</v>
      </c>
      <c r="EK17" s="32" t="n">
        <f aca="false">INDEX(Вводные!$D$13:$F$64,MATCH($A17,Вводные!$A$13:$A$64,0),MATCH(EK$3,Вводные!$D$11:$F$11,0))*(1+IF(EK$4=$A17,Вводные!$D$5*INDEX(Вводные!$G$13:$G$64,MATCH($A17,Вводные!$A$13:$A$64,0)),0))</f>
        <v>0.3535</v>
      </c>
      <c r="EL17" s="32" t="n">
        <f aca="false">INDEX(Вводные!$D$13:$F$64,MATCH($A17,Вводные!$A$13:$A$64,0),MATCH(EL$3,Вводные!$D$11:$F$11,0))*(1+IF(EL$4=$A17,Вводные!$D$5*INDEX(Вводные!$G$13:$G$64,MATCH($A17,Вводные!$A$13:$A$64,0)),0))</f>
        <v>0.35</v>
      </c>
      <c r="EM17" s="32" t="n">
        <f aca="false">INDEX(Вводные!$D$13:$F$64,MATCH($A17,Вводные!$A$13:$A$64,0),MATCH(EM$3,Вводные!$D$11:$F$11,0))*(1+IF(EM$4=$A17,Вводные!$D$5*INDEX(Вводные!$G$13:$G$64,MATCH($A17,Вводные!$A$13:$A$64,0)),0))</f>
        <v>0.35</v>
      </c>
      <c r="EN17" s="32" t="n">
        <f aca="false">INDEX(Вводные!$D$13:$F$64,MATCH($A17,Вводные!$A$13:$A$64,0),MATCH(EN$3,Вводные!$D$11:$F$11,0))*(1+IF(EN$4=$A17,Вводные!$D$5*INDEX(Вводные!$G$13:$G$64,MATCH($A17,Вводные!$A$13:$A$64,0)),0))</f>
        <v>0.35</v>
      </c>
      <c r="EO17" s="32" t="n">
        <f aca="false">INDEX(Вводные!$D$13:$F$64,MATCH($A17,Вводные!$A$13:$A$64,0),MATCH(EO$3,Вводные!$D$11:$F$11,0))*(1+IF(EO$4=$A17,Вводные!$D$5*INDEX(Вводные!$G$13:$G$64,MATCH($A17,Вводные!$A$13:$A$64,0)),0))</f>
        <v>0.35</v>
      </c>
      <c r="EP17" s="32" t="n">
        <f aca="false">INDEX(Вводные!$D$13:$F$64,MATCH($A17,Вводные!$A$13:$A$64,0),MATCH(EP$3,Вводные!$D$11:$F$11,0))*(1+IF(EP$4=$A17,Вводные!$D$5*INDEX(Вводные!$G$13:$G$64,MATCH($A17,Вводные!$A$13:$A$64,0)),0))</f>
        <v>0.35</v>
      </c>
      <c r="EQ17" s="32" t="n">
        <f aca="false">INDEX(Вводные!$D$13:$F$64,MATCH($A17,Вводные!$A$13:$A$64,0),MATCH(EQ$3,Вводные!$D$11:$F$11,0))*(1+IF(EQ$4=$A17,Вводные!$D$5*INDEX(Вводные!$G$13:$G$64,MATCH($A17,Вводные!$A$13:$A$64,0)),0))</f>
        <v>0.35</v>
      </c>
      <c r="ER17" s="32" t="n">
        <f aca="false">INDEX(Вводные!$D$13:$F$64,MATCH($A17,Вводные!$A$13:$A$64,0),MATCH(ER$3,Вводные!$D$11:$F$11,0))*(1+IF(ER$4=$A17,Вводные!$D$5*INDEX(Вводные!$G$13:$G$64,MATCH($A17,Вводные!$A$13:$A$64,0)),0))</f>
        <v>0.35</v>
      </c>
      <c r="ES17" s="32" t="n">
        <f aca="false">INDEX(Вводные!$D$13:$F$64,MATCH($A17,Вводные!$A$13:$A$64,0),MATCH(ES$3,Вводные!$D$11:$F$11,0))*(1+IF(ES$4=$A17,Вводные!$D$5*INDEX(Вводные!$G$13:$G$64,MATCH($A17,Вводные!$A$13:$A$64,0)),0))</f>
        <v>0.35</v>
      </c>
      <c r="ET17" s="32" t="n">
        <f aca="false">INDEX(Вводные!$D$13:$F$64,MATCH($A17,Вводные!$A$13:$A$64,0),MATCH(ET$3,Вводные!$D$11:$F$11,0))*(1+IF(ET$4=$A17,Вводные!$D$5*INDEX(Вводные!$G$13:$G$64,MATCH($A17,Вводные!$A$13:$A$64,0)),0))</f>
        <v>0.35</v>
      </c>
      <c r="EU17" s="32" t="n">
        <f aca="false">INDEX(Вводные!$D$13:$F$64,MATCH($A17,Вводные!$A$13:$A$64,0),MATCH(EU$3,Вводные!$D$11:$F$11,0))*(1+IF(EU$4=$A17,Вводные!$D$5*INDEX(Вводные!$G$13:$G$64,MATCH($A17,Вводные!$A$13:$A$64,0)),0))</f>
        <v>0.35</v>
      </c>
      <c r="EV17" s="32" t="n">
        <f aca="false">INDEX(Вводные!$D$13:$F$64,MATCH($A17,Вводные!$A$13:$A$64,0),MATCH(EV$3,Вводные!$D$11:$F$11,0))*(1+IF(EV$4=$A17,Вводные!$D$5*INDEX(Вводные!$G$13:$G$64,MATCH($A17,Вводные!$A$13:$A$64,0)),0))</f>
        <v>0.35</v>
      </c>
      <c r="EW17" s="32" t="n">
        <f aca="false">INDEX(Вводные!$D$13:$F$64,MATCH($A17,Вводные!$A$13:$A$64,0),MATCH(EW$3,Вводные!$D$11:$F$11,0))*(1+IF(EW$4=$A17,Вводные!$D$5*INDEX(Вводные!$G$13:$G$64,MATCH($A17,Вводные!$A$13:$A$64,0)),0))</f>
        <v>0.35</v>
      </c>
      <c r="EX17" s="32" t="n">
        <f aca="false">INDEX(Вводные!$D$13:$F$64,MATCH($A17,Вводные!$A$13:$A$64,0),MATCH(EX$3,Вводные!$D$11:$F$11,0))*(1+IF(EX$4=$A17,Вводные!$D$5*INDEX(Вводные!$G$13:$G$64,MATCH($A17,Вводные!$A$13:$A$64,0)),0))</f>
        <v>0.35</v>
      </c>
      <c r="EY17" s="32" t="n">
        <f aca="false">INDEX(Вводные!$D$13:$F$64,MATCH($A17,Вводные!$A$13:$A$64,0),MATCH(EY$3,Вводные!$D$11:$F$11,0))*(1+IF(EY$4=$A17,Вводные!$D$5*INDEX(Вводные!$G$13:$G$64,MATCH($A17,Вводные!$A$13:$A$64,0)),0))</f>
        <v>0.35</v>
      </c>
      <c r="EZ17" s="32" t="n">
        <f aca="false">INDEX(Вводные!$D$13:$F$64,MATCH($A17,Вводные!$A$13:$A$64,0),MATCH(EZ$3,Вводные!$D$11:$F$11,0))*(1+IF(EZ$4=$A17,Вводные!$D$5*INDEX(Вводные!$G$13:$G$64,MATCH($A17,Вводные!$A$13:$A$64,0)),0))</f>
        <v>0.35</v>
      </c>
      <c r="FA17" s="32" t="n">
        <f aca="false">INDEX(Вводные!$D$13:$F$64,MATCH($A17,Вводные!$A$13:$A$64,0),MATCH(FA$3,Вводные!$D$11:$F$11,0))*(1+IF(FA$4=$A17,Вводные!$D$5*INDEX(Вводные!$G$13:$G$64,MATCH($A17,Вводные!$A$13:$A$64,0)),0))</f>
        <v>0.35</v>
      </c>
      <c r="FB17" s="32" t="n">
        <f aca="false">INDEX(Вводные!$D$13:$F$64,MATCH($A17,Вводные!$A$13:$A$64,0),MATCH(FB$3,Вводные!$D$11:$F$11,0))*(1+IF(FB$4=$A17,Вводные!$D$5*INDEX(Вводные!$G$13:$G$64,MATCH($A17,Вводные!$A$13:$A$64,0)),0))</f>
        <v>0.35</v>
      </c>
      <c r="FC17" s="32" t="n">
        <f aca="false">INDEX(Вводные!$D$13:$F$64,MATCH($A17,Вводные!$A$13:$A$64,0),MATCH(FC$3,Вводные!$D$11:$F$11,0))*(1+IF(FC$4=$A17,Вводные!$D$5*INDEX(Вводные!$G$13:$G$64,MATCH($A17,Вводные!$A$13:$A$64,0)),0))</f>
        <v>0.35</v>
      </c>
      <c r="FD17" s="32" t="n">
        <f aca="false">INDEX(Вводные!$D$13:$F$64,MATCH($A17,Вводные!$A$13:$A$64,0),MATCH(FD$3,Вводные!$D$11:$F$11,0))*(1+IF(FD$4=$A17,Вводные!$D$5*INDEX(Вводные!$G$13:$G$64,MATCH($A17,Вводные!$A$13:$A$64,0)),0))</f>
        <v>0.35</v>
      </c>
      <c r="FE17" s="32" t="n">
        <f aca="false">INDEX(Вводные!$D$13:$F$64,MATCH($A17,Вводные!$A$13:$A$64,0),MATCH(FE$3,Вводные!$D$11:$F$11,0))*(1+IF(FE$4=$A17,Вводные!$D$5*INDEX(Вводные!$G$13:$G$64,MATCH($A17,Вводные!$A$13:$A$64,0)),0))</f>
        <v>0.35</v>
      </c>
      <c r="FF17" s="32" t="n">
        <f aca="false">INDEX(Вводные!$D$13:$F$64,MATCH($A17,Вводные!$A$13:$A$64,0),MATCH(FF$3,Вводные!$D$11:$F$11,0))*(1+IF(FF$4=$A17,Вводные!$D$5*INDEX(Вводные!$G$13:$G$64,MATCH($A17,Вводные!$A$13:$A$64,0)),0))</f>
        <v>0.35</v>
      </c>
      <c r="FG17" s="32" t="n">
        <f aca="false">INDEX(Вводные!$D$13:$F$64,MATCH($A17,Вводные!$A$13:$A$64,0),MATCH(FG$3,Вводные!$D$11:$F$11,0))*(1+IF(FG$4=$A17,Вводные!$D$5*INDEX(Вводные!$G$13:$G$64,MATCH($A17,Вводные!$A$13:$A$64,0)),0))</f>
        <v>0.35</v>
      </c>
      <c r="FH17" s="32" t="n">
        <f aca="false">INDEX(Вводные!$D$13:$F$64,MATCH($A17,Вводные!$A$13:$A$64,0),MATCH(FH$3,Вводные!$D$11:$F$11,0))*(1+IF(FH$4=$A17,Вводные!$D$5*INDEX(Вводные!$G$13:$G$64,MATCH($A17,Вводные!$A$13:$A$64,0)),0))</f>
        <v>0.35</v>
      </c>
      <c r="FI17" s="32" t="n">
        <f aca="false">INDEX(Вводные!$D$13:$F$64,MATCH($A17,Вводные!$A$13:$A$64,0),MATCH(FI$3,Вводные!$D$11:$F$11,0))*(1+IF(FI$4=$A17,Вводные!$D$5*INDEX(Вводные!$G$13:$G$64,MATCH($A17,Вводные!$A$13:$A$64,0)),0))</f>
        <v>0.35</v>
      </c>
      <c r="FJ17" s="32" t="n">
        <f aca="false">INDEX(Вводные!$D$13:$F$64,MATCH($A17,Вводные!$A$13:$A$64,0),MATCH(FJ$3,Вводные!$D$11:$F$11,0))*(1+IF(FJ$4=$A17,Вводные!$D$5*INDEX(Вводные!$G$13:$G$64,MATCH($A17,Вводные!$A$13:$A$64,0)),0))</f>
        <v>0.35</v>
      </c>
      <c r="FK17" s="32" t="n">
        <f aca="false">INDEX(Вводные!$D$13:$F$64,MATCH($A17,Вводные!$A$13:$A$64,0),MATCH(FK$3,Вводные!$D$11:$F$11,0))*(1+IF(FK$4=$A17,Вводные!$D$5*INDEX(Вводные!$G$13:$G$64,MATCH($A17,Вводные!$A$13:$A$64,0)),0))</f>
        <v>0.35</v>
      </c>
      <c r="FL17" s="32" t="n">
        <f aca="false">INDEX(Вводные!$D$13:$F$64,MATCH($A17,Вводные!$A$13:$A$64,0),MATCH(FL$3,Вводные!$D$11:$F$11,0))*(1+IF(FL$4=$A17,Вводные!$D$5*INDEX(Вводные!$G$13:$G$64,MATCH($A17,Вводные!$A$13:$A$64,0)),0))</f>
        <v>0.35</v>
      </c>
      <c r="FM17" s="32" t="n">
        <f aca="false">INDEX(Вводные!$D$13:$F$64,MATCH($A17,Вводные!$A$13:$A$64,0),MATCH(FM$3,Вводные!$D$11:$F$11,0))*(1+IF(FM$4=$A17,Вводные!$D$5*INDEX(Вводные!$G$13:$G$64,MATCH($A17,Вводные!$A$13:$A$64,0)),0))</f>
        <v>0.35</v>
      </c>
      <c r="FN17" s="32" t="n">
        <f aca="false">INDEX(Вводные!$D$13:$F$64,MATCH($A17,Вводные!$A$13:$A$64,0),MATCH(FN$3,Вводные!$D$11:$F$11,0))*(1+IF(FN$4=$A17,Вводные!$D$5*INDEX(Вводные!$G$13:$G$64,MATCH($A17,Вводные!$A$13:$A$64,0)),0))</f>
        <v>0.35</v>
      </c>
      <c r="FO17" s="32" t="n">
        <f aca="false">INDEX(Вводные!$D$13:$F$64,MATCH($A17,Вводные!$A$13:$A$64,0),MATCH(FO$3,Вводные!$D$11:$F$11,0))*(1+IF(FO$4=$A17,Вводные!$D$5*INDEX(Вводные!$G$13:$G$64,MATCH($A17,Вводные!$A$13:$A$64,0)),0))</f>
        <v>0.35</v>
      </c>
      <c r="FP17" s="32" t="n">
        <f aca="false">INDEX(Вводные!$D$13:$F$64,MATCH($A17,Вводные!$A$13:$A$64,0),MATCH(FP$3,Вводные!$D$11:$F$11,0))*(1+IF(FP$4=$A17,Вводные!$D$5*INDEX(Вводные!$G$13:$G$64,MATCH($A17,Вводные!$A$13:$A$64,0)),0))</f>
        <v>0.35</v>
      </c>
      <c r="FQ17" s="32" t="n">
        <f aca="false">INDEX(Вводные!$D$13:$F$64,MATCH($A17,Вводные!$A$13:$A$64,0),MATCH(FQ$3,Вводные!$D$11:$F$11,0))*(1+IF(FQ$4=$A17,Вводные!$D$5*INDEX(Вводные!$G$13:$G$64,MATCH($A17,Вводные!$A$13:$A$64,0)),0))</f>
        <v>0.35</v>
      </c>
      <c r="FR17" s="32" t="n">
        <f aca="false">INDEX(Вводные!$D$13:$F$64,MATCH($A17,Вводные!$A$13:$A$64,0),MATCH(FR$3,Вводные!$D$11:$F$11,0))*(1+IF(FR$4=$A17,Вводные!$D$5*INDEX(Вводные!$G$13:$G$64,MATCH($A17,Вводные!$A$13:$A$64,0)),0))</f>
        <v>0.35</v>
      </c>
      <c r="FS17" s="32" t="n">
        <f aca="false">INDEX(Вводные!$D$13:$F$64,MATCH($A17,Вводные!$A$13:$A$64,0),MATCH(FS$3,Вводные!$D$11:$F$11,0))*(1+IF(FS$4=$A17,Вводные!$D$5*INDEX(Вводные!$G$13:$G$64,MATCH($A17,Вводные!$A$13:$A$64,0)),0))</f>
        <v>0.35</v>
      </c>
      <c r="FT17" s="32" t="n">
        <f aca="false">INDEX(Вводные!$D$13:$F$64,MATCH($A17,Вводные!$A$13:$A$64,0),MATCH(FT$3,Вводные!$D$11:$F$11,0))*(1+IF(FT$4=$A17,Вводные!$D$5*INDEX(Вводные!$G$13:$G$64,MATCH($A17,Вводные!$A$13:$A$64,0)),0))</f>
        <v>0.35</v>
      </c>
      <c r="FU17" s="32" t="n">
        <f aca="false">INDEX(Вводные!$D$13:$F$64,MATCH($A17,Вводные!$A$13:$A$64,0),MATCH(FU$3,Вводные!$D$11:$F$11,0))*(1+IF(FU$4=$A17,Вводные!$D$5*INDEX(Вводные!$G$13:$G$64,MATCH($A17,Вводные!$A$13:$A$64,0)),0))</f>
        <v>0.35</v>
      </c>
      <c r="FV17" s="32" t="n">
        <f aca="false">INDEX(Вводные!$D$13:$F$64,MATCH($A17,Вводные!$A$13:$A$64,0),MATCH(FV$3,Вводные!$D$11:$F$11,0))*(1+IF(FV$4=$A17,Вводные!$D$5*INDEX(Вводные!$G$13:$G$64,MATCH($A17,Вводные!$A$13:$A$64,0)),0))</f>
        <v>0.55</v>
      </c>
      <c r="FW17" s="32" t="n">
        <f aca="false">INDEX(Вводные!$D$13:$F$64,MATCH($A17,Вводные!$A$13:$A$64,0),MATCH(FW$3,Вводные!$D$11:$F$11,0))*(1+IF(FW$4=$A17,Вводные!$D$5*INDEX(Вводные!$G$13:$G$64,MATCH($A17,Вводные!$A$13:$A$64,0)),0))</f>
        <v>0.55</v>
      </c>
      <c r="FX17" s="32" t="n">
        <f aca="false">INDEX(Вводные!$D$13:$F$64,MATCH($A17,Вводные!$A$13:$A$64,0),MATCH(FX$3,Вводные!$D$11:$F$11,0))*(1+IF(FX$4=$A17,Вводные!$D$5*INDEX(Вводные!$G$13:$G$64,MATCH($A17,Вводные!$A$13:$A$64,0)),0))</f>
        <v>0.55</v>
      </c>
      <c r="FY17" s="32" t="n">
        <f aca="false">INDEX(Вводные!$D$13:$F$64,MATCH($A17,Вводные!$A$13:$A$64,0),MATCH(FY$3,Вводные!$D$11:$F$11,0))*(1+IF(FY$4=$A17,Вводные!$D$5*INDEX(Вводные!$G$13:$G$64,MATCH($A17,Вводные!$A$13:$A$64,0)),0))</f>
        <v>0.55</v>
      </c>
      <c r="FZ17" s="32" t="n">
        <f aca="false">INDEX(Вводные!$D$13:$F$64,MATCH($A17,Вводные!$A$13:$A$64,0),MATCH(FZ$3,Вводные!$D$11:$F$11,0))*(1+IF(FZ$4=$A17,Вводные!$D$5*INDEX(Вводные!$G$13:$G$64,MATCH($A17,Вводные!$A$13:$A$64,0)),0))</f>
        <v>0.55</v>
      </c>
      <c r="GA17" s="32" t="n">
        <f aca="false">INDEX(Вводные!$D$13:$F$64,MATCH($A17,Вводные!$A$13:$A$64,0),MATCH(GA$3,Вводные!$D$11:$F$11,0))*(1+IF(GA$4=$A17,Вводные!$D$5*INDEX(Вводные!$G$13:$G$64,MATCH($A17,Вводные!$A$13:$A$64,0)),0))</f>
        <v>0.5555</v>
      </c>
      <c r="GB17" s="32" t="n">
        <f aca="false">INDEX(Вводные!$D$13:$F$64,MATCH($A17,Вводные!$A$13:$A$64,0),MATCH(GB$3,Вводные!$D$11:$F$11,0))*(1+IF(GB$4=$A17,Вводные!$D$5*INDEX(Вводные!$G$13:$G$64,MATCH($A17,Вводные!$A$13:$A$64,0)),0))</f>
        <v>0.55</v>
      </c>
      <c r="GC17" s="32" t="n">
        <f aca="false">INDEX(Вводные!$D$13:$F$64,MATCH($A17,Вводные!$A$13:$A$64,0),MATCH(GC$3,Вводные!$D$11:$F$11,0))*(1+IF(GC$4=$A17,Вводные!$D$5*INDEX(Вводные!$G$13:$G$64,MATCH($A17,Вводные!$A$13:$A$64,0)),0))</f>
        <v>0.55</v>
      </c>
      <c r="GD17" s="32" t="n">
        <f aca="false">INDEX(Вводные!$D$13:$F$64,MATCH($A17,Вводные!$A$13:$A$64,0),MATCH(GD$3,Вводные!$D$11:$F$11,0))*(1+IF(GD$4=$A17,Вводные!$D$5*INDEX(Вводные!$G$13:$G$64,MATCH($A17,Вводные!$A$13:$A$64,0)),0))</f>
        <v>0.55</v>
      </c>
      <c r="GE17" s="32" t="n">
        <f aca="false">INDEX(Вводные!$D$13:$F$64,MATCH($A17,Вводные!$A$13:$A$64,0),MATCH(GE$3,Вводные!$D$11:$F$11,0))*(1+IF(GE$4=$A17,Вводные!$D$5*INDEX(Вводные!$G$13:$G$64,MATCH($A17,Вводные!$A$13:$A$64,0)),0))</f>
        <v>0.55</v>
      </c>
      <c r="GF17" s="32" t="n">
        <f aca="false">INDEX(Вводные!$D$13:$F$64,MATCH($A17,Вводные!$A$13:$A$64,0),MATCH(GF$3,Вводные!$D$11:$F$11,0))*(1+IF(GF$4=$A17,Вводные!$D$5*INDEX(Вводные!$G$13:$G$64,MATCH($A17,Вводные!$A$13:$A$64,0)),0))</f>
        <v>0.55</v>
      </c>
      <c r="GG17" s="32" t="n">
        <f aca="false">INDEX(Вводные!$D$13:$F$64,MATCH($A17,Вводные!$A$13:$A$64,0),MATCH(GG$3,Вводные!$D$11:$F$11,0))*(1+IF(GG$4=$A17,Вводные!$D$5*INDEX(Вводные!$G$13:$G$64,MATCH($A17,Вводные!$A$13:$A$64,0)),0))</f>
        <v>0.55</v>
      </c>
      <c r="GH17" s="32" t="n">
        <f aca="false">INDEX(Вводные!$D$13:$F$64,MATCH($A17,Вводные!$A$13:$A$64,0),MATCH(GH$3,Вводные!$D$11:$F$11,0))*(1+IF(GH$4=$A17,Вводные!$D$5*INDEX(Вводные!$G$13:$G$64,MATCH($A17,Вводные!$A$13:$A$64,0)),0))</f>
        <v>0.55</v>
      </c>
      <c r="GI17" s="32" t="n">
        <f aca="false">INDEX(Вводные!$D$13:$F$64,MATCH($A17,Вводные!$A$13:$A$64,0),MATCH(GI$3,Вводные!$D$11:$F$11,0))*(1+IF(GI$4=$A17,Вводные!$D$5*INDEX(Вводные!$G$13:$G$64,MATCH($A17,Вводные!$A$13:$A$64,0)),0))</f>
        <v>0.55</v>
      </c>
      <c r="GJ17" s="32" t="n">
        <f aca="false">INDEX(Вводные!$D$13:$F$64,MATCH($A17,Вводные!$A$13:$A$64,0),MATCH(GJ$3,Вводные!$D$11:$F$11,0))*(1+IF(GJ$4=$A17,Вводные!$D$5*INDEX(Вводные!$G$13:$G$64,MATCH($A17,Вводные!$A$13:$A$64,0)),0))</f>
        <v>0.55</v>
      </c>
      <c r="GK17" s="32" t="n">
        <f aca="false">INDEX(Вводные!$D$13:$F$64,MATCH($A17,Вводные!$A$13:$A$64,0),MATCH(GK$3,Вводные!$D$11:$F$11,0))*(1+IF(GK$4=$A17,Вводные!$D$5*INDEX(Вводные!$G$13:$G$64,MATCH($A17,Вводные!$A$13:$A$64,0)),0))</f>
        <v>0.55</v>
      </c>
      <c r="GL17" s="32" t="n">
        <f aca="false">INDEX(Вводные!$D$13:$F$64,MATCH($A17,Вводные!$A$13:$A$64,0),MATCH(GL$3,Вводные!$D$11:$F$11,0))*(1+IF(GL$4=$A17,Вводные!$D$5*INDEX(Вводные!$G$13:$G$64,MATCH($A17,Вводные!$A$13:$A$64,0)),0))</f>
        <v>0.55</v>
      </c>
      <c r="GM17" s="32" t="n">
        <f aca="false">INDEX(Вводные!$D$13:$F$64,MATCH($A17,Вводные!$A$13:$A$64,0),MATCH(GM$3,Вводные!$D$11:$F$11,0))*(1+IF(GM$4=$A17,Вводные!$D$5*INDEX(Вводные!$G$13:$G$64,MATCH($A17,Вводные!$A$13:$A$64,0)),0))</f>
        <v>0.55</v>
      </c>
      <c r="GN17" s="32" t="n">
        <f aca="false">INDEX(Вводные!$D$13:$F$64,MATCH($A17,Вводные!$A$13:$A$64,0),MATCH(GN$3,Вводные!$D$11:$F$11,0))*(1+IF(GN$4=$A17,Вводные!$D$5*INDEX(Вводные!$G$13:$G$64,MATCH($A17,Вводные!$A$13:$A$64,0)),0))</f>
        <v>0.55</v>
      </c>
      <c r="GO17" s="32" t="n">
        <f aca="false">INDEX(Вводные!$D$13:$F$64,MATCH($A17,Вводные!$A$13:$A$64,0),MATCH(GO$3,Вводные!$D$11:$F$11,0))*(1+IF(GO$4=$A17,Вводные!$D$5*INDEX(Вводные!$G$13:$G$64,MATCH($A17,Вводные!$A$13:$A$64,0)),0))</f>
        <v>0.55</v>
      </c>
      <c r="GP17" s="32" t="n">
        <f aca="false">INDEX(Вводные!$D$13:$F$64,MATCH($A17,Вводные!$A$13:$A$64,0),MATCH(GP$3,Вводные!$D$11:$F$11,0))*(1+IF(GP$4=$A17,Вводные!$D$5*INDEX(Вводные!$G$13:$G$64,MATCH($A17,Вводные!$A$13:$A$64,0)),0))</f>
        <v>0.55</v>
      </c>
      <c r="GQ17" s="32" t="n">
        <f aca="false">INDEX(Вводные!$D$13:$F$64,MATCH($A17,Вводные!$A$13:$A$64,0),MATCH(GQ$3,Вводные!$D$11:$F$11,0))*(1+IF(GQ$4=$A17,Вводные!$D$5*INDEX(Вводные!$G$13:$G$64,MATCH($A17,Вводные!$A$13:$A$64,0)),0))</f>
        <v>0.55</v>
      </c>
      <c r="GR17" s="32" t="n">
        <f aca="false">INDEX(Вводные!$D$13:$F$64,MATCH($A17,Вводные!$A$13:$A$64,0),MATCH(GR$3,Вводные!$D$11:$F$11,0))*(1+IF(GR$4=$A17,Вводные!$D$5*INDEX(Вводные!$G$13:$G$64,MATCH($A17,Вводные!$A$13:$A$64,0)),0))</f>
        <v>0.55</v>
      </c>
      <c r="GS17" s="32" t="n">
        <f aca="false">INDEX(Вводные!$D$13:$F$64,MATCH($A17,Вводные!$A$13:$A$64,0),MATCH(GS$3,Вводные!$D$11:$F$11,0))*(1+IF(GS$4=$A17,Вводные!$D$5*INDEX(Вводные!$G$13:$G$64,MATCH($A17,Вводные!$A$13:$A$64,0)),0))</f>
        <v>0.55</v>
      </c>
      <c r="GT17" s="32" t="n">
        <f aca="false">INDEX(Вводные!$D$13:$F$64,MATCH($A17,Вводные!$A$13:$A$64,0),MATCH(GT$3,Вводные!$D$11:$F$11,0))*(1+IF(GT$4=$A17,Вводные!$D$5*INDEX(Вводные!$G$13:$G$64,MATCH($A17,Вводные!$A$13:$A$64,0)),0))</f>
        <v>0.55</v>
      </c>
      <c r="GU17" s="32" t="n">
        <f aca="false">INDEX(Вводные!$D$13:$F$64,MATCH($A17,Вводные!$A$13:$A$64,0),MATCH(GU$3,Вводные!$D$11:$F$11,0))*(1+IF(GU$4=$A17,Вводные!$D$5*INDEX(Вводные!$G$13:$G$64,MATCH($A17,Вводные!$A$13:$A$64,0)),0))</f>
        <v>0.55</v>
      </c>
      <c r="GV17" s="32" t="n">
        <f aca="false">INDEX(Вводные!$D$13:$F$64,MATCH($A17,Вводные!$A$13:$A$64,0),MATCH(GV$3,Вводные!$D$11:$F$11,0))*(1+IF(GV$4=$A17,Вводные!$D$5*INDEX(Вводные!$G$13:$G$64,MATCH($A17,Вводные!$A$13:$A$64,0)),0))</f>
        <v>0.55</v>
      </c>
      <c r="GW17" s="32" t="n">
        <f aca="false">INDEX(Вводные!$D$13:$F$64,MATCH($A17,Вводные!$A$13:$A$64,0),MATCH(GW$3,Вводные!$D$11:$F$11,0))*(1+IF(GW$4=$A17,Вводные!$D$5*INDEX(Вводные!$G$13:$G$64,MATCH($A17,Вводные!$A$13:$A$64,0)),0))</f>
        <v>0.55</v>
      </c>
      <c r="GX17" s="32" t="n">
        <f aca="false">INDEX(Вводные!$D$13:$F$64,MATCH($A17,Вводные!$A$13:$A$64,0),MATCH(GX$3,Вводные!$D$11:$F$11,0))*(1+IF(GX$4=$A17,Вводные!$D$5*INDEX(Вводные!$G$13:$G$64,MATCH($A17,Вводные!$A$13:$A$64,0)),0))</f>
        <v>0.55</v>
      </c>
      <c r="GY17" s="32" t="n">
        <f aca="false">INDEX(Вводные!$D$13:$F$64,MATCH($A17,Вводные!$A$13:$A$64,0),MATCH(GY$3,Вводные!$D$11:$F$11,0))*(1+IF(GY$4=$A17,Вводные!$D$5*INDEX(Вводные!$G$13:$G$64,MATCH($A17,Вводные!$A$13:$A$64,0)),0))</f>
        <v>0.55</v>
      </c>
      <c r="GZ17" s="32" t="n">
        <f aca="false">INDEX(Вводные!$D$13:$F$64,MATCH($A17,Вводные!$A$13:$A$64,0),MATCH(GZ$3,Вводные!$D$11:$F$11,0))*(1+IF(GZ$4=$A17,Вводные!$D$5*INDEX(Вводные!$G$13:$G$64,MATCH($A17,Вводные!$A$13:$A$64,0)),0))</f>
        <v>0.55</v>
      </c>
      <c r="HA17" s="32" t="n">
        <f aca="false">INDEX(Вводные!$D$13:$F$64,MATCH($A17,Вводные!$A$13:$A$64,0),MATCH(HA$3,Вводные!$D$11:$F$11,0))*(1+IF(HA$4=$A17,Вводные!$D$5*INDEX(Вводные!$G$13:$G$64,MATCH($A17,Вводные!$A$13:$A$64,0)),0))</f>
        <v>0.55</v>
      </c>
      <c r="HB17" s="32" t="n">
        <f aca="false">INDEX(Вводные!$D$13:$F$64,MATCH($A17,Вводные!$A$13:$A$64,0),MATCH(HB$3,Вводные!$D$11:$F$11,0))*(1+IF(HB$4=$A17,Вводные!$D$5*INDEX(Вводные!$G$13:$G$64,MATCH($A17,Вводные!$A$13:$A$64,0)),0))</f>
        <v>0.55</v>
      </c>
      <c r="HC17" s="32" t="n">
        <f aca="false">INDEX(Вводные!$D$13:$F$64,MATCH($A17,Вводные!$A$13:$A$64,0),MATCH(HC$3,Вводные!$D$11:$F$11,0))*(1+IF(HC$4=$A17,Вводные!$D$5*INDEX(Вводные!$G$13:$G$64,MATCH($A17,Вводные!$A$13:$A$64,0)),0))</f>
        <v>0.55</v>
      </c>
      <c r="HD17" s="32" t="n">
        <f aca="false">INDEX(Вводные!$D$13:$F$64,MATCH($A17,Вводные!$A$13:$A$64,0),MATCH(HD$3,Вводные!$D$11:$F$11,0))*(1+IF(HD$4=$A17,Вводные!$D$5*INDEX(Вводные!$G$13:$G$64,MATCH($A17,Вводные!$A$13:$A$64,0)),0))</f>
        <v>0.55</v>
      </c>
      <c r="HE17" s="32" t="n">
        <f aca="false">INDEX(Вводные!$D$13:$F$64,MATCH($A17,Вводные!$A$13:$A$64,0),MATCH(HE$3,Вводные!$D$11:$F$11,0))*(1+IF(HE$4=$A17,Вводные!$D$5*INDEX(Вводные!$G$13:$G$64,MATCH($A17,Вводные!$A$13:$A$64,0)),0))</f>
        <v>0.55</v>
      </c>
      <c r="HF17" s="32" t="n">
        <f aca="false">INDEX(Вводные!$D$13:$F$64,MATCH($A17,Вводные!$A$13:$A$64,0),MATCH(HF$3,Вводные!$D$11:$F$11,0))*(1+IF(HF$4=$A17,Вводные!$D$5*INDEX(Вводные!$G$13:$G$64,MATCH($A17,Вводные!$A$13:$A$64,0)),0))</f>
        <v>0.55</v>
      </c>
      <c r="HG17" s="32" t="n">
        <f aca="false">INDEX(Вводные!$D$13:$F$64,MATCH($A17,Вводные!$A$13:$A$64,0),MATCH(HG$3,Вводные!$D$11:$F$11,0))*(1+IF(HG$4=$A17,Вводные!$D$5*INDEX(Вводные!$G$13:$G$64,MATCH($A17,Вводные!$A$13:$A$64,0)),0))</f>
        <v>0.55</v>
      </c>
      <c r="HH17" s="32" t="n">
        <f aca="false">INDEX(Вводные!$D$13:$F$64,MATCH($A17,Вводные!$A$13:$A$64,0),MATCH(HH$3,Вводные!$D$11:$F$11,0))*(1+IF(HH$4=$A17,Вводные!$D$5*INDEX(Вводные!$G$13:$G$64,MATCH($A17,Вводные!$A$13:$A$64,0)),0))</f>
        <v>0.55</v>
      </c>
      <c r="HI17" s="32" t="n">
        <f aca="false">INDEX(Вводные!$D$13:$F$64,MATCH($A17,Вводные!$A$13:$A$64,0),MATCH(HI$3,Вводные!$D$11:$F$11,0))*(1+IF(HI$4=$A17,Вводные!$D$5*INDEX(Вводные!$G$13:$G$64,MATCH($A17,Вводные!$A$13:$A$64,0)),0))</f>
        <v>0.55</v>
      </c>
      <c r="HJ17" s="32" t="n">
        <f aca="false">INDEX(Вводные!$D$13:$F$64,MATCH($A17,Вводные!$A$13:$A$64,0),MATCH(HJ$3,Вводные!$D$11:$F$11,0))*(1+IF(HJ$4=$A17,Вводные!$D$5*INDEX(Вводные!$G$13:$G$64,MATCH($A17,Вводные!$A$13:$A$64,0)),0))</f>
        <v>0.55</v>
      </c>
      <c r="HK17" s="32" t="n">
        <f aca="false">INDEX(Вводные!$D$13:$F$64,MATCH($A17,Вводные!$A$13:$A$64,0),MATCH(HK$3,Вводные!$D$11:$F$11,0))*(1+IF(HK$4=$A17,Вводные!$D$5*INDEX(Вводные!$G$13:$G$64,MATCH($A17,Вводные!$A$13:$A$64,0)),0))</f>
        <v>0.55</v>
      </c>
      <c r="HL17" s="32" t="n">
        <f aca="false">INDEX(Вводные!$D$13:$F$64,MATCH($A17,Вводные!$A$13:$A$64,0),MATCH(HL$3,Вводные!$D$11:$F$11,0))*(1+IF(HL$4=$A17,Вводные!$D$5*INDEX(Вводные!$G$13:$G$64,MATCH($A17,Вводные!$A$13:$A$64,0)),0))</f>
        <v>0.8</v>
      </c>
      <c r="HM17" s="32" t="n">
        <f aca="false">INDEX(Вводные!$D$13:$F$64,MATCH($A17,Вводные!$A$13:$A$64,0),MATCH(HM$3,Вводные!$D$11:$F$11,0))*(1+IF(HM$4=$A17,Вводные!$D$5*INDEX(Вводные!$G$13:$G$64,MATCH($A17,Вводные!$A$13:$A$64,0)),0))</f>
        <v>0.8</v>
      </c>
      <c r="HN17" s="32" t="n">
        <f aca="false">INDEX(Вводные!$D$13:$F$64,MATCH($A17,Вводные!$A$13:$A$64,0),MATCH(HN$3,Вводные!$D$11:$F$11,0))*(1+IF(HN$4=$A17,Вводные!$D$5*INDEX(Вводные!$G$13:$G$64,MATCH($A17,Вводные!$A$13:$A$64,0)),0))</f>
        <v>0.8</v>
      </c>
      <c r="HO17" s="32" t="n">
        <f aca="false">INDEX(Вводные!$D$13:$F$64,MATCH($A17,Вводные!$A$13:$A$64,0),MATCH(HO$3,Вводные!$D$11:$F$11,0))*(1+IF(HO$4=$A17,Вводные!$D$5*INDEX(Вводные!$G$13:$G$64,MATCH($A17,Вводные!$A$13:$A$64,0)),0))</f>
        <v>0.8</v>
      </c>
      <c r="HP17" s="32" t="n">
        <f aca="false">INDEX(Вводные!$D$13:$F$64,MATCH($A17,Вводные!$A$13:$A$64,0),MATCH(HP$3,Вводные!$D$11:$F$11,0))*(1+IF(HP$4=$A17,Вводные!$D$5*INDEX(Вводные!$G$13:$G$64,MATCH($A17,Вводные!$A$13:$A$64,0)),0))</f>
        <v>0.8</v>
      </c>
      <c r="HQ17" s="32" t="n">
        <f aca="false">INDEX(Вводные!$D$13:$F$64,MATCH($A17,Вводные!$A$13:$A$64,0),MATCH(HQ$3,Вводные!$D$11:$F$11,0))*(1+IF(HQ$4=$A17,Вводные!$D$5*INDEX(Вводные!$G$13:$G$64,MATCH($A17,Вводные!$A$13:$A$64,0)),0))</f>
        <v>0.808</v>
      </c>
      <c r="HR17" s="32" t="n">
        <f aca="false">INDEX(Вводные!$D$13:$F$64,MATCH($A17,Вводные!$A$13:$A$64,0),MATCH(HR$3,Вводные!$D$11:$F$11,0))*(1+IF(HR$4=$A17,Вводные!$D$5*INDEX(Вводные!$G$13:$G$64,MATCH($A17,Вводные!$A$13:$A$64,0)),0))</f>
        <v>0.8</v>
      </c>
      <c r="HS17" s="32" t="n">
        <f aca="false">INDEX(Вводные!$D$13:$F$64,MATCH($A17,Вводные!$A$13:$A$64,0),MATCH(HS$3,Вводные!$D$11:$F$11,0))*(1+IF(HS$4=$A17,Вводные!$D$5*INDEX(Вводные!$G$13:$G$64,MATCH($A17,Вводные!$A$13:$A$64,0)),0))</f>
        <v>0.8</v>
      </c>
      <c r="HT17" s="32" t="n">
        <f aca="false">INDEX(Вводные!$D$13:$F$64,MATCH($A17,Вводные!$A$13:$A$64,0),MATCH(HT$3,Вводные!$D$11:$F$11,0))*(1+IF(HT$4=$A17,Вводные!$D$5*INDEX(Вводные!$G$13:$G$64,MATCH($A17,Вводные!$A$13:$A$64,0)),0))</f>
        <v>0.8</v>
      </c>
      <c r="HU17" s="32" t="n">
        <f aca="false">INDEX(Вводные!$D$13:$F$64,MATCH($A17,Вводные!$A$13:$A$64,0),MATCH(HU$3,Вводные!$D$11:$F$11,0))*(1+IF(HU$4=$A17,Вводные!$D$5*INDEX(Вводные!$G$13:$G$64,MATCH($A17,Вводные!$A$13:$A$64,0)),0))</f>
        <v>0.8</v>
      </c>
      <c r="HV17" s="32" t="n">
        <f aca="false">INDEX(Вводные!$D$13:$F$64,MATCH($A17,Вводные!$A$13:$A$64,0),MATCH(HV$3,Вводные!$D$11:$F$11,0))*(1+IF(HV$4=$A17,Вводные!$D$5*INDEX(Вводные!$G$13:$G$64,MATCH($A17,Вводные!$A$13:$A$64,0)),0))</f>
        <v>0.8</v>
      </c>
      <c r="HW17" s="32" t="n">
        <f aca="false">INDEX(Вводные!$D$13:$F$64,MATCH($A17,Вводные!$A$13:$A$64,0),MATCH(HW$3,Вводные!$D$11:$F$11,0))*(1+IF(HW$4=$A17,Вводные!$D$5*INDEX(Вводные!$G$13:$G$64,MATCH($A17,Вводные!$A$13:$A$64,0)),0))</f>
        <v>0.8</v>
      </c>
      <c r="HX17" s="32" t="n">
        <f aca="false">INDEX(Вводные!$D$13:$F$64,MATCH($A17,Вводные!$A$13:$A$64,0),MATCH(HX$3,Вводные!$D$11:$F$11,0))*(1+IF(HX$4=$A17,Вводные!$D$5*INDEX(Вводные!$G$13:$G$64,MATCH($A17,Вводные!$A$13:$A$64,0)),0))</f>
        <v>0.8</v>
      </c>
      <c r="HY17" s="32" t="n">
        <f aca="false">INDEX(Вводные!$D$13:$F$64,MATCH($A17,Вводные!$A$13:$A$64,0),MATCH(HY$3,Вводные!$D$11:$F$11,0))*(1+IF(HY$4=$A17,Вводные!$D$5*INDEX(Вводные!$G$13:$G$64,MATCH($A17,Вводные!$A$13:$A$64,0)),0))</f>
        <v>0.8</v>
      </c>
      <c r="HZ17" s="32" t="n">
        <f aca="false">INDEX(Вводные!$D$13:$F$64,MATCH($A17,Вводные!$A$13:$A$64,0),MATCH(HZ$3,Вводные!$D$11:$F$11,0))*(1+IF(HZ$4=$A17,Вводные!$D$5*INDEX(Вводные!$G$13:$G$64,MATCH($A17,Вводные!$A$13:$A$64,0)),0))</f>
        <v>0.8</v>
      </c>
      <c r="IA17" s="32" t="n">
        <f aca="false">INDEX(Вводные!$D$13:$F$64,MATCH($A17,Вводные!$A$13:$A$64,0),MATCH(IA$3,Вводные!$D$11:$F$11,0))*(1+IF(IA$4=$A17,Вводные!$D$5*INDEX(Вводные!$G$13:$G$64,MATCH($A17,Вводные!$A$13:$A$64,0)),0))</f>
        <v>0.8</v>
      </c>
      <c r="IB17" s="32" t="n">
        <f aca="false">INDEX(Вводные!$D$13:$F$64,MATCH($A17,Вводные!$A$13:$A$64,0),MATCH(IB$3,Вводные!$D$11:$F$11,0))*(1+IF(IB$4=$A17,Вводные!$D$5*INDEX(Вводные!$G$13:$G$64,MATCH($A17,Вводные!$A$13:$A$64,0)),0))</f>
        <v>0.8</v>
      </c>
      <c r="IC17" s="32" t="n">
        <f aca="false">INDEX(Вводные!$D$13:$F$64,MATCH($A17,Вводные!$A$13:$A$64,0),MATCH(IC$3,Вводные!$D$11:$F$11,0))*(1+IF(IC$4=$A17,Вводные!$D$5*INDEX(Вводные!$G$13:$G$64,MATCH($A17,Вводные!$A$13:$A$64,0)),0))</f>
        <v>0.8</v>
      </c>
      <c r="ID17" s="32" t="n">
        <f aca="false">INDEX(Вводные!$D$13:$F$64,MATCH($A17,Вводные!$A$13:$A$64,0),MATCH(ID$3,Вводные!$D$11:$F$11,0))*(1+IF(ID$4=$A17,Вводные!$D$5*INDEX(Вводные!$G$13:$G$64,MATCH($A17,Вводные!$A$13:$A$64,0)),0))</f>
        <v>0.8</v>
      </c>
      <c r="IE17" s="32" t="n">
        <f aca="false">INDEX(Вводные!$D$13:$F$64,MATCH($A17,Вводные!$A$13:$A$64,0),MATCH(IE$3,Вводные!$D$11:$F$11,0))*(1+IF(IE$4=$A17,Вводные!$D$5*INDEX(Вводные!$G$13:$G$64,MATCH($A17,Вводные!$A$13:$A$64,0)),0))</f>
        <v>0.8</v>
      </c>
      <c r="IF17" s="32" t="n">
        <f aca="false">INDEX(Вводные!$D$13:$F$64,MATCH($A17,Вводные!$A$13:$A$64,0),MATCH(IF$3,Вводные!$D$11:$F$11,0))*(1+IF(IF$4=$A17,Вводные!$D$5*INDEX(Вводные!$G$13:$G$64,MATCH($A17,Вводные!$A$13:$A$64,0)),0))</f>
        <v>0.8</v>
      </c>
      <c r="IG17" s="32" t="n">
        <f aca="false">INDEX(Вводные!$D$13:$F$64,MATCH($A17,Вводные!$A$13:$A$64,0),MATCH(IG$3,Вводные!$D$11:$F$11,0))*(1+IF(IG$4=$A17,Вводные!$D$5*INDEX(Вводные!$G$13:$G$64,MATCH($A17,Вводные!$A$13:$A$64,0)),0))</f>
        <v>0.8</v>
      </c>
      <c r="IH17" s="32" t="n">
        <f aca="false">INDEX(Вводные!$D$13:$F$64,MATCH($A17,Вводные!$A$13:$A$64,0),MATCH(IH$3,Вводные!$D$11:$F$11,0))*(1+IF(IH$4=$A17,Вводные!$D$5*INDEX(Вводные!$G$13:$G$64,MATCH($A17,Вводные!$A$13:$A$64,0)),0))</f>
        <v>0.8</v>
      </c>
      <c r="II17" s="32" t="n">
        <f aca="false">INDEX(Вводные!$D$13:$F$64,MATCH($A17,Вводные!$A$13:$A$64,0),MATCH(II$3,Вводные!$D$11:$F$11,0))*(1+IF(II$4=$A17,Вводные!$D$5*INDEX(Вводные!$G$13:$G$64,MATCH($A17,Вводные!$A$13:$A$64,0)),0))</f>
        <v>0.8</v>
      </c>
      <c r="IJ17" s="32" t="n">
        <f aca="false">INDEX(Вводные!$D$13:$F$64,MATCH($A17,Вводные!$A$13:$A$64,0),MATCH(IJ$3,Вводные!$D$11:$F$11,0))*(1+IF(IJ$4=$A17,Вводные!$D$5*INDEX(Вводные!$G$13:$G$64,MATCH($A17,Вводные!$A$13:$A$64,0)),0))</f>
        <v>0.8</v>
      </c>
      <c r="IK17" s="32" t="n">
        <f aca="false">INDEX(Вводные!$D$13:$F$64,MATCH($A17,Вводные!$A$13:$A$64,0),MATCH(IK$3,Вводные!$D$11:$F$11,0))*(1+IF(IK$4=$A17,Вводные!$D$5*INDEX(Вводные!$G$13:$G$64,MATCH($A17,Вводные!$A$13:$A$64,0)),0))</f>
        <v>0.8</v>
      </c>
      <c r="IL17" s="32" t="n">
        <f aca="false">INDEX(Вводные!$D$13:$F$64,MATCH($A17,Вводные!$A$13:$A$64,0),MATCH(IL$3,Вводные!$D$11:$F$11,0))*(1+IF(IL$4=$A17,Вводные!$D$5*INDEX(Вводные!$G$13:$G$64,MATCH($A17,Вводные!$A$13:$A$64,0)),0))</f>
        <v>0.8</v>
      </c>
      <c r="IM17" s="32" t="n">
        <f aca="false">INDEX(Вводные!$D$13:$F$64,MATCH($A17,Вводные!$A$13:$A$64,0),MATCH(IM$3,Вводные!$D$11:$F$11,0))*(1+IF(IM$4=$A17,Вводные!$D$5*INDEX(Вводные!$G$13:$G$64,MATCH($A17,Вводные!$A$13:$A$64,0)),0))</f>
        <v>0.8</v>
      </c>
      <c r="IN17" s="32" t="n">
        <f aca="false">INDEX(Вводные!$D$13:$F$64,MATCH($A17,Вводные!$A$13:$A$64,0),MATCH(IN$3,Вводные!$D$11:$F$11,0))*(1+IF(IN$4=$A17,Вводные!$D$5*INDEX(Вводные!$G$13:$G$64,MATCH($A17,Вводные!$A$13:$A$64,0)),0))</f>
        <v>0.8</v>
      </c>
      <c r="IO17" s="32" t="n">
        <f aca="false">INDEX(Вводные!$D$13:$F$64,MATCH($A17,Вводные!$A$13:$A$64,0),MATCH(IO$3,Вводные!$D$11:$F$11,0))*(1+IF(IO$4=$A17,Вводные!$D$5*INDEX(Вводные!$G$13:$G$64,MATCH($A17,Вводные!$A$13:$A$64,0)),0))</f>
        <v>0.8</v>
      </c>
      <c r="IP17" s="32" t="n">
        <f aca="false">INDEX(Вводные!$D$13:$F$64,MATCH($A17,Вводные!$A$13:$A$64,0),MATCH(IP$3,Вводные!$D$11:$F$11,0))*(1+IF(IP$4=$A17,Вводные!$D$5*INDEX(Вводные!$G$13:$G$64,MATCH($A17,Вводные!$A$13:$A$64,0)),0))</f>
        <v>0.8</v>
      </c>
      <c r="IQ17" s="32" t="n">
        <f aca="false">INDEX(Вводные!$D$13:$F$64,MATCH($A17,Вводные!$A$13:$A$64,0),MATCH(IQ$3,Вводные!$D$11:$F$11,0))*(1+IF(IQ$4=$A17,Вводные!$D$5*INDEX(Вводные!$G$13:$G$64,MATCH($A17,Вводные!$A$13:$A$64,0)),0))</f>
        <v>0.8</v>
      </c>
      <c r="IR17" s="32" t="n">
        <f aca="false">INDEX(Вводные!$D$13:$F$64,MATCH($A17,Вводные!$A$13:$A$64,0),MATCH(IR$3,Вводные!$D$11:$F$11,0))*(1+IF(IR$4=$A17,Вводные!$D$5*INDEX(Вводные!$G$13:$G$64,MATCH($A17,Вводные!$A$13:$A$64,0)),0))</f>
        <v>0.8</v>
      </c>
      <c r="IS17" s="32" t="n">
        <f aca="false">INDEX(Вводные!$D$13:$F$64,MATCH($A17,Вводные!$A$13:$A$64,0),MATCH(IS$3,Вводные!$D$11:$F$11,0))*(1+IF(IS$4=$A17,Вводные!$D$5*INDEX(Вводные!$G$13:$G$64,MATCH($A17,Вводные!$A$13:$A$64,0)),0))</f>
        <v>0.8</v>
      </c>
      <c r="IT17" s="32" t="n">
        <f aca="false">INDEX(Вводные!$D$13:$F$64,MATCH($A17,Вводные!$A$13:$A$64,0),MATCH(IT$3,Вводные!$D$11:$F$11,0))*(1+IF(IT$4=$A17,Вводные!$D$5*INDEX(Вводные!$G$13:$G$64,MATCH($A17,Вводные!$A$13:$A$64,0)),0))</f>
        <v>0.8</v>
      </c>
      <c r="IU17" s="32" t="n">
        <f aca="false">INDEX(Вводные!$D$13:$F$64,MATCH($A17,Вводные!$A$13:$A$64,0),MATCH(IU$3,Вводные!$D$11:$F$11,0))*(1+IF(IU$4=$A17,Вводные!$D$5*INDEX(Вводные!$G$13:$G$64,MATCH($A17,Вводные!$A$13:$A$64,0)),0))</f>
        <v>0.8</v>
      </c>
      <c r="IV17" s="32" t="n">
        <f aca="false">INDEX(Вводные!$D$13:$F$64,MATCH($A17,Вводные!$A$13:$A$64,0),MATCH(IV$3,Вводные!$D$11:$F$11,0))*(1+IF(IV$4=$A17,Вводные!$D$5*INDEX(Вводные!$G$13:$G$64,MATCH($A17,Вводные!$A$13:$A$64,0)),0))</f>
        <v>0.8</v>
      </c>
      <c r="IW17" s="32" t="n">
        <f aca="false">INDEX(Вводные!$D$13:$F$64,MATCH($A17,Вводные!$A$13:$A$64,0),MATCH(IW$3,Вводные!$D$11:$F$11,0))*(1+IF(IW$4=$A17,Вводные!$D$5*INDEX(Вводные!$G$13:$G$64,MATCH($A17,Вводные!$A$13:$A$64,0)),0))</f>
        <v>0.8</v>
      </c>
      <c r="IX17" s="32" t="n">
        <f aca="false">INDEX(Вводные!$D$13:$F$64,MATCH($A17,Вводные!$A$13:$A$64,0),MATCH(IX$3,Вводные!$D$11:$F$11,0))*(1+IF(IX$4=$A17,Вводные!$D$5*INDEX(Вводные!$G$13:$G$64,MATCH($A17,Вводные!$A$13:$A$64,0)),0))</f>
        <v>0.8</v>
      </c>
      <c r="IY17" s="32" t="n">
        <f aca="false">INDEX(Вводные!$D$13:$F$64,MATCH($A17,Вводные!$A$13:$A$64,0),MATCH(IY$3,Вводные!$D$11:$F$11,0))*(1+IF(IY$4=$A17,Вводные!$D$5*INDEX(Вводные!$G$13:$G$64,MATCH($A17,Вводные!$A$13:$A$64,0)),0))</f>
        <v>0.8</v>
      </c>
      <c r="IZ17" s="32" t="n">
        <f aca="false">INDEX(Вводные!$D$13:$F$64,MATCH($A17,Вводные!$A$13:$A$64,0),MATCH(IZ$3,Вводные!$D$11:$F$11,0))*(1+IF(IZ$4=$A17,Вводные!$D$5*INDEX(Вводные!$G$13:$G$64,MATCH($A17,Вводные!$A$13:$A$64,0)),0))</f>
        <v>0.8</v>
      </c>
      <c r="JA17" s="32" t="n">
        <f aca="false">INDEX(Вводные!$D$13:$F$64,MATCH($A17,Вводные!$A$13:$A$64,0),MATCH(JA$3,Вводные!$D$11:$F$11,0))*(1+IF(JA$4=$A17,Вводные!$D$5*INDEX(Вводные!$G$13:$G$64,MATCH($A17,Вводные!$A$13:$A$64,0)),0))</f>
        <v>0.8</v>
      </c>
    </row>
    <row r="18" customFormat="false" ht="15" hidden="false" customHeight="false" outlineLevel="0" collapsed="false">
      <c r="A18" s="2" t="s">
        <v>138</v>
      </c>
      <c r="B18" s="13" t="s">
        <v>139</v>
      </c>
      <c r="C18" s="13" t="s">
        <v>185</v>
      </c>
      <c r="D18" s="9" t="s">
        <v>184</v>
      </c>
      <c r="E18" s="59" t="n">
        <f aca="false">E16*E17</f>
        <v>177493.75</v>
      </c>
      <c r="F18" s="59" t="n">
        <f aca="false">F16*F17</f>
        <v>8310.5</v>
      </c>
      <c r="G18" s="59" t="n">
        <f aca="false">G16*G17</f>
        <v>321.6</v>
      </c>
      <c r="H18" s="59" t="n">
        <f aca="false">SUM(E18:G18)</f>
        <v>186125.85</v>
      </c>
      <c r="J18" s="59" t="n">
        <f aca="false">J16*J17</f>
        <v>177493.75</v>
      </c>
      <c r="K18" s="59" t="n">
        <f aca="false">K16*K17</f>
        <v>177623.6875</v>
      </c>
      <c r="L18" s="59" t="n">
        <f aca="false">L16*L17</f>
        <v>177623.6875</v>
      </c>
      <c r="M18" s="59" t="n">
        <f aca="false">M16*M17</f>
        <v>177623.6875</v>
      </c>
      <c r="N18" s="59" t="n">
        <f aca="false">N16*N17</f>
        <v>177598.75</v>
      </c>
      <c r="O18" s="59" t="n">
        <f aca="false">O16*O17</f>
        <v>179268.6875</v>
      </c>
      <c r="P18" s="59" t="n">
        <f aca="false">P16*P17</f>
        <v>177493.75</v>
      </c>
      <c r="Q18" s="59" t="n">
        <f aca="false">Q16*Q17</f>
        <v>177493.75</v>
      </c>
      <c r="R18" s="59" t="n">
        <f aca="false">R16*R17</f>
        <v>177493.75</v>
      </c>
      <c r="S18" s="59" t="n">
        <f aca="false">S16*S17</f>
        <v>177493.75</v>
      </c>
      <c r="T18" s="59" t="n">
        <f aca="false">T16*T17</f>
        <v>177493.75</v>
      </c>
      <c r="U18" s="59" t="n">
        <f aca="false">U16*U17</f>
        <v>177493.75</v>
      </c>
      <c r="V18" s="59" t="n">
        <f aca="false">V16*V17</f>
        <v>177493.75</v>
      </c>
      <c r="W18" s="59" t="n">
        <f aca="false">W16*W17</f>
        <v>177493.75</v>
      </c>
      <c r="X18" s="59" t="n">
        <f aca="false">X16*X17</f>
        <v>177493.75</v>
      </c>
      <c r="Y18" s="59" t="n">
        <f aca="false">Y16*Y17</f>
        <v>177493.75</v>
      </c>
      <c r="Z18" s="59" t="n">
        <f aca="false">Z16*Z17</f>
        <v>177493.75</v>
      </c>
      <c r="AA18" s="59" t="n">
        <f aca="false">AA16*AA17</f>
        <v>177493.75</v>
      </c>
      <c r="AB18" s="59" t="n">
        <f aca="false">AB16*AB17</f>
        <v>177493.75</v>
      </c>
      <c r="AC18" s="59" t="n">
        <f aca="false">AC16*AC17</f>
        <v>177493.75</v>
      </c>
      <c r="AD18" s="59" t="n">
        <f aca="false">AD16*AD17</f>
        <v>177493.75</v>
      </c>
      <c r="AE18" s="59" t="n">
        <f aca="false">AE16*AE17</f>
        <v>177493.75</v>
      </c>
      <c r="AF18" s="59" t="n">
        <f aca="false">AF16*AF17</f>
        <v>177493.75</v>
      </c>
      <c r="AG18" s="59" t="n">
        <f aca="false">AG16*AG17</f>
        <v>177493.75</v>
      </c>
      <c r="AH18" s="59" t="n">
        <f aca="false">AH16*AH17</f>
        <v>177493.75</v>
      </c>
      <c r="AI18" s="59" t="n">
        <f aca="false">AI16*AI17</f>
        <v>177493.75</v>
      </c>
      <c r="AJ18" s="59" t="n">
        <f aca="false">AJ16*AJ17</f>
        <v>177493.75</v>
      </c>
      <c r="AK18" s="59" t="n">
        <f aca="false">AK16*AK17</f>
        <v>177493.75</v>
      </c>
      <c r="AL18" s="59" t="n">
        <f aca="false">AL16*AL17</f>
        <v>177493.75</v>
      </c>
      <c r="AM18" s="59" t="n">
        <f aca="false">AM16*AM17</f>
        <v>177493.75</v>
      </c>
      <c r="AN18" s="59" t="n">
        <f aca="false">AN16*AN17</f>
        <v>177493.75</v>
      </c>
      <c r="AO18" s="59" t="n">
        <f aca="false">AO16*AO17</f>
        <v>177493.75</v>
      </c>
      <c r="AP18" s="59" t="n">
        <f aca="false">AP16*AP17</f>
        <v>177493.75</v>
      </c>
      <c r="AQ18" s="59" t="n">
        <f aca="false">AQ16*AQ17</f>
        <v>177493.75</v>
      </c>
      <c r="AR18" s="59" t="n">
        <f aca="false">AR16*AR17</f>
        <v>177493.75</v>
      </c>
      <c r="AS18" s="59" t="n">
        <f aca="false">AS16*AS17</f>
        <v>177493.75</v>
      </c>
      <c r="AT18" s="59" t="n">
        <f aca="false">AT16*AT17</f>
        <v>177493.75</v>
      </c>
      <c r="AU18" s="59" t="n">
        <f aca="false">AU16*AU17</f>
        <v>177493.75</v>
      </c>
      <c r="AV18" s="59" t="n">
        <f aca="false">AV16*AV17</f>
        <v>177493.75</v>
      </c>
      <c r="AW18" s="59" t="n">
        <f aca="false">AW16*AW17</f>
        <v>177493.75</v>
      </c>
      <c r="AX18" s="59" t="n">
        <f aca="false">AX16*AX17</f>
        <v>177493.75</v>
      </c>
      <c r="AY18" s="59" t="n">
        <f aca="false">AY16*AY17</f>
        <v>177493.75</v>
      </c>
      <c r="AZ18" s="59" t="n">
        <f aca="false">AZ16*AZ17</f>
        <v>8310.5</v>
      </c>
      <c r="BA18" s="59" t="n">
        <f aca="false">BA16*BA17</f>
        <v>8313.58</v>
      </c>
      <c r="BB18" s="59" t="n">
        <f aca="false">BB16*BB17</f>
        <v>8313.58</v>
      </c>
      <c r="BC18" s="59" t="n">
        <f aca="false">BC16*BC17</f>
        <v>8313.58</v>
      </c>
      <c r="BD18" s="59" t="n">
        <f aca="false">BD16*BD17</f>
        <v>8312.975</v>
      </c>
      <c r="BE18" s="59" t="n">
        <f aca="false">BE16*BE17</f>
        <v>8393.605</v>
      </c>
      <c r="BF18" s="59" t="n">
        <f aca="false">BF16*BF17</f>
        <v>8310.5</v>
      </c>
      <c r="BG18" s="59" t="n">
        <f aca="false">BG16*BG17</f>
        <v>8310.5</v>
      </c>
      <c r="BH18" s="59" t="n">
        <f aca="false">BH16*BH17</f>
        <v>8310.5</v>
      </c>
      <c r="BI18" s="59" t="n">
        <f aca="false">BI16*BI17</f>
        <v>8310.5</v>
      </c>
      <c r="BJ18" s="59" t="n">
        <f aca="false">BJ16*BJ17</f>
        <v>8310.5</v>
      </c>
      <c r="BK18" s="59" t="n">
        <f aca="false">BK16*BK17</f>
        <v>8310.5</v>
      </c>
      <c r="BL18" s="59" t="n">
        <f aca="false">BL16*BL17</f>
        <v>8310.5</v>
      </c>
      <c r="BM18" s="59" t="n">
        <f aca="false">BM16*BM17</f>
        <v>8310.5</v>
      </c>
      <c r="BN18" s="59" t="n">
        <f aca="false">BN16*BN17</f>
        <v>8310.5</v>
      </c>
      <c r="BO18" s="59" t="n">
        <f aca="false">BO16*BO17</f>
        <v>8310.5</v>
      </c>
      <c r="BP18" s="59" t="n">
        <f aca="false">BP16*BP17</f>
        <v>8310.5</v>
      </c>
      <c r="BQ18" s="59" t="n">
        <f aca="false">BQ16*BQ17</f>
        <v>8310.5</v>
      </c>
      <c r="BR18" s="59" t="n">
        <f aca="false">BR16*BR17</f>
        <v>8310.5</v>
      </c>
      <c r="BS18" s="59" t="n">
        <f aca="false">BS16*BS17</f>
        <v>8310.5</v>
      </c>
      <c r="BT18" s="59" t="n">
        <f aca="false">BT16*BT17</f>
        <v>8310.5</v>
      </c>
      <c r="BU18" s="59" t="n">
        <f aca="false">BU16*BU17</f>
        <v>8310.5</v>
      </c>
      <c r="BV18" s="59" t="n">
        <f aca="false">BV16*BV17</f>
        <v>8310.5</v>
      </c>
      <c r="BW18" s="59" t="n">
        <f aca="false">BW16*BW17</f>
        <v>8310.5</v>
      </c>
      <c r="BX18" s="59" t="n">
        <f aca="false">BX16*BX17</f>
        <v>8310.5</v>
      </c>
      <c r="BY18" s="59" t="n">
        <f aca="false">BY16*BY17</f>
        <v>8310.5</v>
      </c>
      <c r="BZ18" s="59" t="n">
        <f aca="false">BZ16*BZ17</f>
        <v>8310.5</v>
      </c>
      <c r="CA18" s="59" t="n">
        <f aca="false">CA16*CA17</f>
        <v>8310.5</v>
      </c>
      <c r="CB18" s="59" t="n">
        <f aca="false">CB16*CB17</f>
        <v>8310.5</v>
      </c>
      <c r="CC18" s="59" t="n">
        <f aca="false">CC16*CC17</f>
        <v>8310.5</v>
      </c>
      <c r="CD18" s="59" t="n">
        <f aca="false">CD16*CD17</f>
        <v>8310.5</v>
      </c>
      <c r="CE18" s="59" t="n">
        <f aca="false">CE16*CE17</f>
        <v>8310.5</v>
      </c>
      <c r="CF18" s="59" t="n">
        <f aca="false">CF16*CF17</f>
        <v>8310.5</v>
      </c>
      <c r="CG18" s="59" t="n">
        <f aca="false">CG16*CG17</f>
        <v>8310.5</v>
      </c>
      <c r="CH18" s="59" t="n">
        <f aca="false">CH16*CH17</f>
        <v>8310.5</v>
      </c>
      <c r="CI18" s="59" t="n">
        <f aca="false">CI16*CI17</f>
        <v>8310.5</v>
      </c>
      <c r="CJ18" s="59" t="n">
        <f aca="false">CJ16*CJ17</f>
        <v>8310.5</v>
      </c>
      <c r="CK18" s="59" t="n">
        <f aca="false">CK16*CK17</f>
        <v>8310.5</v>
      </c>
      <c r="CL18" s="59" t="n">
        <f aca="false">CL16*CL17</f>
        <v>8310.5</v>
      </c>
      <c r="CM18" s="59" t="n">
        <f aca="false">CM16*CM17</f>
        <v>8310.5</v>
      </c>
      <c r="CN18" s="59" t="n">
        <f aca="false">CN16*CN17</f>
        <v>8310.5</v>
      </c>
      <c r="CO18" s="59" t="n">
        <f aca="false">CO16*CO17</f>
        <v>8310.5</v>
      </c>
      <c r="CP18" s="59" t="n">
        <f aca="false">CP16*CP17</f>
        <v>321.6</v>
      </c>
      <c r="CQ18" s="59" t="n">
        <f aca="false">CQ16*CQ17</f>
        <v>321.744</v>
      </c>
      <c r="CR18" s="59" t="n">
        <f aca="false">CR16*CR17</f>
        <v>321.744</v>
      </c>
      <c r="CS18" s="59" t="n">
        <f aca="false">CS16*CS17</f>
        <v>321.744</v>
      </c>
      <c r="CT18" s="59" t="n">
        <f aca="false">CT16*CT17</f>
        <v>321.728</v>
      </c>
      <c r="CU18" s="59" t="n">
        <f aca="false">CU16*CU17</f>
        <v>324.816</v>
      </c>
      <c r="CV18" s="59" t="n">
        <f aca="false">CV16*CV17</f>
        <v>321.6</v>
      </c>
      <c r="CW18" s="59" t="n">
        <f aca="false">CW16*CW17</f>
        <v>321.6</v>
      </c>
      <c r="CX18" s="59" t="n">
        <f aca="false">CX16*CX17</f>
        <v>321.6</v>
      </c>
      <c r="CY18" s="59" t="n">
        <f aca="false">CY16*CY17</f>
        <v>321.6</v>
      </c>
      <c r="CZ18" s="59" t="n">
        <f aca="false">CZ16*CZ17</f>
        <v>321.6</v>
      </c>
      <c r="DA18" s="59" t="n">
        <f aca="false">DA16*DA17</f>
        <v>321.6</v>
      </c>
      <c r="DB18" s="59" t="n">
        <f aca="false">DB16*DB17</f>
        <v>321.6</v>
      </c>
      <c r="DC18" s="59" t="n">
        <f aca="false">DC16*DC17</f>
        <v>321.6</v>
      </c>
      <c r="DD18" s="59" t="n">
        <f aca="false">DD16*DD17</f>
        <v>321.6</v>
      </c>
      <c r="DE18" s="59" t="n">
        <f aca="false">DE16*DE17</f>
        <v>321.6</v>
      </c>
      <c r="DF18" s="59" t="n">
        <f aca="false">DF16*DF17</f>
        <v>321.6</v>
      </c>
      <c r="DG18" s="59" t="n">
        <f aca="false">DG16*DG17</f>
        <v>321.6</v>
      </c>
      <c r="DH18" s="59" t="n">
        <f aca="false">DH16*DH17</f>
        <v>321.6</v>
      </c>
      <c r="DI18" s="59" t="n">
        <f aca="false">DI16*DI17</f>
        <v>321.6</v>
      </c>
      <c r="DJ18" s="59" t="n">
        <f aca="false">DJ16*DJ17</f>
        <v>321.6</v>
      </c>
      <c r="DK18" s="59" t="n">
        <f aca="false">DK16*DK17</f>
        <v>321.6</v>
      </c>
      <c r="DL18" s="59" t="n">
        <f aca="false">DL16*DL17</f>
        <v>321.6</v>
      </c>
      <c r="DM18" s="59" t="n">
        <f aca="false">DM16*DM17</f>
        <v>321.6</v>
      </c>
      <c r="DN18" s="59" t="n">
        <f aca="false">DN16*DN17</f>
        <v>321.6</v>
      </c>
      <c r="DO18" s="59" t="n">
        <f aca="false">DO16*DO17</f>
        <v>321.6</v>
      </c>
      <c r="DP18" s="59" t="n">
        <f aca="false">DP16*DP17</f>
        <v>321.6</v>
      </c>
      <c r="DQ18" s="59" t="n">
        <f aca="false">DQ16*DQ17</f>
        <v>321.6</v>
      </c>
      <c r="DR18" s="59" t="n">
        <f aca="false">DR16*DR17</f>
        <v>321.6</v>
      </c>
      <c r="DS18" s="59" t="n">
        <f aca="false">DS16*DS17</f>
        <v>321.6</v>
      </c>
      <c r="DT18" s="59" t="n">
        <f aca="false">DT16*DT17</f>
        <v>321.6</v>
      </c>
      <c r="DU18" s="59" t="n">
        <f aca="false">DU16*DU17</f>
        <v>321.6</v>
      </c>
      <c r="DV18" s="59" t="n">
        <f aca="false">DV16*DV17</f>
        <v>321.6</v>
      </c>
      <c r="DW18" s="59" t="n">
        <f aca="false">DW16*DW17</f>
        <v>321.6</v>
      </c>
      <c r="DX18" s="59" t="n">
        <f aca="false">DX16*DX17</f>
        <v>321.6</v>
      </c>
      <c r="DY18" s="59" t="n">
        <f aca="false">DY16*DY17</f>
        <v>321.6</v>
      </c>
      <c r="DZ18" s="59" t="n">
        <f aca="false">DZ16*DZ17</f>
        <v>321.6</v>
      </c>
      <c r="EA18" s="59" t="n">
        <f aca="false">EA16*EA17</f>
        <v>321.6</v>
      </c>
      <c r="EB18" s="59" t="n">
        <f aca="false">EB16*EB17</f>
        <v>321.6</v>
      </c>
      <c r="EC18" s="59" t="n">
        <f aca="false">EC16*EC17</f>
        <v>321.6</v>
      </c>
      <c r="ED18" s="59" t="n">
        <f aca="false">ED16*ED17</f>
        <v>321.6</v>
      </c>
      <c r="EE18" s="59" t="n">
        <f aca="false">EE16*EE17</f>
        <v>321.6</v>
      </c>
      <c r="EF18" s="59" t="n">
        <f aca="false">EF16*EF17</f>
        <v>216562.5</v>
      </c>
      <c r="EG18" s="59" t="n">
        <f aca="false">EG16*EG17</f>
        <v>218728.125</v>
      </c>
      <c r="EH18" s="59" t="n">
        <f aca="false">EH16*EH17</f>
        <v>218728.125</v>
      </c>
      <c r="EI18" s="59" t="n">
        <f aca="false">EI16*EI17</f>
        <v>218728.125</v>
      </c>
      <c r="EJ18" s="59" t="n">
        <f aca="false">EJ16*EJ17</f>
        <v>218750</v>
      </c>
      <c r="EK18" s="59" t="n">
        <f aca="false">EK16*EK17</f>
        <v>218728.125</v>
      </c>
      <c r="EL18" s="59" t="n">
        <f aca="false">EL16*EL17</f>
        <v>216562.5</v>
      </c>
      <c r="EM18" s="59" t="n">
        <f aca="false">EM16*EM17</f>
        <v>216562.5</v>
      </c>
      <c r="EN18" s="59" t="n">
        <f aca="false">EN16*EN17</f>
        <v>216562.5</v>
      </c>
      <c r="EO18" s="59" t="n">
        <f aca="false">EO16*EO17</f>
        <v>216562.5</v>
      </c>
      <c r="EP18" s="59" t="n">
        <f aca="false">EP16*EP17</f>
        <v>216562.5</v>
      </c>
      <c r="EQ18" s="59" t="n">
        <f aca="false">EQ16*EQ17</f>
        <v>216562.5</v>
      </c>
      <c r="ER18" s="59" t="n">
        <f aca="false">ER16*ER17</f>
        <v>216562.5</v>
      </c>
      <c r="ES18" s="59" t="n">
        <f aca="false">ES16*ES17</f>
        <v>216562.5</v>
      </c>
      <c r="ET18" s="59" t="n">
        <f aca="false">ET16*ET17</f>
        <v>216562.5</v>
      </c>
      <c r="EU18" s="59" t="n">
        <f aca="false">EU16*EU17</f>
        <v>216562.5</v>
      </c>
      <c r="EV18" s="59" t="n">
        <f aca="false">EV16*EV17</f>
        <v>216562.5</v>
      </c>
      <c r="EW18" s="59" t="n">
        <f aca="false">EW16*EW17</f>
        <v>216562.5</v>
      </c>
      <c r="EX18" s="59" t="n">
        <f aca="false">EX16*EX17</f>
        <v>216562.5</v>
      </c>
      <c r="EY18" s="59" t="n">
        <f aca="false">EY16*EY17</f>
        <v>216562.5</v>
      </c>
      <c r="EZ18" s="59" t="n">
        <f aca="false">EZ16*EZ17</f>
        <v>216562.5</v>
      </c>
      <c r="FA18" s="59" t="n">
        <f aca="false">FA16*FA17</f>
        <v>216562.5</v>
      </c>
      <c r="FB18" s="59" t="n">
        <f aca="false">FB16*FB17</f>
        <v>216562.5</v>
      </c>
      <c r="FC18" s="59" t="n">
        <f aca="false">FC16*FC17</f>
        <v>216562.5</v>
      </c>
      <c r="FD18" s="59" t="n">
        <f aca="false">FD16*FD17</f>
        <v>216562.5</v>
      </c>
      <c r="FE18" s="59" t="n">
        <f aca="false">FE16*FE17</f>
        <v>216562.5</v>
      </c>
      <c r="FF18" s="59" t="n">
        <f aca="false">FF16*FF17</f>
        <v>216562.5</v>
      </c>
      <c r="FG18" s="59" t="n">
        <f aca="false">FG16*FG17</f>
        <v>216562.5</v>
      </c>
      <c r="FH18" s="59" t="n">
        <f aca="false">FH16*FH17</f>
        <v>216562.5</v>
      </c>
      <c r="FI18" s="59" t="n">
        <f aca="false">FI16*FI17</f>
        <v>216562.5</v>
      </c>
      <c r="FJ18" s="59" t="n">
        <f aca="false">FJ16*FJ17</f>
        <v>216562.5</v>
      </c>
      <c r="FK18" s="59" t="n">
        <f aca="false">FK16*FK17</f>
        <v>216562.5</v>
      </c>
      <c r="FL18" s="59" t="n">
        <f aca="false">FL16*FL17</f>
        <v>216562.5</v>
      </c>
      <c r="FM18" s="59" t="n">
        <f aca="false">FM16*FM17</f>
        <v>216562.5</v>
      </c>
      <c r="FN18" s="59" t="n">
        <f aca="false">FN16*FN17</f>
        <v>216562.5</v>
      </c>
      <c r="FO18" s="59" t="n">
        <f aca="false">FO16*FO17</f>
        <v>216562.5</v>
      </c>
      <c r="FP18" s="59" t="n">
        <f aca="false">FP16*FP17</f>
        <v>216562.5</v>
      </c>
      <c r="FQ18" s="59" t="n">
        <f aca="false">FQ16*FQ17</f>
        <v>216562.5</v>
      </c>
      <c r="FR18" s="59" t="n">
        <f aca="false">FR16*FR17</f>
        <v>216562.5</v>
      </c>
      <c r="FS18" s="59" t="n">
        <f aca="false">FS16*FS17</f>
        <v>216562.5</v>
      </c>
      <c r="FT18" s="59" t="n">
        <f aca="false">FT16*FT17</f>
        <v>216562.5</v>
      </c>
      <c r="FU18" s="59" t="n">
        <f aca="false">FU16*FU17</f>
        <v>216562.5</v>
      </c>
      <c r="FV18" s="59" t="n">
        <f aca="false">FV16*FV17</f>
        <v>10266.6666666667</v>
      </c>
      <c r="FW18" s="59" t="n">
        <f aca="false">FW16*FW17</f>
        <v>10369.3333333333</v>
      </c>
      <c r="FX18" s="59" t="n">
        <f aca="false">FX16*FX17</f>
        <v>10369.3333333333</v>
      </c>
      <c r="FY18" s="59" t="n">
        <f aca="false">FY16*FY17</f>
        <v>10369.3333333333</v>
      </c>
      <c r="FZ18" s="59" t="n">
        <f aca="false">FZ16*FZ17</f>
        <v>10370.3703703704</v>
      </c>
      <c r="GA18" s="59" t="n">
        <f aca="false">GA16*GA17</f>
        <v>10369.3333333333</v>
      </c>
      <c r="GB18" s="59" t="n">
        <f aca="false">GB16*GB17</f>
        <v>10266.6666666667</v>
      </c>
      <c r="GC18" s="59" t="n">
        <f aca="false">GC16*GC17</f>
        <v>10266.6666666667</v>
      </c>
      <c r="GD18" s="59" t="n">
        <f aca="false">GD16*GD17</f>
        <v>10266.6666666667</v>
      </c>
      <c r="GE18" s="59" t="n">
        <f aca="false">GE16*GE17</f>
        <v>10266.6666666667</v>
      </c>
      <c r="GF18" s="59" t="n">
        <f aca="false">GF16*GF17</f>
        <v>10266.6666666667</v>
      </c>
      <c r="GG18" s="59" t="n">
        <f aca="false">GG16*GG17</f>
        <v>10266.6666666667</v>
      </c>
      <c r="GH18" s="59" t="n">
        <f aca="false">GH16*GH17</f>
        <v>10266.6666666667</v>
      </c>
      <c r="GI18" s="59" t="n">
        <f aca="false">GI16*GI17</f>
        <v>10266.6666666667</v>
      </c>
      <c r="GJ18" s="59" t="n">
        <f aca="false">GJ16*GJ17</f>
        <v>10266.6666666667</v>
      </c>
      <c r="GK18" s="59" t="n">
        <f aca="false">GK16*GK17</f>
        <v>10266.6666666667</v>
      </c>
      <c r="GL18" s="59" t="n">
        <f aca="false">GL16*GL17</f>
        <v>10266.6666666667</v>
      </c>
      <c r="GM18" s="59" t="n">
        <f aca="false">GM16*GM17</f>
        <v>10266.6666666667</v>
      </c>
      <c r="GN18" s="59" t="n">
        <f aca="false">GN16*GN17</f>
        <v>10266.6666666667</v>
      </c>
      <c r="GO18" s="59" t="n">
        <f aca="false">GO16*GO17</f>
        <v>10266.6666666667</v>
      </c>
      <c r="GP18" s="59" t="n">
        <f aca="false">GP16*GP17</f>
        <v>10266.6666666667</v>
      </c>
      <c r="GQ18" s="59" t="n">
        <f aca="false">GQ16*GQ17</f>
        <v>10266.6666666667</v>
      </c>
      <c r="GR18" s="59" t="n">
        <f aca="false">GR16*GR17</f>
        <v>10266.6666666667</v>
      </c>
      <c r="GS18" s="59" t="n">
        <f aca="false">GS16*GS17</f>
        <v>10266.6666666667</v>
      </c>
      <c r="GT18" s="59" t="n">
        <f aca="false">GT16*GT17</f>
        <v>10266.6666666667</v>
      </c>
      <c r="GU18" s="59" t="n">
        <f aca="false">GU16*GU17</f>
        <v>10266.6666666667</v>
      </c>
      <c r="GV18" s="59" t="n">
        <f aca="false">GV16*GV17</f>
        <v>10266.6666666667</v>
      </c>
      <c r="GW18" s="59" t="n">
        <f aca="false">GW16*GW17</f>
        <v>10266.6666666667</v>
      </c>
      <c r="GX18" s="59" t="n">
        <f aca="false">GX16*GX17</f>
        <v>10266.6666666667</v>
      </c>
      <c r="GY18" s="59" t="n">
        <f aca="false">GY16*GY17</f>
        <v>10266.6666666667</v>
      </c>
      <c r="GZ18" s="59" t="n">
        <f aca="false">GZ16*GZ17</f>
        <v>10266.6666666667</v>
      </c>
      <c r="HA18" s="59" t="n">
        <f aca="false">HA16*HA17</f>
        <v>10266.6666666667</v>
      </c>
      <c r="HB18" s="59" t="n">
        <f aca="false">HB16*HB17</f>
        <v>10266.6666666667</v>
      </c>
      <c r="HC18" s="59" t="n">
        <f aca="false">HC16*HC17</f>
        <v>10266.6666666667</v>
      </c>
      <c r="HD18" s="59" t="n">
        <f aca="false">HD16*HD17</f>
        <v>10266.6666666667</v>
      </c>
      <c r="HE18" s="59" t="n">
        <f aca="false">HE16*HE17</f>
        <v>10266.6666666667</v>
      </c>
      <c r="HF18" s="59" t="n">
        <f aca="false">HF16*HF17</f>
        <v>10266.6666666667</v>
      </c>
      <c r="HG18" s="59" t="n">
        <f aca="false">HG16*HG17</f>
        <v>10266.6666666667</v>
      </c>
      <c r="HH18" s="59" t="n">
        <f aca="false">HH16*HH17</f>
        <v>10266.6666666667</v>
      </c>
      <c r="HI18" s="59" t="n">
        <f aca="false">HI16*HI17</f>
        <v>10266.6666666667</v>
      </c>
      <c r="HJ18" s="59" t="n">
        <f aca="false">HJ16*HJ17</f>
        <v>10266.6666666667</v>
      </c>
      <c r="HK18" s="59" t="n">
        <f aca="false">HK16*HK17</f>
        <v>10266.6666666667</v>
      </c>
      <c r="HL18" s="59" t="n">
        <f aca="false">HL16*HL17</f>
        <v>360</v>
      </c>
      <c r="HM18" s="59" t="n">
        <f aca="false">HM16*HM17</f>
        <v>363.6</v>
      </c>
      <c r="HN18" s="59" t="n">
        <f aca="false">HN16*HN17</f>
        <v>363.6</v>
      </c>
      <c r="HO18" s="59" t="n">
        <f aca="false">HO16*HO17</f>
        <v>363.6</v>
      </c>
      <c r="HP18" s="59" t="n">
        <f aca="false">HP16*HP17</f>
        <v>363.636363636364</v>
      </c>
      <c r="HQ18" s="59" t="n">
        <f aca="false">HQ16*HQ17</f>
        <v>363.6</v>
      </c>
      <c r="HR18" s="59" t="n">
        <f aca="false">HR16*HR17</f>
        <v>360</v>
      </c>
      <c r="HS18" s="59" t="n">
        <f aca="false">HS16*HS17</f>
        <v>360</v>
      </c>
      <c r="HT18" s="59" t="n">
        <f aca="false">HT16*HT17</f>
        <v>360</v>
      </c>
      <c r="HU18" s="59" t="n">
        <f aca="false">HU16*HU17</f>
        <v>360</v>
      </c>
      <c r="HV18" s="59" t="n">
        <f aca="false">HV16*HV17</f>
        <v>360</v>
      </c>
      <c r="HW18" s="59" t="n">
        <f aca="false">HW16*HW17</f>
        <v>360</v>
      </c>
      <c r="HX18" s="59" t="n">
        <f aca="false">HX16*HX17</f>
        <v>360</v>
      </c>
      <c r="HY18" s="59" t="n">
        <f aca="false">HY16*HY17</f>
        <v>360</v>
      </c>
      <c r="HZ18" s="59" t="n">
        <f aca="false">HZ16*HZ17</f>
        <v>360</v>
      </c>
      <c r="IA18" s="59" t="n">
        <f aca="false">IA16*IA17</f>
        <v>360</v>
      </c>
      <c r="IB18" s="59" t="n">
        <f aca="false">IB16*IB17</f>
        <v>360</v>
      </c>
      <c r="IC18" s="59" t="n">
        <f aca="false">IC16*IC17</f>
        <v>360</v>
      </c>
      <c r="ID18" s="59" t="n">
        <f aca="false">ID16*ID17</f>
        <v>360</v>
      </c>
      <c r="IE18" s="59" t="n">
        <f aca="false">IE16*IE17</f>
        <v>360</v>
      </c>
      <c r="IF18" s="59" t="n">
        <f aca="false">IF16*IF17</f>
        <v>360</v>
      </c>
      <c r="IG18" s="59" t="n">
        <f aca="false">IG16*IG17</f>
        <v>360</v>
      </c>
      <c r="IH18" s="59" t="n">
        <f aca="false">IH16*IH17</f>
        <v>360</v>
      </c>
      <c r="II18" s="59" t="n">
        <f aca="false">II16*II17</f>
        <v>360</v>
      </c>
      <c r="IJ18" s="59" t="n">
        <f aca="false">IJ16*IJ17</f>
        <v>360</v>
      </c>
      <c r="IK18" s="59" t="n">
        <f aca="false">IK16*IK17</f>
        <v>360</v>
      </c>
      <c r="IL18" s="59" t="n">
        <f aca="false">IL16*IL17</f>
        <v>360</v>
      </c>
      <c r="IM18" s="59" t="n">
        <f aca="false">IM16*IM17</f>
        <v>360</v>
      </c>
      <c r="IN18" s="59" t="n">
        <f aca="false">IN16*IN17</f>
        <v>360</v>
      </c>
      <c r="IO18" s="59" t="n">
        <f aca="false">IO16*IO17</f>
        <v>360</v>
      </c>
      <c r="IP18" s="59" t="n">
        <f aca="false">IP16*IP17</f>
        <v>360</v>
      </c>
      <c r="IQ18" s="59" t="n">
        <f aca="false">IQ16*IQ17</f>
        <v>360</v>
      </c>
      <c r="IR18" s="59" t="n">
        <f aca="false">IR16*IR17</f>
        <v>360</v>
      </c>
      <c r="IS18" s="59" t="n">
        <f aca="false">IS16*IS17</f>
        <v>360</v>
      </c>
      <c r="IT18" s="59" t="n">
        <f aca="false">IT16*IT17</f>
        <v>360</v>
      </c>
      <c r="IU18" s="59" t="n">
        <f aca="false">IU16*IU17</f>
        <v>360</v>
      </c>
      <c r="IV18" s="59" t="n">
        <f aca="false">IV16*IV17</f>
        <v>360</v>
      </c>
      <c r="IW18" s="59" t="n">
        <f aca="false">IW16*IW17</f>
        <v>360</v>
      </c>
      <c r="IX18" s="59" t="n">
        <f aca="false">IX16*IX17</f>
        <v>360</v>
      </c>
      <c r="IY18" s="59" t="n">
        <f aca="false">IY16*IY17</f>
        <v>360</v>
      </c>
      <c r="IZ18" s="59" t="n">
        <f aca="false">IZ16*IZ17</f>
        <v>360</v>
      </c>
      <c r="JA18" s="59" t="n">
        <f aca="false">JA16*JA17</f>
        <v>360</v>
      </c>
    </row>
    <row r="19" customFormat="false" ht="15" hidden="false" customHeight="false" outlineLevel="0" collapsed="false">
      <c r="A19" s="2" t="s">
        <v>140</v>
      </c>
      <c r="B19" s="13" t="s">
        <v>141</v>
      </c>
      <c r="C19" s="13" t="s">
        <v>179</v>
      </c>
      <c r="D19" s="9" t="s">
        <v>214</v>
      </c>
      <c r="E19" s="59" t="n">
        <f aca="false">E16*E35</f>
        <v>4057000000</v>
      </c>
      <c r="F19" s="59" t="n">
        <f aca="false">F16*F35</f>
        <v>3022000000</v>
      </c>
      <c r="G19" s="59" t="n">
        <f aca="false">G16*G35</f>
        <v>10050000000</v>
      </c>
      <c r="H19" s="59" t="n">
        <f aca="false">SUM(E19:G19)</f>
        <v>17129000000</v>
      </c>
      <c r="J19" s="59" t="n">
        <f aca="false">J16*J35</f>
        <v>4057000000</v>
      </c>
      <c r="K19" s="59" t="n">
        <f aca="false">K16*K35</f>
        <v>4059970000</v>
      </c>
      <c r="L19" s="59" t="n">
        <f aca="false">L16*L35</f>
        <v>4059970000</v>
      </c>
      <c r="M19" s="59" t="n">
        <f aca="false">M16*M35</f>
        <v>4059970000</v>
      </c>
      <c r="N19" s="59" t="n">
        <f aca="false">N16*N35</f>
        <v>4059400000</v>
      </c>
      <c r="O19" s="59" t="n">
        <f aca="false">O16*O35</f>
        <v>4057000000</v>
      </c>
      <c r="P19" s="59" t="n">
        <f aca="false">P16*P35</f>
        <v>4057000000</v>
      </c>
      <c r="Q19" s="59" t="n">
        <f aca="false">Q16*Q35</f>
        <v>4057000000</v>
      </c>
      <c r="R19" s="59" t="n">
        <f aca="false">R16*R35</f>
        <v>4057000000</v>
      </c>
      <c r="S19" s="59" t="n">
        <f aca="false">S16*S35</f>
        <v>4057000000</v>
      </c>
      <c r="T19" s="59" t="n">
        <f aca="false">T16*T35</f>
        <v>4097570000</v>
      </c>
      <c r="U19" s="59" t="n">
        <f aca="false">U16*U35</f>
        <v>4057000000</v>
      </c>
      <c r="V19" s="59" t="n">
        <f aca="false">V16*V35</f>
        <v>4057000000</v>
      </c>
      <c r="W19" s="59" t="n">
        <f aca="false">W16*W35</f>
        <v>4057000000</v>
      </c>
      <c r="X19" s="59" t="n">
        <f aca="false">X16*X35</f>
        <v>4057000000</v>
      </c>
      <c r="Y19" s="59" t="n">
        <f aca="false">Y16*Y35</f>
        <v>4057000000</v>
      </c>
      <c r="Z19" s="59" t="n">
        <f aca="false">Z16*Z35</f>
        <v>4057000000</v>
      </c>
      <c r="AA19" s="59" t="n">
        <f aca="false">AA16*AA35</f>
        <v>4057000000</v>
      </c>
      <c r="AB19" s="59" t="n">
        <f aca="false">AB16*AB35</f>
        <v>4057000000</v>
      </c>
      <c r="AC19" s="59" t="n">
        <f aca="false">AC16*AC35</f>
        <v>4057000000</v>
      </c>
      <c r="AD19" s="59" t="n">
        <f aca="false">AD16*AD35</f>
        <v>4057000000</v>
      </c>
      <c r="AE19" s="59" t="n">
        <f aca="false">AE16*AE35</f>
        <v>4057000000</v>
      </c>
      <c r="AF19" s="59" t="n">
        <f aca="false">AF16*AF35</f>
        <v>4057000000</v>
      </c>
      <c r="AG19" s="59" t="n">
        <f aca="false">AG16*AG35</f>
        <v>4057000000</v>
      </c>
      <c r="AH19" s="59" t="n">
        <f aca="false">AH16*AH35</f>
        <v>4057000000</v>
      </c>
      <c r="AI19" s="59" t="n">
        <f aca="false">AI16*AI35</f>
        <v>4057000000</v>
      </c>
      <c r="AJ19" s="59" t="n">
        <f aca="false">AJ16*AJ35</f>
        <v>4057000000</v>
      </c>
      <c r="AK19" s="59" t="n">
        <f aca="false">AK16*AK35</f>
        <v>4057000000</v>
      </c>
      <c r="AL19" s="59" t="n">
        <f aca="false">AL16*AL35</f>
        <v>4057000000</v>
      </c>
      <c r="AM19" s="59" t="n">
        <f aca="false">AM16*AM35</f>
        <v>4057000000</v>
      </c>
      <c r="AN19" s="59" t="n">
        <f aca="false">AN16*AN35</f>
        <v>4057000000</v>
      </c>
      <c r="AO19" s="59" t="n">
        <f aca="false">AO16*AO35</f>
        <v>4057000000</v>
      </c>
      <c r="AP19" s="59" t="n">
        <f aca="false">AP16*AP35</f>
        <v>4057000000</v>
      </c>
      <c r="AQ19" s="59" t="n">
        <f aca="false">AQ16*AQ35</f>
        <v>4057000000</v>
      </c>
      <c r="AR19" s="59" t="n">
        <f aca="false">AR16*AR35</f>
        <v>4057000000</v>
      </c>
      <c r="AS19" s="59" t="n">
        <f aca="false">AS16*AS35</f>
        <v>4057000000</v>
      </c>
      <c r="AT19" s="59" t="n">
        <f aca="false">AT16*AT35</f>
        <v>4057000000</v>
      </c>
      <c r="AU19" s="59" t="n">
        <f aca="false">AU16*AU35</f>
        <v>4057000000</v>
      </c>
      <c r="AV19" s="59" t="n">
        <f aca="false">AV16*AV35</f>
        <v>4057000000</v>
      </c>
      <c r="AW19" s="59" t="n">
        <f aca="false">AW16*AW35</f>
        <v>4057000000</v>
      </c>
      <c r="AX19" s="59" t="n">
        <f aca="false">AX16*AX35</f>
        <v>4057000000</v>
      </c>
      <c r="AY19" s="59" t="n">
        <f aca="false">AY16*AY35</f>
        <v>4057000000</v>
      </c>
      <c r="AZ19" s="59" t="n">
        <f aca="false">AZ16*AZ35</f>
        <v>3022000000</v>
      </c>
      <c r="BA19" s="59" t="n">
        <f aca="false">BA16*BA35</f>
        <v>3023120000</v>
      </c>
      <c r="BB19" s="59" t="n">
        <f aca="false">BB16*BB35</f>
        <v>3023120000</v>
      </c>
      <c r="BC19" s="59" t="n">
        <f aca="false">BC16*BC35</f>
        <v>3023120000</v>
      </c>
      <c r="BD19" s="59" t="n">
        <f aca="false">BD16*BD35</f>
        <v>3022900000</v>
      </c>
      <c r="BE19" s="59" t="n">
        <f aca="false">BE16*BE35</f>
        <v>3022000000</v>
      </c>
      <c r="BF19" s="59" t="n">
        <f aca="false">BF16*BF35</f>
        <v>3022000000</v>
      </c>
      <c r="BG19" s="59" t="n">
        <f aca="false">BG16*BG35</f>
        <v>3022000000</v>
      </c>
      <c r="BH19" s="59" t="n">
        <f aca="false">BH16*BH35</f>
        <v>3022000000</v>
      </c>
      <c r="BI19" s="59" t="n">
        <f aca="false">BI16*BI35</f>
        <v>3022000000</v>
      </c>
      <c r="BJ19" s="59" t="n">
        <f aca="false">BJ16*BJ35</f>
        <v>3052220000</v>
      </c>
      <c r="BK19" s="59" t="n">
        <f aca="false">BK16*BK35</f>
        <v>3022000000</v>
      </c>
      <c r="BL19" s="59" t="n">
        <f aca="false">BL16*BL35</f>
        <v>3022000000</v>
      </c>
      <c r="BM19" s="59" t="n">
        <f aca="false">BM16*BM35</f>
        <v>3022000000</v>
      </c>
      <c r="BN19" s="59" t="n">
        <f aca="false">BN16*BN35</f>
        <v>3022000000</v>
      </c>
      <c r="BO19" s="59" t="n">
        <f aca="false">BO16*BO35</f>
        <v>3022000000</v>
      </c>
      <c r="BP19" s="59" t="n">
        <f aca="false">BP16*BP35</f>
        <v>3022000000</v>
      </c>
      <c r="BQ19" s="59" t="n">
        <f aca="false">BQ16*BQ35</f>
        <v>3022000000</v>
      </c>
      <c r="BR19" s="59" t="n">
        <f aca="false">BR16*BR35</f>
        <v>3022000000</v>
      </c>
      <c r="BS19" s="59" t="n">
        <f aca="false">BS16*BS35</f>
        <v>3022000000</v>
      </c>
      <c r="BT19" s="59" t="n">
        <f aca="false">BT16*BT35</f>
        <v>3022000000</v>
      </c>
      <c r="BU19" s="59" t="n">
        <f aca="false">BU16*BU35</f>
        <v>3022000000</v>
      </c>
      <c r="BV19" s="59" t="n">
        <f aca="false">BV16*BV35</f>
        <v>3022000000</v>
      </c>
      <c r="BW19" s="59" t="n">
        <f aca="false">BW16*BW35</f>
        <v>3022000000</v>
      </c>
      <c r="BX19" s="59" t="n">
        <f aca="false">BX16*BX35</f>
        <v>3022000000</v>
      </c>
      <c r="BY19" s="59" t="n">
        <f aca="false">BY16*BY35</f>
        <v>3022000000</v>
      </c>
      <c r="BZ19" s="59" t="n">
        <f aca="false">BZ16*BZ35</f>
        <v>3022000000</v>
      </c>
      <c r="CA19" s="59" t="n">
        <f aca="false">CA16*CA35</f>
        <v>3022000000</v>
      </c>
      <c r="CB19" s="59" t="n">
        <f aca="false">CB16*CB35</f>
        <v>3022000000</v>
      </c>
      <c r="CC19" s="59" t="n">
        <f aca="false">CC16*CC35</f>
        <v>3022000000</v>
      </c>
      <c r="CD19" s="59" t="n">
        <f aca="false">CD16*CD35</f>
        <v>3022000000</v>
      </c>
      <c r="CE19" s="59" t="n">
        <f aca="false">CE16*CE35</f>
        <v>3022000000</v>
      </c>
      <c r="CF19" s="59" t="n">
        <f aca="false">CF16*CF35</f>
        <v>3022000000</v>
      </c>
      <c r="CG19" s="59" t="n">
        <f aca="false">CG16*CG35</f>
        <v>3022000000</v>
      </c>
      <c r="CH19" s="59" t="n">
        <f aca="false">CH16*CH35</f>
        <v>3022000000</v>
      </c>
      <c r="CI19" s="59" t="n">
        <f aca="false">CI16*CI35</f>
        <v>3022000000</v>
      </c>
      <c r="CJ19" s="59" t="n">
        <f aca="false">CJ16*CJ35</f>
        <v>3022000000</v>
      </c>
      <c r="CK19" s="59" t="n">
        <f aca="false">CK16*CK35</f>
        <v>3022000000</v>
      </c>
      <c r="CL19" s="59" t="n">
        <f aca="false">CL16*CL35</f>
        <v>3022000000</v>
      </c>
      <c r="CM19" s="59" t="n">
        <f aca="false">CM16*CM35</f>
        <v>3022000000</v>
      </c>
      <c r="CN19" s="59" t="n">
        <f aca="false">CN16*CN35</f>
        <v>3022000000</v>
      </c>
      <c r="CO19" s="59" t="n">
        <f aca="false">CO16*CO35</f>
        <v>3022000000</v>
      </c>
      <c r="CP19" s="59" t="n">
        <f aca="false">CP16*CP35</f>
        <v>10050000000</v>
      </c>
      <c r="CQ19" s="59" t="n">
        <f aca="false">CQ16*CQ35</f>
        <v>10054500000</v>
      </c>
      <c r="CR19" s="59" t="n">
        <f aca="false">CR16*CR35</f>
        <v>10054500000</v>
      </c>
      <c r="CS19" s="59" t="n">
        <f aca="false">CS16*CS35</f>
        <v>10054500000</v>
      </c>
      <c r="CT19" s="59" t="n">
        <f aca="false">CT16*CT35</f>
        <v>10054000000</v>
      </c>
      <c r="CU19" s="59" t="n">
        <f aca="false">CU16*CU35</f>
        <v>10050000000</v>
      </c>
      <c r="CV19" s="59" t="n">
        <f aca="false">CV16*CV35</f>
        <v>10050000000</v>
      </c>
      <c r="CW19" s="59" t="n">
        <f aca="false">CW16*CW35</f>
        <v>10050000000</v>
      </c>
      <c r="CX19" s="59" t="n">
        <f aca="false">CX16*CX35</f>
        <v>10050000000</v>
      </c>
      <c r="CY19" s="59" t="n">
        <f aca="false">CY16*CY35</f>
        <v>10050000000</v>
      </c>
      <c r="CZ19" s="59" t="n">
        <f aca="false">CZ16*CZ35</f>
        <v>10150500000</v>
      </c>
      <c r="DA19" s="59" t="n">
        <f aca="false">DA16*DA35</f>
        <v>10050000000</v>
      </c>
      <c r="DB19" s="59" t="n">
        <f aca="false">DB16*DB35</f>
        <v>10050000000</v>
      </c>
      <c r="DC19" s="59" t="n">
        <f aca="false">DC16*DC35</f>
        <v>10050000000</v>
      </c>
      <c r="DD19" s="59" t="n">
        <f aca="false">DD16*DD35</f>
        <v>10050000000</v>
      </c>
      <c r="DE19" s="59" t="n">
        <f aca="false">DE16*DE35</f>
        <v>10050000000</v>
      </c>
      <c r="DF19" s="59" t="n">
        <f aca="false">DF16*DF35</f>
        <v>10050000000</v>
      </c>
      <c r="DG19" s="59" t="n">
        <f aca="false">DG16*DG35</f>
        <v>10050000000</v>
      </c>
      <c r="DH19" s="59" t="n">
        <f aca="false">DH16*DH35</f>
        <v>10050000000</v>
      </c>
      <c r="DI19" s="59" t="n">
        <f aca="false">DI16*DI35</f>
        <v>10050000000</v>
      </c>
      <c r="DJ19" s="59" t="n">
        <f aca="false">DJ16*DJ35</f>
        <v>10050000000</v>
      </c>
      <c r="DK19" s="59" t="n">
        <f aca="false">DK16*DK35</f>
        <v>10050000000</v>
      </c>
      <c r="DL19" s="59" t="n">
        <f aca="false">DL16*DL35</f>
        <v>10050000000</v>
      </c>
      <c r="DM19" s="59" t="n">
        <f aca="false">DM16*DM35</f>
        <v>10050000000</v>
      </c>
      <c r="DN19" s="59" t="n">
        <f aca="false">DN16*DN35</f>
        <v>10050000000</v>
      </c>
      <c r="DO19" s="59" t="n">
        <f aca="false">DO16*DO35</f>
        <v>10050000000</v>
      </c>
      <c r="DP19" s="59" t="n">
        <f aca="false">DP16*DP35</f>
        <v>10050000000</v>
      </c>
      <c r="DQ19" s="59" t="n">
        <f aca="false">DQ16*DQ35</f>
        <v>10050000000</v>
      </c>
      <c r="DR19" s="59" t="n">
        <f aca="false">DR16*DR35</f>
        <v>10050000000</v>
      </c>
      <c r="DS19" s="59" t="n">
        <f aca="false">DS16*DS35</f>
        <v>10050000000</v>
      </c>
      <c r="DT19" s="59" t="n">
        <f aca="false">DT16*DT35</f>
        <v>10050000000</v>
      </c>
      <c r="DU19" s="59" t="n">
        <f aca="false">DU16*DU35</f>
        <v>10050000000</v>
      </c>
      <c r="DV19" s="59" t="n">
        <f aca="false">DV16*DV35</f>
        <v>10050000000</v>
      </c>
      <c r="DW19" s="59" t="n">
        <f aca="false">DW16*DW35</f>
        <v>10050000000</v>
      </c>
      <c r="DX19" s="59" t="n">
        <f aca="false">DX16*DX35</f>
        <v>10050000000</v>
      </c>
      <c r="DY19" s="59" t="n">
        <f aca="false">DY16*DY35</f>
        <v>10050000000</v>
      </c>
      <c r="DZ19" s="59" t="n">
        <f aca="false">DZ16*DZ35</f>
        <v>10050000000</v>
      </c>
      <c r="EA19" s="59" t="n">
        <f aca="false">EA16*EA35</f>
        <v>10050000000</v>
      </c>
      <c r="EB19" s="59" t="n">
        <f aca="false">EB16*EB35</f>
        <v>10050000000</v>
      </c>
      <c r="EC19" s="59" t="n">
        <f aca="false">EC16*EC35</f>
        <v>10050000000</v>
      </c>
      <c r="ED19" s="59" t="n">
        <f aca="false">ED16*ED35</f>
        <v>10050000000</v>
      </c>
      <c r="EE19" s="59" t="n">
        <f aca="false">EE16*EE35</f>
        <v>10050000000</v>
      </c>
      <c r="EF19" s="59" t="n">
        <f aca="false">EF16*EF35</f>
        <v>4950000000</v>
      </c>
      <c r="EG19" s="59" t="n">
        <f aca="false">EG16*EG35</f>
        <v>4999500000</v>
      </c>
      <c r="EH19" s="59" t="n">
        <f aca="false">EH16*EH35</f>
        <v>4999500000</v>
      </c>
      <c r="EI19" s="59" t="n">
        <f aca="false">EI16*EI35</f>
        <v>4999500000</v>
      </c>
      <c r="EJ19" s="59" t="n">
        <f aca="false">EJ16*EJ35</f>
        <v>5000000000</v>
      </c>
      <c r="EK19" s="59" t="n">
        <f aca="false">EK16*EK35</f>
        <v>4950000000</v>
      </c>
      <c r="EL19" s="59" t="n">
        <f aca="false">EL16*EL35</f>
        <v>4950000000</v>
      </c>
      <c r="EM19" s="59" t="n">
        <f aca="false">EM16*EM35</f>
        <v>4950000000</v>
      </c>
      <c r="EN19" s="59" t="n">
        <f aca="false">EN16*EN35</f>
        <v>4950000000</v>
      </c>
      <c r="EO19" s="59" t="n">
        <f aca="false">EO16*EO35</f>
        <v>4950000000</v>
      </c>
      <c r="EP19" s="59" t="n">
        <f aca="false">EP16*EP35</f>
        <v>4999500000</v>
      </c>
      <c r="EQ19" s="59" t="n">
        <f aca="false">EQ16*EQ35</f>
        <v>4950000000</v>
      </c>
      <c r="ER19" s="59" t="n">
        <f aca="false">ER16*ER35</f>
        <v>4950000000</v>
      </c>
      <c r="ES19" s="59" t="n">
        <f aca="false">ES16*ES35</f>
        <v>4950000000</v>
      </c>
      <c r="ET19" s="59" t="n">
        <f aca="false">ET16*ET35</f>
        <v>4950000000</v>
      </c>
      <c r="EU19" s="59" t="n">
        <f aca="false">EU16*EU35</f>
        <v>4950000000</v>
      </c>
      <c r="EV19" s="59" t="n">
        <f aca="false">EV16*EV35</f>
        <v>4950000000</v>
      </c>
      <c r="EW19" s="59" t="n">
        <f aca="false">EW16*EW35</f>
        <v>4950000000</v>
      </c>
      <c r="EX19" s="59" t="n">
        <f aca="false">EX16*EX35</f>
        <v>4950000000</v>
      </c>
      <c r="EY19" s="59" t="n">
        <f aca="false">EY16*EY35</f>
        <v>4950000000</v>
      </c>
      <c r="EZ19" s="59" t="n">
        <f aca="false">EZ16*EZ35</f>
        <v>4950000000</v>
      </c>
      <c r="FA19" s="59" t="n">
        <f aca="false">FA16*FA35</f>
        <v>4950000000</v>
      </c>
      <c r="FB19" s="59" t="n">
        <f aca="false">FB16*FB35</f>
        <v>4950000000</v>
      </c>
      <c r="FC19" s="59" t="n">
        <f aca="false">FC16*FC35</f>
        <v>4950000000</v>
      </c>
      <c r="FD19" s="59" t="n">
        <f aca="false">FD16*FD35</f>
        <v>4950000000</v>
      </c>
      <c r="FE19" s="59" t="n">
        <f aca="false">FE16*FE35</f>
        <v>4950000000</v>
      </c>
      <c r="FF19" s="59" t="n">
        <f aca="false">FF16*FF35</f>
        <v>4950000000</v>
      </c>
      <c r="FG19" s="59" t="n">
        <f aca="false">FG16*FG35</f>
        <v>4950000000</v>
      </c>
      <c r="FH19" s="59" t="n">
        <f aca="false">FH16*FH35</f>
        <v>4950000000</v>
      </c>
      <c r="FI19" s="59" t="n">
        <f aca="false">FI16*FI35</f>
        <v>4950000000</v>
      </c>
      <c r="FJ19" s="59" t="n">
        <f aca="false">FJ16*FJ35</f>
        <v>4950000000</v>
      </c>
      <c r="FK19" s="59" t="n">
        <f aca="false">FK16*FK35</f>
        <v>4950000000</v>
      </c>
      <c r="FL19" s="59" t="n">
        <f aca="false">FL16*FL35</f>
        <v>4950000000</v>
      </c>
      <c r="FM19" s="59" t="n">
        <f aca="false">FM16*FM35</f>
        <v>4950000000</v>
      </c>
      <c r="FN19" s="59" t="n">
        <f aca="false">FN16*FN35</f>
        <v>4950000000</v>
      </c>
      <c r="FO19" s="59" t="n">
        <f aca="false">FO16*FO35</f>
        <v>4950000000</v>
      </c>
      <c r="FP19" s="59" t="n">
        <f aca="false">FP16*FP35</f>
        <v>4950000000</v>
      </c>
      <c r="FQ19" s="59" t="n">
        <f aca="false">FQ16*FQ35</f>
        <v>4950000000</v>
      </c>
      <c r="FR19" s="59" t="n">
        <f aca="false">FR16*FR35</f>
        <v>4950000000</v>
      </c>
      <c r="FS19" s="59" t="n">
        <f aca="false">FS16*FS35</f>
        <v>4950000000</v>
      </c>
      <c r="FT19" s="59" t="n">
        <f aca="false">FT16*FT35</f>
        <v>4950000000</v>
      </c>
      <c r="FU19" s="59" t="n">
        <f aca="false">FU16*FU35</f>
        <v>4950000000</v>
      </c>
      <c r="FV19" s="59" t="n">
        <f aca="false">FV16*FV35</f>
        <v>3733333333.33333</v>
      </c>
      <c r="FW19" s="59" t="n">
        <f aca="false">FW16*FW35</f>
        <v>3770666666.66667</v>
      </c>
      <c r="FX19" s="59" t="n">
        <f aca="false">FX16*FX35</f>
        <v>3770666666.66667</v>
      </c>
      <c r="FY19" s="59" t="n">
        <f aca="false">FY16*FY35</f>
        <v>3770666666.66667</v>
      </c>
      <c r="FZ19" s="59" t="n">
        <f aca="false">FZ16*FZ35</f>
        <v>3771043771.04377</v>
      </c>
      <c r="GA19" s="59" t="n">
        <f aca="false">GA16*GA35</f>
        <v>3733333333.33333</v>
      </c>
      <c r="GB19" s="59" t="n">
        <f aca="false">GB16*GB35</f>
        <v>3733333333.33333</v>
      </c>
      <c r="GC19" s="59" t="n">
        <f aca="false">GC16*GC35</f>
        <v>3733333333.33333</v>
      </c>
      <c r="GD19" s="59" t="n">
        <f aca="false">GD16*GD35</f>
        <v>3733333333.33333</v>
      </c>
      <c r="GE19" s="59" t="n">
        <f aca="false">GE16*GE35</f>
        <v>3733333333.33333</v>
      </c>
      <c r="GF19" s="59" t="n">
        <f aca="false">GF16*GF35</f>
        <v>3770666666.66667</v>
      </c>
      <c r="GG19" s="59" t="n">
        <f aca="false">GG16*GG35</f>
        <v>3733333333.33333</v>
      </c>
      <c r="GH19" s="59" t="n">
        <f aca="false">GH16*GH35</f>
        <v>3733333333.33333</v>
      </c>
      <c r="GI19" s="59" t="n">
        <f aca="false">GI16*GI35</f>
        <v>3733333333.33333</v>
      </c>
      <c r="GJ19" s="59" t="n">
        <f aca="false">GJ16*GJ35</f>
        <v>3733333333.33333</v>
      </c>
      <c r="GK19" s="59" t="n">
        <f aca="false">GK16*GK35</f>
        <v>3733333333.33333</v>
      </c>
      <c r="GL19" s="59" t="n">
        <f aca="false">GL16*GL35</f>
        <v>3733333333.33333</v>
      </c>
      <c r="GM19" s="59" t="n">
        <f aca="false">GM16*GM35</f>
        <v>3733333333.33333</v>
      </c>
      <c r="GN19" s="59" t="n">
        <f aca="false">GN16*GN35</f>
        <v>3733333333.33333</v>
      </c>
      <c r="GO19" s="59" t="n">
        <f aca="false">GO16*GO35</f>
        <v>3733333333.33333</v>
      </c>
      <c r="GP19" s="59" t="n">
        <f aca="false">GP16*GP35</f>
        <v>3733333333.33333</v>
      </c>
      <c r="GQ19" s="59" t="n">
        <f aca="false">GQ16*GQ35</f>
        <v>3733333333.33333</v>
      </c>
      <c r="GR19" s="59" t="n">
        <f aca="false">GR16*GR35</f>
        <v>3733333333.33333</v>
      </c>
      <c r="GS19" s="59" t="n">
        <f aca="false">GS16*GS35</f>
        <v>3733333333.33333</v>
      </c>
      <c r="GT19" s="59" t="n">
        <f aca="false">GT16*GT35</f>
        <v>3733333333.33333</v>
      </c>
      <c r="GU19" s="59" t="n">
        <f aca="false">GU16*GU35</f>
        <v>3733333333.33333</v>
      </c>
      <c r="GV19" s="59" t="n">
        <f aca="false">GV16*GV35</f>
        <v>3733333333.33333</v>
      </c>
      <c r="GW19" s="59" t="n">
        <f aca="false">GW16*GW35</f>
        <v>3733333333.33333</v>
      </c>
      <c r="GX19" s="59" t="n">
        <f aca="false">GX16*GX35</f>
        <v>3733333333.33333</v>
      </c>
      <c r="GY19" s="59" t="n">
        <f aca="false">GY16*GY35</f>
        <v>3733333333.33333</v>
      </c>
      <c r="GZ19" s="59" t="n">
        <f aca="false">GZ16*GZ35</f>
        <v>3733333333.33333</v>
      </c>
      <c r="HA19" s="59" t="n">
        <f aca="false">HA16*HA35</f>
        <v>3733333333.33333</v>
      </c>
      <c r="HB19" s="59" t="n">
        <f aca="false">HB16*HB35</f>
        <v>3733333333.33333</v>
      </c>
      <c r="HC19" s="59" t="n">
        <f aca="false">HC16*HC35</f>
        <v>3733333333.33333</v>
      </c>
      <c r="HD19" s="59" t="n">
        <f aca="false">HD16*HD35</f>
        <v>3733333333.33333</v>
      </c>
      <c r="HE19" s="59" t="n">
        <f aca="false">HE16*HE35</f>
        <v>3733333333.33333</v>
      </c>
      <c r="HF19" s="59" t="n">
        <f aca="false">HF16*HF35</f>
        <v>3733333333.33333</v>
      </c>
      <c r="HG19" s="59" t="n">
        <f aca="false">HG16*HG35</f>
        <v>3733333333.33333</v>
      </c>
      <c r="HH19" s="59" t="n">
        <f aca="false">HH16*HH35</f>
        <v>3733333333.33333</v>
      </c>
      <c r="HI19" s="59" t="n">
        <f aca="false">HI16*HI35</f>
        <v>3733333333.33333</v>
      </c>
      <c r="HJ19" s="59" t="n">
        <f aca="false">HJ16*HJ35</f>
        <v>3733333333.33333</v>
      </c>
      <c r="HK19" s="59" t="n">
        <f aca="false">HK16*HK35</f>
        <v>3733333333.33333</v>
      </c>
      <c r="HL19" s="59" t="n">
        <f aca="false">HL16*HL35</f>
        <v>11250000000</v>
      </c>
      <c r="HM19" s="59" t="n">
        <f aca="false">HM16*HM35</f>
        <v>11362500000</v>
      </c>
      <c r="HN19" s="59" t="n">
        <f aca="false">HN16*HN35</f>
        <v>11362500000</v>
      </c>
      <c r="HO19" s="59" t="n">
        <f aca="false">HO16*HO35</f>
        <v>11362500000</v>
      </c>
      <c r="HP19" s="59" t="n">
        <f aca="false">HP16*HP35</f>
        <v>11363636363.6364</v>
      </c>
      <c r="HQ19" s="59" t="n">
        <f aca="false">HQ16*HQ35</f>
        <v>11250000000</v>
      </c>
      <c r="HR19" s="59" t="n">
        <f aca="false">HR16*HR35</f>
        <v>11250000000</v>
      </c>
      <c r="HS19" s="59" t="n">
        <f aca="false">HS16*HS35</f>
        <v>11250000000</v>
      </c>
      <c r="HT19" s="59" t="n">
        <f aca="false">HT16*HT35</f>
        <v>11250000000</v>
      </c>
      <c r="HU19" s="59" t="n">
        <f aca="false">HU16*HU35</f>
        <v>11250000000</v>
      </c>
      <c r="HV19" s="59" t="n">
        <f aca="false">HV16*HV35</f>
        <v>11362500000</v>
      </c>
      <c r="HW19" s="59" t="n">
        <f aca="false">HW16*HW35</f>
        <v>11250000000</v>
      </c>
      <c r="HX19" s="59" t="n">
        <f aca="false">HX16*HX35</f>
        <v>11250000000</v>
      </c>
      <c r="HY19" s="59" t="n">
        <f aca="false">HY16*HY35</f>
        <v>11250000000</v>
      </c>
      <c r="HZ19" s="59" t="n">
        <f aca="false">HZ16*HZ35</f>
        <v>11250000000</v>
      </c>
      <c r="IA19" s="59" t="n">
        <f aca="false">IA16*IA35</f>
        <v>11250000000</v>
      </c>
      <c r="IB19" s="59" t="n">
        <f aca="false">IB16*IB35</f>
        <v>11250000000</v>
      </c>
      <c r="IC19" s="59" t="n">
        <f aca="false">IC16*IC35</f>
        <v>11250000000</v>
      </c>
      <c r="ID19" s="59" t="n">
        <f aca="false">ID16*ID35</f>
        <v>11250000000</v>
      </c>
      <c r="IE19" s="59" t="n">
        <f aca="false">IE16*IE35</f>
        <v>11250000000</v>
      </c>
      <c r="IF19" s="59" t="n">
        <f aca="false">IF16*IF35</f>
        <v>11250000000</v>
      </c>
      <c r="IG19" s="59" t="n">
        <f aca="false">IG16*IG35</f>
        <v>11250000000</v>
      </c>
      <c r="IH19" s="59" t="n">
        <f aca="false">IH16*IH35</f>
        <v>11250000000</v>
      </c>
      <c r="II19" s="59" t="n">
        <f aca="false">II16*II35</f>
        <v>11250000000</v>
      </c>
      <c r="IJ19" s="59" t="n">
        <f aca="false">IJ16*IJ35</f>
        <v>11250000000</v>
      </c>
      <c r="IK19" s="59" t="n">
        <f aca="false">IK16*IK35</f>
        <v>11250000000</v>
      </c>
      <c r="IL19" s="59" t="n">
        <f aca="false">IL16*IL35</f>
        <v>11250000000</v>
      </c>
      <c r="IM19" s="59" t="n">
        <f aca="false">IM16*IM35</f>
        <v>11250000000</v>
      </c>
      <c r="IN19" s="59" t="n">
        <f aca="false">IN16*IN35</f>
        <v>11250000000</v>
      </c>
      <c r="IO19" s="59" t="n">
        <f aca="false">IO16*IO35</f>
        <v>11250000000</v>
      </c>
      <c r="IP19" s="59" t="n">
        <f aca="false">IP16*IP35</f>
        <v>11250000000</v>
      </c>
      <c r="IQ19" s="59" t="n">
        <f aca="false">IQ16*IQ35</f>
        <v>11250000000</v>
      </c>
      <c r="IR19" s="59" t="n">
        <f aca="false">IR16*IR35</f>
        <v>11250000000</v>
      </c>
      <c r="IS19" s="59" t="n">
        <f aca="false">IS16*IS35</f>
        <v>11250000000</v>
      </c>
      <c r="IT19" s="59" t="n">
        <f aca="false">IT16*IT35</f>
        <v>11250000000</v>
      </c>
      <c r="IU19" s="59" t="n">
        <f aca="false">IU16*IU35</f>
        <v>11250000000</v>
      </c>
      <c r="IV19" s="59" t="n">
        <f aca="false">IV16*IV35</f>
        <v>11250000000</v>
      </c>
      <c r="IW19" s="59" t="n">
        <f aca="false">IW16*IW35</f>
        <v>11250000000</v>
      </c>
      <c r="IX19" s="59" t="n">
        <f aca="false">IX16*IX35</f>
        <v>11250000000</v>
      </c>
      <c r="IY19" s="59" t="n">
        <f aca="false">IY16*IY35</f>
        <v>11250000000</v>
      </c>
      <c r="IZ19" s="59" t="n">
        <f aca="false">IZ16*IZ35</f>
        <v>11250000000</v>
      </c>
      <c r="JA19" s="59" t="n">
        <f aca="false">JA16*JA35</f>
        <v>11250000000</v>
      </c>
    </row>
    <row r="20" customFormat="false" ht="15" hidden="false" customHeight="false" outlineLevel="0" collapsed="false">
      <c r="A20" s="4" t="s">
        <v>724</v>
      </c>
      <c r="B20" s="5"/>
      <c r="C20" s="5"/>
      <c r="D20" s="5"/>
      <c r="E20" s="5"/>
      <c r="F20" s="5"/>
      <c r="G20" s="5"/>
      <c r="H20" s="5"/>
    </row>
    <row r="21" customFormat="false" ht="15" hidden="false" customHeight="false" outlineLevel="0" collapsed="false">
      <c r="A21" s="13" t="s">
        <v>186</v>
      </c>
      <c r="B21" s="13" t="s">
        <v>187</v>
      </c>
      <c r="C21" s="13" t="s">
        <v>188</v>
      </c>
      <c r="D21" s="9" t="s">
        <v>36</v>
      </c>
      <c r="E21" s="19" t="n">
        <f aca="false">INDEX(Вводные!$D$13:$F$64,MATCH($A21,Вводные!$A$13:$A$64,0),MATCH(E$3,Вводные!$D$11:$F$11,0))*(1+IF(E$4=$A21,Вводные!$D$5*INDEX(Вводные!$G$13:$G$64,MATCH($A21,Вводные!$A$13:$A$64,0)),0))</f>
        <v>6</v>
      </c>
      <c r="F21" s="19" t="n">
        <f aca="false">INDEX(Вводные!$D$13:$F$64,MATCH($A21,Вводные!$A$13:$A$64,0),MATCH(F$3,Вводные!$D$11:$F$11,0))*(1+IF(F$4=$A21,Вводные!$D$5*INDEX(Вводные!$G$13:$G$64,MATCH($A21,Вводные!$A$13:$A$64,0)),0))</f>
        <v>3.5</v>
      </c>
      <c r="G21" s="19" t="n">
        <f aca="false">INDEX(Вводные!$D$13:$F$64,MATCH($A21,Вводные!$A$13:$A$64,0),MATCH(G$3,Вводные!$D$11:$F$11,0))*(1+IF(G$4=$A21,Вводные!$D$5*INDEX(Вводные!$G$13:$G$64,MATCH($A21,Вводные!$A$13:$A$64,0)),0))</f>
        <v>130</v>
      </c>
      <c r="H21" s="61"/>
      <c r="J21" s="19" t="n">
        <f aca="false">INDEX(Вводные!$D$13:$F$64,MATCH($A21,Вводные!$A$13:$A$64,0),MATCH(J$3,Вводные!$D$11:$F$11,0))*(1+IF(J$4=$A21,Вводные!$D$5*INDEX(Вводные!$G$13:$G$64,MATCH($A21,Вводные!$A$13:$A$64,0)),0))</f>
        <v>6</v>
      </c>
      <c r="K21" s="19" t="n">
        <f aca="false">INDEX(Вводные!$D$13:$F$64,MATCH($A21,Вводные!$A$13:$A$64,0),MATCH(K$3,Вводные!$D$11:$F$11,0))*(1+IF(K$4=$A21,Вводные!$D$5*INDEX(Вводные!$G$13:$G$64,MATCH($A21,Вводные!$A$13:$A$64,0)),0))</f>
        <v>6</v>
      </c>
      <c r="L21" s="19" t="n">
        <f aca="false">INDEX(Вводные!$D$13:$F$64,MATCH($A21,Вводные!$A$13:$A$64,0),MATCH(L$3,Вводные!$D$11:$F$11,0))*(1+IF(L$4=$A21,Вводные!$D$5*INDEX(Вводные!$G$13:$G$64,MATCH($A21,Вводные!$A$13:$A$64,0)),0))</f>
        <v>6</v>
      </c>
      <c r="M21" s="19" t="n">
        <f aca="false">INDEX(Вводные!$D$13:$F$64,MATCH($A21,Вводные!$A$13:$A$64,0),MATCH(M$3,Вводные!$D$11:$F$11,0))*(1+IF(M$4=$A21,Вводные!$D$5*INDEX(Вводные!$G$13:$G$64,MATCH($A21,Вводные!$A$13:$A$64,0)),0))</f>
        <v>6</v>
      </c>
      <c r="N21" s="19" t="n">
        <f aca="false">INDEX(Вводные!$D$13:$F$64,MATCH($A21,Вводные!$A$13:$A$64,0),MATCH(N$3,Вводные!$D$11:$F$11,0))*(1+IF(N$4=$A21,Вводные!$D$5*INDEX(Вводные!$G$13:$G$64,MATCH($A21,Вводные!$A$13:$A$64,0)),0))</f>
        <v>6</v>
      </c>
      <c r="O21" s="19" t="n">
        <f aca="false">INDEX(Вводные!$D$13:$F$64,MATCH($A21,Вводные!$A$13:$A$64,0),MATCH(O$3,Вводные!$D$11:$F$11,0))*(1+IF(O$4=$A21,Вводные!$D$5*INDEX(Вводные!$G$13:$G$64,MATCH($A21,Вводные!$A$13:$A$64,0)),0))</f>
        <v>6</v>
      </c>
      <c r="P21" s="19" t="n">
        <f aca="false">INDEX(Вводные!$D$13:$F$64,MATCH($A21,Вводные!$A$13:$A$64,0),MATCH(P$3,Вводные!$D$11:$F$11,0))*(1+IF(P$4=$A21,Вводные!$D$5*INDEX(Вводные!$G$13:$G$64,MATCH($A21,Вводные!$A$13:$A$64,0)),0))</f>
        <v>6.06</v>
      </c>
      <c r="Q21" s="19" t="n">
        <f aca="false">INDEX(Вводные!$D$13:$F$64,MATCH($A21,Вводные!$A$13:$A$64,0),MATCH(Q$3,Вводные!$D$11:$F$11,0))*(1+IF(Q$4=$A21,Вводные!$D$5*INDEX(Вводные!$G$13:$G$64,MATCH($A21,Вводные!$A$13:$A$64,0)),0))</f>
        <v>6</v>
      </c>
      <c r="R21" s="19" t="n">
        <f aca="false">INDEX(Вводные!$D$13:$F$64,MATCH($A21,Вводные!$A$13:$A$64,0),MATCH(R$3,Вводные!$D$11:$F$11,0))*(1+IF(R$4=$A21,Вводные!$D$5*INDEX(Вводные!$G$13:$G$64,MATCH($A21,Вводные!$A$13:$A$64,0)),0))</f>
        <v>6</v>
      </c>
      <c r="S21" s="19" t="n">
        <f aca="false">INDEX(Вводные!$D$13:$F$64,MATCH($A21,Вводные!$A$13:$A$64,0),MATCH(S$3,Вводные!$D$11:$F$11,0))*(1+IF(S$4=$A21,Вводные!$D$5*INDEX(Вводные!$G$13:$G$64,MATCH($A21,Вводные!$A$13:$A$64,0)),0))</f>
        <v>6</v>
      </c>
      <c r="T21" s="19" t="n">
        <f aca="false">INDEX(Вводные!$D$13:$F$64,MATCH($A21,Вводные!$A$13:$A$64,0),MATCH(T$3,Вводные!$D$11:$F$11,0))*(1+IF(T$4=$A21,Вводные!$D$5*INDEX(Вводные!$G$13:$G$64,MATCH($A21,Вводные!$A$13:$A$64,0)),0))</f>
        <v>6</v>
      </c>
      <c r="U21" s="19" t="n">
        <f aca="false">INDEX(Вводные!$D$13:$F$64,MATCH($A21,Вводные!$A$13:$A$64,0),MATCH(U$3,Вводные!$D$11:$F$11,0))*(1+IF(U$4=$A21,Вводные!$D$5*INDEX(Вводные!$G$13:$G$64,MATCH($A21,Вводные!$A$13:$A$64,0)),0))</f>
        <v>6</v>
      </c>
      <c r="V21" s="19" t="n">
        <f aca="false">INDEX(Вводные!$D$13:$F$64,MATCH($A21,Вводные!$A$13:$A$64,0),MATCH(V$3,Вводные!$D$11:$F$11,0))*(1+IF(V$4=$A21,Вводные!$D$5*INDEX(Вводные!$G$13:$G$64,MATCH($A21,Вводные!$A$13:$A$64,0)),0))</f>
        <v>6</v>
      </c>
      <c r="W21" s="19" t="n">
        <f aca="false">INDEX(Вводные!$D$13:$F$64,MATCH($A21,Вводные!$A$13:$A$64,0),MATCH(W$3,Вводные!$D$11:$F$11,0))*(1+IF(W$4=$A21,Вводные!$D$5*INDEX(Вводные!$G$13:$G$64,MATCH($A21,Вводные!$A$13:$A$64,0)),0))</f>
        <v>6</v>
      </c>
      <c r="X21" s="19" t="n">
        <f aca="false">INDEX(Вводные!$D$13:$F$64,MATCH($A21,Вводные!$A$13:$A$64,0),MATCH(X$3,Вводные!$D$11:$F$11,0))*(1+IF(X$4=$A21,Вводные!$D$5*INDEX(Вводные!$G$13:$G$64,MATCH($A21,Вводные!$A$13:$A$64,0)),0))</f>
        <v>6</v>
      </c>
      <c r="Y21" s="19" t="n">
        <f aca="false">INDEX(Вводные!$D$13:$F$64,MATCH($A21,Вводные!$A$13:$A$64,0),MATCH(Y$3,Вводные!$D$11:$F$11,0))*(1+IF(Y$4=$A21,Вводные!$D$5*INDEX(Вводные!$G$13:$G$64,MATCH($A21,Вводные!$A$13:$A$64,0)),0))</f>
        <v>6</v>
      </c>
      <c r="Z21" s="19" t="n">
        <f aca="false">INDEX(Вводные!$D$13:$F$64,MATCH($A21,Вводные!$A$13:$A$64,0),MATCH(Z$3,Вводные!$D$11:$F$11,0))*(1+IF(Z$4=$A21,Вводные!$D$5*INDEX(Вводные!$G$13:$G$64,MATCH($A21,Вводные!$A$13:$A$64,0)),0))</f>
        <v>6</v>
      </c>
      <c r="AA21" s="19" t="n">
        <f aca="false">INDEX(Вводные!$D$13:$F$64,MATCH($A21,Вводные!$A$13:$A$64,0),MATCH(AA$3,Вводные!$D$11:$F$11,0))*(1+IF(AA$4=$A21,Вводные!$D$5*INDEX(Вводные!$G$13:$G$64,MATCH($A21,Вводные!$A$13:$A$64,0)),0))</f>
        <v>6</v>
      </c>
      <c r="AB21" s="19" t="n">
        <f aca="false">INDEX(Вводные!$D$13:$F$64,MATCH($A21,Вводные!$A$13:$A$64,0),MATCH(AB$3,Вводные!$D$11:$F$11,0))*(1+IF(AB$4=$A21,Вводные!$D$5*INDEX(Вводные!$G$13:$G$64,MATCH($A21,Вводные!$A$13:$A$64,0)),0))</f>
        <v>6</v>
      </c>
      <c r="AC21" s="19" t="n">
        <f aca="false">INDEX(Вводные!$D$13:$F$64,MATCH($A21,Вводные!$A$13:$A$64,0),MATCH(AC$3,Вводные!$D$11:$F$11,0))*(1+IF(AC$4=$A21,Вводные!$D$5*INDEX(Вводные!$G$13:$G$64,MATCH($A21,Вводные!$A$13:$A$64,0)),0))</f>
        <v>6</v>
      </c>
      <c r="AD21" s="19" t="n">
        <f aca="false">INDEX(Вводные!$D$13:$F$64,MATCH($A21,Вводные!$A$13:$A$64,0),MATCH(AD$3,Вводные!$D$11:$F$11,0))*(1+IF(AD$4=$A21,Вводные!$D$5*INDEX(Вводные!$G$13:$G$64,MATCH($A21,Вводные!$A$13:$A$64,0)),0))</f>
        <v>6</v>
      </c>
      <c r="AE21" s="19" t="n">
        <f aca="false">INDEX(Вводные!$D$13:$F$64,MATCH($A21,Вводные!$A$13:$A$64,0),MATCH(AE$3,Вводные!$D$11:$F$11,0))*(1+IF(AE$4=$A21,Вводные!$D$5*INDEX(Вводные!$G$13:$G$64,MATCH($A21,Вводные!$A$13:$A$64,0)),0))</f>
        <v>6</v>
      </c>
      <c r="AF21" s="19" t="n">
        <f aca="false">INDEX(Вводные!$D$13:$F$64,MATCH($A21,Вводные!$A$13:$A$64,0),MATCH(AF$3,Вводные!$D$11:$F$11,0))*(1+IF(AF$4=$A21,Вводные!$D$5*INDEX(Вводные!$G$13:$G$64,MATCH($A21,Вводные!$A$13:$A$64,0)),0))</f>
        <v>6</v>
      </c>
      <c r="AG21" s="19" t="n">
        <f aca="false">INDEX(Вводные!$D$13:$F$64,MATCH($A21,Вводные!$A$13:$A$64,0),MATCH(AG$3,Вводные!$D$11:$F$11,0))*(1+IF(AG$4=$A21,Вводные!$D$5*INDEX(Вводные!$G$13:$G$64,MATCH($A21,Вводные!$A$13:$A$64,0)),0))</f>
        <v>6</v>
      </c>
      <c r="AH21" s="19" t="n">
        <f aca="false">INDEX(Вводные!$D$13:$F$64,MATCH($A21,Вводные!$A$13:$A$64,0),MATCH(AH$3,Вводные!$D$11:$F$11,0))*(1+IF(AH$4=$A21,Вводные!$D$5*INDEX(Вводные!$G$13:$G$64,MATCH($A21,Вводные!$A$13:$A$64,0)),0))</f>
        <v>6</v>
      </c>
      <c r="AI21" s="19" t="n">
        <f aca="false">INDEX(Вводные!$D$13:$F$64,MATCH($A21,Вводные!$A$13:$A$64,0),MATCH(AI$3,Вводные!$D$11:$F$11,0))*(1+IF(AI$4=$A21,Вводные!$D$5*INDEX(Вводные!$G$13:$G$64,MATCH($A21,Вводные!$A$13:$A$64,0)),0))</f>
        <v>6</v>
      </c>
      <c r="AJ21" s="19" t="n">
        <f aca="false">INDEX(Вводные!$D$13:$F$64,MATCH($A21,Вводные!$A$13:$A$64,0),MATCH(AJ$3,Вводные!$D$11:$F$11,0))*(1+IF(AJ$4=$A21,Вводные!$D$5*INDEX(Вводные!$G$13:$G$64,MATCH($A21,Вводные!$A$13:$A$64,0)),0))</f>
        <v>6</v>
      </c>
      <c r="AK21" s="19" t="n">
        <f aca="false">INDEX(Вводные!$D$13:$F$64,MATCH($A21,Вводные!$A$13:$A$64,0),MATCH(AK$3,Вводные!$D$11:$F$11,0))*(1+IF(AK$4=$A21,Вводные!$D$5*INDEX(Вводные!$G$13:$G$64,MATCH($A21,Вводные!$A$13:$A$64,0)),0))</f>
        <v>6</v>
      </c>
      <c r="AL21" s="19" t="n">
        <f aca="false">INDEX(Вводные!$D$13:$F$64,MATCH($A21,Вводные!$A$13:$A$64,0),MATCH(AL$3,Вводные!$D$11:$F$11,0))*(1+IF(AL$4=$A21,Вводные!$D$5*INDEX(Вводные!$G$13:$G$64,MATCH($A21,Вводные!$A$13:$A$64,0)),0))</f>
        <v>6</v>
      </c>
      <c r="AM21" s="19" t="n">
        <f aca="false">INDEX(Вводные!$D$13:$F$64,MATCH($A21,Вводные!$A$13:$A$64,0),MATCH(AM$3,Вводные!$D$11:$F$11,0))*(1+IF(AM$4=$A21,Вводные!$D$5*INDEX(Вводные!$G$13:$G$64,MATCH($A21,Вводные!$A$13:$A$64,0)),0))</f>
        <v>6</v>
      </c>
      <c r="AN21" s="19" t="n">
        <f aca="false">INDEX(Вводные!$D$13:$F$64,MATCH($A21,Вводные!$A$13:$A$64,0),MATCH(AN$3,Вводные!$D$11:$F$11,0))*(1+IF(AN$4=$A21,Вводные!$D$5*INDEX(Вводные!$G$13:$G$64,MATCH($A21,Вводные!$A$13:$A$64,0)),0))</f>
        <v>6</v>
      </c>
      <c r="AO21" s="19" t="n">
        <f aca="false">INDEX(Вводные!$D$13:$F$64,MATCH($A21,Вводные!$A$13:$A$64,0),MATCH(AO$3,Вводные!$D$11:$F$11,0))*(1+IF(AO$4=$A21,Вводные!$D$5*INDEX(Вводные!$G$13:$G$64,MATCH($A21,Вводные!$A$13:$A$64,0)),0))</f>
        <v>6</v>
      </c>
      <c r="AP21" s="19" t="n">
        <f aca="false">INDEX(Вводные!$D$13:$F$64,MATCH($A21,Вводные!$A$13:$A$64,0),MATCH(AP$3,Вводные!$D$11:$F$11,0))*(1+IF(AP$4=$A21,Вводные!$D$5*INDEX(Вводные!$G$13:$G$64,MATCH($A21,Вводные!$A$13:$A$64,0)),0))</f>
        <v>6</v>
      </c>
      <c r="AQ21" s="19" t="n">
        <f aca="false">INDEX(Вводные!$D$13:$F$64,MATCH($A21,Вводные!$A$13:$A$64,0),MATCH(AQ$3,Вводные!$D$11:$F$11,0))*(1+IF(AQ$4=$A21,Вводные!$D$5*INDEX(Вводные!$G$13:$G$64,MATCH($A21,Вводные!$A$13:$A$64,0)),0))</f>
        <v>6</v>
      </c>
      <c r="AR21" s="19" t="n">
        <f aca="false">INDEX(Вводные!$D$13:$F$64,MATCH($A21,Вводные!$A$13:$A$64,0),MATCH(AR$3,Вводные!$D$11:$F$11,0))*(1+IF(AR$4=$A21,Вводные!$D$5*INDEX(Вводные!$G$13:$G$64,MATCH($A21,Вводные!$A$13:$A$64,0)),0))</f>
        <v>6</v>
      </c>
      <c r="AS21" s="19" t="n">
        <f aca="false">INDEX(Вводные!$D$13:$F$64,MATCH($A21,Вводные!$A$13:$A$64,0),MATCH(AS$3,Вводные!$D$11:$F$11,0))*(1+IF(AS$4=$A21,Вводные!$D$5*INDEX(Вводные!$G$13:$G$64,MATCH($A21,Вводные!$A$13:$A$64,0)),0))</f>
        <v>6</v>
      </c>
      <c r="AT21" s="19" t="n">
        <f aca="false">INDEX(Вводные!$D$13:$F$64,MATCH($A21,Вводные!$A$13:$A$64,0),MATCH(AT$3,Вводные!$D$11:$F$11,0))*(1+IF(AT$4=$A21,Вводные!$D$5*INDEX(Вводные!$G$13:$G$64,MATCH($A21,Вводные!$A$13:$A$64,0)),0))</f>
        <v>6</v>
      </c>
      <c r="AU21" s="19" t="n">
        <f aca="false">INDEX(Вводные!$D$13:$F$64,MATCH($A21,Вводные!$A$13:$A$64,0),MATCH(AU$3,Вводные!$D$11:$F$11,0))*(1+IF(AU$4=$A21,Вводные!$D$5*INDEX(Вводные!$G$13:$G$64,MATCH($A21,Вводные!$A$13:$A$64,0)),0))</f>
        <v>6</v>
      </c>
      <c r="AV21" s="19" t="n">
        <f aca="false">INDEX(Вводные!$D$13:$F$64,MATCH($A21,Вводные!$A$13:$A$64,0),MATCH(AV$3,Вводные!$D$11:$F$11,0))*(1+IF(AV$4=$A21,Вводные!$D$5*INDEX(Вводные!$G$13:$G$64,MATCH($A21,Вводные!$A$13:$A$64,0)),0))</f>
        <v>6</v>
      </c>
      <c r="AW21" s="19" t="n">
        <f aca="false">INDEX(Вводные!$D$13:$F$64,MATCH($A21,Вводные!$A$13:$A$64,0),MATCH(AW$3,Вводные!$D$11:$F$11,0))*(1+IF(AW$4=$A21,Вводные!$D$5*INDEX(Вводные!$G$13:$G$64,MATCH($A21,Вводные!$A$13:$A$64,0)),0))</f>
        <v>6</v>
      </c>
      <c r="AX21" s="19" t="n">
        <f aca="false">INDEX(Вводные!$D$13:$F$64,MATCH($A21,Вводные!$A$13:$A$64,0),MATCH(AX$3,Вводные!$D$11:$F$11,0))*(1+IF(AX$4=$A21,Вводные!$D$5*INDEX(Вводные!$G$13:$G$64,MATCH($A21,Вводные!$A$13:$A$64,0)),0))</f>
        <v>6</v>
      </c>
      <c r="AY21" s="19" t="n">
        <f aca="false">INDEX(Вводные!$D$13:$F$64,MATCH($A21,Вводные!$A$13:$A$64,0),MATCH(AY$3,Вводные!$D$11:$F$11,0))*(1+IF(AY$4=$A21,Вводные!$D$5*INDEX(Вводные!$G$13:$G$64,MATCH($A21,Вводные!$A$13:$A$64,0)),0))</f>
        <v>6</v>
      </c>
      <c r="AZ21" s="19" t="n">
        <f aca="false">INDEX(Вводные!$D$13:$F$64,MATCH($A21,Вводные!$A$13:$A$64,0),MATCH(AZ$3,Вводные!$D$11:$F$11,0))*(1+IF(AZ$4=$A21,Вводные!$D$5*INDEX(Вводные!$G$13:$G$64,MATCH($A21,Вводные!$A$13:$A$64,0)),0))</f>
        <v>3.5</v>
      </c>
      <c r="BA21" s="19" t="n">
        <f aca="false">INDEX(Вводные!$D$13:$F$64,MATCH($A21,Вводные!$A$13:$A$64,0),MATCH(BA$3,Вводные!$D$11:$F$11,0))*(1+IF(BA$4=$A21,Вводные!$D$5*INDEX(Вводные!$G$13:$G$64,MATCH($A21,Вводные!$A$13:$A$64,0)),0))</f>
        <v>3.5</v>
      </c>
      <c r="BB21" s="19" t="n">
        <f aca="false">INDEX(Вводные!$D$13:$F$64,MATCH($A21,Вводные!$A$13:$A$64,0),MATCH(BB$3,Вводные!$D$11:$F$11,0))*(1+IF(BB$4=$A21,Вводные!$D$5*INDEX(Вводные!$G$13:$G$64,MATCH($A21,Вводные!$A$13:$A$64,0)),0))</f>
        <v>3.5</v>
      </c>
      <c r="BC21" s="19" t="n">
        <f aca="false">INDEX(Вводные!$D$13:$F$64,MATCH($A21,Вводные!$A$13:$A$64,0),MATCH(BC$3,Вводные!$D$11:$F$11,0))*(1+IF(BC$4=$A21,Вводные!$D$5*INDEX(Вводные!$G$13:$G$64,MATCH($A21,Вводные!$A$13:$A$64,0)),0))</f>
        <v>3.5</v>
      </c>
      <c r="BD21" s="19" t="n">
        <f aca="false">INDEX(Вводные!$D$13:$F$64,MATCH($A21,Вводные!$A$13:$A$64,0),MATCH(BD$3,Вводные!$D$11:$F$11,0))*(1+IF(BD$4=$A21,Вводные!$D$5*INDEX(Вводные!$G$13:$G$64,MATCH($A21,Вводные!$A$13:$A$64,0)),0))</f>
        <v>3.5</v>
      </c>
      <c r="BE21" s="19" t="n">
        <f aca="false">INDEX(Вводные!$D$13:$F$64,MATCH($A21,Вводные!$A$13:$A$64,0),MATCH(BE$3,Вводные!$D$11:$F$11,0))*(1+IF(BE$4=$A21,Вводные!$D$5*INDEX(Вводные!$G$13:$G$64,MATCH($A21,Вводные!$A$13:$A$64,0)),0))</f>
        <v>3.5</v>
      </c>
      <c r="BF21" s="19" t="n">
        <f aca="false">INDEX(Вводные!$D$13:$F$64,MATCH($A21,Вводные!$A$13:$A$64,0),MATCH(BF$3,Вводные!$D$11:$F$11,0))*(1+IF(BF$4=$A21,Вводные!$D$5*INDEX(Вводные!$G$13:$G$64,MATCH($A21,Вводные!$A$13:$A$64,0)),0))</f>
        <v>3.535</v>
      </c>
      <c r="BG21" s="19" t="n">
        <f aca="false">INDEX(Вводные!$D$13:$F$64,MATCH($A21,Вводные!$A$13:$A$64,0),MATCH(BG$3,Вводные!$D$11:$F$11,0))*(1+IF(BG$4=$A21,Вводные!$D$5*INDEX(Вводные!$G$13:$G$64,MATCH($A21,Вводные!$A$13:$A$64,0)),0))</f>
        <v>3.5</v>
      </c>
      <c r="BH21" s="19" t="n">
        <f aca="false">INDEX(Вводные!$D$13:$F$64,MATCH($A21,Вводные!$A$13:$A$64,0),MATCH(BH$3,Вводные!$D$11:$F$11,0))*(1+IF(BH$4=$A21,Вводные!$D$5*INDEX(Вводные!$G$13:$G$64,MATCH($A21,Вводные!$A$13:$A$64,0)),0))</f>
        <v>3.5</v>
      </c>
      <c r="BI21" s="19" t="n">
        <f aca="false">INDEX(Вводные!$D$13:$F$64,MATCH($A21,Вводные!$A$13:$A$64,0),MATCH(BI$3,Вводные!$D$11:$F$11,0))*(1+IF(BI$4=$A21,Вводные!$D$5*INDEX(Вводные!$G$13:$G$64,MATCH($A21,Вводные!$A$13:$A$64,0)),0))</f>
        <v>3.5</v>
      </c>
      <c r="BJ21" s="19" t="n">
        <f aca="false">INDEX(Вводные!$D$13:$F$64,MATCH($A21,Вводные!$A$13:$A$64,0),MATCH(BJ$3,Вводные!$D$11:$F$11,0))*(1+IF(BJ$4=$A21,Вводные!$D$5*INDEX(Вводные!$G$13:$G$64,MATCH($A21,Вводные!$A$13:$A$64,0)),0))</f>
        <v>3.5</v>
      </c>
      <c r="BK21" s="19" t="n">
        <f aca="false">INDEX(Вводные!$D$13:$F$64,MATCH($A21,Вводные!$A$13:$A$64,0),MATCH(BK$3,Вводные!$D$11:$F$11,0))*(1+IF(BK$4=$A21,Вводные!$D$5*INDEX(Вводные!$G$13:$G$64,MATCH($A21,Вводные!$A$13:$A$64,0)),0))</f>
        <v>3.5</v>
      </c>
      <c r="BL21" s="19" t="n">
        <f aca="false">INDEX(Вводные!$D$13:$F$64,MATCH($A21,Вводные!$A$13:$A$64,0),MATCH(BL$3,Вводные!$D$11:$F$11,0))*(1+IF(BL$4=$A21,Вводные!$D$5*INDEX(Вводные!$G$13:$G$64,MATCH($A21,Вводные!$A$13:$A$64,0)),0))</f>
        <v>3.5</v>
      </c>
      <c r="BM21" s="19" t="n">
        <f aca="false">INDEX(Вводные!$D$13:$F$64,MATCH($A21,Вводные!$A$13:$A$64,0),MATCH(BM$3,Вводные!$D$11:$F$11,0))*(1+IF(BM$4=$A21,Вводные!$D$5*INDEX(Вводные!$G$13:$G$64,MATCH($A21,Вводные!$A$13:$A$64,0)),0))</f>
        <v>3.5</v>
      </c>
      <c r="BN21" s="19" t="n">
        <f aca="false">INDEX(Вводные!$D$13:$F$64,MATCH($A21,Вводные!$A$13:$A$64,0),MATCH(BN$3,Вводные!$D$11:$F$11,0))*(1+IF(BN$4=$A21,Вводные!$D$5*INDEX(Вводные!$G$13:$G$64,MATCH($A21,Вводные!$A$13:$A$64,0)),0))</f>
        <v>3.5</v>
      </c>
      <c r="BO21" s="19" t="n">
        <f aca="false">INDEX(Вводные!$D$13:$F$64,MATCH($A21,Вводные!$A$13:$A$64,0),MATCH(BO$3,Вводные!$D$11:$F$11,0))*(1+IF(BO$4=$A21,Вводные!$D$5*INDEX(Вводные!$G$13:$G$64,MATCH($A21,Вводные!$A$13:$A$64,0)),0))</f>
        <v>3.5</v>
      </c>
      <c r="BP21" s="19" t="n">
        <f aca="false">INDEX(Вводные!$D$13:$F$64,MATCH($A21,Вводные!$A$13:$A$64,0),MATCH(BP$3,Вводные!$D$11:$F$11,0))*(1+IF(BP$4=$A21,Вводные!$D$5*INDEX(Вводные!$G$13:$G$64,MATCH($A21,Вводные!$A$13:$A$64,0)),0))</f>
        <v>3.5</v>
      </c>
      <c r="BQ21" s="19" t="n">
        <f aca="false">INDEX(Вводные!$D$13:$F$64,MATCH($A21,Вводные!$A$13:$A$64,0),MATCH(BQ$3,Вводные!$D$11:$F$11,0))*(1+IF(BQ$4=$A21,Вводные!$D$5*INDEX(Вводные!$G$13:$G$64,MATCH($A21,Вводные!$A$13:$A$64,0)),0))</f>
        <v>3.5</v>
      </c>
      <c r="BR21" s="19" t="n">
        <f aca="false">INDEX(Вводные!$D$13:$F$64,MATCH($A21,Вводные!$A$13:$A$64,0),MATCH(BR$3,Вводные!$D$11:$F$11,0))*(1+IF(BR$4=$A21,Вводные!$D$5*INDEX(Вводные!$G$13:$G$64,MATCH($A21,Вводные!$A$13:$A$64,0)),0))</f>
        <v>3.5</v>
      </c>
      <c r="BS21" s="19" t="n">
        <f aca="false">INDEX(Вводные!$D$13:$F$64,MATCH($A21,Вводные!$A$13:$A$64,0),MATCH(BS$3,Вводные!$D$11:$F$11,0))*(1+IF(BS$4=$A21,Вводные!$D$5*INDEX(Вводные!$G$13:$G$64,MATCH($A21,Вводные!$A$13:$A$64,0)),0))</f>
        <v>3.5</v>
      </c>
      <c r="BT21" s="19" t="n">
        <f aca="false">INDEX(Вводные!$D$13:$F$64,MATCH($A21,Вводные!$A$13:$A$64,0),MATCH(BT$3,Вводные!$D$11:$F$11,0))*(1+IF(BT$4=$A21,Вводные!$D$5*INDEX(Вводные!$G$13:$G$64,MATCH($A21,Вводные!$A$13:$A$64,0)),0))</f>
        <v>3.5</v>
      </c>
      <c r="BU21" s="19" t="n">
        <f aca="false">INDEX(Вводные!$D$13:$F$64,MATCH($A21,Вводные!$A$13:$A$64,0),MATCH(BU$3,Вводные!$D$11:$F$11,0))*(1+IF(BU$4=$A21,Вводные!$D$5*INDEX(Вводные!$G$13:$G$64,MATCH($A21,Вводные!$A$13:$A$64,0)),0))</f>
        <v>3.5</v>
      </c>
      <c r="BV21" s="19" t="n">
        <f aca="false">INDEX(Вводные!$D$13:$F$64,MATCH($A21,Вводные!$A$13:$A$64,0),MATCH(BV$3,Вводные!$D$11:$F$11,0))*(1+IF(BV$4=$A21,Вводные!$D$5*INDEX(Вводные!$G$13:$G$64,MATCH($A21,Вводные!$A$13:$A$64,0)),0))</f>
        <v>3.5</v>
      </c>
      <c r="BW21" s="19" t="n">
        <f aca="false">INDEX(Вводные!$D$13:$F$64,MATCH($A21,Вводные!$A$13:$A$64,0),MATCH(BW$3,Вводные!$D$11:$F$11,0))*(1+IF(BW$4=$A21,Вводные!$D$5*INDEX(Вводные!$G$13:$G$64,MATCH($A21,Вводные!$A$13:$A$64,0)),0))</f>
        <v>3.5</v>
      </c>
      <c r="BX21" s="19" t="n">
        <f aca="false">INDEX(Вводные!$D$13:$F$64,MATCH($A21,Вводные!$A$13:$A$64,0),MATCH(BX$3,Вводные!$D$11:$F$11,0))*(1+IF(BX$4=$A21,Вводные!$D$5*INDEX(Вводные!$G$13:$G$64,MATCH($A21,Вводные!$A$13:$A$64,0)),0))</f>
        <v>3.5</v>
      </c>
      <c r="BY21" s="19" t="n">
        <f aca="false">INDEX(Вводные!$D$13:$F$64,MATCH($A21,Вводные!$A$13:$A$64,0),MATCH(BY$3,Вводные!$D$11:$F$11,0))*(1+IF(BY$4=$A21,Вводные!$D$5*INDEX(Вводные!$G$13:$G$64,MATCH($A21,Вводные!$A$13:$A$64,0)),0))</f>
        <v>3.5</v>
      </c>
      <c r="BZ21" s="19" t="n">
        <f aca="false">INDEX(Вводные!$D$13:$F$64,MATCH($A21,Вводные!$A$13:$A$64,0),MATCH(BZ$3,Вводные!$D$11:$F$11,0))*(1+IF(BZ$4=$A21,Вводные!$D$5*INDEX(Вводные!$G$13:$G$64,MATCH($A21,Вводные!$A$13:$A$64,0)),0))</f>
        <v>3.5</v>
      </c>
      <c r="CA21" s="19" t="n">
        <f aca="false">INDEX(Вводные!$D$13:$F$64,MATCH($A21,Вводные!$A$13:$A$64,0),MATCH(CA$3,Вводные!$D$11:$F$11,0))*(1+IF(CA$4=$A21,Вводные!$D$5*INDEX(Вводные!$G$13:$G$64,MATCH($A21,Вводные!$A$13:$A$64,0)),0))</f>
        <v>3.5</v>
      </c>
      <c r="CB21" s="19" t="n">
        <f aca="false">INDEX(Вводные!$D$13:$F$64,MATCH($A21,Вводные!$A$13:$A$64,0),MATCH(CB$3,Вводные!$D$11:$F$11,0))*(1+IF(CB$4=$A21,Вводные!$D$5*INDEX(Вводные!$G$13:$G$64,MATCH($A21,Вводные!$A$13:$A$64,0)),0))</f>
        <v>3.5</v>
      </c>
      <c r="CC21" s="19" t="n">
        <f aca="false">INDEX(Вводные!$D$13:$F$64,MATCH($A21,Вводные!$A$13:$A$64,0),MATCH(CC$3,Вводные!$D$11:$F$11,0))*(1+IF(CC$4=$A21,Вводные!$D$5*INDEX(Вводные!$G$13:$G$64,MATCH($A21,Вводные!$A$13:$A$64,0)),0))</f>
        <v>3.5</v>
      </c>
      <c r="CD21" s="19" t="n">
        <f aca="false">INDEX(Вводные!$D$13:$F$64,MATCH($A21,Вводные!$A$13:$A$64,0),MATCH(CD$3,Вводные!$D$11:$F$11,0))*(1+IF(CD$4=$A21,Вводные!$D$5*INDEX(Вводные!$G$13:$G$64,MATCH($A21,Вводные!$A$13:$A$64,0)),0))</f>
        <v>3.5</v>
      </c>
      <c r="CE21" s="19" t="n">
        <f aca="false">INDEX(Вводные!$D$13:$F$64,MATCH($A21,Вводные!$A$13:$A$64,0),MATCH(CE$3,Вводные!$D$11:$F$11,0))*(1+IF(CE$4=$A21,Вводные!$D$5*INDEX(Вводные!$G$13:$G$64,MATCH($A21,Вводные!$A$13:$A$64,0)),0))</f>
        <v>3.5</v>
      </c>
      <c r="CF21" s="19" t="n">
        <f aca="false">INDEX(Вводные!$D$13:$F$64,MATCH($A21,Вводные!$A$13:$A$64,0),MATCH(CF$3,Вводные!$D$11:$F$11,0))*(1+IF(CF$4=$A21,Вводные!$D$5*INDEX(Вводные!$G$13:$G$64,MATCH($A21,Вводные!$A$13:$A$64,0)),0))</f>
        <v>3.5</v>
      </c>
      <c r="CG21" s="19" t="n">
        <f aca="false">INDEX(Вводные!$D$13:$F$64,MATCH($A21,Вводные!$A$13:$A$64,0),MATCH(CG$3,Вводные!$D$11:$F$11,0))*(1+IF(CG$4=$A21,Вводные!$D$5*INDEX(Вводные!$G$13:$G$64,MATCH($A21,Вводные!$A$13:$A$64,0)),0))</f>
        <v>3.5</v>
      </c>
      <c r="CH21" s="19" t="n">
        <f aca="false">INDEX(Вводные!$D$13:$F$64,MATCH($A21,Вводные!$A$13:$A$64,0),MATCH(CH$3,Вводные!$D$11:$F$11,0))*(1+IF(CH$4=$A21,Вводные!$D$5*INDEX(Вводные!$G$13:$G$64,MATCH($A21,Вводные!$A$13:$A$64,0)),0))</f>
        <v>3.5</v>
      </c>
      <c r="CI21" s="19" t="n">
        <f aca="false">INDEX(Вводные!$D$13:$F$64,MATCH($A21,Вводные!$A$13:$A$64,0),MATCH(CI$3,Вводные!$D$11:$F$11,0))*(1+IF(CI$4=$A21,Вводные!$D$5*INDEX(Вводные!$G$13:$G$64,MATCH($A21,Вводные!$A$13:$A$64,0)),0))</f>
        <v>3.5</v>
      </c>
      <c r="CJ21" s="19" t="n">
        <f aca="false">INDEX(Вводные!$D$13:$F$64,MATCH($A21,Вводные!$A$13:$A$64,0),MATCH(CJ$3,Вводные!$D$11:$F$11,0))*(1+IF(CJ$4=$A21,Вводные!$D$5*INDEX(Вводные!$G$13:$G$64,MATCH($A21,Вводные!$A$13:$A$64,0)),0))</f>
        <v>3.5</v>
      </c>
      <c r="CK21" s="19" t="n">
        <f aca="false">INDEX(Вводные!$D$13:$F$64,MATCH($A21,Вводные!$A$13:$A$64,0),MATCH(CK$3,Вводные!$D$11:$F$11,0))*(1+IF(CK$4=$A21,Вводные!$D$5*INDEX(Вводные!$G$13:$G$64,MATCH($A21,Вводные!$A$13:$A$64,0)),0))</f>
        <v>3.5</v>
      </c>
      <c r="CL21" s="19" t="n">
        <f aca="false">INDEX(Вводные!$D$13:$F$64,MATCH($A21,Вводные!$A$13:$A$64,0),MATCH(CL$3,Вводные!$D$11:$F$11,0))*(1+IF(CL$4=$A21,Вводные!$D$5*INDEX(Вводные!$G$13:$G$64,MATCH($A21,Вводные!$A$13:$A$64,0)),0))</f>
        <v>3.5</v>
      </c>
      <c r="CM21" s="19" t="n">
        <f aca="false">INDEX(Вводные!$D$13:$F$64,MATCH($A21,Вводные!$A$13:$A$64,0),MATCH(CM$3,Вводные!$D$11:$F$11,0))*(1+IF(CM$4=$A21,Вводные!$D$5*INDEX(Вводные!$G$13:$G$64,MATCH($A21,Вводные!$A$13:$A$64,0)),0))</f>
        <v>3.5</v>
      </c>
      <c r="CN21" s="19" t="n">
        <f aca="false">INDEX(Вводные!$D$13:$F$64,MATCH($A21,Вводные!$A$13:$A$64,0),MATCH(CN$3,Вводные!$D$11:$F$11,0))*(1+IF(CN$4=$A21,Вводные!$D$5*INDEX(Вводные!$G$13:$G$64,MATCH($A21,Вводные!$A$13:$A$64,0)),0))</f>
        <v>3.5</v>
      </c>
      <c r="CO21" s="19" t="n">
        <f aca="false">INDEX(Вводные!$D$13:$F$64,MATCH($A21,Вводные!$A$13:$A$64,0),MATCH(CO$3,Вводные!$D$11:$F$11,0))*(1+IF(CO$4=$A21,Вводные!$D$5*INDEX(Вводные!$G$13:$G$64,MATCH($A21,Вводные!$A$13:$A$64,0)),0))</f>
        <v>3.5</v>
      </c>
      <c r="CP21" s="19" t="n">
        <f aca="false">INDEX(Вводные!$D$13:$F$64,MATCH($A21,Вводные!$A$13:$A$64,0),MATCH(CP$3,Вводные!$D$11:$F$11,0))*(1+IF(CP$4=$A21,Вводные!$D$5*INDEX(Вводные!$G$13:$G$64,MATCH($A21,Вводные!$A$13:$A$64,0)),0))</f>
        <v>130</v>
      </c>
      <c r="CQ21" s="19" t="n">
        <f aca="false">INDEX(Вводные!$D$13:$F$64,MATCH($A21,Вводные!$A$13:$A$64,0),MATCH(CQ$3,Вводные!$D$11:$F$11,0))*(1+IF(CQ$4=$A21,Вводные!$D$5*INDEX(Вводные!$G$13:$G$64,MATCH($A21,Вводные!$A$13:$A$64,0)),0))</f>
        <v>130</v>
      </c>
      <c r="CR21" s="19" t="n">
        <f aca="false">INDEX(Вводные!$D$13:$F$64,MATCH($A21,Вводные!$A$13:$A$64,0),MATCH(CR$3,Вводные!$D$11:$F$11,0))*(1+IF(CR$4=$A21,Вводные!$D$5*INDEX(Вводные!$G$13:$G$64,MATCH($A21,Вводные!$A$13:$A$64,0)),0))</f>
        <v>130</v>
      </c>
      <c r="CS21" s="19" t="n">
        <f aca="false">INDEX(Вводные!$D$13:$F$64,MATCH($A21,Вводные!$A$13:$A$64,0),MATCH(CS$3,Вводные!$D$11:$F$11,0))*(1+IF(CS$4=$A21,Вводные!$D$5*INDEX(Вводные!$G$13:$G$64,MATCH($A21,Вводные!$A$13:$A$64,0)),0))</f>
        <v>130</v>
      </c>
      <c r="CT21" s="19" t="n">
        <f aca="false">INDEX(Вводные!$D$13:$F$64,MATCH($A21,Вводные!$A$13:$A$64,0),MATCH(CT$3,Вводные!$D$11:$F$11,0))*(1+IF(CT$4=$A21,Вводные!$D$5*INDEX(Вводные!$G$13:$G$64,MATCH($A21,Вводные!$A$13:$A$64,0)),0))</f>
        <v>130</v>
      </c>
      <c r="CU21" s="19" t="n">
        <f aca="false">INDEX(Вводные!$D$13:$F$64,MATCH($A21,Вводные!$A$13:$A$64,0),MATCH(CU$3,Вводные!$D$11:$F$11,0))*(1+IF(CU$4=$A21,Вводные!$D$5*INDEX(Вводные!$G$13:$G$64,MATCH($A21,Вводные!$A$13:$A$64,0)),0))</f>
        <v>130</v>
      </c>
      <c r="CV21" s="19" t="n">
        <f aca="false">INDEX(Вводные!$D$13:$F$64,MATCH($A21,Вводные!$A$13:$A$64,0),MATCH(CV$3,Вводные!$D$11:$F$11,0))*(1+IF(CV$4=$A21,Вводные!$D$5*INDEX(Вводные!$G$13:$G$64,MATCH($A21,Вводные!$A$13:$A$64,0)),0))</f>
        <v>131.3</v>
      </c>
      <c r="CW21" s="19" t="n">
        <f aca="false">INDEX(Вводные!$D$13:$F$64,MATCH($A21,Вводные!$A$13:$A$64,0),MATCH(CW$3,Вводные!$D$11:$F$11,0))*(1+IF(CW$4=$A21,Вводные!$D$5*INDEX(Вводные!$G$13:$G$64,MATCH($A21,Вводные!$A$13:$A$64,0)),0))</f>
        <v>130</v>
      </c>
      <c r="CX21" s="19" t="n">
        <f aca="false">INDEX(Вводные!$D$13:$F$64,MATCH($A21,Вводные!$A$13:$A$64,0),MATCH(CX$3,Вводные!$D$11:$F$11,0))*(1+IF(CX$4=$A21,Вводные!$D$5*INDEX(Вводные!$G$13:$G$64,MATCH($A21,Вводные!$A$13:$A$64,0)),0))</f>
        <v>130</v>
      </c>
      <c r="CY21" s="19" t="n">
        <f aca="false">INDEX(Вводные!$D$13:$F$64,MATCH($A21,Вводные!$A$13:$A$64,0),MATCH(CY$3,Вводные!$D$11:$F$11,0))*(1+IF(CY$4=$A21,Вводные!$D$5*INDEX(Вводные!$G$13:$G$64,MATCH($A21,Вводные!$A$13:$A$64,0)),0))</f>
        <v>130</v>
      </c>
      <c r="CZ21" s="19" t="n">
        <f aca="false">INDEX(Вводные!$D$13:$F$64,MATCH($A21,Вводные!$A$13:$A$64,0),MATCH(CZ$3,Вводные!$D$11:$F$11,0))*(1+IF(CZ$4=$A21,Вводные!$D$5*INDEX(Вводные!$G$13:$G$64,MATCH($A21,Вводные!$A$13:$A$64,0)),0))</f>
        <v>130</v>
      </c>
      <c r="DA21" s="19" t="n">
        <f aca="false">INDEX(Вводные!$D$13:$F$64,MATCH($A21,Вводные!$A$13:$A$64,0),MATCH(DA$3,Вводные!$D$11:$F$11,0))*(1+IF(DA$4=$A21,Вводные!$D$5*INDEX(Вводные!$G$13:$G$64,MATCH($A21,Вводные!$A$13:$A$64,0)),0))</f>
        <v>130</v>
      </c>
      <c r="DB21" s="19" t="n">
        <f aca="false">INDEX(Вводные!$D$13:$F$64,MATCH($A21,Вводные!$A$13:$A$64,0),MATCH(DB$3,Вводные!$D$11:$F$11,0))*(1+IF(DB$4=$A21,Вводные!$D$5*INDEX(Вводные!$G$13:$G$64,MATCH($A21,Вводные!$A$13:$A$64,0)),0))</f>
        <v>130</v>
      </c>
      <c r="DC21" s="19" t="n">
        <f aca="false">INDEX(Вводные!$D$13:$F$64,MATCH($A21,Вводные!$A$13:$A$64,0),MATCH(DC$3,Вводные!$D$11:$F$11,0))*(1+IF(DC$4=$A21,Вводные!$D$5*INDEX(Вводные!$G$13:$G$64,MATCH($A21,Вводные!$A$13:$A$64,0)),0))</f>
        <v>130</v>
      </c>
      <c r="DD21" s="19" t="n">
        <f aca="false">INDEX(Вводные!$D$13:$F$64,MATCH($A21,Вводные!$A$13:$A$64,0),MATCH(DD$3,Вводные!$D$11:$F$11,0))*(1+IF(DD$4=$A21,Вводные!$D$5*INDEX(Вводные!$G$13:$G$64,MATCH($A21,Вводные!$A$13:$A$64,0)),0))</f>
        <v>130</v>
      </c>
      <c r="DE21" s="19" t="n">
        <f aca="false">INDEX(Вводные!$D$13:$F$64,MATCH($A21,Вводные!$A$13:$A$64,0),MATCH(DE$3,Вводные!$D$11:$F$11,0))*(1+IF(DE$4=$A21,Вводные!$D$5*INDEX(Вводные!$G$13:$G$64,MATCH($A21,Вводные!$A$13:$A$64,0)),0))</f>
        <v>130</v>
      </c>
      <c r="DF21" s="19" t="n">
        <f aca="false">INDEX(Вводные!$D$13:$F$64,MATCH($A21,Вводные!$A$13:$A$64,0),MATCH(DF$3,Вводные!$D$11:$F$11,0))*(1+IF(DF$4=$A21,Вводные!$D$5*INDEX(Вводные!$G$13:$G$64,MATCH($A21,Вводные!$A$13:$A$64,0)),0))</f>
        <v>130</v>
      </c>
      <c r="DG21" s="19" t="n">
        <f aca="false">INDEX(Вводные!$D$13:$F$64,MATCH($A21,Вводные!$A$13:$A$64,0),MATCH(DG$3,Вводные!$D$11:$F$11,0))*(1+IF(DG$4=$A21,Вводные!$D$5*INDEX(Вводные!$G$13:$G$64,MATCH($A21,Вводные!$A$13:$A$64,0)),0))</f>
        <v>130</v>
      </c>
      <c r="DH21" s="19" t="n">
        <f aca="false">INDEX(Вводные!$D$13:$F$64,MATCH($A21,Вводные!$A$13:$A$64,0),MATCH(DH$3,Вводные!$D$11:$F$11,0))*(1+IF(DH$4=$A21,Вводные!$D$5*INDEX(Вводные!$G$13:$G$64,MATCH($A21,Вводные!$A$13:$A$64,0)),0))</f>
        <v>130</v>
      </c>
      <c r="DI21" s="19" t="n">
        <f aca="false">INDEX(Вводные!$D$13:$F$64,MATCH($A21,Вводные!$A$13:$A$64,0),MATCH(DI$3,Вводные!$D$11:$F$11,0))*(1+IF(DI$4=$A21,Вводные!$D$5*INDEX(Вводные!$G$13:$G$64,MATCH($A21,Вводные!$A$13:$A$64,0)),0))</f>
        <v>130</v>
      </c>
      <c r="DJ21" s="19" t="n">
        <f aca="false">INDEX(Вводные!$D$13:$F$64,MATCH($A21,Вводные!$A$13:$A$64,0),MATCH(DJ$3,Вводные!$D$11:$F$11,0))*(1+IF(DJ$4=$A21,Вводные!$D$5*INDEX(Вводные!$G$13:$G$64,MATCH($A21,Вводные!$A$13:$A$64,0)),0))</f>
        <v>130</v>
      </c>
      <c r="DK21" s="19" t="n">
        <f aca="false">INDEX(Вводные!$D$13:$F$64,MATCH($A21,Вводные!$A$13:$A$64,0),MATCH(DK$3,Вводные!$D$11:$F$11,0))*(1+IF(DK$4=$A21,Вводные!$D$5*INDEX(Вводные!$G$13:$G$64,MATCH($A21,Вводные!$A$13:$A$64,0)),0))</f>
        <v>130</v>
      </c>
      <c r="DL21" s="19" t="n">
        <f aca="false">INDEX(Вводные!$D$13:$F$64,MATCH($A21,Вводные!$A$13:$A$64,0),MATCH(DL$3,Вводные!$D$11:$F$11,0))*(1+IF(DL$4=$A21,Вводные!$D$5*INDEX(Вводные!$G$13:$G$64,MATCH($A21,Вводные!$A$13:$A$64,0)),0))</f>
        <v>130</v>
      </c>
      <c r="DM21" s="19" t="n">
        <f aca="false">INDEX(Вводные!$D$13:$F$64,MATCH($A21,Вводные!$A$13:$A$64,0),MATCH(DM$3,Вводные!$D$11:$F$11,0))*(1+IF(DM$4=$A21,Вводные!$D$5*INDEX(Вводные!$G$13:$G$64,MATCH($A21,Вводные!$A$13:$A$64,0)),0))</f>
        <v>130</v>
      </c>
      <c r="DN21" s="19" t="n">
        <f aca="false">INDEX(Вводные!$D$13:$F$64,MATCH($A21,Вводные!$A$13:$A$64,0),MATCH(DN$3,Вводные!$D$11:$F$11,0))*(1+IF(DN$4=$A21,Вводные!$D$5*INDEX(Вводные!$G$13:$G$64,MATCH($A21,Вводные!$A$13:$A$64,0)),0))</f>
        <v>130</v>
      </c>
      <c r="DO21" s="19" t="n">
        <f aca="false">INDEX(Вводные!$D$13:$F$64,MATCH($A21,Вводные!$A$13:$A$64,0),MATCH(DO$3,Вводные!$D$11:$F$11,0))*(1+IF(DO$4=$A21,Вводные!$D$5*INDEX(Вводные!$G$13:$G$64,MATCH($A21,Вводные!$A$13:$A$64,0)),0))</f>
        <v>130</v>
      </c>
      <c r="DP21" s="19" t="n">
        <f aca="false">INDEX(Вводные!$D$13:$F$64,MATCH($A21,Вводные!$A$13:$A$64,0),MATCH(DP$3,Вводные!$D$11:$F$11,0))*(1+IF(DP$4=$A21,Вводные!$D$5*INDEX(Вводные!$G$13:$G$64,MATCH($A21,Вводные!$A$13:$A$64,0)),0))</f>
        <v>130</v>
      </c>
      <c r="DQ21" s="19" t="n">
        <f aca="false">INDEX(Вводные!$D$13:$F$64,MATCH($A21,Вводные!$A$13:$A$64,0),MATCH(DQ$3,Вводные!$D$11:$F$11,0))*(1+IF(DQ$4=$A21,Вводные!$D$5*INDEX(Вводные!$G$13:$G$64,MATCH($A21,Вводные!$A$13:$A$64,0)),0))</f>
        <v>130</v>
      </c>
      <c r="DR21" s="19" t="n">
        <f aca="false">INDEX(Вводные!$D$13:$F$64,MATCH($A21,Вводные!$A$13:$A$64,0),MATCH(DR$3,Вводные!$D$11:$F$11,0))*(1+IF(DR$4=$A21,Вводные!$D$5*INDEX(Вводные!$G$13:$G$64,MATCH($A21,Вводные!$A$13:$A$64,0)),0))</f>
        <v>130</v>
      </c>
      <c r="DS21" s="19" t="n">
        <f aca="false">INDEX(Вводные!$D$13:$F$64,MATCH($A21,Вводные!$A$13:$A$64,0),MATCH(DS$3,Вводные!$D$11:$F$11,0))*(1+IF(DS$4=$A21,Вводные!$D$5*INDEX(Вводные!$G$13:$G$64,MATCH($A21,Вводные!$A$13:$A$64,0)),0))</f>
        <v>130</v>
      </c>
      <c r="DT21" s="19" t="n">
        <f aca="false">INDEX(Вводные!$D$13:$F$64,MATCH($A21,Вводные!$A$13:$A$64,0),MATCH(DT$3,Вводные!$D$11:$F$11,0))*(1+IF(DT$4=$A21,Вводные!$D$5*INDEX(Вводные!$G$13:$G$64,MATCH($A21,Вводные!$A$13:$A$64,0)),0))</f>
        <v>130</v>
      </c>
      <c r="DU21" s="19" t="n">
        <f aca="false">INDEX(Вводные!$D$13:$F$64,MATCH($A21,Вводные!$A$13:$A$64,0),MATCH(DU$3,Вводные!$D$11:$F$11,0))*(1+IF(DU$4=$A21,Вводные!$D$5*INDEX(Вводные!$G$13:$G$64,MATCH($A21,Вводные!$A$13:$A$64,0)),0))</f>
        <v>130</v>
      </c>
      <c r="DV21" s="19" t="n">
        <f aca="false">INDEX(Вводные!$D$13:$F$64,MATCH($A21,Вводные!$A$13:$A$64,0),MATCH(DV$3,Вводные!$D$11:$F$11,0))*(1+IF(DV$4=$A21,Вводные!$D$5*INDEX(Вводные!$G$13:$G$64,MATCH($A21,Вводные!$A$13:$A$64,0)),0))</f>
        <v>130</v>
      </c>
      <c r="DW21" s="19" t="n">
        <f aca="false">INDEX(Вводные!$D$13:$F$64,MATCH($A21,Вводные!$A$13:$A$64,0),MATCH(DW$3,Вводные!$D$11:$F$11,0))*(1+IF(DW$4=$A21,Вводные!$D$5*INDEX(Вводные!$G$13:$G$64,MATCH($A21,Вводные!$A$13:$A$64,0)),0))</f>
        <v>130</v>
      </c>
      <c r="DX21" s="19" t="n">
        <f aca="false">INDEX(Вводные!$D$13:$F$64,MATCH($A21,Вводные!$A$13:$A$64,0),MATCH(DX$3,Вводные!$D$11:$F$11,0))*(1+IF(DX$4=$A21,Вводные!$D$5*INDEX(Вводные!$G$13:$G$64,MATCH($A21,Вводные!$A$13:$A$64,0)),0))</f>
        <v>130</v>
      </c>
      <c r="DY21" s="19" t="n">
        <f aca="false">INDEX(Вводные!$D$13:$F$64,MATCH($A21,Вводные!$A$13:$A$64,0),MATCH(DY$3,Вводные!$D$11:$F$11,0))*(1+IF(DY$4=$A21,Вводные!$D$5*INDEX(Вводные!$G$13:$G$64,MATCH($A21,Вводные!$A$13:$A$64,0)),0))</f>
        <v>130</v>
      </c>
      <c r="DZ21" s="19" t="n">
        <f aca="false">INDEX(Вводные!$D$13:$F$64,MATCH($A21,Вводные!$A$13:$A$64,0),MATCH(DZ$3,Вводные!$D$11:$F$11,0))*(1+IF(DZ$4=$A21,Вводные!$D$5*INDEX(Вводные!$G$13:$G$64,MATCH($A21,Вводные!$A$13:$A$64,0)),0))</f>
        <v>130</v>
      </c>
      <c r="EA21" s="19" t="n">
        <f aca="false">INDEX(Вводные!$D$13:$F$64,MATCH($A21,Вводные!$A$13:$A$64,0),MATCH(EA$3,Вводные!$D$11:$F$11,0))*(1+IF(EA$4=$A21,Вводные!$D$5*INDEX(Вводные!$G$13:$G$64,MATCH($A21,Вводные!$A$13:$A$64,0)),0))</f>
        <v>130</v>
      </c>
      <c r="EB21" s="19" t="n">
        <f aca="false">INDEX(Вводные!$D$13:$F$64,MATCH($A21,Вводные!$A$13:$A$64,0),MATCH(EB$3,Вводные!$D$11:$F$11,0))*(1+IF(EB$4=$A21,Вводные!$D$5*INDEX(Вводные!$G$13:$G$64,MATCH($A21,Вводные!$A$13:$A$64,0)),0))</f>
        <v>130</v>
      </c>
      <c r="EC21" s="19" t="n">
        <f aca="false">INDEX(Вводные!$D$13:$F$64,MATCH($A21,Вводные!$A$13:$A$64,0),MATCH(EC$3,Вводные!$D$11:$F$11,0))*(1+IF(EC$4=$A21,Вводные!$D$5*INDEX(Вводные!$G$13:$G$64,MATCH($A21,Вводные!$A$13:$A$64,0)),0))</f>
        <v>130</v>
      </c>
      <c r="ED21" s="19" t="n">
        <f aca="false">INDEX(Вводные!$D$13:$F$64,MATCH($A21,Вводные!$A$13:$A$64,0),MATCH(ED$3,Вводные!$D$11:$F$11,0))*(1+IF(ED$4=$A21,Вводные!$D$5*INDEX(Вводные!$G$13:$G$64,MATCH($A21,Вводные!$A$13:$A$64,0)),0))</f>
        <v>130</v>
      </c>
      <c r="EE21" s="19" t="n">
        <f aca="false">INDEX(Вводные!$D$13:$F$64,MATCH($A21,Вводные!$A$13:$A$64,0),MATCH(EE$3,Вводные!$D$11:$F$11,0))*(1+IF(EE$4=$A21,Вводные!$D$5*INDEX(Вводные!$G$13:$G$64,MATCH($A21,Вводные!$A$13:$A$64,0)),0))</f>
        <v>130</v>
      </c>
      <c r="EF21" s="19" t="n">
        <f aca="false">INDEX(Вводные!$D$13:$F$64,MATCH($A21,Вводные!$A$13:$A$64,0),MATCH(EF$3,Вводные!$D$11:$F$11,0))*(1+IF(EF$4=$A21,Вводные!$D$5*INDEX(Вводные!$G$13:$G$64,MATCH($A21,Вводные!$A$13:$A$64,0)),0))</f>
        <v>6</v>
      </c>
      <c r="EG21" s="19" t="n">
        <f aca="false">INDEX(Вводные!$D$13:$F$64,MATCH($A21,Вводные!$A$13:$A$64,0),MATCH(EG$3,Вводные!$D$11:$F$11,0))*(1+IF(EG$4=$A21,Вводные!$D$5*INDEX(Вводные!$G$13:$G$64,MATCH($A21,Вводные!$A$13:$A$64,0)),0))</f>
        <v>6</v>
      </c>
      <c r="EH21" s="19" t="n">
        <f aca="false">INDEX(Вводные!$D$13:$F$64,MATCH($A21,Вводные!$A$13:$A$64,0),MATCH(EH$3,Вводные!$D$11:$F$11,0))*(1+IF(EH$4=$A21,Вводные!$D$5*INDEX(Вводные!$G$13:$G$64,MATCH($A21,Вводные!$A$13:$A$64,0)),0))</f>
        <v>6</v>
      </c>
      <c r="EI21" s="19" t="n">
        <f aca="false">INDEX(Вводные!$D$13:$F$64,MATCH($A21,Вводные!$A$13:$A$64,0),MATCH(EI$3,Вводные!$D$11:$F$11,0))*(1+IF(EI$4=$A21,Вводные!$D$5*INDEX(Вводные!$G$13:$G$64,MATCH($A21,Вводные!$A$13:$A$64,0)),0))</f>
        <v>6</v>
      </c>
      <c r="EJ21" s="19" t="n">
        <f aca="false">INDEX(Вводные!$D$13:$F$64,MATCH($A21,Вводные!$A$13:$A$64,0),MATCH(EJ$3,Вводные!$D$11:$F$11,0))*(1+IF(EJ$4=$A21,Вводные!$D$5*INDEX(Вводные!$G$13:$G$64,MATCH($A21,Вводные!$A$13:$A$64,0)),0))</f>
        <v>6</v>
      </c>
      <c r="EK21" s="19" t="n">
        <f aca="false">INDEX(Вводные!$D$13:$F$64,MATCH($A21,Вводные!$A$13:$A$64,0),MATCH(EK$3,Вводные!$D$11:$F$11,0))*(1+IF(EK$4=$A21,Вводные!$D$5*INDEX(Вводные!$G$13:$G$64,MATCH($A21,Вводные!$A$13:$A$64,0)),0))</f>
        <v>6</v>
      </c>
      <c r="EL21" s="19" t="n">
        <f aca="false">INDEX(Вводные!$D$13:$F$64,MATCH($A21,Вводные!$A$13:$A$64,0),MATCH(EL$3,Вводные!$D$11:$F$11,0))*(1+IF(EL$4=$A21,Вводные!$D$5*INDEX(Вводные!$G$13:$G$64,MATCH($A21,Вводные!$A$13:$A$64,0)),0))</f>
        <v>6.06</v>
      </c>
      <c r="EM21" s="19" t="n">
        <f aca="false">INDEX(Вводные!$D$13:$F$64,MATCH($A21,Вводные!$A$13:$A$64,0),MATCH(EM$3,Вводные!$D$11:$F$11,0))*(1+IF(EM$4=$A21,Вводные!$D$5*INDEX(Вводные!$G$13:$G$64,MATCH($A21,Вводные!$A$13:$A$64,0)),0))</f>
        <v>6</v>
      </c>
      <c r="EN21" s="19" t="n">
        <f aca="false">INDEX(Вводные!$D$13:$F$64,MATCH($A21,Вводные!$A$13:$A$64,0),MATCH(EN$3,Вводные!$D$11:$F$11,0))*(1+IF(EN$4=$A21,Вводные!$D$5*INDEX(Вводные!$G$13:$G$64,MATCH($A21,Вводные!$A$13:$A$64,0)),0))</f>
        <v>6</v>
      </c>
      <c r="EO21" s="19" t="n">
        <f aca="false">INDEX(Вводные!$D$13:$F$64,MATCH($A21,Вводные!$A$13:$A$64,0),MATCH(EO$3,Вводные!$D$11:$F$11,0))*(1+IF(EO$4=$A21,Вводные!$D$5*INDEX(Вводные!$G$13:$G$64,MATCH($A21,Вводные!$A$13:$A$64,0)),0))</f>
        <v>6</v>
      </c>
      <c r="EP21" s="19" t="n">
        <f aca="false">INDEX(Вводные!$D$13:$F$64,MATCH($A21,Вводные!$A$13:$A$64,0),MATCH(EP$3,Вводные!$D$11:$F$11,0))*(1+IF(EP$4=$A21,Вводные!$D$5*INDEX(Вводные!$G$13:$G$64,MATCH($A21,Вводные!$A$13:$A$64,0)),0))</f>
        <v>6</v>
      </c>
      <c r="EQ21" s="19" t="n">
        <f aca="false">INDEX(Вводные!$D$13:$F$64,MATCH($A21,Вводные!$A$13:$A$64,0),MATCH(EQ$3,Вводные!$D$11:$F$11,0))*(1+IF(EQ$4=$A21,Вводные!$D$5*INDEX(Вводные!$G$13:$G$64,MATCH($A21,Вводные!$A$13:$A$64,0)),0))</f>
        <v>6</v>
      </c>
      <c r="ER21" s="19" t="n">
        <f aca="false">INDEX(Вводные!$D$13:$F$64,MATCH($A21,Вводные!$A$13:$A$64,0),MATCH(ER$3,Вводные!$D$11:$F$11,0))*(1+IF(ER$4=$A21,Вводные!$D$5*INDEX(Вводные!$G$13:$G$64,MATCH($A21,Вводные!$A$13:$A$64,0)),0))</f>
        <v>6</v>
      </c>
      <c r="ES21" s="19" t="n">
        <f aca="false">INDEX(Вводные!$D$13:$F$64,MATCH($A21,Вводные!$A$13:$A$64,0),MATCH(ES$3,Вводные!$D$11:$F$11,0))*(1+IF(ES$4=$A21,Вводные!$D$5*INDEX(Вводные!$G$13:$G$64,MATCH($A21,Вводные!$A$13:$A$64,0)),0))</f>
        <v>6</v>
      </c>
      <c r="ET21" s="19" t="n">
        <f aca="false">INDEX(Вводные!$D$13:$F$64,MATCH($A21,Вводные!$A$13:$A$64,0),MATCH(ET$3,Вводные!$D$11:$F$11,0))*(1+IF(ET$4=$A21,Вводные!$D$5*INDEX(Вводные!$G$13:$G$64,MATCH($A21,Вводные!$A$13:$A$64,0)),0))</f>
        <v>6</v>
      </c>
      <c r="EU21" s="19" t="n">
        <f aca="false">INDEX(Вводные!$D$13:$F$64,MATCH($A21,Вводные!$A$13:$A$64,0),MATCH(EU$3,Вводные!$D$11:$F$11,0))*(1+IF(EU$4=$A21,Вводные!$D$5*INDEX(Вводные!$G$13:$G$64,MATCH($A21,Вводные!$A$13:$A$64,0)),0))</f>
        <v>6</v>
      </c>
      <c r="EV21" s="19" t="n">
        <f aca="false">INDEX(Вводные!$D$13:$F$64,MATCH($A21,Вводные!$A$13:$A$64,0),MATCH(EV$3,Вводные!$D$11:$F$11,0))*(1+IF(EV$4=$A21,Вводные!$D$5*INDEX(Вводные!$G$13:$G$64,MATCH($A21,Вводные!$A$13:$A$64,0)),0))</f>
        <v>6</v>
      </c>
      <c r="EW21" s="19" t="n">
        <f aca="false">INDEX(Вводные!$D$13:$F$64,MATCH($A21,Вводные!$A$13:$A$64,0),MATCH(EW$3,Вводные!$D$11:$F$11,0))*(1+IF(EW$4=$A21,Вводные!$D$5*INDEX(Вводные!$G$13:$G$64,MATCH($A21,Вводные!$A$13:$A$64,0)),0))</f>
        <v>6</v>
      </c>
      <c r="EX21" s="19" t="n">
        <f aca="false">INDEX(Вводные!$D$13:$F$64,MATCH($A21,Вводные!$A$13:$A$64,0),MATCH(EX$3,Вводные!$D$11:$F$11,0))*(1+IF(EX$4=$A21,Вводные!$D$5*INDEX(Вводные!$G$13:$G$64,MATCH($A21,Вводные!$A$13:$A$64,0)),0))</f>
        <v>6</v>
      </c>
      <c r="EY21" s="19" t="n">
        <f aca="false">INDEX(Вводные!$D$13:$F$64,MATCH($A21,Вводные!$A$13:$A$64,0),MATCH(EY$3,Вводные!$D$11:$F$11,0))*(1+IF(EY$4=$A21,Вводные!$D$5*INDEX(Вводные!$G$13:$G$64,MATCH($A21,Вводные!$A$13:$A$64,0)),0))</f>
        <v>6</v>
      </c>
      <c r="EZ21" s="19" t="n">
        <f aca="false">INDEX(Вводные!$D$13:$F$64,MATCH($A21,Вводные!$A$13:$A$64,0),MATCH(EZ$3,Вводные!$D$11:$F$11,0))*(1+IF(EZ$4=$A21,Вводные!$D$5*INDEX(Вводные!$G$13:$G$64,MATCH($A21,Вводные!$A$13:$A$64,0)),0))</f>
        <v>6</v>
      </c>
      <c r="FA21" s="19" t="n">
        <f aca="false">INDEX(Вводные!$D$13:$F$64,MATCH($A21,Вводные!$A$13:$A$64,0),MATCH(FA$3,Вводные!$D$11:$F$11,0))*(1+IF(FA$4=$A21,Вводные!$D$5*INDEX(Вводные!$G$13:$G$64,MATCH($A21,Вводные!$A$13:$A$64,0)),0))</f>
        <v>6</v>
      </c>
      <c r="FB21" s="19" t="n">
        <f aca="false">INDEX(Вводные!$D$13:$F$64,MATCH($A21,Вводные!$A$13:$A$64,0),MATCH(FB$3,Вводные!$D$11:$F$11,0))*(1+IF(FB$4=$A21,Вводные!$D$5*INDEX(Вводные!$G$13:$G$64,MATCH($A21,Вводные!$A$13:$A$64,0)),0))</f>
        <v>6</v>
      </c>
      <c r="FC21" s="19" t="n">
        <f aca="false">INDEX(Вводные!$D$13:$F$64,MATCH($A21,Вводные!$A$13:$A$64,0),MATCH(FC$3,Вводные!$D$11:$F$11,0))*(1+IF(FC$4=$A21,Вводные!$D$5*INDEX(Вводные!$G$13:$G$64,MATCH($A21,Вводные!$A$13:$A$64,0)),0))</f>
        <v>6</v>
      </c>
      <c r="FD21" s="19" t="n">
        <f aca="false">INDEX(Вводные!$D$13:$F$64,MATCH($A21,Вводные!$A$13:$A$64,0),MATCH(FD$3,Вводные!$D$11:$F$11,0))*(1+IF(FD$4=$A21,Вводные!$D$5*INDEX(Вводные!$G$13:$G$64,MATCH($A21,Вводные!$A$13:$A$64,0)),0))</f>
        <v>6</v>
      </c>
      <c r="FE21" s="19" t="n">
        <f aca="false">INDEX(Вводные!$D$13:$F$64,MATCH($A21,Вводные!$A$13:$A$64,0),MATCH(FE$3,Вводные!$D$11:$F$11,0))*(1+IF(FE$4=$A21,Вводные!$D$5*INDEX(Вводные!$G$13:$G$64,MATCH($A21,Вводные!$A$13:$A$64,0)),0))</f>
        <v>6</v>
      </c>
      <c r="FF21" s="19" t="n">
        <f aca="false">INDEX(Вводные!$D$13:$F$64,MATCH($A21,Вводные!$A$13:$A$64,0),MATCH(FF$3,Вводные!$D$11:$F$11,0))*(1+IF(FF$4=$A21,Вводные!$D$5*INDEX(Вводные!$G$13:$G$64,MATCH($A21,Вводные!$A$13:$A$64,0)),0))</f>
        <v>6</v>
      </c>
      <c r="FG21" s="19" t="n">
        <f aca="false">INDEX(Вводные!$D$13:$F$64,MATCH($A21,Вводные!$A$13:$A$64,0),MATCH(FG$3,Вводные!$D$11:$F$11,0))*(1+IF(FG$4=$A21,Вводные!$D$5*INDEX(Вводные!$G$13:$G$64,MATCH($A21,Вводные!$A$13:$A$64,0)),0))</f>
        <v>6</v>
      </c>
      <c r="FH21" s="19" t="n">
        <f aca="false">INDEX(Вводные!$D$13:$F$64,MATCH($A21,Вводные!$A$13:$A$64,0),MATCH(FH$3,Вводные!$D$11:$F$11,0))*(1+IF(FH$4=$A21,Вводные!$D$5*INDEX(Вводные!$G$13:$G$64,MATCH($A21,Вводные!$A$13:$A$64,0)),0))</f>
        <v>6</v>
      </c>
      <c r="FI21" s="19" t="n">
        <f aca="false">INDEX(Вводные!$D$13:$F$64,MATCH($A21,Вводные!$A$13:$A$64,0),MATCH(FI$3,Вводные!$D$11:$F$11,0))*(1+IF(FI$4=$A21,Вводные!$D$5*INDEX(Вводные!$G$13:$G$64,MATCH($A21,Вводные!$A$13:$A$64,0)),0))</f>
        <v>6</v>
      </c>
      <c r="FJ21" s="19" t="n">
        <f aca="false">INDEX(Вводные!$D$13:$F$64,MATCH($A21,Вводные!$A$13:$A$64,0),MATCH(FJ$3,Вводные!$D$11:$F$11,0))*(1+IF(FJ$4=$A21,Вводные!$D$5*INDEX(Вводные!$G$13:$G$64,MATCH($A21,Вводные!$A$13:$A$64,0)),0))</f>
        <v>6</v>
      </c>
      <c r="FK21" s="19" t="n">
        <f aca="false">INDEX(Вводные!$D$13:$F$64,MATCH($A21,Вводные!$A$13:$A$64,0),MATCH(FK$3,Вводные!$D$11:$F$11,0))*(1+IF(FK$4=$A21,Вводные!$D$5*INDEX(Вводные!$G$13:$G$64,MATCH($A21,Вводные!$A$13:$A$64,0)),0))</f>
        <v>6</v>
      </c>
      <c r="FL21" s="19" t="n">
        <f aca="false">INDEX(Вводные!$D$13:$F$64,MATCH($A21,Вводные!$A$13:$A$64,0),MATCH(FL$3,Вводные!$D$11:$F$11,0))*(1+IF(FL$4=$A21,Вводные!$D$5*INDEX(Вводные!$G$13:$G$64,MATCH($A21,Вводные!$A$13:$A$64,0)),0))</f>
        <v>6</v>
      </c>
      <c r="FM21" s="19" t="n">
        <f aca="false">INDEX(Вводные!$D$13:$F$64,MATCH($A21,Вводные!$A$13:$A$64,0),MATCH(FM$3,Вводные!$D$11:$F$11,0))*(1+IF(FM$4=$A21,Вводные!$D$5*INDEX(Вводные!$G$13:$G$64,MATCH($A21,Вводные!$A$13:$A$64,0)),0))</f>
        <v>6</v>
      </c>
      <c r="FN21" s="19" t="n">
        <f aca="false">INDEX(Вводные!$D$13:$F$64,MATCH($A21,Вводные!$A$13:$A$64,0),MATCH(FN$3,Вводные!$D$11:$F$11,0))*(1+IF(FN$4=$A21,Вводные!$D$5*INDEX(Вводные!$G$13:$G$64,MATCH($A21,Вводные!$A$13:$A$64,0)),0))</f>
        <v>6</v>
      </c>
      <c r="FO21" s="19" t="n">
        <f aca="false">INDEX(Вводные!$D$13:$F$64,MATCH($A21,Вводные!$A$13:$A$64,0),MATCH(FO$3,Вводные!$D$11:$F$11,0))*(1+IF(FO$4=$A21,Вводные!$D$5*INDEX(Вводные!$G$13:$G$64,MATCH($A21,Вводные!$A$13:$A$64,0)),0))</f>
        <v>6</v>
      </c>
      <c r="FP21" s="19" t="n">
        <f aca="false">INDEX(Вводные!$D$13:$F$64,MATCH($A21,Вводные!$A$13:$A$64,0),MATCH(FP$3,Вводные!$D$11:$F$11,0))*(1+IF(FP$4=$A21,Вводные!$D$5*INDEX(Вводные!$G$13:$G$64,MATCH($A21,Вводные!$A$13:$A$64,0)),0))</f>
        <v>6</v>
      </c>
      <c r="FQ21" s="19" t="n">
        <f aca="false">INDEX(Вводные!$D$13:$F$64,MATCH($A21,Вводные!$A$13:$A$64,0),MATCH(FQ$3,Вводные!$D$11:$F$11,0))*(1+IF(FQ$4=$A21,Вводные!$D$5*INDEX(Вводные!$G$13:$G$64,MATCH($A21,Вводные!$A$13:$A$64,0)),0))</f>
        <v>6</v>
      </c>
      <c r="FR21" s="19" t="n">
        <f aca="false">INDEX(Вводные!$D$13:$F$64,MATCH($A21,Вводные!$A$13:$A$64,0),MATCH(FR$3,Вводные!$D$11:$F$11,0))*(1+IF(FR$4=$A21,Вводные!$D$5*INDEX(Вводные!$G$13:$G$64,MATCH($A21,Вводные!$A$13:$A$64,0)),0))</f>
        <v>6</v>
      </c>
      <c r="FS21" s="19" t="n">
        <f aca="false">INDEX(Вводные!$D$13:$F$64,MATCH($A21,Вводные!$A$13:$A$64,0),MATCH(FS$3,Вводные!$D$11:$F$11,0))*(1+IF(FS$4=$A21,Вводные!$D$5*INDEX(Вводные!$G$13:$G$64,MATCH($A21,Вводные!$A$13:$A$64,0)),0))</f>
        <v>6</v>
      </c>
      <c r="FT21" s="19" t="n">
        <f aca="false">INDEX(Вводные!$D$13:$F$64,MATCH($A21,Вводные!$A$13:$A$64,0),MATCH(FT$3,Вводные!$D$11:$F$11,0))*(1+IF(FT$4=$A21,Вводные!$D$5*INDEX(Вводные!$G$13:$G$64,MATCH($A21,Вводные!$A$13:$A$64,0)),0))</f>
        <v>6</v>
      </c>
      <c r="FU21" s="19" t="n">
        <f aca="false">INDEX(Вводные!$D$13:$F$64,MATCH($A21,Вводные!$A$13:$A$64,0),MATCH(FU$3,Вводные!$D$11:$F$11,0))*(1+IF(FU$4=$A21,Вводные!$D$5*INDEX(Вводные!$G$13:$G$64,MATCH($A21,Вводные!$A$13:$A$64,0)),0))</f>
        <v>6</v>
      </c>
      <c r="FV21" s="19" t="n">
        <f aca="false">INDEX(Вводные!$D$13:$F$64,MATCH($A21,Вводные!$A$13:$A$64,0),MATCH(FV$3,Вводные!$D$11:$F$11,0))*(1+IF(FV$4=$A21,Вводные!$D$5*INDEX(Вводные!$G$13:$G$64,MATCH($A21,Вводные!$A$13:$A$64,0)),0))</f>
        <v>3.5</v>
      </c>
      <c r="FW21" s="19" t="n">
        <f aca="false">INDEX(Вводные!$D$13:$F$64,MATCH($A21,Вводные!$A$13:$A$64,0),MATCH(FW$3,Вводные!$D$11:$F$11,0))*(1+IF(FW$4=$A21,Вводные!$D$5*INDEX(Вводные!$G$13:$G$64,MATCH($A21,Вводные!$A$13:$A$64,0)),0))</f>
        <v>3.5</v>
      </c>
      <c r="FX21" s="19" t="n">
        <f aca="false">INDEX(Вводные!$D$13:$F$64,MATCH($A21,Вводные!$A$13:$A$64,0),MATCH(FX$3,Вводные!$D$11:$F$11,0))*(1+IF(FX$4=$A21,Вводные!$D$5*INDEX(Вводные!$G$13:$G$64,MATCH($A21,Вводные!$A$13:$A$64,0)),0))</f>
        <v>3.5</v>
      </c>
      <c r="FY21" s="19" t="n">
        <f aca="false">INDEX(Вводные!$D$13:$F$64,MATCH($A21,Вводные!$A$13:$A$64,0),MATCH(FY$3,Вводные!$D$11:$F$11,0))*(1+IF(FY$4=$A21,Вводные!$D$5*INDEX(Вводные!$G$13:$G$64,MATCH($A21,Вводные!$A$13:$A$64,0)),0))</f>
        <v>3.5</v>
      </c>
      <c r="FZ21" s="19" t="n">
        <f aca="false">INDEX(Вводные!$D$13:$F$64,MATCH($A21,Вводные!$A$13:$A$64,0),MATCH(FZ$3,Вводные!$D$11:$F$11,0))*(1+IF(FZ$4=$A21,Вводные!$D$5*INDEX(Вводные!$G$13:$G$64,MATCH($A21,Вводные!$A$13:$A$64,0)),0))</f>
        <v>3.5</v>
      </c>
      <c r="GA21" s="19" t="n">
        <f aca="false">INDEX(Вводные!$D$13:$F$64,MATCH($A21,Вводные!$A$13:$A$64,0),MATCH(GA$3,Вводные!$D$11:$F$11,0))*(1+IF(GA$4=$A21,Вводные!$D$5*INDEX(Вводные!$G$13:$G$64,MATCH($A21,Вводные!$A$13:$A$64,0)),0))</f>
        <v>3.5</v>
      </c>
      <c r="GB21" s="19" t="n">
        <f aca="false">INDEX(Вводные!$D$13:$F$64,MATCH($A21,Вводные!$A$13:$A$64,0),MATCH(GB$3,Вводные!$D$11:$F$11,0))*(1+IF(GB$4=$A21,Вводные!$D$5*INDEX(Вводные!$G$13:$G$64,MATCH($A21,Вводные!$A$13:$A$64,0)),0))</f>
        <v>3.535</v>
      </c>
      <c r="GC21" s="19" t="n">
        <f aca="false">INDEX(Вводные!$D$13:$F$64,MATCH($A21,Вводные!$A$13:$A$64,0),MATCH(GC$3,Вводные!$D$11:$F$11,0))*(1+IF(GC$4=$A21,Вводные!$D$5*INDEX(Вводные!$G$13:$G$64,MATCH($A21,Вводные!$A$13:$A$64,0)),0))</f>
        <v>3.5</v>
      </c>
      <c r="GD21" s="19" t="n">
        <f aca="false">INDEX(Вводные!$D$13:$F$64,MATCH($A21,Вводные!$A$13:$A$64,0),MATCH(GD$3,Вводные!$D$11:$F$11,0))*(1+IF(GD$4=$A21,Вводные!$D$5*INDEX(Вводные!$G$13:$G$64,MATCH($A21,Вводные!$A$13:$A$64,0)),0))</f>
        <v>3.5</v>
      </c>
      <c r="GE21" s="19" t="n">
        <f aca="false">INDEX(Вводные!$D$13:$F$64,MATCH($A21,Вводные!$A$13:$A$64,0),MATCH(GE$3,Вводные!$D$11:$F$11,0))*(1+IF(GE$4=$A21,Вводные!$D$5*INDEX(Вводные!$G$13:$G$64,MATCH($A21,Вводные!$A$13:$A$64,0)),0))</f>
        <v>3.5</v>
      </c>
      <c r="GF21" s="19" t="n">
        <f aca="false">INDEX(Вводные!$D$13:$F$64,MATCH($A21,Вводные!$A$13:$A$64,0),MATCH(GF$3,Вводные!$D$11:$F$11,0))*(1+IF(GF$4=$A21,Вводные!$D$5*INDEX(Вводные!$G$13:$G$64,MATCH($A21,Вводные!$A$13:$A$64,0)),0))</f>
        <v>3.5</v>
      </c>
      <c r="GG21" s="19" t="n">
        <f aca="false">INDEX(Вводные!$D$13:$F$64,MATCH($A21,Вводные!$A$13:$A$64,0),MATCH(GG$3,Вводные!$D$11:$F$11,0))*(1+IF(GG$4=$A21,Вводные!$D$5*INDEX(Вводные!$G$13:$G$64,MATCH($A21,Вводные!$A$13:$A$64,0)),0))</f>
        <v>3.5</v>
      </c>
      <c r="GH21" s="19" t="n">
        <f aca="false">INDEX(Вводные!$D$13:$F$64,MATCH($A21,Вводные!$A$13:$A$64,0),MATCH(GH$3,Вводные!$D$11:$F$11,0))*(1+IF(GH$4=$A21,Вводные!$D$5*INDEX(Вводные!$G$13:$G$64,MATCH($A21,Вводные!$A$13:$A$64,0)),0))</f>
        <v>3.5</v>
      </c>
      <c r="GI21" s="19" t="n">
        <f aca="false">INDEX(Вводные!$D$13:$F$64,MATCH($A21,Вводные!$A$13:$A$64,0),MATCH(GI$3,Вводные!$D$11:$F$11,0))*(1+IF(GI$4=$A21,Вводные!$D$5*INDEX(Вводные!$G$13:$G$64,MATCH($A21,Вводные!$A$13:$A$64,0)),0))</f>
        <v>3.5</v>
      </c>
      <c r="GJ21" s="19" t="n">
        <f aca="false">INDEX(Вводные!$D$13:$F$64,MATCH($A21,Вводные!$A$13:$A$64,0),MATCH(GJ$3,Вводные!$D$11:$F$11,0))*(1+IF(GJ$4=$A21,Вводные!$D$5*INDEX(Вводные!$G$13:$G$64,MATCH($A21,Вводные!$A$13:$A$64,0)),0))</f>
        <v>3.5</v>
      </c>
      <c r="GK21" s="19" t="n">
        <f aca="false">INDEX(Вводные!$D$13:$F$64,MATCH($A21,Вводные!$A$13:$A$64,0),MATCH(GK$3,Вводные!$D$11:$F$11,0))*(1+IF(GK$4=$A21,Вводные!$D$5*INDEX(Вводные!$G$13:$G$64,MATCH($A21,Вводные!$A$13:$A$64,0)),0))</f>
        <v>3.5</v>
      </c>
      <c r="GL21" s="19" t="n">
        <f aca="false">INDEX(Вводные!$D$13:$F$64,MATCH($A21,Вводные!$A$13:$A$64,0),MATCH(GL$3,Вводные!$D$11:$F$11,0))*(1+IF(GL$4=$A21,Вводные!$D$5*INDEX(Вводные!$G$13:$G$64,MATCH($A21,Вводные!$A$13:$A$64,0)),0))</f>
        <v>3.5</v>
      </c>
      <c r="GM21" s="19" t="n">
        <f aca="false">INDEX(Вводные!$D$13:$F$64,MATCH($A21,Вводные!$A$13:$A$64,0),MATCH(GM$3,Вводные!$D$11:$F$11,0))*(1+IF(GM$4=$A21,Вводные!$D$5*INDEX(Вводные!$G$13:$G$64,MATCH($A21,Вводные!$A$13:$A$64,0)),0))</f>
        <v>3.5</v>
      </c>
      <c r="GN21" s="19" t="n">
        <f aca="false">INDEX(Вводные!$D$13:$F$64,MATCH($A21,Вводные!$A$13:$A$64,0),MATCH(GN$3,Вводные!$D$11:$F$11,0))*(1+IF(GN$4=$A21,Вводные!$D$5*INDEX(Вводные!$G$13:$G$64,MATCH($A21,Вводные!$A$13:$A$64,0)),0))</f>
        <v>3.5</v>
      </c>
      <c r="GO21" s="19" t="n">
        <f aca="false">INDEX(Вводные!$D$13:$F$64,MATCH($A21,Вводные!$A$13:$A$64,0),MATCH(GO$3,Вводные!$D$11:$F$11,0))*(1+IF(GO$4=$A21,Вводные!$D$5*INDEX(Вводные!$G$13:$G$64,MATCH($A21,Вводные!$A$13:$A$64,0)),0))</f>
        <v>3.5</v>
      </c>
      <c r="GP21" s="19" t="n">
        <f aca="false">INDEX(Вводные!$D$13:$F$64,MATCH($A21,Вводные!$A$13:$A$64,0),MATCH(GP$3,Вводные!$D$11:$F$11,0))*(1+IF(GP$4=$A21,Вводные!$D$5*INDEX(Вводные!$G$13:$G$64,MATCH($A21,Вводные!$A$13:$A$64,0)),0))</f>
        <v>3.5</v>
      </c>
      <c r="GQ21" s="19" t="n">
        <f aca="false">INDEX(Вводные!$D$13:$F$64,MATCH($A21,Вводные!$A$13:$A$64,0),MATCH(GQ$3,Вводные!$D$11:$F$11,0))*(1+IF(GQ$4=$A21,Вводные!$D$5*INDEX(Вводные!$G$13:$G$64,MATCH($A21,Вводные!$A$13:$A$64,0)),0))</f>
        <v>3.5</v>
      </c>
      <c r="GR21" s="19" t="n">
        <f aca="false">INDEX(Вводные!$D$13:$F$64,MATCH($A21,Вводные!$A$13:$A$64,0),MATCH(GR$3,Вводные!$D$11:$F$11,0))*(1+IF(GR$4=$A21,Вводные!$D$5*INDEX(Вводные!$G$13:$G$64,MATCH($A21,Вводные!$A$13:$A$64,0)),0))</f>
        <v>3.5</v>
      </c>
      <c r="GS21" s="19" t="n">
        <f aca="false">INDEX(Вводные!$D$13:$F$64,MATCH($A21,Вводные!$A$13:$A$64,0),MATCH(GS$3,Вводные!$D$11:$F$11,0))*(1+IF(GS$4=$A21,Вводные!$D$5*INDEX(Вводные!$G$13:$G$64,MATCH($A21,Вводные!$A$13:$A$64,0)),0))</f>
        <v>3.5</v>
      </c>
      <c r="GT21" s="19" t="n">
        <f aca="false">INDEX(Вводные!$D$13:$F$64,MATCH($A21,Вводные!$A$13:$A$64,0),MATCH(GT$3,Вводные!$D$11:$F$11,0))*(1+IF(GT$4=$A21,Вводные!$D$5*INDEX(Вводные!$G$13:$G$64,MATCH($A21,Вводные!$A$13:$A$64,0)),0))</f>
        <v>3.5</v>
      </c>
      <c r="GU21" s="19" t="n">
        <f aca="false">INDEX(Вводные!$D$13:$F$64,MATCH($A21,Вводные!$A$13:$A$64,0),MATCH(GU$3,Вводные!$D$11:$F$11,0))*(1+IF(GU$4=$A21,Вводные!$D$5*INDEX(Вводные!$G$13:$G$64,MATCH($A21,Вводные!$A$13:$A$64,0)),0))</f>
        <v>3.5</v>
      </c>
      <c r="GV21" s="19" t="n">
        <f aca="false">INDEX(Вводные!$D$13:$F$64,MATCH($A21,Вводные!$A$13:$A$64,0),MATCH(GV$3,Вводные!$D$11:$F$11,0))*(1+IF(GV$4=$A21,Вводные!$D$5*INDEX(Вводные!$G$13:$G$64,MATCH($A21,Вводные!$A$13:$A$64,0)),0))</f>
        <v>3.5</v>
      </c>
      <c r="GW21" s="19" t="n">
        <f aca="false">INDEX(Вводные!$D$13:$F$64,MATCH($A21,Вводные!$A$13:$A$64,0),MATCH(GW$3,Вводные!$D$11:$F$11,0))*(1+IF(GW$4=$A21,Вводные!$D$5*INDEX(Вводные!$G$13:$G$64,MATCH($A21,Вводные!$A$13:$A$64,0)),0))</f>
        <v>3.5</v>
      </c>
      <c r="GX21" s="19" t="n">
        <f aca="false">INDEX(Вводные!$D$13:$F$64,MATCH($A21,Вводные!$A$13:$A$64,0),MATCH(GX$3,Вводные!$D$11:$F$11,0))*(1+IF(GX$4=$A21,Вводные!$D$5*INDEX(Вводные!$G$13:$G$64,MATCH($A21,Вводные!$A$13:$A$64,0)),0))</f>
        <v>3.5</v>
      </c>
      <c r="GY21" s="19" t="n">
        <f aca="false">INDEX(Вводные!$D$13:$F$64,MATCH($A21,Вводные!$A$13:$A$64,0),MATCH(GY$3,Вводные!$D$11:$F$11,0))*(1+IF(GY$4=$A21,Вводные!$D$5*INDEX(Вводные!$G$13:$G$64,MATCH($A21,Вводные!$A$13:$A$64,0)),0))</f>
        <v>3.5</v>
      </c>
      <c r="GZ21" s="19" t="n">
        <f aca="false">INDEX(Вводные!$D$13:$F$64,MATCH($A21,Вводные!$A$13:$A$64,0),MATCH(GZ$3,Вводные!$D$11:$F$11,0))*(1+IF(GZ$4=$A21,Вводные!$D$5*INDEX(Вводные!$G$13:$G$64,MATCH($A21,Вводные!$A$13:$A$64,0)),0))</f>
        <v>3.5</v>
      </c>
      <c r="HA21" s="19" t="n">
        <f aca="false">INDEX(Вводные!$D$13:$F$64,MATCH($A21,Вводные!$A$13:$A$64,0),MATCH(HA$3,Вводные!$D$11:$F$11,0))*(1+IF(HA$4=$A21,Вводные!$D$5*INDEX(Вводные!$G$13:$G$64,MATCH($A21,Вводные!$A$13:$A$64,0)),0))</f>
        <v>3.5</v>
      </c>
      <c r="HB21" s="19" t="n">
        <f aca="false">INDEX(Вводные!$D$13:$F$64,MATCH($A21,Вводные!$A$13:$A$64,0),MATCH(HB$3,Вводные!$D$11:$F$11,0))*(1+IF(HB$4=$A21,Вводные!$D$5*INDEX(Вводные!$G$13:$G$64,MATCH($A21,Вводные!$A$13:$A$64,0)),0))</f>
        <v>3.5</v>
      </c>
      <c r="HC21" s="19" t="n">
        <f aca="false">INDEX(Вводные!$D$13:$F$64,MATCH($A21,Вводные!$A$13:$A$64,0),MATCH(HC$3,Вводные!$D$11:$F$11,0))*(1+IF(HC$4=$A21,Вводные!$D$5*INDEX(Вводные!$G$13:$G$64,MATCH($A21,Вводные!$A$13:$A$64,0)),0))</f>
        <v>3.5</v>
      </c>
      <c r="HD21" s="19" t="n">
        <f aca="false">INDEX(Вводные!$D$13:$F$64,MATCH($A21,Вводные!$A$13:$A$64,0),MATCH(HD$3,Вводные!$D$11:$F$11,0))*(1+IF(HD$4=$A21,Вводные!$D$5*INDEX(Вводные!$G$13:$G$64,MATCH($A21,Вводные!$A$13:$A$64,0)),0))</f>
        <v>3.5</v>
      </c>
      <c r="HE21" s="19" t="n">
        <f aca="false">INDEX(Вводные!$D$13:$F$64,MATCH($A21,Вводные!$A$13:$A$64,0),MATCH(HE$3,Вводные!$D$11:$F$11,0))*(1+IF(HE$4=$A21,Вводные!$D$5*INDEX(Вводные!$G$13:$G$64,MATCH($A21,Вводные!$A$13:$A$64,0)),0))</f>
        <v>3.5</v>
      </c>
      <c r="HF21" s="19" t="n">
        <f aca="false">INDEX(Вводные!$D$13:$F$64,MATCH($A21,Вводные!$A$13:$A$64,0),MATCH(HF$3,Вводные!$D$11:$F$11,0))*(1+IF(HF$4=$A21,Вводные!$D$5*INDEX(Вводные!$G$13:$G$64,MATCH($A21,Вводные!$A$13:$A$64,0)),0))</f>
        <v>3.5</v>
      </c>
      <c r="HG21" s="19" t="n">
        <f aca="false">INDEX(Вводные!$D$13:$F$64,MATCH($A21,Вводные!$A$13:$A$64,0),MATCH(HG$3,Вводные!$D$11:$F$11,0))*(1+IF(HG$4=$A21,Вводные!$D$5*INDEX(Вводные!$G$13:$G$64,MATCH($A21,Вводные!$A$13:$A$64,0)),0))</f>
        <v>3.5</v>
      </c>
      <c r="HH21" s="19" t="n">
        <f aca="false">INDEX(Вводные!$D$13:$F$64,MATCH($A21,Вводные!$A$13:$A$64,0),MATCH(HH$3,Вводные!$D$11:$F$11,0))*(1+IF(HH$4=$A21,Вводные!$D$5*INDEX(Вводные!$G$13:$G$64,MATCH($A21,Вводные!$A$13:$A$64,0)),0))</f>
        <v>3.5</v>
      </c>
      <c r="HI21" s="19" t="n">
        <f aca="false">INDEX(Вводные!$D$13:$F$64,MATCH($A21,Вводные!$A$13:$A$64,0),MATCH(HI$3,Вводные!$D$11:$F$11,0))*(1+IF(HI$4=$A21,Вводные!$D$5*INDEX(Вводные!$G$13:$G$64,MATCH($A21,Вводные!$A$13:$A$64,0)),0))</f>
        <v>3.5</v>
      </c>
      <c r="HJ21" s="19" t="n">
        <f aca="false">INDEX(Вводные!$D$13:$F$64,MATCH($A21,Вводные!$A$13:$A$64,0),MATCH(HJ$3,Вводные!$D$11:$F$11,0))*(1+IF(HJ$4=$A21,Вводные!$D$5*INDEX(Вводные!$G$13:$G$64,MATCH($A21,Вводные!$A$13:$A$64,0)),0))</f>
        <v>3.5</v>
      </c>
      <c r="HK21" s="19" t="n">
        <f aca="false">INDEX(Вводные!$D$13:$F$64,MATCH($A21,Вводные!$A$13:$A$64,0),MATCH(HK$3,Вводные!$D$11:$F$11,0))*(1+IF(HK$4=$A21,Вводные!$D$5*INDEX(Вводные!$G$13:$G$64,MATCH($A21,Вводные!$A$13:$A$64,0)),0))</f>
        <v>3.5</v>
      </c>
      <c r="HL21" s="19" t="n">
        <f aca="false">INDEX(Вводные!$D$13:$F$64,MATCH($A21,Вводные!$A$13:$A$64,0),MATCH(HL$3,Вводные!$D$11:$F$11,0))*(1+IF(HL$4=$A21,Вводные!$D$5*INDEX(Вводные!$G$13:$G$64,MATCH($A21,Вводные!$A$13:$A$64,0)),0))</f>
        <v>130</v>
      </c>
      <c r="HM21" s="19" t="n">
        <f aca="false">INDEX(Вводные!$D$13:$F$64,MATCH($A21,Вводные!$A$13:$A$64,0),MATCH(HM$3,Вводные!$D$11:$F$11,0))*(1+IF(HM$4=$A21,Вводные!$D$5*INDEX(Вводные!$G$13:$G$64,MATCH($A21,Вводные!$A$13:$A$64,0)),0))</f>
        <v>130</v>
      </c>
      <c r="HN21" s="19" t="n">
        <f aca="false">INDEX(Вводные!$D$13:$F$64,MATCH($A21,Вводные!$A$13:$A$64,0),MATCH(HN$3,Вводные!$D$11:$F$11,0))*(1+IF(HN$4=$A21,Вводные!$D$5*INDEX(Вводные!$G$13:$G$64,MATCH($A21,Вводные!$A$13:$A$64,0)),0))</f>
        <v>130</v>
      </c>
      <c r="HO21" s="19" t="n">
        <f aca="false">INDEX(Вводные!$D$13:$F$64,MATCH($A21,Вводные!$A$13:$A$64,0),MATCH(HO$3,Вводные!$D$11:$F$11,0))*(1+IF(HO$4=$A21,Вводные!$D$5*INDEX(Вводные!$G$13:$G$64,MATCH($A21,Вводные!$A$13:$A$64,0)),0))</f>
        <v>130</v>
      </c>
      <c r="HP21" s="19" t="n">
        <f aca="false">INDEX(Вводные!$D$13:$F$64,MATCH($A21,Вводные!$A$13:$A$64,0),MATCH(HP$3,Вводные!$D$11:$F$11,0))*(1+IF(HP$4=$A21,Вводные!$D$5*INDEX(Вводные!$G$13:$G$64,MATCH($A21,Вводные!$A$13:$A$64,0)),0))</f>
        <v>130</v>
      </c>
      <c r="HQ21" s="19" t="n">
        <f aca="false">INDEX(Вводные!$D$13:$F$64,MATCH($A21,Вводные!$A$13:$A$64,0),MATCH(HQ$3,Вводные!$D$11:$F$11,0))*(1+IF(HQ$4=$A21,Вводные!$D$5*INDEX(Вводные!$G$13:$G$64,MATCH($A21,Вводные!$A$13:$A$64,0)),0))</f>
        <v>130</v>
      </c>
      <c r="HR21" s="19" t="n">
        <f aca="false">INDEX(Вводные!$D$13:$F$64,MATCH($A21,Вводные!$A$13:$A$64,0),MATCH(HR$3,Вводные!$D$11:$F$11,0))*(1+IF(HR$4=$A21,Вводные!$D$5*INDEX(Вводные!$G$13:$G$64,MATCH($A21,Вводные!$A$13:$A$64,0)),0))</f>
        <v>131.3</v>
      </c>
      <c r="HS21" s="19" t="n">
        <f aca="false">INDEX(Вводные!$D$13:$F$64,MATCH($A21,Вводные!$A$13:$A$64,0),MATCH(HS$3,Вводные!$D$11:$F$11,0))*(1+IF(HS$4=$A21,Вводные!$D$5*INDEX(Вводные!$G$13:$G$64,MATCH($A21,Вводные!$A$13:$A$64,0)),0))</f>
        <v>130</v>
      </c>
      <c r="HT21" s="19" t="n">
        <f aca="false">INDEX(Вводные!$D$13:$F$64,MATCH($A21,Вводные!$A$13:$A$64,0),MATCH(HT$3,Вводные!$D$11:$F$11,0))*(1+IF(HT$4=$A21,Вводные!$D$5*INDEX(Вводные!$G$13:$G$64,MATCH($A21,Вводные!$A$13:$A$64,0)),0))</f>
        <v>130</v>
      </c>
      <c r="HU21" s="19" t="n">
        <f aca="false">INDEX(Вводные!$D$13:$F$64,MATCH($A21,Вводные!$A$13:$A$64,0),MATCH(HU$3,Вводные!$D$11:$F$11,0))*(1+IF(HU$4=$A21,Вводные!$D$5*INDEX(Вводные!$G$13:$G$64,MATCH($A21,Вводные!$A$13:$A$64,0)),0))</f>
        <v>130</v>
      </c>
      <c r="HV21" s="19" t="n">
        <f aca="false">INDEX(Вводные!$D$13:$F$64,MATCH($A21,Вводные!$A$13:$A$64,0),MATCH(HV$3,Вводные!$D$11:$F$11,0))*(1+IF(HV$4=$A21,Вводные!$D$5*INDEX(Вводные!$G$13:$G$64,MATCH($A21,Вводные!$A$13:$A$64,0)),0))</f>
        <v>130</v>
      </c>
      <c r="HW21" s="19" t="n">
        <f aca="false">INDEX(Вводные!$D$13:$F$64,MATCH($A21,Вводные!$A$13:$A$64,0),MATCH(HW$3,Вводные!$D$11:$F$11,0))*(1+IF(HW$4=$A21,Вводные!$D$5*INDEX(Вводные!$G$13:$G$64,MATCH($A21,Вводные!$A$13:$A$64,0)),0))</f>
        <v>130</v>
      </c>
      <c r="HX21" s="19" t="n">
        <f aca="false">INDEX(Вводные!$D$13:$F$64,MATCH($A21,Вводные!$A$13:$A$64,0),MATCH(HX$3,Вводные!$D$11:$F$11,0))*(1+IF(HX$4=$A21,Вводные!$D$5*INDEX(Вводные!$G$13:$G$64,MATCH($A21,Вводные!$A$13:$A$64,0)),0))</f>
        <v>130</v>
      </c>
      <c r="HY21" s="19" t="n">
        <f aca="false">INDEX(Вводные!$D$13:$F$64,MATCH($A21,Вводные!$A$13:$A$64,0),MATCH(HY$3,Вводные!$D$11:$F$11,0))*(1+IF(HY$4=$A21,Вводные!$D$5*INDEX(Вводные!$G$13:$G$64,MATCH($A21,Вводные!$A$13:$A$64,0)),0))</f>
        <v>130</v>
      </c>
      <c r="HZ21" s="19" t="n">
        <f aca="false">INDEX(Вводные!$D$13:$F$64,MATCH($A21,Вводные!$A$13:$A$64,0),MATCH(HZ$3,Вводные!$D$11:$F$11,0))*(1+IF(HZ$4=$A21,Вводные!$D$5*INDEX(Вводные!$G$13:$G$64,MATCH($A21,Вводные!$A$13:$A$64,0)),0))</f>
        <v>130</v>
      </c>
      <c r="IA21" s="19" t="n">
        <f aca="false">INDEX(Вводные!$D$13:$F$64,MATCH($A21,Вводные!$A$13:$A$64,0),MATCH(IA$3,Вводные!$D$11:$F$11,0))*(1+IF(IA$4=$A21,Вводные!$D$5*INDEX(Вводные!$G$13:$G$64,MATCH($A21,Вводные!$A$13:$A$64,0)),0))</f>
        <v>130</v>
      </c>
      <c r="IB21" s="19" t="n">
        <f aca="false">INDEX(Вводные!$D$13:$F$64,MATCH($A21,Вводные!$A$13:$A$64,0),MATCH(IB$3,Вводные!$D$11:$F$11,0))*(1+IF(IB$4=$A21,Вводные!$D$5*INDEX(Вводные!$G$13:$G$64,MATCH($A21,Вводные!$A$13:$A$64,0)),0))</f>
        <v>130</v>
      </c>
      <c r="IC21" s="19" t="n">
        <f aca="false">INDEX(Вводные!$D$13:$F$64,MATCH($A21,Вводные!$A$13:$A$64,0),MATCH(IC$3,Вводные!$D$11:$F$11,0))*(1+IF(IC$4=$A21,Вводные!$D$5*INDEX(Вводные!$G$13:$G$64,MATCH($A21,Вводные!$A$13:$A$64,0)),0))</f>
        <v>130</v>
      </c>
      <c r="ID21" s="19" t="n">
        <f aca="false">INDEX(Вводные!$D$13:$F$64,MATCH($A21,Вводные!$A$13:$A$64,0),MATCH(ID$3,Вводные!$D$11:$F$11,0))*(1+IF(ID$4=$A21,Вводные!$D$5*INDEX(Вводные!$G$13:$G$64,MATCH($A21,Вводные!$A$13:$A$64,0)),0))</f>
        <v>130</v>
      </c>
      <c r="IE21" s="19" t="n">
        <f aca="false">INDEX(Вводные!$D$13:$F$64,MATCH($A21,Вводные!$A$13:$A$64,0),MATCH(IE$3,Вводные!$D$11:$F$11,0))*(1+IF(IE$4=$A21,Вводные!$D$5*INDEX(Вводные!$G$13:$G$64,MATCH($A21,Вводные!$A$13:$A$64,0)),0))</f>
        <v>130</v>
      </c>
      <c r="IF21" s="19" t="n">
        <f aca="false">INDEX(Вводные!$D$13:$F$64,MATCH($A21,Вводные!$A$13:$A$64,0),MATCH(IF$3,Вводные!$D$11:$F$11,0))*(1+IF(IF$4=$A21,Вводные!$D$5*INDEX(Вводные!$G$13:$G$64,MATCH($A21,Вводные!$A$13:$A$64,0)),0))</f>
        <v>130</v>
      </c>
      <c r="IG21" s="19" t="n">
        <f aca="false">INDEX(Вводные!$D$13:$F$64,MATCH($A21,Вводные!$A$13:$A$64,0),MATCH(IG$3,Вводные!$D$11:$F$11,0))*(1+IF(IG$4=$A21,Вводные!$D$5*INDEX(Вводные!$G$13:$G$64,MATCH($A21,Вводные!$A$13:$A$64,0)),0))</f>
        <v>130</v>
      </c>
      <c r="IH21" s="19" t="n">
        <f aca="false">INDEX(Вводные!$D$13:$F$64,MATCH($A21,Вводные!$A$13:$A$64,0),MATCH(IH$3,Вводные!$D$11:$F$11,0))*(1+IF(IH$4=$A21,Вводные!$D$5*INDEX(Вводные!$G$13:$G$64,MATCH($A21,Вводные!$A$13:$A$64,0)),0))</f>
        <v>130</v>
      </c>
      <c r="II21" s="19" t="n">
        <f aca="false">INDEX(Вводные!$D$13:$F$64,MATCH($A21,Вводные!$A$13:$A$64,0),MATCH(II$3,Вводные!$D$11:$F$11,0))*(1+IF(II$4=$A21,Вводные!$D$5*INDEX(Вводные!$G$13:$G$64,MATCH($A21,Вводные!$A$13:$A$64,0)),0))</f>
        <v>130</v>
      </c>
      <c r="IJ21" s="19" t="n">
        <f aca="false">INDEX(Вводные!$D$13:$F$64,MATCH($A21,Вводные!$A$13:$A$64,0),MATCH(IJ$3,Вводные!$D$11:$F$11,0))*(1+IF(IJ$4=$A21,Вводные!$D$5*INDEX(Вводные!$G$13:$G$64,MATCH($A21,Вводные!$A$13:$A$64,0)),0))</f>
        <v>130</v>
      </c>
      <c r="IK21" s="19" t="n">
        <f aca="false">INDEX(Вводные!$D$13:$F$64,MATCH($A21,Вводные!$A$13:$A$64,0),MATCH(IK$3,Вводные!$D$11:$F$11,0))*(1+IF(IK$4=$A21,Вводные!$D$5*INDEX(Вводные!$G$13:$G$64,MATCH($A21,Вводные!$A$13:$A$64,0)),0))</f>
        <v>130</v>
      </c>
      <c r="IL21" s="19" t="n">
        <f aca="false">INDEX(Вводные!$D$13:$F$64,MATCH($A21,Вводные!$A$13:$A$64,0),MATCH(IL$3,Вводные!$D$11:$F$11,0))*(1+IF(IL$4=$A21,Вводные!$D$5*INDEX(Вводные!$G$13:$G$64,MATCH($A21,Вводные!$A$13:$A$64,0)),0))</f>
        <v>130</v>
      </c>
      <c r="IM21" s="19" t="n">
        <f aca="false">INDEX(Вводные!$D$13:$F$64,MATCH($A21,Вводные!$A$13:$A$64,0),MATCH(IM$3,Вводные!$D$11:$F$11,0))*(1+IF(IM$4=$A21,Вводные!$D$5*INDEX(Вводные!$G$13:$G$64,MATCH($A21,Вводные!$A$13:$A$64,0)),0))</f>
        <v>130</v>
      </c>
      <c r="IN21" s="19" t="n">
        <f aca="false">INDEX(Вводные!$D$13:$F$64,MATCH($A21,Вводные!$A$13:$A$64,0),MATCH(IN$3,Вводные!$D$11:$F$11,0))*(1+IF(IN$4=$A21,Вводные!$D$5*INDEX(Вводные!$G$13:$G$64,MATCH($A21,Вводные!$A$13:$A$64,0)),0))</f>
        <v>130</v>
      </c>
      <c r="IO21" s="19" t="n">
        <f aca="false">INDEX(Вводные!$D$13:$F$64,MATCH($A21,Вводные!$A$13:$A$64,0),MATCH(IO$3,Вводные!$D$11:$F$11,0))*(1+IF(IO$4=$A21,Вводные!$D$5*INDEX(Вводные!$G$13:$G$64,MATCH($A21,Вводные!$A$13:$A$64,0)),0))</f>
        <v>130</v>
      </c>
      <c r="IP21" s="19" t="n">
        <f aca="false">INDEX(Вводные!$D$13:$F$64,MATCH($A21,Вводные!$A$13:$A$64,0),MATCH(IP$3,Вводные!$D$11:$F$11,0))*(1+IF(IP$4=$A21,Вводные!$D$5*INDEX(Вводные!$G$13:$G$64,MATCH($A21,Вводные!$A$13:$A$64,0)),0))</f>
        <v>130</v>
      </c>
      <c r="IQ21" s="19" t="n">
        <f aca="false">INDEX(Вводные!$D$13:$F$64,MATCH($A21,Вводные!$A$13:$A$64,0),MATCH(IQ$3,Вводные!$D$11:$F$11,0))*(1+IF(IQ$4=$A21,Вводные!$D$5*INDEX(Вводные!$G$13:$G$64,MATCH($A21,Вводные!$A$13:$A$64,0)),0))</f>
        <v>130</v>
      </c>
      <c r="IR21" s="19" t="n">
        <f aca="false">INDEX(Вводные!$D$13:$F$64,MATCH($A21,Вводные!$A$13:$A$64,0),MATCH(IR$3,Вводные!$D$11:$F$11,0))*(1+IF(IR$4=$A21,Вводные!$D$5*INDEX(Вводные!$G$13:$G$64,MATCH($A21,Вводные!$A$13:$A$64,0)),0))</f>
        <v>130</v>
      </c>
      <c r="IS21" s="19" t="n">
        <f aca="false">INDEX(Вводные!$D$13:$F$64,MATCH($A21,Вводные!$A$13:$A$64,0),MATCH(IS$3,Вводные!$D$11:$F$11,0))*(1+IF(IS$4=$A21,Вводные!$D$5*INDEX(Вводные!$G$13:$G$64,MATCH($A21,Вводные!$A$13:$A$64,0)),0))</f>
        <v>130</v>
      </c>
      <c r="IT21" s="19" t="n">
        <f aca="false">INDEX(Вводные!$D$13:$F$64,MATCH($A21,Вводные!$A$13:$A$64,0),MATCH(IT$3,Вводные!$D$11:$F$11,0))*(1+IF(IT$4=$A21,Вводные!$D$5*INDEX(Вводные!$G$13:$G$64,MATCH($A21,Вводные!$A$13:$A$64,0)),0))</f>
        <v>130</v>
      </c>
      <c r="IU21" s="19" t="n">
        <f aca="false">INDEX(Вводные!$D$13:$F$64,MATCH($A21,Вводные!$A$13:$A$64,0),MATCH(IU$3,Вводные!$D$11:$F$11,0))*(1+IF(IU$4=$A21,Вводные!$D$5*INDEX(Вводные!$G$13:$G$64,MATCH($A21,Вводные!$A$13:$A$64,0)),0))</f>
        <v>130</v>
      </c>
      <c r="IV21" s="19" t="n">
        <f aca="false">INDEX(Вводные!$D$13:$F$64,MATCH($A21,Вводные!$A$13:$A$64,0),MATCH(IV$3,Вводные!$D$11:$F$11,0))*(1+IF(IV$4=$A21,Вводные!$D$5*INDEX(Вводные!$G$13:$G$64,MATCH($A21,Вводные!$A$13:$A$64,0)),0))</f>
        <v>130</v>
      </c>
      <c r="IW21" s="19" t="n">
        <f aca="false">INDEX(Вводные!$D$13:$F$64,MATCH($A21,Вводные!$A$13:$A$64,0),MATCH(IW$3,Вводные!$D$11:$F$11,0))*(1+IF(IW$4=$A21,Вводные!$D$5*INDEX(Вводные!$G$13:$G$64,MATCH($A21,Вводные!$A$13:$A$64,0)),0))</f>
        <v>130</v>
      </c>
      <c r="IX21" s="19" t="n">
        <f aca="false">INDEX(Вводные!$D$13:$F$64,MATCH($A21,Вводные!$A$13:$A$64,0),MATCH(IX$3,Вводные!$D$11:$F$11,0))*(1+IF(IX$4=$A21,Вводные!$D$5*INDEX(Вводные!$G$13:$G$64,MATCH($A21,Вводные!$A$13:$A$64,0)),0))</f>
        <v>130</v>
      </c>
      <c r="IY21" s="19" t="n">
        <f aca="false">INDEX(Вводные!$D$13:$F$64,MATCH($A21,Вводные!$A$13:$A$64,0),MATCH(IY$3,Вводные!$D$11:$F$11,0))*(1+IF(IY$4=$A21,Вводные!$D$5*INDEX(Вводные!$G$13:$G$64,MATCH($A21,Вводные!$A$13:$A$64,0)),0))</f>
        <v>130</v>
      </c>
      <c r="IZ21" s="19" t="n">
        <f aca="false">INDEX(Вводные!$D$13:$F$64,MATCH($A21,Вводные!$A$13:$A$64,0),MATCH(IZ$3,Вводные!$D$11:$F$11,0))*(1+IF(IZ$4=$A21,Вводные!$D$5*INDEX(Вводные!$G$13:$G$64,MATCH($A21,Вводные!$A$13:$A$64,0)),0))</f>
        <v>130</v>
      </c>
      <c r="JA21" s="19" t="n">
        <f aca="false">INDEX(Вводные!$D$13:$F$64,MATCH($A21,Вводные!$A$13:$A$64,0),MATCH(JA$3,Вводные!$D$11:$F$11,0))*(1+IF(JA$4=$A21,Вводные!$D$5*INDEX(Вводные!$G$13:$G$64,MATCH($A21,Вводные!$A$13:$A$64,0)),0))</f>
        <v>130</v>
      </c>
    </row>
    <row r="22" customFormat="false" ht="15" hidden="false" customHeight="false" outlineLevel="0" collapsed="false">
      <c r="A22" s="13" t="s">
        <v>190</v>
      </c>
      <c r="B22" s="13" t="s">
        <v>191</v>
      </c>
      <c r="C22" s="13" t="s">
        <v>179</v>
      </c>
      <c r="D22" s="9" t="s">
        <v>36</v>
      </c>
      <c r="E22" s="14" t="n">
        <f aca="false">INDEX(Вводные!$D$13:$F$64,MATCH($A22,Вводные!$A$13:$A$64,0),MATCH(E$3,Вводные!$D$11:$F$11,0))*(1+IF(E$4=$A22,Вводные!$D$5*INDEX(Вводные!$G$13:$G$64,MATCH($A22,Вводные!$A$13:$A$64,0)),0))</f>
        <v>800</v>
      </c>
      <c r="F22" s="14" t="n">
        <f aca="false">INDEX(Вводные!$D$13:$F$64,MATCH($A22,Вводные!$A$13:$A$64,0),MATCH(F$3,Вводные!$D$11:$F$11,0))*(1+IF(F$4=$A22,Вводные!$D$5*INDEX(Вводные!$G$13:$G$64,MATCH($A22,Вводные!$A$13:$A$64,0)),0))</f>
        <v>15000</v>
      </c>
      <c r="G22" s="14" t="n">
        <f aca="false">INDEX(Вводные!$D$13:$F$64,MATCH($A22,Вводные!$A$13:$A$64,0),MATCH(G$3,Вводные!$D$11:$F$11,0))*(1+IF(G$4=$A22,Вводные!$D$5*INDEX(Вводные!$G$13:$G$64,MATCH($A22,Вводные!$A$13:$A$64,0)),0))</f>
        <v>100000</v>
      </c>
      <c r="H22" s="59"/>
      <c r="J22" s="14" t="n">
        <f aca="false">INDEX(Вводные!$D$13:$F$64,MATCH($A22,Вводные!$A$13:$A$64,0),MATCH(J$3,Вводные!$D$11:$F$11,0))*(1+IF(J$4=$A22,Вводные!$D$5*INDEX(Вводные!$G$13:$G$64,MATCH($A22,Вводные!$A$13:$A$64,0)),0))</f>
        <v>800</v>
      </c>
      <c r="K22" s="14" t="n">
        <f aca="false">INDEX(Вводные!$D$13:$F$64,MATCH($A22,Вводные!$A$13:$A$64,0),MATCH(K$3,Вводные!$D$11:$F$11,0))*(1+IF(K$4=$A22,Вводные!$D$5*INDEX(Вводные!$G$13:$G$64,MATCH($A22,Вводные!$A$13:$A$64,0)),0))</f>
        <v>800</v>
      </c>
      <c r="L22" s="14" t="n">
        <f aca="false">INDEX(Вводные!$D$13:$F$64,MATCH($A22,Вводные!$A$13:$A$64,0),MATCH(L$3,Вводные!$D$11:$F$11,0))*(1+IF(L$4=$A22,Вводные!$D$5*INDEX(Вводные!$G$13:$G$64,MATCH($A22,Вводные!$A$13:$A$64,0)),0))</f>
        <v>800</v>
      </c>
      <c r="M22" s="14" t="n">
        <f aca="false">INDEX(Вводные!$D$13:$F$64,MATCH($A22,Вводные!$A$13:$A$64,0),MATCH(M$3,Вводные!$D$11:$F$11,0))*(1+IF(M$4=$A22,Вводные!$D$5*INDEX(Вводные!$G$13:$G$64,MATCH($A22,Вводные!$A$13:$A$64,0)),0))</f>
        <v>800</v>
      </c>
      <c r="N22" s="14" t="n">
        <f aca="false">INDEX(Вводные!$D$13:$F$64,MATCH($A22,Вводные!$A$13:$A$64,0),MATCH(N$3,Вводные!$D$11:$F$11,0))*(1+IF(N$4=$A22,Вводные!$D$5*INDEX(Вводные!$G$13:$G$64,MATCH($A22,Вводные!$A$13:$A$64,0)),0))</f>
        <v>800</v>
      </c>
      <c r="O22" s="14" t="n">
        <f aca="false">INDEX(Вводные!$D$13:$F$64,MATCH($A22,Вводные!$A$13:$A$64,0),MATCH(O$3,Вводные!$D$11:$F$11,0))*(1+IF(O$4=$A22,Вводные!$D$5*INDEX(Вводные!$G$13:$G$64,MATCH($A22,Вводные!$A$13:$A$64,0)),0))</f>
        <v>800</v>
      </c>
      <c r="P22" s="14" t="n">
        <f aca="false">INDEX(Вводные!$D$13:$F$64,MATCH($A22,Вводные!$A$13:$A$64,0),MATCH(P$3,Вводные!$D$11:$F$11,0))*(1+IF(P$4=$A22,Вводные!$D$5*INDEX(Вводные!$G$13:$G$64,MATCH($A22,Вводные!$A$13:$A$64,0)),0))</f>
        <v>800</v>
      </c>
      <c r="Q22" s="14" t="n">
        <f aca="false">INDEX(Вводные!$D$13:$F$64,MATCH($A22,Вводные!$A$13:$A$64,0),MATCH(Q$3,Вводные!$D$11:$F$11,0))*(1+IF(Q$4=$A22,Вводные!$D$5*INDEX(Вводные!$G$13:$G$64,MATCH($A22,Вводные!$A$13:$A$64,0)),0))</f>
        <v>808</v>
      </c>
      <c r="R22" s="14" t="n">
        <f aca="false">INDEX(Вводные!$D$13:$F$64,MATCH($A22,Вводные!$A$13:$A$64,0),MATCH(R$3,Вводные!$D$11:$F$11,0))*(1+IF(R$4=$A22,Вводные!$D$5*INDEX(Вводные!$G$13:$G$64,MATCH($A22,Вводные!$A$13:$A$64,0)),0))</f>
        <v>800</v>
      </c>
      <c r="S22" s="14" t="n">
        <f aca="false">INDEX(Вводные!$D$13:$F$64,MATCH($A22,Вводные!$A$13:$A$64,0),MATCH(S$3,Вводные!$D$11:$F$11,0))*(1+IF(S$4=$A22,Вводные!$D$5*INDEX(Вводные!$G$13:$G$64,MATCH($A22,Вводные!$A$13:$A$64,0)),0))</f>
        <v>800</v>
      </c>
      <c r="T22" s="14" t="n">
        <f aca="false">INDEX(Вводные!$D$13:$F$64,MATCH($A22,Вводные!$A$13:$A$64,0),MATCH(T$3,Вводные!$D$11:$F$11,0))*(1+IF(T$4=$A22,Вводные!$D$5*INDEX(Вводные!$G$13:$G$64,MATCH($A22,Вводные!$A$13:$A$64,0)),0))</f>
        <v>800</v>
      </c>
      <c r="U22" s="14" t="n">
        <f aca="false">INDEX(Вводные!$D$13:$F$64,MATCH($A22,Вводные!$A$13:$A$64,0),MATCH(U$3,Вводные!$D$11:$F$11,0))*(1+IF(U$4=$A22,Вводные!$D$5*INDEX(Вводные!$G$13:$G$64,MATCH($A22,Вводные!$A$13:$A$64,0)),0))</f>
        <v>800</v>
      </c>
      <c r="V22" s="14" t="n">
        <f aca="false">INDEX(Вводные!$D$13:$F$64,MATCH($A22,Вводные!$A$13:$A$64,0),MATCH(V$3,Вводные!$D$11:$F$11,0))*(1+IF(V$4=$A22,Вводные!$D$5*INDEX(Вводные!$G$13:$G$64,MATCH($A22,Вводные!$A$13:$A$64,0)),0))</f>
        <v>800</v>
      </c>
      <c r="W22" s="14" t="n">
        <f aca="false">INDEX(Вводные!$D$13:$F$64,MATCH($A22,Вводные!$A$13:$A$64,0),MATCH(W$3,Вводные!$D$11:$F$11,0))*(1+IF(W$4=$A22,Вводные!$D$5*INDEX(Вводные!$G$13:$G$64,MATCH($A22,Вводные!$A$13:$A$64,0)),0))</f>
        <v>800</v>
      </c>
      <c r="X22" s="14" t="n">
        <f aca="false">INDEX(Вводные!$D$13:$F$64,MATCH($A22,Вводные!$A$13:$A$64,0),MATCH(X$3,Вводные!$D$11:$F$11,0))*(1+IF(X$4=$A22,Вводные!$D$5*INDEX(Вводные!$G$13:$G$64,MATCH($A22,Вводные!$A$13:$A$64,0)),0))</f>
        <v>800</v>
      </c>
      <c r="Y22" s="14" t="n">
        <f aca="false">INDEX(Вводные!$D$13:$F$64,MATCH($A22,Вводные!$A$13:$A$64,0),MATCH(Y$3,Вводные!$D$11:$F$11,0))*(1+IF(Y$4=$A22,Вводные!$D$5*INDEX(Вводные!$G$13:$G$64,MATCH($A22,Вводные!$A$13:$A$64,0)),0))</f>
        <v>800</v>
      </c>
      <c r="Z22" s="14" t="n">
        <f aca="false">INDEX(Вводные!$D$13:$F$64,MATCH($A22,Вводные!$A$13:$A$64,0),MATCH(Z$3,Вводные!$D$11:$F$11,0))*(1+IF(Z$4=$A22,Вводные!$D$5*INDEX(Вводные!$G$13:$G$64,MATCH($A22,Вводные!$A$13:$A$64,0)),0))</f>
        <v>800</v>
      </c>
      <c r="AA22" s="14" t="n">
        <f aca="false">INDEX(Вводные!$D$13:$F$64,MATCH($A22,Вводные!$A$13:$A$64,0),MATCH(AA$3,Вводные!$D$11:$F$11,0))*(1+IF(AA$4=$A22,Вводные!$D$5*INDEX(Вводные!$G$13:$G$64,MATCH($A22,Вводные!$A$13:$A$64,0)),0))</f>
        <v>800</v>
      </c>
      <c r="AB22" s="14" t="n">
        <f aca="false">INDEX(Вводные!$D$13:$F$64,MATCH($A22,Вводные!$A$13:$A$64,0),MATCH(AB$3,Вводные!$D$11:$F$11,0))*(1+IF(AB$4=$A22,Вводные!$D$5*INDEX(Вводные!$G$13:$G$64,MATCH($A22,Вводные!$A$13:$A$64,0)),0))</f>
        <v>800</v>
      </c>
      <c r="AC22" s="14" t="n">
        <f aca="false">INDEX(Вводные!$D$13:$F$64,MATCH($A22,Вводные!$A$13:$A$64,0),MATCH(AC$3,Вводные!$D$11:$F$11,0))*(1+IF(AC$4=$A22,Вводные!$D$5*INDEX(Вводные!$G$13:$G$64,MATCH($A22,Вводные!$A$13:$A$64,0)),0))</f>
        <v>800</v>
      </c>
      <c r="AD22" s="14" t="n">
        <f aca="false">INDEX(Вводные!$D$13:$F$64,MATCH($A22,Вводные!$A$13:$A$64,0),MATCH(AD$3,Вводные!$D$11:$F$11,0))*(1+IF(AD$4=$A22,Вводные!$D$5*INDEX(Вводные!$G$13:$G$64,MATCH($A22,Вводные!$A$13:$A$64,0)),0))</f>
        <v>800</v>
      </c>
      <c r="AE22" s="14" t="n">
        <f aca="false">INDEX(Вводные!$D$13:$F$64,MATCH($A22,Вводные!$A$13:$A$64,0),MATCH(AE$3,Вводные!$D$11:$F$11,0))*(1+IF(AE$4=$A22,Вводные!$D$5*INDEX(Вводные!$G$13:$G$64,MATCH($A22,Вводные!$A$13:$A$64,0)),0))</f>
        <v>800</v>
      </c>
      <c r="AF22" s="14" t="n">
        <f aca="false">INDEX(Вводные!$D$13:$F$64,MATCH($A22,Вводные!$A$13:$A$64,0),MATCH(AF$3,Вводные!$D$11:$F$11,0))*(1+IF(AF$4=$A22,Вводные!$D$5*INDEX(Вводные!$G$13:$G$64,MATCH($A22,Вводные!$A$13:$A$64,0)),0))</f>
        <v>800</v>
      </c>
      <c r="AG22" s="14" t="n">
        <f aca="false">INDEX(Вводные!$D$13:$F$64,MATCH($A22,Вводные!$A$13:$A$64,0),MATCH(AG$3,Вводные!$D$11:$F$11,0))*(1+IF(AG$4=$A22,Вводные!$D$5*INDEX(Вводные!$G$13:$G$64,MATCH($A22,Вводные!$A$13:$A$64,0)),0))</f>
        <v>800</v>
      </c>
      <c r="AH22" s="14" t="n">
        <f aca="false">INDEX(Вводные!$D$13:$F$64,MATCH($A22,Вводные!$A$13:$A$64,0),MATCH(AH$3,Вводные!$D$11:$F$11,0))*(1+IF(AH$4=$A22,Вводные!$D$5*INDEX(Вводные!$G$13:$G$64,MATCH($A22,Вводные!$A$13:$A$64,0)),0))</f>
        <v>800</v>
      </c>
      <c r="AI22" s="14" t="n">
        <f aca="false">INDEX(Вводные!$D$13:$F$64,MATCH($A22,Вводные!$A$13:$A$64,0),MATCH(AI$3,Вводные!$D$11:$F$11,0))*(1+IF(AI$4=$A22,Вводные!$D$5*INDEX(Вводные!$G$13:$G$64,MATCH($A22,Вводные!$A$13:$A$64,0)),0))</f>
        <v>800</v>
      </c>
      <c r="AJ22" s="14" t="n">
        <f aca="false">INDEX(Вводные!$D$13:$F$64,MATCH($A22,Вводные!$A$13:$A$64,0),MATCH(AJ$3,Вводные!$D$11:$F$11,0))*(1+IF(AJ$4=$A22,Вводные!$D$5*INDEX(Вводные!$G$13:$G$64,MATCH($A22,Вводные!$A$13:$A$64,0)),0))</f>
        <v>800</v>
      </c>
      <c r="AK22" s="14" t="n">
        <f aca="false">INDEX(Вводные!$D$13:$F$64,MATCH($A22,Вводные!$A$13:$A$64,0),MATCH(AK$3,Вводные!$D$11:$F$11,0))*(1+IF(AK$4=$A22,Вводные!$D$5*INDEX(Вводные!$G$13:$G$64,MATCH($A22,Вводные!$A$13:$A$64,0)),0))</f>
        <v>800</v>
      </c>
      <c r="AL22" s="14" t="n">
        <f aca="false">INDEX(Вводные!$D$13:$F$64,MATCH($A22,Вводные!$A$13:$A$64,0),MATCH(AL$3,Вводные!$D$11:$F$11,0))*(1+IF(AL$4=$A22,Вводные!$D$5*INDEX(Вводные!$G$13:$G$64,MATCH($A22,Вводные!$A$13:$A$64,0)),0))</f>
        <v>800</v>
      </c>
      <c r="AM22" s="14" t="n">
        <f aca="false">INDEX(Вводные!$D$13:$F$64,MATCH($A22,Вводные!$A$13:$A$64,0),MATCH(AM$3,Вводные!$D$11:$F$11,0))*(1+IF(AM$4=$A22,Вводные!$D$5*INDEX(Вводные!$G$13:$G$64,MATCH($A22,Вводные!$A$13:$A$64,0)),0))</f>
        <v>800</v>
      </c>
      <c r="AN22" s="14" t="n">
        <f aca="false">INDEX(Вводные!$D$13:$F$64,MATCH($A22,Вводные!$A$13:$A$64,0),MATCH(AN$3,Вводные!$D$11:$F$11,0))*(1+IF(AN$4=$A22,Вводные!$D$5*INDEX(Вводные!$G$13:$G$64,MATCH($A22,Вводные!$A$13:$A$64,0)),0))</f>
        <v>800</v>
      </c>
      <c r="AO22" s="14" t="n">
        <f aca="false">INDEX(Вводные!$D$13:$F$64,MATCH($A22,Вводные!$A$13:$A$64,0),MATCH(AO$3,Вводные!$D$11:$F$11,0))*(1+IF(AO$4=$A22,Вводные!$D$5*INDEX(Вводные!$G$13:$G$64,MATCH($A22,Вводные!$A$13:$A$64,0)),0))</f>
        <v>800</v>
      </c>
      <c r="AP22" s="14" t="n">
        <f aca="false">INDEX(Вводные!$D$13:$F$64,MATCH($A22,Вводные!$A$13:$A$64,0),MATCH(AP$3,Вводные!$D$11:$F$11,0))*(1+IF(AP$4=$A22,Вводные!$D$5*INDEX(Вводные!$G$13:$G$64,MATCH($A22,Вводные!$A$13:$A$64,0)),0))</f>
        <v>800</v>
      </c>
      <c r="AQ22" s="14" t="n">
        <f aca="false">INDEX(Вводные!$D$13:$F$64,MATCH($A22,Вводные!$A$13:$A$64,0),MATCH(AQ$3,Вводные!$D$11:$F$11,0))*(1+IF(AQ$4=$A22,Вводные!$D$5*INDEX(Вводные!$G$13:$G$64,MATCH($A22,Вводные!$A$13:$A$64,0)),0))</f>
        <v>800</v>
      </c>
      <c r="AR22" s="14" t="n">
        <f aca="false">INDEX(Вводные!$D$13:$F$64,MATCH($A22,Вводные!$A$13:$A$64,0),MATCH(AR$3,Вводные!$D$11:$F$11,0))*(1+IF(AR$4=$A22,Вводные!$D$5*INDEX(Вводные!$G$13:$G$64,MATCH($A22,Вводные!$A$13:$A$64,0)),0))</f>
        <v>800</v>
      </c>
      <c r="AS22" s="14" t="n">
        <f aca="false">INDEX(Вводные!$D$13:$F$64,MATCH($A22,Вводные!$A$13:$A$64,0),MATCH(AS$3,Вводные!$D$11:$F$11,0))*(1+IF(AS$4=$A22,Вводные!$D$5*INDEX(Вводные!$G$13:$G$64,MATCH($A22,Вводные!$A$13:$A$64,0)),0))</f>
        <v>800</v>
      </c>
      <c r="AT22" s="14" t="n">
        <f aca="false">INDEX(Вводные!$D$13:$F$64,MATCH($A22,Вводные!$A$13:$A$64,0),MATCH(AT$3,Вводные!$D$11:$F$11,0))*(1+IF(AT$4=$A22,Вводные!$D$5*INDEX(Вводные!$G$13:$G$64,MATCH($A22,Вводные!$A$13:$A$64,0)),0))</f>
        <v>800</v>
      </c>
      <c r="AU22" s="14" t="n">
        <f aca="false">INDEX(Вводные!$D$13:$F$64,MATCH($A22,Вводные!$A$13:$A$64,0),MATCH(AU$3,Вводные!$D$11:$F$11,0))*(1+IF(AU$4=$A22,Вводные!$D$5*INDEX(Вводные!$G$13:$G$64,MATCH($A22,Вводные!$A$13:$A$64,0)),0))</f>
        <v>800</v>
      </c>
      <c r="AV22" s="14" t="n">
        <f aca="false">INDEX(Вводные!$D$13:$F$64,MATCH($A22,Вводные!$A$13:$A$64,0),MATCH(AV$3,Вводные!$D$11:$F$11,0))*(1+IF(AV$4=$A22,Вводные!$D$5*INDEX(Вводные!$G$13:$G$64,MATCH($A22,Вводные!$A$13:$A$64,0)),0))</f>
        <v>800</v>
      </c>
      <c r="AW22" s="14" t="n">
        <f aca="false">INDEX(Вводные!$D$13:$F$64,MATCH($A22,Вводные!$A$13:$A$64,0),MATCH(AW$3,Вводные!$D$11:$F$11,0))*(1+IF(AW$4=$A22,Вводные!$D$5*INDEX(Вводные!$G$13:$G$64,MATCH($A22,Вводные!$A$13:$A$64,0)),0))</f>
        <v>800</v>
      </c>
      <c r="AX22" s="14" t="n">
        <f aca="false">INDEX(Вводные!$D$13:$F$64,MATCH($A22,Вводные!$A$13:$A$64,0),MATCH(AX$3,Вводные!$D$11:$F$11,0))*(1+IF(AX$4=$A22,Вводные!$D$5*INDEX(Вводные!$G$13:$G$64,MATCH($A22,Вводные!$A$13:$A$64,0)),0))</f>
        <v>800</v>
      </c>
      <c r="AY22" s="14" t="n">
        <f aca="false">INDEX(Вводные!$D$13:$F$64,MATCH($A22,Вводные!$A$13:$A$64,0),MATCH(AY$3,Вводные!$D$11:$F$11,0))*(1+IF(AY$4=$A22,Вводные!$D$5*INDEX(Вводные!$G$13:$G$64,MATCH($A22,Вводные!$A$13:$A$64,0)),0))</f>
        <v>800</v>
      </c>
      <c r="AZ22" s="14" t="n">
        <f aca="false">INDEX(Вводные!$D$13:$F$64,MATCH($A22,Вводные!$A$13:$A$64,0),MATCH(AZ$3,Вводные!$D$11:$F$11,0))*(1+IF(AZ$4=$A22,Вводные!$D$5*INDEX(Вводные!$G$13:$G$64,MATCH($A22,Вводные!$A$13:$A$64,0)),0))</f>
        <v>15000</v>
      </c>
      <c r="BA22" s="14" t="n">
        <f aca="false">INDEX(Вводные!$D$13:$F$64,MATCH($A22,Вводные!$A$13:$A$64,0),MATCH(BA$3,Вводные!$D$11:$F$11,0))*(1+IF(BA$4=$A22,Вводные!$D$5*INDEX(Вводные!$G$13:$G$64,MATCH($A22,Вводные!$A$13:$A$64,0)),0))</f>
        <v>15000</v>
      </c>
      <c r="BB22" s="14" t="n">
        <f aca="false">INDEX(Вводные!$D$13:$F$64,MATCH($A22,Вводные!$A$13:$A$64,0),MATCH(BB$3,Вводные!$D$11:$F$11,0))*(1+IF(BB$4=$A22,Вводные!$D$5*INDEX(Вводные!$G$13:$G$64,MATCH($A22,Вводные!$A$13:$A$64,0)),0))</f>
        <v>15000</v>
      </c>
      <c r="BC22" s="14" t="n">
        <f aca="false">INDEX(Вводные!$D$13:$F$64,MATCH($A22,Вводные!$A$13:$A$64,0),MATCH(BC$3,Вводные!$D$11:$F$11,0))*(1+IF(BC$4=$A22,Вводные!$D$5*INDEX(Вводные!$G$13:$G$64,MATCH($A22,Вводные!$A$13:$A$64,0)),0))</f>
        <v>15000</v>
      </c>
      <c r="BD22" s="14" t="n">
        <f aca="false">INDEX(Вводные!$D$13:$F$64,MATCH($A22,Вводные!$A$13:$A$64,0),MATCH(BD$3,Вводные!$D$11:$F$11,0))*(1+IF(BD$4=$A22,Вводные!$D$5*INDEX(Вводные!$G$13:$G$64,MATCH($A22,Вводные!$A$13:$A$64,0)),0))</f>
        <v>15000</v>
      </c>
      <c r="BE22" s="14" t="n">
        <f aca="false">INDEX(Вводные!$D$13:$F$64,MATCH($A22,Вводные!$A$13:$A$64,0),MATCH(BE$3,Вводные!$D$11:$F$11,0))*(1+IF(BE$4=$A22,Вводные!$D$5*INDEX(Вводные!$G$13:$G$64,MATCH($A22,Вводные!$A$13:$A$64,0)),0))</f>
        <v>15000</v>
      </c>
      <c r="BF22" s="14" t="n">
        <f aca="false">INDEX(Вводные!$D$13:$F$64,MATCH($A22,Вводные!$A$13:$A$64,0),MATCH(BF$3,Вводные!$D$11:$F$11,0))*(1+IF(BF$4=$A22,Вводные!$D$5*INDEX(Вводные!$G$13:$G$64,MATCH($A22,Вводные!$A$13:$A$64,0)),0))</f>
        <v>15000</v>
      </c>
      <c r="BG22" s="14" t="n">
        <f aca="false">INDEX(Вводные!$D$13:$F$64,MATCH($A22,Вводные!$A$13:$A$64,0),MATCH(BG$3,Вводные!$D$11:$F$11,0))*(1+IF(BG$4=$A22,Вводные!$D$5*INDEX(Вводные!$G$13:$G$64,MATCH($A22,Вводные!$A$13:$A$64,0)),0))</f>
        <v>15150</v>
      </c>
      <c r="BH22" s="14" t="n">
        <f aca="false">INDEX(Вводные!$D$13:$F$64,MATCH($A22,Вводные!$A$13:$A$64,0),MATCH(BH$3,Вводные!$D$11:$F$11,0))*(1+IF(BH$4=$A22,Вводные!$D$5*INDEX(Вводные!$G$13:$G$64,MATCH($A22,Вводные!$A$13:$A$64,0)),0))</f>
        <v>15000</v>
      </c>
      <c r="BI22" s="14" t="n">
        <f aca="false">INDEX(Вводные!$D$13:$F$64,MATCH($A22,Вводные!$A$13:$A$64,0),MATCH(BI$3,Вводные!$D$11:$F$11,0))*(1+IF(BI$4=$A22,Вводные!$D$5*INDEX(Вводные!$G$13:$G$64,MATCH($A22,Вводные!$A$13:$A$64,0)),0))</f>
        <v>15000</v>
      </c>
      <c r="BJ22" s="14" t="n">
        <f aca="false">INDEX(Вводные!$D$13:$F$64,MATCH($A22,Вводные!$A$13:$A$64,0),MATCH(BJ$3,Вводные!$D$11:$F$11,0))*(1+IF(BJ$4=$A22,Вводные!$D$5*INDEX(Вводные!$G$13:$G$64,MATCH($A22,Вводные!$A$13:$A$64,0)),0))</f>
        <v>15000</v>
      </c>
      <c r="BK22" s="14" t="n">
        <f aca="false">INDEX(Вводные!$D$13:$F$64,MATCH($A22,Вводные!$A$13:$A$64,0),MATCH(BK$3,Вводные!$D$11:$F$11,0))*(1+IF(BK$4=$A22,Вводные!$D$5*INDEX(Вводные!$G$13:$G$64,MATCH($A22,Вводные!$A$13:$A$64,0)),0))</f>
        <v>15000</v>
      </c>
      <c r="BL22" s="14" t="n">
        <f aca="false">INDEX(Вводные!$D$13:$F$64,MATCH($A22,Вводные!$A$13:$A$64,0),MATCH(BL$3,Вводные!$D$11:$F$11,0))*(1+IF(BL$4=$A22,Вводные!$D$5*INDEX(Вводные!$G$13:$G$64,MATCH($A22,Вводные!$A$13:$A$64,0)),0))</f>
        <v>15000</v>
      </c>
      <c r="BM22" s="14" t="n">
        <f aca="false">INDEX(Вводные!$D$13:$F$64,MATCH($A22,Вводные!$A$13:$A$64,0),MATCH(BM$3,Вводные!$D$11:$F$11,0))*(1+IF(BM$4=$A22,Вводные!$D$5*INDEX(Вводные!$G$13:$G$64,MATCH($A22,Вводные!$A$13:$A$64,0)),0))</f>
        <v>15000</v>
      </c>
      <c r="BN22" s="14" t="n">
        <f aca="false">INDEX(Вводные!$D$13:$F$64,MATCH($A22,Вводные!$A$13:$A$64,0),MATCH(BN$3,Вводные!$D$11:$F$11,0))*(1+IF(BN$4=$A22,Вводные!$D$5*INDEX(Вводные!$G$13:$G$64,MATCH($A22,Вводные!$A$13:$A$64,0)),0))</f>
        <v>15000</v>
      </c>
      <c r="BO22" s="14" t="n">
        <f aca="false">INDEX(Вводные!$D$13:$F$64,MATCH($A22,Вводные!$A$13:$A$64,0),MATCH(BO$3,Вводные!$D$11:$F$11,0))*(1+IF(BO$4=$A22,Вводные!$D$5*INDEX(Вводные!$G$13:$G$64,MATCH($A22,Вводные!$A$13:$A$64,0)),0))</f>
        <v>15000</v>
      </c>
      <c r="BP22" s="14" t="n">
        <f aca="false">INDEX(Вводные!$D$13:$F$64,MATCH($A22,Вводные!$A$13:$A$64,0),MATCH(BP$3,Вводные!$D$11:$F$11,0))*(1+IF(BP$4=$A22,Вводные!$D$5*INDEX(Вводные!$G$13:$G$64,MATCH($A22,Вводные!$A$13:$A$64,0)),0))</f>
        <v>15000</v>
      </c>
      <c r="BQ22" s="14" t="n">
        <f aca="false">INDEX(Вводные!$D$13:$F$64,MATCH($A22,Вводные!$A$13:$A$64,0),MATCH(BQ$3,Вводные!$D$11:$F$11,0))*(1+IF(BQ$4=$A22,Вводные!$D$5*INDEX(Вводные!$G$13:$G$64,MATCH($A22,Вводные!$A$13:$A$64,0)),0))</f>
        <v>15000</v>
      </c>
      <c r="BR22" s="14" t="n">
        <f aca="false">INDEX(Вводные!$D$13:$F$64,MATCH($A22,Вводные!$A$13:$A$64,0),MATCH(BR$3,Вводные!$D$11:$F$11,0))*(1+IF(BR$4=$A22,Вводные!$D$5*INDEX(Вводные!$G$13:$G$64,MATCH($A22,Вводные!$A$13:$A$64,0)),0))</f>
        <v>15000</v>
      </c>
      <c r="BS22" s="14" t="n">
        <f aca="false">INDEX(Вводные!$D$13:$F$64,MATCH($A22,Вводные!$A$13:$A$64,0),MATCH(BS$3,Вводные!$D$11:$F$11,0))*(1+IF(BS$4=$A22,Вводные!$D$5*INDEX(Вводные!$G$13:$G$64,MATCH($A22,Вводные!$A$13:$A$64,0)),0))</f>
        <v>15000</v>
      </c>
      <c r="BT22" s="14" t="n">
        <f aca="false">INDEX(Вводные!$D$13:$F$64,MATCH($A22,Вводные!$A$13:$A$64,0),MATCH(BT$3,Вводные!$D$11:$F$11,0))*(1+IF(BT$4=$A22,Вводные!$D$5*INDEX(Вводные!$G$13:$G$64,MATCH($A22,Вводные!$A$13:$A$64,0)),0))</f>
        <v>15000</v>
      </c>
      <c r="BU22" s="14" t="n">
        <f aca="false">INDEX(Вводные!$D$13:$F$64,MATCH($A22,Вводные!$A$13:$A$64,0),MATCH(BU$3,Вводные!$D$11:$F$11,0))*(1+IF(BU$4=$A22,Вводные!$D$5*INDEX(Вводные!$G$13:$G$64,MATCH($A22,Вводные!$A$13:$A$64,0)),0))</f>
        <v>15000</v>
      </c>
      <c r="BV22" s="14" t="n">
        <f aca="false">INDEX(Вводные!$D$13:$F$64,MATCH($A22,Вводные!$A$13:$A$64,0),MATCH(BV$3,Вводные!$D$11:$F$11,0))*(1+IF(BV$4=$A22,Вводные!$D$5*INDEX(Вводные!$G$13:$G$64,MATCH($A22,Вводные!$A$13:$A$64,0)),0))</f>
        <v>15000</v>
      </c>
      <c r="BW22" s="14" t="n">
        <f aca="false">INDEX(Вводные!$D$13:$F$64,MATCH($A22,Вводные!$A$13:$A$64,0),MATCH(BW$3,Вводные!$D$11:$F$11,0))*(1+IF(BW$4=$A22,Вводные!$D$5*INDEX(Вводные!$G$13:$G$64,MATCH($A22,Вводные!$A$13:$A$64,0)),0))</f>
        <v>15000</v>
      </c>
      <c r="BX22" s="14" t="n">
        <f aca="false">INDEX(Вводные!$D$13:$F$64,MATCH($A22,Вводные!$A$13:$A$64,0),MATCH(BX$3,Вводные!$D$11:$F$11,0))*(1+IF(BX$4=$A22,Вводные!$D$5*INDEX(Вводные!$G$13:$G$64,MATCH($A22,Вводные!$A$13:$A$64,0)),0))</f>
        <v>15000</v>
      </c>
      <c r="BY22" s="14" t="n">
        <f aca="false">INDEX(Вводные!$D$13:$F$64,MATCH($A22,Вводные!$A$13:$A$64,0),MATCH(BY$3,Вводные!$D$11:$F$11,0))*(1+IF(BY$4=$A22,Вводные!$D$5*INDEX(Вводные!$G$13:$G$64,MATCH($A22,Вводные!$A$13:$A$64,0)),0))</f>
        <v>15000</v>
      </c>
      <c r="BZ22" s="14" t="n">
        <f aca="false">INDEX(Вводные!$D$13:$F$64,MATCH($A22,Вводные!$A$13:$A$64,0),MATCH(BZ$3,Вводные!$D$11:$F$11,0))*(1+IF(BZ$4=$A22,Вводные!$D$5*INDEX(Вводные!$G$13:$G$64,MATCH($A22,Вводные!$A$13:$A$64,0)),0))</f>
        <v>15000</v>
      </c>
      <c r="CA22" s="14" t="n">
        <f aca="false">INDEX(Вводные!$D$13:$F$64,MATCH($A22,Вводные!$A$13:$A$64,0),MATCH(CA$3,Вводные!$D$11:$F$11,0))*(1+IF(CA$4=$A22,Вводные!$D$5*INDEX(Вводные!$G$13:$G$64,MATCH($A22,Вводные!$A$13:$A$64,0)),0))</f>
        <v>15000</v>
      </c>
      <c r="CB22" s="14" t="n">
        <f aca="false">INDEX(Вводные!$D$13:$F$64,MATCH($A22,Вводные!$A$13:$A$64,0),MATCH(CB$3,Вводные!$D$11:$F$11,0))*(1+IF(CB$4=$A22,Вводные!$D$5*INDEX(Вводные!$G$13:$G$64,MATCH($A22,Вводные!$A$13:$A$64,0)),0))</f>
        <v>15000</v>
      </c>
      <c r="CC22" s="14" t="n">
        <f aca="false">INDEX(Вводные!$D$13:$F$64,MATCH($A22,Вводные!$A$13:$A$64,0),MATCH(CC$3,Вводные!$D$11:$F$11,0))*(1+IF(CC$4=$A22,Вводные!$D$5*INDEX(Вводные!$G$13:$G$64,MATCH($A22,Вводные!$A$13:$A$64,0)),0))</f>
        <v>15000</v>
      </c>
      <c r="CD22" s="14" t="n">
        <f aca="false">INDEX(Вводные!$D$13:$F$64,MATCH($A22,Вводные!$A$13:$A$64,0),MATCH(CD$3,Вводные!$D$11:$F$11,0))*(1+IF(CD$4=$A22,Вводные!$D$5*INDEX(Вводные!$G$13:$G$64,MATCH($A22,Вводные!$A$13:$A$64,0)),0))</f>
        <v>15000</v>
      </c>
      <c r="CE22" s="14" t="n">
        <f aca="false">INDEX(Вводные!$D$13:$F$64,MATCH($A22,Вводные!$A$13:$A$64,0),MATCH(CE$3,Вводные!$D$11:$F$11,0))*(1+IF(CE$4=$A22,Вводные!$D$5*INDEX(Вводные!$G$13:$G$64,MATCH($A22,Вводные!$A$13:$A$64,0)),0))</f>
        <v>15000</v>
      </c>
      <c r="CF22" s="14" t="n">
        <f aca="false">INDEX(Вводные!$D$13:$F$64,MATCH($A22,Вводные!$A$13:$A$64,0),MATCH(CF$3,Вводные!$D$11:$F$11,0))*(1+IF(CF$4=$A22,Вводные!$D$5*INDEX(Вводные!$G$13:$G$64,MATCH($A22,Вводные!$A$13:$A$64,0)),0))</f>
        <v>15000</v>
      </c>
      <c r="CG22" s="14" t="n">
        <f aca="false">INDEX(Вводные!$D$13:$F$64,MATCH($A22,Вводные!$A$13:$A$64,0),MATCH(CG$3,Вводные!$D$11:$F$11,0))*(1+IF(CG$4=$A22,Вводные!$D$5*INDEX(Вводные!$G$13:$G$64,MATCH($A22,Вводные!$A$13:$A$64,0)),0))</f>
        <v>15000</v>
      </c>
      <c r="CH22" s="14" t="n">
        <f aca="false">INDEX(Вводные!$D$13:$F$64,MATCH($A22,Вводные!$A$13:$A$64,0),MATCH(CH$3,Вводные!$D$11:$F$11,0))*(1+IF(CH$4=$A22,Вводные!$D$5*INDEX(Вводные!$G$13:$G$64,MATCH($A22,Вводные!$A$13:$A$64,0)),0))</f>
        <v>15000</v>
      </c>
      <c r="CI22" s="14" t="n">
        <f aca="false">INDEX(Вводные!$D$13:$F$64,MATCH($A22,Вводные!$A$13:$A$64,0),MATCH(CI$3,Вводные!$D$11:$F$11,0))*(1+IF(CI$4=$A22,Вводные!$D$5*INDEX(Вводные!$G$13:$G$64,MATCH($A22,Вводные!$A$13:$A$64,0)),0))</f>
        <v>15000</v>
      </c>
      <c r="CJ22" s="14" t="n">
        <f aca="false">INDEX(Вводные!$D$13:$F$64,MATCH($A22,Вводные!$A$13:$A$64,0),MATCH(CJ$3,Вводные!$D$11:$F$11,0))*(1+IF(CJ$4=$A22,Вводные!$D$5*INDEX(Вводные!$G$13:$G$64,MATCH($A22,Вводные!$A$13:$A$64,0)),0))</f>
        <v>15000</v>
      </c>
      <c r="CK22" s="14" t="n">
        <f aca="false">INDEX(Вводные!$D$13:$F$64,MATCH($A22,Вводные!$A$13:$A$64,0),MATCH(CK$3,Вводные!$D$11:$F$11,0))*(1+IF(CK$4=$A22,Вводные!$D$5*INDEX(Вводные!$G$13:$G$64,MATCH($A22,Вводные!$A$13:$A$64,0)),0))</f>
        <v>15000</v>
      </c>
      <c r="CL22" s="14" t="n">
        <f aca="false">INDEX(Вводные!$D$13:$F$64,MATCH($A22,Вводные!$A$13:$A$64,0),MATCH(CL$3,Вводные!$D$11:$F$11,0))*(1+IF(CL$4=$A22,Вводные!$D$5*INDEX(Вводные!$G$13:$G$64,MATCH($A22,Вводные!$A$13:$A$64,0)),0))</f>
        <v>15000</v>
      </c>
      <c r="CM22" s="14" t="n">
        <f aca="false">INDEX(Вводные!$D$13:$F$64,MATCH($A22,Вводные!$A$13:$A$64,0),MATCH(CM$3,Вводные!$D$11:$F$11,0))*(1+IF(CM$4=$A22,Вводные!$D$5*INDEX(Вводные!$G$13:$G$64,MATCH($A22,Вводные!$A$13:$A$64,0)),0))</f>
        <v>15000</v>
      </c>
      <c r="CN22" s="14" t="n">
        <f aca="false">INDEX(Вводные!$D$13:$F$64,MATCH($A22,Вводные!$A$13:$A$64,0),MATCH(CN$3,Вводные!$D$11:$F$11,0))*(1+IF(CN$4=$A22,Вводные!$D$5*INDEX(Вводные!$G$13:$G$64,MATCH($A22,Вводные!$A$13:$A$64,0)),0))</f>
        <v>15000</v>
      </c>
      <c r="CO22" s="14" t="n">
        <f aca="false">INDEX(Вводные!$D$13:$F$64,MATCH($A22,Вводные!$A$13:$A$64,0),MATCH(CO$3,Вводные!$D$11:$F$11,0))*(1+IF(CO$4=$A22,Вводные!$D$5*INDEX(Вводные!$G$13:$G$64,MATCH($A22,Вводные!$A$13:$A$64,0)),0))</f>
        <v>15000</v>
      </c>
      <c r="CP22" s="14" t="n">
        <f aca="false">INDEX(Вводные!$D$13:$F$64,MATCH($A22,Вводные!$A$13:$A$64,0),MATCH(CP$3,Вводные!$D$11:$F$11,0))*(1+IF(CP$4=$A22,Вводные!$D$5*INDEX(Вводные!$G$13:$G$64,MATCH($A22,Вводные!$A$13:$A$64,0)),0))</f>
        <v>100000</v>
      </c>
      <c r="CQ22" s="14" t="n">
        <f aca="false">INDEX(Вводные!$D$13:$F$64,MATCH($A22,Вводные!$A$13:$A$64,0),MATCH(CQ$3,Вводные!$D$11:$F$11,0))*(1+IF(CQ$4=$A22,Вводные!$D$5*INDEX(Вводные!$G$13:$G$64,MATCH($A22,Вводные!$A$13:$A$64,0)),0))</f>
        <v>100000</v>
      </c>
      <c r="CR22" s="14" t="n">
        <f aca="false">INDEX(Вводные!$D$13:$F$64,MATCH($A22,Вводные!$A$13:$A$64,0),MATCH(CR$3,Вводные!$D$11:$F$11,0))*(1+IF(CR$4=$A22,Вводные!$D$5*INDEX(Вводные!$G$13:$G$64,MATCH($A22,Вводные!$A$13:$A$64,0)),0))</f>
        <v>100000</v>
      </c>
      <c r="CS22" s="14" t="n">
        <f aca="false">INDEX(Вводные!$D$13:$F$64,MATCH($A22,Вводные!$A$13:$A$64,0),MATCH(CS$3,Вводные!$D$11:$F$11,0))*(1+IF(CS$4=$A22,Вводные!$D$5*INDEX(Вводные!$G$13:$G$64,MATCH($A22,Вводные!$A$13:$A$64,0)),0))</f>
        <v>100000</v>
      </c>
      <c r="CT22" s="14" t="n">
        <f aca="false">INDEX(Вводные!$D$13:$F$64,MATCH($A22,Вводные!$A$13:$A$64,0),MATCH(CT$3,Вводные!$D$11:$F$11,0))*(1+IF(CT$4=$A22,Вводные!$D$5*INDEX(Вводные!$G$13:$G$64,MATCH($A22,Вводные!$A$13:$A$64,0)),0))</f>
        <v>100000</v>
      </c>
      <c r="CU22" s="14" t="n">
        <f aca="false">INDEX(Вводные!$D$13:$F$64,MATCH($A22,Вводные!$A$13:$A$64,0),MATCH(CU$3,Вводные!$D$11:$F$11,0))*(1+IF(CU$4=$A22,Вводные!$D$5*INDEX(Вводные!$G$13:$G$64,MATCH($A22,Вводные!$A$13:$A$64,0)),0))</f>
        <v>100000</v>
      </c>
      <c r="CV22" s="14" t="n">
        <f aca="false">INDEX(Вводные!$D$13:$F$64,MATCH($A22,Вводные!$A$13:$A$64,0),MATCH(CV$3,Вводные!$D$11:$F$11,0))*(1+IF(CV$4=$A22,Вводные!$D$5*INDEX(Вводные!$G$13:$G$64,MATCH($A22,Вводные!$A$13:$A$64,0)),0))</f>
        <v>100000</v>
      </c>
      <c r="CW22" s="14" t="n">
        <f aca="false">INDEX(Вводные!$D$13:$F$64,MATCH($A22,Вводные!$A$13:$A$64,0),MATCH(CW$3,Вводные!$D$11:$F$11,0))*(1+IF(CW$4=$A22,Вводные!$D$5*INDEX(Вводные!$G$13:$G$64,MATCH($A22,Вводные!$A$13:$A$64,0)),0))</f>
        <v>101000</v>
      </c>
      <c r="CX22" s="14" t="n">
        <f aca="false">INDEX(Вводные!$D$13:$F$64,MATCH($A22,Вводные!$A$13:$A$64,0),MATCH(CX$3,Вводные!$D$11:$F$11,0))*(1+IF(CX$4=$A22,Вводные!$D$5*INDEX(Вводные!$G$13:$G$64,MATCH($A22,Вводные!$A$13:$A$64,0)),0))</f>
        <v>100000</v>
      </c>
      <c r="CY22" s="14" t="n">
        <f aca="false">INDEX(Вводные!$D$13:$F$64,MATCH($A22,Вводные!$A$13:$A$64,0),MATCH(CY$3,Вводные!$D$11:$F$11,0))*(1+IF(CY$4=$A22,Вводные!$D$5*INDEX(Вводные!$G$13:$G$64,MATCH($A22,Вводные!$A$13:$A$64,0)),0))</f>
        <v>100000</v>
      </c>
      <c r="CZ22" s="14" t="n">
        <f aca="false">INDEX(Вводные!$D$13:$F$64,MATCH($A22,Вводные!$A$13:$A$64,0),MATCH(CZ$3,Вводные!$D$11:$F$11,0))*(1+IF(CZ$4=$A22,Вводные!$D$5*INDEX(Вводные!$G$13:$G$64,MATCH($A22,Вводные!$A$13:$A$64,0)),0))</f>
        <v>100000</v>
      </c>
      <c r="DA22" s="14" t="n">
        <f aca="false">INDEX(Вводные!$D$13:$F$64,MATCH($A22,Вводные!$A$13:$A$64,0),MATCH(DA$3,Вводные!$D$11:$F$11,0))*(1+IF(DA$4=$A22,Вводные!$D$5*INDEX(Вводные!$G$13:$G$64,MATCH($A22,Вводные!$A$13:$A$64,0)),0))</f>
        <v>100000</v>
      </c>
      <c r="DB22" s="14" t="n">
        <f aca="false">INDEX(Вводные!$D$13:$F$64,MATCH($A22,Вводные!$A$13:$A$64,0),MATCH(DB$3,Вводные!$D$11:$F$11,0))*(1+IF(DB$4=$A22,Вводные!$D$5*INDEX(Вводные!$G$13:$G$64,MATCH($A22,Вводные!$A$13:$A$64,0)),0))</f>
        <v>100000</v>
      </c>
      <c r="DC22" s="14" t="n">
        <f aca="false">INDEX(Вводные!$D$13:$F$64,MATCH($A22,Вводные!$A$13:$A$64,0),MATCH(DC$3,Вводные!$D$11:$F$11,0))*(1+IF(DC$4=$A22,Вводные!$D$5*INDEX(Вводные!$G$13:$G$64,MATCH($A22,Вводные!$A$13:$A$64,0)),0))</f>
        <v>100000</v>
      </c>
      <c r="DD22" s="14" t="n">
        <f aca="false">INDEX(Вводные!$D$13:$F$64,MATCH($A22,Вводные!$A$13:$A$64,0),MATCH(DD$3,Вводные!$D$11:$F$11,0))*(1+IF(DD$4=$A22,Вводные!$D$5*INDEX(Вводные!$G$13:$G$64,MATCH($A22,Вводные!$A$13:$A$64,0)),0))</f>
        <v>100000</v>
      </c>
      <c r="DE22" s="14" t="n">
        <f aca="false">INDEX(Вводные!$D$13:$F$64,MATCH($A22,Вводные!$A$13:$A$64,0),MATCH(DE$3,Вводные!$D$11:$F$11,0))*(1+IF(DE$4=$A22,Вводные!$D$5*INDEX(Вводные!$G$13:$G$64,MATCH($A22,Вводные!$A$13:$A$64,0)),0))</f>
        <v>100000</v>
      </c>
      <c r="DF22" s="14" t="n">
        <f aca="false">INDEX(Вводные!$D$13:$F$64,MATCH($A22,Вводные!$A$13:$A$64,0),MATCH(DF$3,Вводные!$D$11:$F$11,0))*(1+IF(DF$4=$A22,Вводные!$D$5*INDEX(Вводные!$G$13:$G$64,MATCH($A22,Вводные!$A$13:$A$64,0)),0))</f>
        <v>100000</v>
      </c>
      <c r="DG22" s="14" t="n">
        <f aca="false">INDEX(Вводные!$D$13:$F$64,MATCH($A22,Вводные!$A$13:$A$64,0),MATCH(DG$3,Вводные!$D$11:$F$11,0))*(1+IF(DG$4=$A22,Вводные!$D$5*INDEX(Вводные!$G$13:$G$64,MATCH($A22,Вводные!$A$13:$A$64,0)),0))</f>
        <v>100000</v>
      </c>
      <c r="DH22" s="14" t="n">
        <f aca="false">INDEX(Вводные!$D$13:$F$64,MATCH($A22,Вводные!$A$13:$A$64,0),MATCH(DH$3,Вводные!$D$11:$F$11,0))*(1+IF(DH$4=$A22,Вводные!$D$5*INDEX(Вводные!$G$13:$G$64,MATCH($A22,Вводные!$A$13:$A$64,0)),0))</f>
        <v>100000</v>
      </c>
      <c r="DI22" s="14" t="n">
        <f aca="false">INDEX(Вводные!$D$13:$F$64,MATCH($A22,Вводные!$A$13:$A$64,0),MATCH(DI$3,Вводные!$D$11:$F$11,0))*(1+IF(DI$4=$A22,Вводные!$D$5*INDEX(Вводные!$G$13:$G$64,MATCH($A22,Вводные!$A$13:$A$64,0)),0))</f>
        <v>100000</v>
      </c>
      <c r="DJ22" s="14" t="n">
        <f aca="false">INDEX(Вводные!$D$13:$F$64,MATCH($A22,Вводные!$A$13:$A$64,0),MATCH(DJ$3,Вводные!$D$11:$F$11,0))*(1+IF(DJ$4=$A22,Вводные!$D$5*INDEX(Вводные!$G$13:$G$64,MATCH($A22,Вводные!$A$13:$A$64,0)),0))</f>
        <v>100000</v>
      </c>
      <c r="DK22" s="14" t="n">
        <f aca="false">INDEX(Вводные!$D$13:$F$64,MATCH($A22,Вводные!$A$13:$A$64,0),MATCH(DK$3,Вводные!$D$11:$F$11,0))*(1+IF(DK$4=$A22,Вводные!$D$5*INDEX(Вводные!$G$13:$G$64,MATCH($A22,Вводные!$A$13:$A$64,0)),0))</f>
        <v>100000</v>
      </c>
      <c r="DL22" s="14" t="n">
        <f aca="false">INDEX(Вводные!$D$13:$F$64,MATCH($A22,Вводные!$A$13:$A$64,0),MATCH(DL$3,Вводные!$D$11:$F$11,0))*(1+IF(DL$4=$A22,Вводные!$D$5*INDEX(Вводные!$G$13:$G$64,MATCH($A22,Вводные!$A$13:$A$64,0)),0))</f>
        <v>100000</v>
      </c>
      <c r="DM22" s="14" t="n">
        <f aca="false">INDEX(Вводные!$D$13:$F$64,MATCH($A22,Вводные!$A$13:$A$64,0),MATCH(DM$3,Вводные!$D$11:$F$11,0))*(1+IF(DM$4=$A22,Вводные!$D$5*INDEX(Вводные!$G$13:$G$64,MATCH($A22,Вводные!$A$13:$A$64,0)),0))</f>
        <v>100000</v>
      </c>
      <c r="DN22" s="14" t="n">
        <f aca="false">INDEX(Вводные!$D$13:$F$64,MATCH($A22,Вводные!$A$13:$A$64,0),MATCH(DN$3,Вводные!$D$11:$F$11,0))*(1+IF(DN$4=$A22,Вводные!$D$5*INDEX(Вводные!$G$13:$G$64,MATCH($A22,Вводные!$A$13:$A$64,0)),0))</f>
        <v>100000</v>
      </c>
      <c r="DO22" s="14" t="n">
        <f aca="false">INDEX(Вводные!$D$13:$F$64,MATCH($A22,Вводные!$A$13:$A$64,0),MATCH(DO$3,Вводные!$D$11:$F$11,0))*(1+IF(DO$4=$A22,Вводные!$D$5*INDEX(Вводные!$G$13:$G$64,MATCH($A22,Вводные!$A$13:$A$64,0)),0))</f>
        <v>100000</v>
      </c>
      <c r="DP22" s="14" t="n">
        <f aca="false">INDEX(Вводные!$D$13:$F$64,MATCH($A22,Вводные!$A$13:$A$64,0),MATCH(DP$3,Вводные!$D$11:$F$11,0))*(1+IF(DP$4=$A22,Вводные!$D$5*INDEX(Вводные!$G$13:$G$64,MATCH($A22,Вводные!$A$13:$A$64,0)),0))</f>
        <v>100000</v>
      </c>
      <c r="DQ22" s="14" t="n">
        <f aca="false">INDEX(Вводные!$D$13:$F$64,MATCH($A22,Вводные!$A$13:$A$64,0),MATCH(DQ$3,Вводные!$D$11:$F$11,0))*(1+IF(DQ$4=$A22,Вводные!$D$5*INDEX(Вводные!$G$13:$G$64,MATCH($A22,Вводные!$A$13:$A$64,0)),0))</f>
        <v>100000</v>
      </c>
      <c r="DR22" s="14" t="n">
        <f aca="false">INDEX(Вводные!$D$13:$F$64,MATCH($A22,Вводные!$A$13:$A$64,0),MATCH(DR$3,Вводные!$D$11:$F$11,0))*(1+IF(DR$4=$A22,Вводные!$D$5*INDEX(Вводные!$G$13:$G$64,MATCH($A22,Вводные!$A$13:$A$64,0)),0))</f>
        <v>100000</v>
      </c>
      <c r="DS22" s="14" t="n">
        <f aca="false">INDEX(Вводные!$D$13:$F$64,MATCH($A22,Вводные!$A$13:$A$64,0),MATCH(DS$3,Вводные!$D$11:$F$11,0))*(1+IF(DS$4=$A22,Вводные!$D$5*INDEX(Вводные!$G$13:$G$64,MATCH($A22,Вводные!$A$13:$A$64,0)),0))</f>
        <v>100000</v>
      </c>
      <c r="DT22" s="14" t="n">
        <f aca="false">INDEX(Вводные!$D$13:$F$64,MATCH($A22,Вводные!$A$13:$A$64,0),MATCH(DT$3,Вводные!$D$11:$F$11,0))*(1+IF(DT$4=$A22,Вводные!$D$5*INDEX(Вводные!$G$13:$G$64,MATCH($A22,Вводные!$A$13:$A$64,0)),0))</f>
        <v>100000</v>
      </c>
      <c r="DU22" s="14" t="n">
        <f aca="false">INDEX(Вводные!$D$13:$F$64,MATCH($A22,Вводные!$A$13:$A$64,0),MATCH(DU$3,Вводные!$D$11:$F$11,0))*(1+IF(DU$4=$A22,Вводные!$D$5*INDEX(Вводные!$G$13:$G$64,MATCH($A22,Вводные!$A$13:$A$64,0)),0))</f>
        <v>100000</v>
      </c>
      <c r="DV22" s="14" t="n">
        <f aca="false">INDEX(Вводные!$D$13:$F$64,MATCH($A22,Вводные!$A$13:$A$64,0),MATCH(DV$3,Вводные!$D$11:$F$11,0))*(1+IF(DV$4=$A22,Вводные!$D$5*INDEX(Вводные!$G$13:$G$64,MATCH($A22,Вводные!$A$13:$A$64,0)),0))</f>
        <v>100000</v>
      </c>
      <c r="DW22" s="14" t="n">
        <f aca="false">INDEX(Вводные!$D$13:$F$64,MATCH($A22,Вводные!$A$13:$A$64,0),MATCH(DW$3,Вводные!$D$11:$F$11,0))*(1+IF(DW$4=$A22,Вводные!$D$5*INDEX(Вводные!$G$13:$G$64,MATCH($A22,Вводные!$A$13:$A$64,0)),0))</f>
        <v>100000</v>
      </c>
      <c r="DX22" s="14" t="n">
        <f aca="false">INDEX(Вводные!$D$13:$F$64,MATCH($A22,Вводные!$A$13:$A$64,0),MATCH(DX$3,Вводные!$D$11:$F$11,0))*(1+IF(DX$4=$A22,Вводные!$D$5*INDEX(Вводные!$G$13:$G$64,MATCH($A22,Вводные!$A$13:$A$64,0)),0))</f>
        <v>100000</v>
      </c>
      <c r="DY22" s="14" t="n">
        <f aca="false">INDEX(Вводные!$D$13:$F$64,MATCH($A22,Вводные!$A$13:$A$64,0),MATCH(DY$3,Вводные!$D$11:$F$11,0))*(1+IF(DY$4=$A22,Вводные!$D$5*INDEX(Вводные!$G$13:$G$64,MATCH($A22,Вводные!$A$13:$A$64,0)),0))</f>
        <v>100000</v>
      </c>
      <c r="DZ22" s="14" t="n">
        <f aca="false">INDEX(Вводные!$D$13:$F$64,MATCH($A22,Вводные!$A$13:$A$64,0),MATCH(DZ$3,Вводные!$D$11:$F$11,0))*(1+IF(DZ$4=$A22,Вводные!$D$5*INDEX(Вводные!$G$13:$G$64,MATCH($A22,Вводные!$A$13:$A$64,0)),0))</f>
        <v>100000</v>
      </c>
      <c r="EA22" s="14" t="n">
        <f aca="false">INDEX(Вводные!$D$13:$F$64,MATCH($A22,Вводные!$A$13:$A$64,0),MATCH(EA$3,Вводные!$D$11:$F$11,0))*(1+IF(EA$4=$A22,Вводные!$D$5*INDEX(Вводные!$G$13:$G$64,MATCH($A22,Вводные!$A$13:$A$64,0)),0))</f>
        <v>100000</v>
      </c>
      <c r="EB22" s="14" t="n">
        <f aca="false">INDEX(Вводные!$D$13:$F$64,MATCH($A22,Вводные!$A$13:$A$64,0),MATCH(EB$3,Вводные!$D$11:$F$11,0))*(1+IF(EB$4=$A22,Вводные!$D$5*INDEX(Вводные!$G$13:$G$64,MATCH($A22,Вводные!$A$13:$A$64,0)),0))</f>
        <v>100000</v>
      </c>
      <c r="EC22" s="14" t="n">
        <f aca="false">INDEX(Вводные!$D$13:$F$64,MATCH($A22,Вводные!$A$13:$A$64,0),MATCH(EC$3,Вводные!$D$11:$F$11,0))*(1+IF(EC$4=$A22,Вводные!$D$5*INDEX(Вводные!$G$13:$G$64,MATCH($A22,Вводные!$A$13:$A$64,0)),0))</f>
        <v>100000</v>
      </c>
      <c r="ED22" s="14" t="n">
        <f aca="false">INDEX(Вводные!$D$13:$F$64,MATCH($A22,Вводные!$A$13:$A$64,0),MATCH(ED$3,Вводные!$D$11:$F$11,0))*(1+IF(ED$4=$A22,Вводные!$D$5*INDEX(Вводные!$G$13:$G$64,MATCH($A22,Вводные!$A$13:$A$64,0)),0))</f>
        <v>100000</v>
      </c>
      <c r="EE22" s="14" t="n">
        <f aca="false">INDEX(Вводные!$D$13:$F$64,MATCH($A22,Вводные!$A$13:$A$64,0),MATCH(EE$3,Вводные!$D$11:$F$11,0))*(1+IF(EE$4=$A22,Вводные!$D$5*INDEX(Вводные!$G$13:$G$64,MATCH($A22,Вводные!$A$13:$A$64,0)),0))</f>
        <v>100000</v>
      </c>
      <c r="EF22" s="14" t="n">
        <f aca="false">INDEX(Вводные!$D$13:$F$64,MATCH($A22,Вводные!$A$13:$A$64,0),MATCH(EF$3,Вводные!$D$11:$F$11,0))*(1+IF(EF$4=$A22,Вводные!$D$5*INDEX(Вводные!$G$13:$G$64,MATCH($A22,Вводные!$A$13:$A$64,0)),0))</f>
        <v>800</v>
      </c>
      <c r="EG22" s="14" t="n">
        <f aca="false">INDEX(Вводные!$D$13:$F$64,MATCH($A22,Вводные!$A$13:$A$64,0),MATCH(EG$3,Вводные!$D$11:$F$11,0))*(1+IF(EG$4=$A22,Вводные!$D$5*INDEX(Вводные!$G$13:$G$64,MATCH($A22,Вводные!$A$13:$A$64,0)),0))</f>
        <v>800</v>
      </c>
      <c r="EH22" s="14" t="n">
        <f aca="false">INDEX(Вводные!$D$13:$F$64,MATCH($A22,Вводные!$A$13:$A$64,0),MATCH(EH$3,Вводные!$D$11:$F$11,0))*(1+IF(EH$4=$A22,Вводные!$D$5*INDEX(Вводные!$G$13:$G$64,MATCH($A22,Вводные!$A$13:$A$64,0)),0))</f>
        <v>800</v>
      </c>
      <c r="EI22" s="14" t="n">
        <f aca="false">INDEX(Вводные!$D$13:$F$64,MATCH($A22,Вводные!$A$13:$A$64,0),MATCH(EI$3,Вводные!$D$11:$F$11,0))*(1+IF(EI$4=$A22,Вводные!$D$5*INDEX(Вводные!$G$13:$G$64,MATCH($A22,Вводные!$A$13:$A$64,0)),0))</f>
        <v>800</v>
      </c>
      <c r="EJ22" s="14" t="n">
        <f aca="false">INDEX(Вводные!$D$13:$F$64,MATCH($A22,Вводные!$A$13:$A$64,0),MATCH(EJ$3,Вводные!$D$11:$F$11,0))*(1+IF(EJ$4=$A22,Вводные!$D$5*INDEX(Вводные!$G$13:$G$64,MATCH($A22,Вводные!$A$13:$A$64,0)),0))</f>
        <v>800</v>
      </c>
      <c r="EK22" s="14" t="n">
        <f aca="false">INDEX(Вводные!$D$13:$F$64,MATCH($A22,Вводные!$A$13:$A$64,0),MATCH(EK$3,Вводные!$D$11:$F$11,0))*(1+IF(EK$4=$A22,Вводные!$D$5*INDEX(Вводные!$G$13:$G$64,MATCH($A22,Вводные!$A$13:$A$64,0)),0))</f>
        <v>800</v>
      </c>
      <c r="EL22" s="14" t="n">
        <f aca="false">INDEX(Вводные!$D$13:$F$64,MATCH($A22,Вводные!$A$13:$A$64,0),MATCH(EL$3,Вводные!$D$11:$F$11,0))*(1+IF(EL$4=$A22,Вводные!$D$5*INDEX(Вводные!$G$13:$G$64,MATCH($A22,Вводные!$A$13:$A$64,0)),0))</f>
        <v>800</v>
      </c>
      <c r="EM22" s="14" t="n">
        <f aca="false">INDEX(Вводные!$D$13:$F$64,MATCH($A22,Вводные!$A$13:$A$64,0),MATCH(EM$3,Вводные!$D$11:$F$11,0))*(1+IF(EM$4=$A22,Вводные!$D$5*INDEX(Вводные!$G$13:$G$64,MATCH($A22,Вводные!$A$13:$A$64,0)),0))</f>
        <v>808</v>
      </c>
      <c r="EN22" s="14" t="n">
        <f aca="false">INDEX(Вводные!$D$13:$F$64,MATCH($A22,Вводные!$A$13:$A$64,0),MATCH(EN$3,Вводные!$D$11:$F$11,0))*(1+IF(EN$4=$A22,Вводные!$D$5*INDEX(Вводные!$G$13:$G$64,MATCH($A22,Вводные!$A$13:$A$64,0)),0))</f>
        <v>800</v>
      </c>
      <c r="EO22" s="14" t="n">
        <f aca="false">INDEX(Вводные!$D$13:$F$64,MATCH($A22,Вводные!$A$13:$A$64,0),MATCH(EO$3,Вводные!$D$11:$F$11,0))*(1+IF(EO$4=$A22,Вводные!$D$5*INDEX(Вводные!$G$13:$G$64,MATCH($A22,Вводные!$A$13:$A$64,0)),0))</f>
        <v>800</v>
      </c>
      <c r="EP22" s="14" t="n">
        <f aca="false">INDEX(Вводные!$D$13:$F$64,MATCH($A22,Вводные!$A$13:$A$64,0),MATCH(EP$3,Вводные!$D$11:$F$11,0))*(1+IF(EP$4=$A22,Вводные!$D$5*INDEX(Вводные!$G$13:$G$64,MATCH($A22,Вводные!$A$13:$A$64,0)),0))</f>
        <v>800</v>
      </c>
      <c r="EQ22" s="14" t="n">
        <f aca="false">INDEX(Вводные!$D$13:$F$64,MATCH($A22,Вводные!$A$13:$A$64,0),MATCH(EQ$3,Вводные!$D$11:$F$11,0))*(1+IF(EQ$4=$A22,Вводные!$D$5*INDEX(Вводные!$G$13:$G$64,MATCH($A22,Вводные!$A$13:$A$64,0)),0))</f>
        <v>800</v>
      </c>
      <c r="ER22" s="14" t="n">
        <f aca="false">INDEX(Вводные!$D$13:$F$64,MATCH($A22,Вводные!$A$13:$A$64,0),MATCH(ER$3,Вводные!$D$11:$F$11,0))*(1+IF(ER$4=$A22,Вводные!$D$5*INDEX(Вводные!$G$13:$G$64,MATCH($A22,Вводные!$A$13:$A$64,0)),0))</f>
        <v>800</v>
      </c>
      <c r="ES22" s="14" t="n">
        <f aca="false">INDEX(Вводные!$D$13:$F$64,MATCH($A22,Вводные!$A$13:$A$64,0),MATCH(ES$3,Вводные!$D$11:$F$11,0))*(1+IF(ES$4=$A22,Вводные!$D$5*INDEX(Вводные!$G$13:$G$64,MATCH($A22,Вводные!$A$13:$A$64,0)),0))</f>
        <v>800</v>
      </c>
      <c r="ET22" s="14" t="n">
        <f aca="false">INDEX(Вводные!$D$13:$F$64,MATCH($A22,Вводные!$A$13:$A$64,0),MATCH(ET$3,Вводные!$D$11:$F$11,0))*(1+IF(ET$4=$A22,Вводные!$D$5*INDEX(Вводные!$G$13:$G$64,MATCH($A22,Вводные!$A$13:$A$64,0)),0))</f>
        <v>800</v>
      </c>
      <c r="EU22" s="14" t="n">
        <f aca="false">INDEX(Вводные!$D$13:$F$64,MATCH($A22,Вводные!$A$13:$A$64,0),MATCH(EU$3,Вводные!$D$11:$F$11,0))*(1+IF(EU$4=$A22,Вводные!$D$5*INDEX(Вводные!$G$13:$G$64,MATCH($A22,Вводные!$A$13:$A$64,0)),0))</f>
        <v>800</v>
      </c>
      <c r="EV22" s="14" t="n">
        <f aca="false">INDEX(Вводные!$D$13:$F$64,MATCH($A22,Вводные!$A$13:$A$64,0),MATCH(EV$3,Вводные!$D$11:$F$11,0))*(1+IF(EV$4=$A22,Вводные!$D$5*INDEX(Вводные!$G$13:$G$64,MATCH($A22,Вводные!$A$13:$A$64,0)),0))</f>
        <v>800</v>
      </c>
      <c r="EW22" s="14" t="n">
        <f aca="false">INDEX(Вводные!$D$13:$F$64,MATCH($A22,Вводные!$A$13:$A$64,0),MATCH(EW$3,Вводные!$D$11:$F$11,0))*(1+IF(EW$4=$A22,Вводные!$D$5*INDEX(Вводные!$G$13:$G$64,MATCH($A22,Вводные!$A$13:$A$64,0)),0))</f>
        <v>800</v>
      </c>
      <c r="EX22" s="14" t="n">
        <f aca="false">INDEX(Вводные!$D$13:$F$64,MATCH($A22,Вводные!$A$13:$A$64,0),MATCH(EX$3,Вводные!$D$11:$F$11,0))*(1+IF(EX$4=$A22,Вводные!$D$5*INDEX(Вводные!$G$13:$G$64,MATCH($A22,Вводные!$A$13:$A$64,0)),0))</f>
        <v>800</v>
      </c>
      <c r="EY22" s="14" t="n">
        <f aca="false">INDEX(Вводные!$D$13:$F$64,MATCH($A22,Вводные!$A$13:$A$64,0),MATCH(EY$3,Вводные!$D$11:$F$11,0))*(1+IF(EY$4=$A22,Вводные!$D$5*INDEX(Вводные!$G$13:$G$64,MATCH($A22,Вводные!$A$13:$A$64,0)),0))</f>
        <v>800</v>
      </c>
      <c r="EZ22" s="14" t="n">
        <f aca="false">INDEX(Вводные!$D$13:$F$64,MATCH($A22,Вводные!$A$13:$A$64,0),MATCH(EZ$3,Вводные!$D$11:$F$11,0))*(1+IF(EZ$4=$A22,Вводные!$D$5*INDEX(Вводные!$G$13:$G$64,MATCH($A22,Вводные!$A$13:$A$64,0)),0))</f>
        <v>800</v>
      </c>
      <c r="FA22" s="14" t="n">
        <f aca="false">INDEX(Вводные!$D$13:$F$64,MATCH($A22,Вводные!$A$13:$A$64,0),MATCH(FA$3,Вводные!$D$11:$F$11,0))*(1+IF(FA$4=$A22,Вводные!$D$5*INDEX(Вводные!$G$13:$G$64,MATCH($A22,Вводные!$A$13:$A$64,0)),0))</f>
        <v>800</v>
      </c>
      <c r="FB22" s="14" t="n">
        <f aca="false">INDEX(Вводные!$D$13:$F$64,MATCH($A22,Вводные!$A$13:$A$64,0),MATCH(FB$3,Вводные!$D$11:$F$11,0))*(1+IF(FB$4=$A22,Вводные!$D$5*INDEX(Вводные!$G$13:$G$64,MATCH($A22,Вводные!$A$13:$A$64,0)),0))</f>
        <v>800</v>
      </c>
      <c r="FC22" s="14" t="n">
        <f aca="false">INDEX(Вводные!$D$13:$F$64,MATCH($A22,Вводные!$A$13:$A$64,0),MATCH(FC$3,Вводные!$D$11:$F$11,0))*(1+IF(FC$4=$A22,Вводные!$D$5*INDEX(Вводные!$G$13:$G$64,MATCH($A22,Вводные!$A$13:$A$64,0)),0))</f>
        <v>800</v>
      </c>
      <c r="FD22" s="14" t="n">
        <f aca="false">INDEX(Вводные!$D$13:$F$64,MATCH($A22,Вводные!$A$13:$A$64,0),MATCH(FD$3,Вводные!$D$11:$F$11,0))*(1+IF(FD$4=$A22,Вводные!$D$5*INDEX(Вводные!$G$13:$G$64,MATCH($A22,Вводные!$A$13:$A$64,0)),0))</f>
        <v>800</v>
      </c>
      <c r="FE22" s="14" t="n">
        <f aca="false">INDEX(Вводные!$D$13:$F$64,MATCH($A22,Вводные!$A$13:$A$64,0),MATCH(FE$3,Вводные!$D$11:$F$11,0))*(1+IF(FE$4=$A22,Вводные!$D$5*INDEX(Вводные!$G$13:$G$64,MATCH($A22,Вводные!$A$13:$A$64,0)),0))</f>
        <v>800</v>
      </c>
      <c r="FF22" s="14" t="n">
        <f aca="false">INDEX(Вводные!$D$13:$F$64,MATCH($A22,Вводные!$A$13:$A$64,0),MATCH(FF$3,Вводные!$D$11:$F$11,0))*(1+IF(FF$4=$A22,Вводные!$D$5*INDEX(Вводные!$G$13:$G$64,MATCH($A22,Вводные!$A$13:$A$64,0)),0))</f>
        <v>800</v>
      </c>
      <c r="FG22" s="14" t="n">
        <f aca="false">INDEX(Вводные!$D$13:$F$64,MATCH($A22,Вводные!$A$13:$A$64,0),MATCH(FG$3,Вводные!$D$11:$F$11,0))*(1+IF(FG$4=$A22,Вводные!$D$5*INDEX(Вводные!$G$13:$G$64,MATCH($A22,Вводные!$A$13:$A$64,0)),0))</f>
        <v>800</v>
      </c>
      <c r="FH22" s="14" t="n">
        <f aca="false">INDEX(Вводные!$D$13:$F$64,MATCH($A22,Вводные!$A$13:$A$64,0),MATCH(FH$3,Вводные!$D$11:$F$11,0))*(1+IF(FH$4=$A22,Вводные!$D$5*INDEX(Вводные!$G$13:$G$64,MATCH($A22,Вводные!$A$13:$A$64,0)),0))</f>
        <v>800</v>
      </c>
      <c r="FI22" s="14" t="n">
        <f aca="false">INDEX(Вводные!$D$13:$F$64,MATCH($A22,Вводные!$A$13:$A$64,0),MATCH(FI$3,Вводные!$D$11:$F$11,0))*(1+IF(FI$4=$A22,Вводные!$D$5*INDEX(Вводные!$G$13:$G$64,MATCH($A22,Вводные!$A$13:$A$64,0)),0))</f>
        <v>800</v>
      </c>
      <c r="FJ22" s="14" t="n">
        <f aca="false">INDEX(Вводные!$D$13:$F$64,MATCH($A22,Вводные!$A$13:$A$64,0),MATCH(FJ$3,Вводные!$D$11:$F$11,0))*(1+IF(FJ$4=$A22,Вводные!$D$5*INDEX(Вводные!$G$13:$G$64,MATCH($A22,Вводные!$A$13:$A$64,0)),0))</f>
        <v>800</v>
      </c>
      <c r="FK22" s="14" t="n">
        <f aca="false">INDEX(Вводные!$D$13:$F$64,MATCH($A22,Вводные!$A$13:$A$64,0),MATCH(FK$3,Вводные!$D$11:$F$11,0))*(1+IF(FK$4=$A22,Вводные!$D$5*INDEX(Вводные!$G$13:$G$64,MATCH($A22,Вводные!$A$13:$A$64,0)),0))</f>
        <v>800</v>
      </c>
      <c r="FL22" s="14" t="n">
        <f aca="false">INDEX(Вводные!$D$13:$F$64,MATCH($A22,Вводные!$A$13:$A$64,0),MATCH(FL$3,Вводные!$D$11:$F$11,0))*(1+IF(FL$4=$A22,Вводные!$D$5*INDEX(Вводные!$G$13:$G$64,MATCH($A22,Вводные!$A$13:$A$64,0)),0))</f>
        <v>800</v>
      </c>
      <c r="FM22" s="14" t="n">
        <f aca="false">INDEX(Вводные!$D$13:$F$64,MATCH($A22,Вводные!$A$13:$A$64,0),MATCH(FM$3,Вводные!$D$11:$F$11,0))*(1+IF(FM$4=$A22,Вводные!$D$5*INDEX(Вводные!$G$13:$G$64,MATCH($A22,Вводные!$A$13:$A$64,0)),0))</f>
        <v>800</v>
      </c>
      <c r="FN22" s="14" t="n">
        <f aca="false">INDEX(Вводные!$D$13:$F$64,MATCH($A22,Вводные!$A$13:$A$64,0),MATCH(FN$3,Вводные!$D$11:$F$11,0))*(1+IF(FN$4=$A22,Вводные!$D$5*INDEX(Вводные!$G$13:$G$64,MATCH($A22,Вводные!$A$13:$A$64,0)),0))</f>
        <v>800</v>
      </c>
      <c r="FO22" s="14" t="n">
        <f aca="false">INDEX(Вводные!$D$13:$F$64,MATCH($A22,Вводные!$A$13:$A$64,0),MATCH(FO$3,Вводные!$D$11:$F$11,0))*(1+IF(FO$4=$A22,Вводные!$D$5*INDEX(Вводные!$G$13:$G$64,MATCH($A22,Вводные!$A$13:$A$64,0)),0))</f>
        <v>800</v>
      </c>
      <c r="FP22" s="14" t="n">
        <f aca="false">INDEX(Вводные!$D$13:$F$64,MATCH($A22,Вводные!$A$13:$A$64,0),MATCH(FP$3,Вводные!$D$11:$F$11,0))*(1+IF(FP$4=$A22,Вводные!$D$5*INDEX(Вводные!$G$13:$G$64,MATCH($A22,Вводные!$A$13:$A$64,0)),0))</f>
        <v>800</v>
      </c>
      <c r="FQ22" s="14" t="n">
        <f aca="false">INDEX(Вводные!$D$13:$F$64,MATCH($A22,Вводные!$A$13:$A$64,0),MATCH(FQ$3,Вводные!$D$11:$F$11,0))*(1+IF(FQ$4=$A22,Вводные!$D$5*INDEX(Вводные!$G$13:$G$64,MATCH($A22,Вводные!$A$13:$A$64,0)),0))</f>
        <v>800</v>
      </c>
      <c r="FR22" s="14" t="n">
        <f aca="false">INDEX(Вводные!$D$13:$F$64,MATCH($A22,Вводные!$A$13:$A$64,0),MATCH(FR$3,Вводные!$D$11:$F$11,0))*(1+IF(FR$4=$A22,Вводные!$D$5*INDEX(Вводные!$G$13:$G$64,MATCH($A22,Вводные!$A$13:$A$64,0)),0))</f>
        <v>800</v>
      </c>
      <c r="FS22" s="14" t="n">
        <f aca="false">INDEX(Вводные!$D$13:$F$64,MATCH($A22,Вводные!$A$13:$A$64,0),MATCH(FS$3,Вводные!$D$11:$F$11,0))*(1+IF(FS$4=$A22,Вводные!$D$5*INDEX(Вводные!$G$13:$G$64,MATCH($A22,Вводные!$A$13:$A$64,0)),0))</f>
        <v>800</v>
      </c>
      <c r="FT22" s="14" t="n">
        <f aca="false">INDEX(Вводные!$D$13:$F$64,MATCH($A22,Вводные!$A$13:$A$64,0),MATCH(FT$3,Вводные!$D$11:$F$11,0))*(1+IF(FT$4=$A22,Вводные!$D$5*INDEX(Вводные!$G$13:$G$64,MATCH($A22,Вводные!$A$13:$A$64,0)),0))</f>
        <v>800</v>
      </c>
      <c r="FU22" s="14" t="n">
        <f aca="false">INDEX(Вводные!$D$13:$F$64,MATCH($A22,Вводные!$A$13:$A$64,0),MATCH(FU$3,Вводные!$D$11:$F$11,0))*(1+IF(FU$4=$A22,Вводные!$D$5*INDEX(Вводные!$G$13:$G$64,MATCH($A22,Вводные!$A$13:$A$64,0)),0))</f>
        <v>800</v>
      </c>
      <c r="FV22" s="14" t="n">
        <f aca="false">INDEX(Вводные!$D$13:$F$64,MATCH($A22,Вводные!$A$13:$A$64,0),MATCH(FV$3,Вводные!$D$11:$F$11,0))*(1+IF(FV$4=$A22,Вводные!$D$5*INDEX(Вводные!$G$13:$G$64,MATCH($A22,Вводные!$A$13:$A$64,0)),0))</f>
        <v>15000</v>
      </c>
      <c r="FW22" s="14" t="n">
        <f aca="false">INDEX(Вводные!$D$13:$F$64,MATCH($A22,Вводные!$A$13:$A$64,0),MATCH(FW$3,Вводные!$D$11:$F$11,0))*(1+IF(FW$4=$A22,Вводные!$D$5*INDEX(Вводные!$G$13:$G$64,MATCH($A22,Вводные!$A$13:$A$64,0)),0))</f>
        <v>15000</v>
      </c>
      <c r="FX22" s="14" t="n">
        <f aca="false">INDEX(Вводные!$D$13:$F$64,MATCH($A22,Вводные!$A$13:$A$64,0),MATCH(FX$3,Вводные!$D$11:$F$11,0))*(1+IF(FX$4=$A22,Вводные!$D$5*INDEX(Вводные!$G$13:$G$64,MATCH($A22,Вводные!$A$13:$A$64,0)),0))</f>
        <v>15000</v>
      </c>
      <c r="FY22" s="14" t="n">
        <f aca="false">INDEX(Вводные!$D$13:$F$64,MATCH($A22,Вводные!$A$13:$A$64,0),MATCH(FY$3,Вводные!$D$11:$F$11,0))*(1+IF(FY$4=$A22,Вводные!$D$5*INDEX(Вводные!$G$13:$G$64,MATCH($A22,Вводные!$A$13:$A$64,0)),0))</f>
        <v>15000</v>
      </c>
      <c r="FZ22" s="14" t="n">
        <f aca="false">INDEX(Вводные!$D$13:$F$64,MATCH($A22,Вводные!$A$13:$A$64,0),MATCH(FZ$3,Вводные!$D$11:$F$11,0))*(1+IF(FZ$4=$A22,Вводные!$D$5*INDEX(Вводные!$G$13:$G$64,MATCH($A22,Вводные!$A$13:$A$64,0)),0))</f>
        <v>15000</v>
      </c>
      <c r="GA22" s="14" t="n">
        <f aca="false">INDEX(Вводные!$D$13:$F$64,MATCH($A22,Вводные!$A$13:$A$64,0),MATCH(GA$3,Вводные!$D$11:$F$11,0))*(1+IF(GA$4=$A22,Вводные!$D$5*INDEX(Вводные!$G$13:$G$64,MATCH($A22,Вводные!$A$13:$A$64,0)),0))</f>
        <v>15000</v>
      </c>
      <c r="GB22" s="14" t="n">
        <f aca="false">INDEX(Вводные!$D$13:$F$64,MATCH($A22,Вводные!$A$13:$A$64,0),MATCH(GB$3,Вводные!$D$11:$F$11,0))*(1+IF(GB$4=$A22,Вводные!$D$5*INDEX(Вводные!$G$13:$G$64,MATCH($A22,Вводные!$A$13:$A$64,0)),0))</f>
        <v>15000</v>
      </c>
      <c r="GC22" s="14" t="n">
        <f aca="false">INDEX(Вводные!$D$13:$F$64,MATCH($A22,Вводные!$A$13:$A$64,0),MATCH(GC$3,Вводные!$D$11:$F$11,0))*(1+IF(GC$4=$A22,Вводные!$D$5*INDEX(Вводные!$G$13:$G$64,MATCH($A22,Вводные!$A$13:$A$64,0)),0))</f>
        <v>15150</v>
      </c>
      <c r="GD22" s="14" t="n">
        <f aca="false">INDEX(Вводные!$D$13:$F$64,MATCH($A22,Вводные!$A$13:$A$64,0),MATCH(GD$3,Вводные!$D$11:$F$11,0))*(1+IF(GD$4=$A22,Вводные!$D$5*INDEX(Вводные!$G$13:$G$64,MATCH($A22,Вводные!$A$13:$A$64,0)),0))</f>
        <v>15000</v>
      </c>
      <c r="GE22" s="14" t="n">
        <f aca="false">INDEX(Вводные!$D$13:$F$64,MATCH($A22,Вводные!$A$13:$A$64,0),MATCH(GE$3,Вводные!$D$11:$F$11,0))*(1+IF(GE$4=$A22,Вводные!$D$5*INDEX(Вводные!$G$13:$G$64,MATCH($A22,Вводные!$A$13:$A$64,0)),0))</f>
        <v>15000</v>
      </c>
      <c r="GF22" s="14" t="n">
        <f aca="false">INDEX(Вводные!$D$13:$F$64,MATCH($A22,Вводные!$A$13:$A$64,0),MATCH(GF$3,Вводные!$D$11:$F$11,0))*(1+IF(GF$4=$A22,Вводные!$D$5*INDEX(Вводные!$G$13:$G$64,MATCH($A22,Вводные!$A$13:$A$64,0)),0))</f>
        <v>15000</v>
      </c>
      <c r="GG22" s="14" t="n">
        <f aca="false">INDEX(Вводные!$D$13:$F$64,MATCH($A22,Вводные!$A$13:$A$64,0),MATCH(GG$3,Вводные!$D$11:$F$11,0))*(1+IF(GG$4=$A22,Вводные!$D$5*INDEX(Вводные!$G$13:$G$64,MATCH($A22,Вводные!$A$13:$A$64,0)),0))</f>
        <v>15000</v>
      </c>
      <c r="GH22" s="14" t="n">
        <f aca="false">INDEX(Вводные!$D$13:$F$64,MATCH($A22,Вводные!$A$13:$A$64,0),MATCH(GH$3,Вводные!$D$11:$F$11,0))*(1+IF(GH$4=$A22,Вводные!$D$5*INDEX(Вводные!$G$13:$G$64,MATCH($A22,Вводные!$A$13:$A$64,0)),0))</f>
        <v>15000</v>
      </c>
      <c r="GI22" s="14" t="n">
        <f aca="false">INDEX(Вводные!$D$13:$F$64,MATCH($A22,Вводные!$A$13:$A$64,0),MATCH(GI$3,Вводные!$D$11:$F$11,0))*(1+IF(GI$4=$A22,Вводные!$D$5*INDEX(Вводные!$G$13:$G$64,MATCH($A22,Вводные!$A$13:$A$64,0)),0))</f>
        <v>15000</v>
      </c>
      <c r="GJ22" s="14" t="n">
        <f aca="false">INDEX(Вводные!$D$13:$F$64,MATCH($A22,Вводные!$A$13:$A$64,0),MATCH(GJ$3,Вводные!$D$11:$F$11,0))*(1+IF(GJ$4=$A22,Вводные!$D$5*INDEX(Вводные!$G$13:$G$64,MATCH($A22,Вводные!$A$13:$A$64,0)),0))</f>
        <v>15000</v>
      </c>
      <c r="GK22" s="14" t="n">
        <f aca="false">INDEX(Вводные!$D$13:$F$64,MATCH($A22,Вводные!$A$13:$A$64,0),MATCH(GK$3,Вводные!$D$11:$F$11,0))*(1+IF(GK$4=$A22,Вводные!$D$5*INDEX(Вводные!$G$13:$G$64,MATCH($A22,Вводные!$A$13:$A$64,0)),0))</f>
        <v>15000</v>
      </c>
      <c r="GL22" s="14" t="n">
        <f aca="false">INDEX(Вводные!$D$13:$F$64,MATCH($A22,Вводные!$A$13:$A$64,0),MATCH(GL$3,Вводные!$D$11:$F$11,0))*(1+IF(GL$4=$A22,Вводные!$D$5*INDEX(Вводные!$G$13:$G$64,MATCH($A22,Вводные!$A$13:$A$64,0)),0))</f>
        <v>15000</v>
      </c>
      <c r="GM22" s="14" t="n">
        <f aca="false">INDEX(Вводные!$D$13:$F$64,MATCH($A22,Вводные!$A$13:$A$64,0),MATCH(GM$3,Вводные!$D$11:$F$11,0))*(1+IF(GM$4=$A22,Вводные!$D$5*INDEX(Вводные!$G$13:$G$64,MATCH($A22,Вводные!$A$13:$A$64,0)),0))</f>
        <v>15000</v>
      </c>
      <c r="GN22" s="14" t="n">
        <f aca="false">INDEX(Вводные!$D$13:$F$64,MATCH($A22,Вводные!$A$13:$A$64,0),MATCH(GN$3,Вводные!$D$11:$F$11,0))*(1+IF(GN$4=$A22,Вводные!$D$5*INDEX(Вводные!$G$13:$G$64,MATCH($A22,Вводные!$A$13:$A$64,0)),0))</f>
        <v>15000</v>
      </c>
      <c r="GO22" s="14" t="n">
        <f aca="false">INDEX(Вводные!$D$13:$F$64,MATCH($A22,Вводные!$A$13:$A$64,0),MATCH(GO$3,Вводные!$D$11:$F$11,0))*(1+IF(GO$4=$A22,Вводные!$D$5*INDEX(Вводные!$G$13:$G$64,MATCH($A22,Вводные!$A$13:$A$64,0)),0))</f>
        <v>15000</v>
      </c>
      <c r="GP22" s="14" t="n">
        <f aca="false">INDEX(Вводные!$D$13:$F$64,MATCH($A22,Вводные!$A$13:$A$64,0),MATCH(GP$3,Вводные!$D$11:$F$11,0))*(1+IF(GP$4=$A22,Вводные!$D$5*INDEX(Вводные!$G$13:$G$64,MATCH($A22,Вводные!$A$13:$A$64,0)),0))</f>
        <v>15000</v>
      </c>
      <c r="GQ22" s="14" t="n">
        <f aca="false">INDEX(Вводные!$D$13:$F$64,MATCH($A22,Вводные!$A$13:$A$64,0),MATCH(GQ$3,Вводные!$D$11:$F$11,0))*(1+IF(GQ$4=$A22,Вводные!$D$5*INDEX(Вводные!$G$13:$G$64,MATCH($A22,Вводные!$A$13:$A$64,0)),0))</f>
        <v>15000</v>
      </c>
      <c r="GR22" s="14" t="n">
        <f aca="false">INDEX(Вводные!$D$13:$F$64,MATCH($A22,Вводные!$A$13:$A$64,0),MATCH(GR$3,Вводные!$D$11:$F$11,0))*(1+IF(GR$4=$A22,Вводные!$D$5*INDEX(Вводные!$G$13:$G$64,MATCH($A22,Вводные!$A$13:$A$64,0)),0))</f>
        <v>15000</v>
      </c>
      <c r="GS22" s="14" t="n">
        <f aca="false">INDEX(Вводные!$D$13:$F$64,MATCH($A22,Вводные!$A$13:$A$64,0),MATCH(GS$3,Вводные!$D$11:$F$11,0))*(1+IF(GS$4=$A22,Вводные!$D$5*INDEX(Вводные!$G$13:$G$64,MATCH($A22,Вводные!$A$13:$A$64,0)),0))</f>
        <v>15000</v>
      </c>
      <c r="GT22" s="14" t="n">
        <f aca="false">INDEX(Вводные!$D$13:$F$64,MATCH($A22,Вводные!$A$13:$A$64,0),MATCH(GT$3,Вводные!$D$11:$F$11,0))*(1+IF(GT$4=$A22,Вводные!$D$5*INDEX(Вводные!$G$13:$G$64,MATCH($A22,Вводные!$A$13:$A$64,0)),0))</f>
        <v>15000</v>
      </c>
      <c r="GU22" s="14" t="n">
        <f aca="false">INDEX(Вводные!$D$13:$F$64,MATCH($A22,Вводные!$A$13:$A$64,0),MATCH(GU$3,Вводные!$D$11:$F$11,0))*(1+IF(GU$4=$A22,Вводные!$D$5*INDEX(Вводные!$G$13:$G$64,MATCH($A22,Вводные!$A$13:$A$64,0)),0))</f>
        <v>15000</v>
      </c>
      <c r="GV22" s="14" t="n">
        <f aca="false">INDEX(Вводные!$D$13:$F$64,MATCH($A22,Вводные!$A$13:$A$64,0),MATCH(GV$3,Вводные!$D$11:$F$11,0))*(1+IF(GV$4=$A22,Вводные!$D$5*INDEX(Вводные!$G$13:$G$64,MATCH($A22,Вводные!$A$13:$A$64,0)),0))</f>
        <v>15000</v>
      </c>
      <c r="GW22" s="14" t="n">
        <f aca="false">INDEX(Вводные!$D$13:$F$64,MATCH($A22,Вводные!$A$13:$A$64,0),MATCH(GW$3,Вводные!$D$11:$F$11,0))*(1+IF(GW$4=$A22,Вводные!$D$5*INDEX(Вводные!$G$13:$G$64,MATCH($A22,Вводные!$A$13:$A$64,0)),0))</f>
        <v>15000</v>
      </c>
      <c r="GX22" s="14" t="n">
        <f aca="false">INDEX(Вводные!$D$13:$F$64,MATCH($A22,Вводные!$A$13:$A$64,0),MATCH(GX$3,Вводные!$D$11:$F$11,0))*(1+IF(GX$4=$A22,Вводные!$D$5*INDEX(Вводные!$G$13:$G$64,MATCH($A22,Вводные!$A$13:$A$64,0)),0))</f>
        <v>15000</v>
      </c>
      <c r="GY22" s="14" t="n">
        <f aca="false">INDEX(Вводные!$D$13:$F$64,MATCH($A22,Вводные!$A$13:$A$64,0),MATCH(GY$3,Вводные!$D$11:$F$11,0))*(1+IF(GY$4=$A22,Вводные!$D$5*INDEX(Вводные!$G$13:$G$64,MATCH($A22,Вводные!$A$13:$A$64,0)),0))</f>
        <v>15000</v>
      </c>
      <c r="GZ22" s="14" t="n">
        <f aca="false">INDEX(Вводные!$D$13:$F$64,MATCH($A22,Вводные!$A$13:$A$64,0),MATCH(GZ$3,Вводные!$D$11:$F$11,0))*(1+IF(GZ$4=$A22,Вводные!$D$5*INDEX(Вводные!$G$13:$G$64,MATCH($A22,Вводные!$A$13:$A$64,0)),0))</f>
        <v>15000</v>
      </c>
      <c r="HA22" s="14" t="n">
        <f aca="false">INDEX(Вводные!$D$13:$F$64,MATCH($A22,Вводные!$A$13:$A$64,0),MATCH(HA$3,Вводные!$D$11:$F$11,0))*(1+IF(HA$4=$A22,Вводные!$D$5*INDEX(Вводные!$G$13:$G$64,MATCH($A22,Вводные!$A$13:$A$64,0)),0))</f>
        <v>15000</v>
      </c>
      <c r="HB22" s="14" t="n">
        <f aca="false">INDEX(Вводные!$D$13:$F$64,MATCH($A22,Вводные!$A$13:$A$64,0),MATCH(HB$3,Вводные!$D$11:$F$11,0))*(1+IF(HB$4=$A22,Вводные!$D$5*INDEX(Вводные!$G$13:$G$64,MATCH($A22,Вводные!$A$13:$A$64,0)),0))</f>
        <v>15000</v>
      </c>
      <c r="HC22" s="14" t="n">
        <f aca="false">INDEX(Вводные!$D$13:$F$64,MATCH($A22,Вводные!$A$13:$A$64,0),MATCH(HC$3,Вводные!$D$11:$F$11,0))*(1+IF(HC$4=$A22,Вводные!$D$5*INDEX(Вводные!$G$13:$G$64,MATCH($A22,Вводные!$A$13:$A$64,0)),0))</f>
        <v>15000</v>
      </c>
      <c r="HD22" s="14" t="n">
        <f aca="false">INDEX(Вводные!$D$13:$F$64,MATCH($A22,Вводные!$A$13:$A$64,0),MATCH(HD$3,Вводные!$D$11:$F$11,0))*(1+IF(HD$4=$A22,Вводные!$D$5*INDEX(Вводные!$G$13:$G$64,MATCH($A22,Вводные!$A$13:$A$64,0)),0))</f>
        <v>15000</v>
      </c>
      <c r="HE22" s="14" t="n">
        <f aca="false">INDEX(Вводные!$D$13:$F$64,MATCH($A22,Вводные!$A$13:$A$64,0),MATCH(HE$3,Вводные!$D$11:$F$11,0))*(1+IF(HE$4=$A22,Вводные!$D$5*INDEX(Вводные!$G$13:$G$64,MATCH($A22,Вводные!$A$13:$A$64,0)),0))</f>
        <v>15000</v>
      </c>
      <c r="HF22" s="14" t="n">
        <f aca="false">INDEX(Вводные!$D$13:$F$64,MATCH($A22,Вводные!$A$13:$A$64,0),MATCH(HF$3,Вводные!$D$11:$F$11,0))*(1+IF(HF$4=$A22,Вводные!$D$5*INDEX(Вводные!$G$13:$G$64,MATCH($A22,Вводные!$A$13:$A$64,0)),0))</f>
        <v>15000</v>
      </c>
      <c r="HG22" s="14" t="n">
        <f aca="false">INDEX(Вводные!$D$13:$F$64,MATCH($A22,Вводные!$A$13:$A$64,0),MATCH(HG$3,Вводные!$D$11:$F$11,0))*(1+IF(HG$4=$A22,Вводные!$D$5*INDEX(Вводные!$G$13:$G$64,MATCH($A22,Вводные!$A$13:$A$64,0)),0))</f>
        <v>15000</v>
      </c>
      <c r="HH22" s="14" t="n">
        <f aca="false">INDEX(Вводные!$D$13:$F$64,MATCH($A22,Вводные!$A$13:$A$64,0),MATCH(HH$3,Вводные!$D$11:$F$11,0))*(1+IF(HH$4=$A22,Вводные!$D$5*INDEX(Вводные!$G$13:$G$64,MATCH($A22,Вводные!$A$13:$A$64,0)),0))</f>
        <v>15000</v>
      </c>
      <c r="HI22" s="14" t="n">
        <f aca="false">INDEX(Вводные!$D$13:$F$64,MATCH($A22,Вводные!$A$13:$A$64,0),MATCH(HI$3,Вводные!$D$11:$F$11,0))*(1+IF(HI$4=$A22,Вводные!$D$5*INDEX(Вводные!$G$13:$G$64,MATCH($A22,Вводные!$A$13:$A$64,0)),0))</f>
        <v>15000</v>
      </c>
      <c r="HJ22" s="14" t="n">
        <f aca="false">INDEX(Вводные!$D$13:$F$64,MATCH($A22,Вводные!$A$13:$A$64,0),MATCH(HJ$3,Вводные!$D$11:$F$11,0))*(1+IF(HJ$4=$A22,Вводные!$D$5*INDEX(Вводные!$G$13:$G$64,MATCH($A22,Вводные!$A$13:$A$64,0)),0))</f>
        <v>15000</v>
      </c>
      <c r="HK22" s="14" t="n">
        <f aca="false">INDEX(Вводные!$D$13:$F$64,MATCH($A22,Вводные!$A$13:$A$64,0),MATCH(HK$3,Вводные!$D$11:$F$11,0))*(1+IF(HK$4=$A22,Вводные!$D$5*INDEX(Вводные!$G$13:$G$64,MATCH($A22,Вводные!$A$13:$A$64,0)),0))</f>
        <v>15000</v>
      </c>
      <c r="HL22" s="14" t="n">
        <f aca="false">INDEX(Вводные!$D$13:$F$64,MATCH($A22,Вводные!$A$13:$A$64,0),MATCH(HL$3,Вводные!$D$11:$F$11,0))*(1+IF(HL$4=$A22,Вводные!$D$5*INDEX(Вводные!$G$13:$G$64,MATCH($A22,Вводные!$A$13:$A$64,0)),0))</f>
        <v>100000</v>
      </c>
      <c r="HM22" s="14" t="n">
        <f aca="false">INDEX(Вводные!$D$13:$F$64,MATCH($A22,Вводные!$A$13:$A$64,0),MATCH(HM$3,Вводные!$D$11:$F$11,0))*(1+IF(HM$4=$A22,Вводные!$D$5*INDEX(Вводные!$G$13:$G$64,MATCH($A22,Вводные!$A$13:$A$64,0)),0))</f>
        <v>100000</v>
      </c>
      <c r="HN22" s="14" t="n">
        <f aca="false">INDEX(Вводные!$D$13:$F$64,MATCH($A22,Вводные!$A$13:$A$64,0),MATCH(HN$3,Вводные!$D$11:$F$11,0))*(1+IF(HN$4=$A22,Вводные!$D$5*INDEX(Вводные!$G$13:$G$64,MATCH($A22,Вводные!$A$13:$A$64,0)),0))</f>
        <v>100000</v>
      </c>
      <c r="HO22" s="14" t="n">
        <f aca="false">INDEX(Вводные!$D$13:$F$64,MATCH($A22,Вводные!$A$13:$A$64,0),MATCH(HO$3,Вводные!$D$11:$F$11,0))*(1+IF(HO$4=$A22,Вводные!$D$5*INDEX(Вводные!$G$13:$G$64,MATCH($A22,Вводные!$A$13:$A$64,0)),0))</f>
        <v>100000</v>
      </c>
      <c r="HP22" s="14" t="n">
        <f aca="false">INDEX(Вводные!$D$13:$F$64,MATCH($A22,Вводные!$A$13:$A$64,0),MATCH(HP$3,Вводные!$D$11:$F$11,0))*(1+IF(HP$4=$A22,Вводные!$D$5*INDEX(Вводные!$G$13:$G$64,MATCH($A22,Вводные!$A$13:$A$64,0)),0))</f>
        <v>100000</v>
      </c>
      <c r="HQ22" s="14" t="n">
        <f aca="false">INDEX(Вводные!$D$13:$F$64,MATCH($A22,Вводные!$A$13:$A$64,0),MATCH(HQ$3,Вводные!$D$11:$F$11,0))*(1+IF(HQ$4=$A22,Вводные!$D$5*INDEX(Вводные!$G$13:$G$64,MATCH($A22,Вводные!$A$13:$A$64,0)),0))</f>
        <v>100000</v>
      </c>
      <c r="HR22" s="14" t="n">
        <f aca="false">INDEX(Вводные!$D$13:$F$64,MATCH($A22,Вводные!$A$13:$A$64,0),MATCH(HR$3,Вводные!$D$11:$F$11,0))*(1+IF(HR$4=$A22,Вводные!$D$5*INDEX(Вводные!$G$13:$G$64,MATCH($A22,Вводные!$A$13:$A$64,0)),0))</f>
        <v>100000</v>
      </c>
      <c r="HS22" s="14" t="n">
        <f aca="false">INDEX(Вводные!$D$13:$F$64,MATCH($A22,Вводные!$A$13:$A$64,0),MATCH(HS$3,Вводные!$D$11:$F$11,0))*(1+IF(HS$4=$A22,Вводные!$D$5*INDEX(Вводные!$G$13:$G$64,MATCH($A22,Вводные!$A$13:$A$64,0)),0))</f>
        <v>101000</v>
      </c>
      <c r="HT22" s="14" t="n">
        <f aca="false">INDEX(Вводные!$D$13:$F$64,MATCH($A22,Вводные!$A$13:$A$64,0),MATCH(HT$3,Вводные!$D$11:$F$11,0))*(1+IF(HT$4=$A22,Вводные!$D$5*INDEX(Вводные!$G$13:$G$64,MATCH($A22,Вводные!$A$13:$A$64,0)),0))</f>
        <v>100000</v>
      </c>
      <c r="HU22" s="14" t="n">
        <f aca="false">INDEX(Вводные!$D$13:$F$64,MATCH($A22,Вводные!$A$13:$A$64,0),MATCH(HU$3,Вводные!$D$11:$F$11,0))*(1+IF(HU$4=$A22,Вводные!$D$5*INDEX(Вводные!$G$13:$G$64,MATCH($A22,Вводные!$A$13:$A$64,0)),0))</f>
        <v>100000</v>
      </c>
      <c r="HV22" s="14" t="n">
        <f aca="false">INDEX(Вводные!$D$13:$F$64,MATCH($A22,Вводные!$A$13:$A$64,0),MATCH(HV$3,Вводные!$D$11:$F$11,0))*(1+IF(HV$4=$A22,Вводные!$D$5*INDEX(Вводные!$G$13:$G$64,MATCH($A22,Вводные!$A$13:$A$64,0)),0))</f>
        <v>100000</v>
      </c>
      <c r="HW22" s="14" t="n">
        <f aca="false">INDEX(Вводные!$D$13:$F$64,MATCH($A22,Вводные!$A$13:$A$64,0),MATCH(HW$3,Вводные!$D$11:$F$11,0))*(1+IF(HW$4=$A22,Вводные!$D$5*INDEX(Вводные!$G$13:$G$64,MATCH($A22,Вводные!$A$13:$A$64,0)),0))</f>
        <v>100000</v>
      </c>
      <c r="HX22" s="14" t="n">
        <f aca="false">INDEX(Вводные!$D$13:$F$64,MATCH($A22,Вводные!$A$13:$A$64,0),MATCH(HX$3,Вводные!$D$11:$F$11,0))*(1+IF(HX$4=$A22,Вводные!$D$5*INDEX(Вводные!$G$13:$G$64,MATCH($A22,Вводные!$A$13:$A$64,0)),0))</f>
        <v>100000</v>
      </c>
      <c r="HY22" s="14" t="n">
        <f aca="false">INDEX(Вводные!$D$13:$F$64,MATCH($A22,Вводные!$A$13:$A$64,0),MATCH(HY$3,Вводные!$D$11:$F$11,0))*(1+IF(HY$4=$A22,Вводные!$D$5*INDEX(Вводные!$G$13:$G$64,MATCH($A22,Вводные!$A$13:$A$64,0)),0))</f>
        <v>100000</v>
      </c>
      <c r="HZ22" s="14" t="n">
        <f aca="false">INDEX(Вводные!$D$13:$F$64,MATCH($A22,Вводные!$A$13:$A$64,0),MATCH(HZ$3,Вводные!$D$11:$F$11,0))*(1+IF(HZ$4=$A22,Вводные!$D$5*INDEX(Вводные!$G$13:$G$64,MATCH($A22,Вводные!$A$13:$A$64,0)),0))</f>
        <v>100000</v>
      </c>
      <c r="IA22" s="14" t="n">
        <f aca="false">INDEX(Вводные!$D$13:$F$64,MATCH($A22,Вводные!$A$13:$A$64,0),MATCH(IA$3,Вводные!$D$11:$F$11,0))*(1+IF(IA$4=$A22,Вводные!$D$5*INDEX(Вводные!$G$13:$G$64,MATCH($A22,Вводные!$A$13:$A$64,0)),0))</f>
        <v>100000</v>
      </c>
      <c r="IB22" s="14" t="n">
        <f aca="false">INDEX(Вводные!$D$13:$F$64,MATCH($A22,Вводные!$A$13:$A$64,0),MATCH(IB$3,Вводные!$D$11:$F$11,0))*(1+IF(IB$4=$A22,Вводные!$D$5*INDEX(Вводные!$G$13:$G$64,MATCH($A22,Вводные!$A$13:$A$64,0)),0))</f>
        <v>100000</v>
      </c>
      <c r="IC22" s="14" t="n">
        <f aca="false">INDEX(Вводные!$D$13:$F$64,MATCH($A22,Вводные!$A$13:$A$64,0),MATCH(IC$3,Вводные!$D$11:$F$11,0))*(1+IF(IC$4=$A22,Вводные!$D$5*INDEX(Вводные!$G$13:$G$64,MATCH($A22,Вводные!$A$13:$A$64,0)),0))</f>
        <v>100000</v>
      </c>
      <c r="ID22" s="14" t="n">
        <f aca="false">INDEX(Вводные!$D$13:$F$64,MATCH($A22,Вводные!$A$13:$A$64,0),MATCH(ID$3,Вводные!$D$11:$F$11,0))*(1+IF(ID$4=$A22,Вводные!$D$5*INDEX(Вводные!$G$13:$G$64,MATCH($A22,Вводные!$A$13:$A$64,0)),0))</f>
        <v>100000</v>
      </c>
      <c r="IE22" s="14" t="n">
        <f aca="false">INDEX(Вводные!$D$13:$F$64,MATCH($A22,Вводные!$A$13:$A$64,0),MATCH(IE$3,Вводные!$D$11:$F$11,0))*(1+IF(IE$4=$A22,Вводные!$D$5*INDEX(Вводные!$G$13:$G$64,MATCH($A22,Вводные!$A$13:$A$64,0)),0))</f>
        <v>100000</v>
      </c>
      <c r="IF22" s="14" t="n">
        <f aca="false">INDEX(Вводные!$D$13:$F$64,MATCH($A22,Вводные!$A$13:$A$64,0),MATCH(IF$3,Вводные!$D$11:$F$11,0))*(1+IF(IF$4=$A22,Вводные!$D$5*INDEX(Вводные!$G$13:$G$64,MATCH($A22,Вводные!$A$13:$A$64,0)),0))</f>
        <v>100000</v>
      </c>
      <c r="IG22" s="14" t="n">
        <f aca="false">INDEX(Вводные!$D$13:$F$64,MATCH($A22,Вводные!$A$13:$A$64,0),MATCH(IG$3,Вводные!$D$11:$F$11,0))*(1+IF(IG$4=$A22,Вводные!$D$5*INDEX(Вводные!$G$13:$G$64,MATCH($A22,Вводные!$A$13:$A$64,0)),0))</f>
        <v>100000</v>
      </c>
      <c r="IH22" s="14" t="n">
        <f aca="false">INDEX(Вводные!$D$13:$F$64,MATCH($A22,Вводные!$A$13:$A$64,0),MATCH(IH$3,Вводные!$D$11:$F$11,0))*(1+IF(IH$4=$A22,Вводные!$D$5*INDEX(Вводные!$G$13:$G$64,MATCH($A22,Вводные!$A$13:$A$64,0)),0))</f>
        <v>100000</v>
      </c>
      <c r="II22" s="14" t="n">
        <f aca="false">INDEX(Вводные!$D$13:$F$64,MATCH($A22,Вводные!$A$13:$A$64,0),MATCH(II$3,Вводные!$D$11:$F$11,0))*(1+IF(II$4=$A22,Вводные!$D$5*INDEX(Вводные!$G$13:$G$64,MATCH($A22,Вводные!$A$13:$A$64,0)),0))</f>
        <v>100000</v>
      </c>
      <c r="IJ22" s="14" t="n">
        <f aca="false">INDEX(Вводные!$D$13:$F$64,MATCH($A22,Вводные!$A$13:$A$64,0),MATCH(IJ$3,Вводные!$D$11:$F$11,0))*(1+IF(IJ$4=$A22,Вводные!$D$5*INDEX(Вводные!$G$13:$G$64,MATCH($A22,Вводные!$A$13:$A$64,0)),0))</f>
        <v>100000</v>
      </c>
      <c r="IK22" s="14" t="n">
        <f aca="false">INDEX(Вводные!$D$13:$F$64,MATCH($A22,Вводные!$A$13:$A$64,0),MATCH(IK$3,Вводные!$D$11:$F$11,0))*(1+IF(IK$4=$A22,Вводные!$D$5*INDEX(Вводные!$G$13:$G$64,MATCH($A22,Вводные!$A$13:$A$64,0)),0))</f>
        <v>100000</v>
      </c>
      <c r="IL22" s="14" t="n">
        <f aca="false">INDEX(Вводные!$D$13:$F$64,MATCH($A22,Вводные!$A$13:$A$64,0),MATCH(IL$3,Вводные!$D$11:$F$11,0))*(1+IF(IL$4=$A22,Вводные!$D$5*INDEX(Вводные!$G$13:$G$64,MATCH($A22,Вводные!$A$13:$A$64,0)),0))</f>
        <v>100000</v>
      </c>
      <c r="IM22" s="14" t="n">
        <f aca="false">INDEX(Вводные!$D$13:$F$64,MATCH($A22,Вводные!$A$13:$A$64,0),MATCH(IM$3,Вводные!$D$11:$F$11,0))*(1+IF(IM$4=$A22,Вводные!$D$5*INDEX(Вводные!$G$13:$G$64,MATCH($A22,Вводные!$A$13:$A$64,0)),0))</f>
        <v>100000</v>
      </c>
      <c r="IN22" s="14" t="n">
        <f aca="false">INDEX(Вводные!$D$13:$F$64,MATCH($A22,Вводные!$A$13:$A$64,0),MATCH(IN$3,Вводные!$D$11:$F$11,0))*(1+IF(IN$4=$A22,Вводные!$D$5*INDEX(Вводные!$G$13:$G$64,MATCH($A22,Вводные!$A$13:$A$64,0)),0))</f>
        <v>100000</v>
      </c>
      <c r="IO22" s="14" t="n">
        <f aca="false">INDEX(Вводные!$D$13:$F$64,MATCH($A22,Вводные!$A$13:$A$64,0),MATCH(IO$3,Вводные!$D$11:$F$11,0))*(1+IF(IO$4=$A22,Вводные!$D$5*INDEX(Вводные!$G$13:$G$64,MATCH($A22,Вводные!$A$13:$A$64,0)),0))</f>
        <v>100000</v>
      </c>
      <c r="IP22" s="14" t="n">
        <f aca="false">INDEX(Вводные!$D$13:$F$64,MATCH($A22,Вводные!$A$13:$A$64,0),MATCH(IP$3,Вводные!$D$11:$F$11,0))*(1+IF(IP$4=$A22,Вводные!$D$5*INDEX(Вводные!$G$13:$G$64,MATCH($A22,Вводные!$A$13:$A$64,0)),0))</f>
        <v>100000</v>
      </c>
      <c r="IQ22" s="14" t="n">
        <f aca="false">INDEX(Вводные!$D$13:$F$64,MATCH($A22,Вводные!$A$13:$A$64,0),MATCH(IQ$3,Вводные!$D$11:$F$11,0))*(1+IF(IQ$4=$A22,Вводные!$D$5*INDEX(Вводные!$G$13:$G$64,MATCH($A22,Вводные!$A$13:$A$64,0)),0))</f>
        <v>100000</v>
      </c>
      <c r="IR22" s="14" t="n">
        <f aca="false">INDEX(Вводные!$D$13:$F$64,MATCH($A22,Вводные!$A$13:$A$64,0),MATCH(IR$3,Вводные!$D$11:$F$11,0))*(1+IF(IR$4=$A22,Вводные!$D$5*INDEX(Вводные!$G$13:$G$64,MATCH($A22,Вводные!$A$13:$A$64,0)),0))</f>
        <v>100000</v>
      </c>
      <c r="IS22" s="14" t="n">
        <f aca="false">INDEX(Вводные!$D$13:$F$64,MATCH($A22,Вводные!$A$13:$A$64,0),MATCH(IS$3,Вводные!$D$11:$F$11,0))*(1+IF(IS$4=$A22,Вводные!$D$5*INDEX(Вводные!$G$13:$G$64,MATCH($A22,Вводные!$A$13:$A$64,0)),0))</f>
        <v>100000</v>
      </c>
      <c r="IT22" s="14" t="n">
        <f aca="false">INDEX(Вводные!$D$13:$F$64,MATCH($A22,Вводные!$A$13:$A$64,0),MATCH(IT$3,Вводные!$D$11:$F$11,0))*(1+IF(IT$4=$A22,Вводные!$D$5*INDEX(Вводные!$G$13:$G$64,MATCH($A22,Вводные!$A$13:$A$64,0)),0))</f>
        <v>100000</v>
      </c>
      <c r="IU22" s="14" t="n">
        <f aca="false">INDEX(Вводные!$D$13:$F$64,MATCH($A22,Вводные!$A$13:$A$64,0),MATCH(IU$3,Вводные!$D$11:$F$11,0))*(1+IF(IU$4=$A22,Вводные!$D$5*INDEX(Вводные!$G$13:$G$64,MATCH($A22,Вводные!$A$13:$A$64,0)),0))</f>
        <v>100000</v>
      </c>
      <c r="IV22" s="14" t="n">
        <f aca="false">INDEX(Вводные!$D$13:$F$64,MATCH($A22,Вводные!$A$13:$A$64,0),MATCH(IV$3,Вводные!$D$11:$F$11,0))*(1+IF(IV$4=$A22,Вводные!$D$5*INDEX(Вводные!$G$13:$G$64,MATCH($A22,Вводные!$A$13:$A$64,0)),0))</f>
        <v>100000</v>
      </c>
      <c r="IW22" s="14" t="n">
        <f aca="false">INDEX(Вводные!$D$13:$F$64,MATCH($A22,Вводные!$A$13:$A$64,0),MATCH(IW$3,Вводные!$D$11:$F$11,0))*(1+IF(IW$4=$A22,Вводные!$D$5*INDEX(Вводные!$G$13:$G$64,MATCH($A22,Вводные!$A$13:$A$64,0)),0))</f>
        <v>100000</v>
      </c>
      <c r="IX22" s="14" t="n">
        <f aca="false">INDEX(Вводные!$D$13:$F$64,MATCH($A22,Вводные!$A$13:$A$64,0),MATCH(IX$3,Вводные!$D$11:$F$11,0))*(1+IF(IX$4=$A22,Вводные!$D$5*INDEX(Вводные!$G$13:$G$64,MATCH($A22,Вводные!$A$13:$A$64,0)),0))</f>
        <v>100000</v>
      </c>
      <c r="IY22" s="14" t="n">
        <f aca="false">INDEX(Вводные!$D$13:$F$64,MATCH($A22,Вводные!$A$13:$A$64,0),MATCH(IY$3,Вводные!$D$11:$F$11,0))*(1+IF(IY$4=$A22,Вводные!$D$5*INDEX(Вводные!$G$13:$G$64,MATCH($A22,Вводные!$A$13:$A$64,0)),0))</f>
        <v>100000</v>
      </c>
      <c r="IZ22" s="14" t="n">
        <f aca="false">INDEX(Вводные!$D$13:$F$64,MATCH($A22,Вводные!$A$13:$A$64,0),MATCH(IZ$3,Вводные!$D$11:$F$11,0))*(1+IF(IZ$4=$A22,Вводные!$D$5*INDEX(Вводные!$G$13:$G$64,MATCH($A22,Вводные!$A$13:$A$64,0)),0))</f>
        <v>100000</v>
      </c>
      <c r="JA22" s="14" t="n">
        <f aca="false">INDEX(Вводные!$D$13:$F$64,MATCH($A22,Вводные!$A$13:$A$64,0),MATCH(JA$3,Вводные!$D$11:$F$11,0))*(1+IF(JA$4=$A22,Вводные!$D$5*INDEX(Вводные!$G$13:$G$64,MATCH($A22,Вводные!$A$13:$A$64,0)),0))</f>
        <v>100000</v>
      </c>
    </row>
    <row r="23" customFormat="false" ht="15" hidden="false" customHeight="false" outlineLevel="0" collapsed="false">
      <c r="A23" s="2" t="s">
        <v>142</v>
      </c>
      <c r="B23" s="13" t="s">
        <v>143</v>
      </c>
      <c r="C23" s="13" t="s">
        <v>179</v>
      </c>
      <c r="D23" s="9" t="s">
        <v>183</v>
      </c>
      <c r="E23" s="59" t="n">
        <f aca="false">E18*E21*12*E22</f>
        <v>10223640000</v>
      </c>
      <c r="F23" s="59" t="n">
        <f aca="false">F18*F21*12*F22</f>
        <v>5235615000</v>
      </c>
      <c r="G23" s="59" t="n">
        <f aca="false">G18*G21*12*G22</f>
        <v>50169600000</v>
      </c>
      <c r="H23" s="59" t="n">
        <f aca="false">SUM(E23:G23)</f>
        <v>65628855000</v>
      </c>
      <c r="J23" s="59" t="n">
        <f aca="false">J18*J21*12*J22</f>
        <v>10223640000</v>
      </c>
      <c r="K23" s="59" t="n">
        <f aca="false">K18*K21*12*K22</f>
        <v>10231124400</v>
      </c>
      <c r="L23" s="59" t="n">
        <f aca="false">L18*L21*12*L22</f>
        <v>10231124400</v>
      </c>
      <c r="M23" s="59" t="n">
        <f aca="false">M18*M21*12*M22</f>
        <v>10231124400</v>
      </c>
      <c r="N23" s="59" t="n">
        <f aca="false">N18*N21*12*N22</f>
        <v>10229688000</v>
      </c>
      <c r="O23" s="59" t="n">
        <f aca="false">O18*O21*12*O22</f>
        <v>10325876400</v>
      </c>
      <c r="P23" s="59" t="n">
        <f aca="false">P18*P21*12*P22</f>
        <v>10325876400</v>
      </c>
      <c r="Q23" s="59" t="n">
        <f aca="false">Q18*Q21*12*Q22</f>
        <v>10325876400</v>
      </c>
      <c r="R23" s="59" t="n">
        <f aca="false">R18*R21*12*R22</f>
        <v>10223640000</v>
      </c>
      <c r="S23" s="59" t="n">
        <f aca="false">S18*S21*12*S22</f>
        <v>10223640000</v>
      </c>
      <c r="T23" s="59" t="n">
        <f aca="false">T18*T21*12*T22</f>
        <v>10223640000</v>
      </c>
      <c r="U23" s="59" t="n">
        <f aca="false">U18*U21*12*U22</f>
        <v>10223640000</v>
      </c>
      <c r="V23" s="59" t="n">
        <f aca="false">V18*V21*12*V22</f>
        <v>10223640000</v>
      </c>
      <c r="W23" s="59" t="n">
        <f aca="false">W18*W21*12*W22</f>
        <v>10223640000</v>
      </c>
      <c r="X23" s="59" t="n">
        <f aca="false">X18*X21*12*X22</f>
        <v>10223640000</v>
      </c>
      <c r="Y23" s="59" t="n">
        <f aca="false">Y18*Y21*12*Y22</f>
        <v>10223640000</v>
      </c>
      <c r="Z23" s="59" t="n">
        <f aca="false">Z18*Z21*12*Z22</f>
        <v>10223640000</v>
      </c>
      <c r="AA23" s="59" t="n">
        <f aca="false">AA18*AA21*12*AA22</f>
        <v>10223640000</v>
      </c>
      <c r="AB23" s="59" t="n">
        <f aca="false">AB18*AB21*12*AB22</f>
        <v>10223640000</v>
      </c>
      <c r="AC23" s="59" t="n">
        <f aca="false">AC18*AC21*12*AC22</f>
        <v>10223640000</v>
      </c>
      <c r="AD23" s="59" t="n">
        <f aca="false">AD18*AD21*12*AD22</f>
        <v>10223640000</v>
      </c>
      <c r="AE23" s="59" t="n">
        <f aca="false">AE18*AE21*12*AE22</f>
        <v>10223640000</v>
      </c>
      <c r="AF23" s="59" t="n">
        <f aca="false">AF18*AF21*12*AF22</f>
        <v>10223640000</v>
      </c>
      <c r="AG23" s="59" t="n">
        <f aca="false">AG18*AG21*12*AG22</f>
        <v>10223640000</v>
      </c>
      <c r="AH23" s="59" t="n">
        <f aca="false">AH18*AH21*12*AH22</f>
        <v>10223640000</v>
      </c>
      <c r="AI23" s="59" t="n">
        <f aca="false">AI18*AI21*12*AI22</f>
        <v>10223640000</v>
      </c>
      <c r="AJ23" s="59" t="n">
        <f aca="false">AJ18*AJ21*12*AJ22</f>
        <v>10223640000</v>
      </c>
      <c r="AK23" s="59" t="n">
        <f aca="false">AK18*AK21*12*AK22</f>
        <v>10223640000</v>
      </c>
      <c r="AL23" s="59" t="n">
        <f aca="false">AL18*AL21*12*AL22</f>
        <v>10223640000</v>
      </c>
      <c r="AM23" s="59" t="n">
        <f aca="false">AM18*AM21*12*AM22</f>
        <v>10223640000</v>
      </c>
      <c r="AN23" s="59" t="n">
        <f aca="false">AN18*AN21*12*AN22</f>
        <v>10223640000</v>
      </c>
      <c r="AO23" s="59" t="n">
        <f aca="false">AO18*AO21*12*AO22</f>
        <v>10223640000</v>
      </c>
      <c r="AP23" s="59" t="n">
        <f aca="false">AP18*AP21*12*AP22</f>
        <v>10223640000</v>
      </c>
      <c r="AQ23" s="59" t="n">
        <f aca="false">AQ18*AQ21*12*AQ22</f>
        <v>10223640000</v>
      </c>
      <c r="AR23" s="59" t="n">
        <f aca="false">AR18*AR21*12*AR22</f>
        <v>10223640000</v>
      </c>
      <c r="AS23" s="59" t="n">
        <f aca="false">AS18*AS21*12*AS22</f>
        <v>10223640000</v>
      </c>
      <c r="AT23" s="59" t="n">
        <f aca="false">AT18*AT21*12*AT22</f>
        <v>10223640000</v>
      </c>
      <c r="AU23" s="59" t="n">
        <f aca="false">AU18*AU21*12*AU22</f>
        <v>10223640000</v>
      </c>
      <c r="AV23" s="59" t="n">
        <f aca="false">AV18*AV21*12*AV22</f>
        <v>10223640000</v>
      </c>
      <c r="AW23" s="59" t="n">
        <f aca="false">AW18*AW21*12*AW22</f>
        <v>10223640000</v>
      </c>
      <c r="AX23" s="59" t="n">
        <f aca="false">AX18*AX21*12*AX22</f>
        <v>10223640000</v>
      </c>
      <c r="AY23" s="59" t="n">
        <f aca="false">AY18*AY21*12*AY22</f>
        <v>10223640000</v>
      </c>
      <c r="AZ23" s="59" t="n">
        <f aca="false">AZ18*AZ21*12*AZ22</f>
        <v>5235615000</v>
      </c>
      <c r="BA23" s="59" t="n">
        <f aca="false">BA18*BA21*12*BA22</f>
        <v>5237555400</v>
      </c>
      <c r="BB23" s="59" t="n">
        <f aca="false">BB18*BB21*12*BB22</f>
        <v>5237555400</v>
      </c>
      <c r="BC23" s="59" t="n">
        <f aca="false">BC18*BC21*12*BC22</f>
        <v>5237555400</v>
      </c>
      <c r="BD23" s="59" t="n">
        <f aca="false">BD18*BD21*12*BD22</f>
        <v>5237174250</v>
      </c>
      <c r="BE23" s="59" t="n">
        <f aca="false">BE18*BE21*12*BE22</f>
        <v>5287971150</v>
      </c>
      <c r="BF23" s="59" t="n">
        <f aca="false">BF18*BF21*12*BF22</f>
        <v>5287971150</v>
      </c>
      <c r="BG23" s="59" t="n">
        <f aca="false">BG18*BG21*12*BG22</f>
        <v>5287971150</v>
      </c>
      <c r="BH23" s="59" t="n">
        <f aca="false">BH18*BH21*12*BH22</f>
        <v>5235615000</v>
      </c>
      <c r="BI23" s="59" t="n">
        <f aca="false">BI18*BI21*12*BI22</f>
        <v>5235615000</v>
      </c>
      <c r="BJ23" s="59" t="n">
        <f aca="false">BJ18*BJ21*12*BJ22</f>
        <v>5235615000</v>
      </c>
      <c r="BK23" s="59" t="n">
        <f aca="false">BK18*BK21*12*BK22</f>
        <v>5235615000</v>
      </c>
      <c r="BL23" s="59" t="n">
        <f aca="false">BL18*BL21*12*BL22</f>
        <v>5235615000</v>
      </c>
      <c r="BM23" s="59" t="n">
        <f aca="false">BM18*BM21*12*BM22</f>
        <v>5235615000</v>
      </c>
      <c r="BN23" s="59" t="n">
        <f aca="false">BN18*BN21*12*BN22</f>
        <v>5235615000</v>
      </c>
      <c r="BO23" s="59" t="n">
        <f aca="false">BO18*BO21*12*BO22</f>
        <v>5235615000</v>
      </c>
      <c r="BP23" s="59" t="n">
        <f aca="false">BP18*BP21*12*BP22</f>
        <v>5235615000</v>
      </c>
      <c r="BQ23" s="59" t="n">
        <f aca="false">BQ18*BQ21*12*BQ22</f>
        <v>5235615000</v>
      </c>
      <c r="BR23" s="59" t="n">
        <f aca="false">BR18*BR21*12*BR22</f>
        <v>5235615000</v>
      </c>
      <c r="BS23" s="59" t="n">
        <f aca="false">BS18*BS21*12*BS22</f>
        <v>5235615000</v>
      </c>
      <c r="BT23" s="59" t="n">
        <f aca="false">BT18*BT21*12*BT22</f>
        <v>5235615000</v>
      </c>
      <c r="BU23" s="59" t="n">
        <f aca="false">BU18*BU21*12*BU22</f>
        <v>5235615000</v>
      </c>
      <c r="BV23" s="59" t="n">
        <f aca="false">BV18*BV21*12*BV22</f>
        <v>5235615000</v>
      </c>
      <c r="BW23" s="59" t="n">
        <f aca="false">BW18*BW21*12*BW22</f>
        <v>5235615000</v>
      </c>
      <c r="BX23" s="59" t="n">
        <f aca="false">BX18*BX21*12*BX22</f>
        <v>5235615000</v>
      </c>
      <c r="BY23" s="59" t="n">
        <f aca="false">BY18*BY21*12*BY22</f>
        <v>5235615000</v>
      </c>
      <c r="BZ23" s="59" t="n">
        <f aca="false">BZ18*BZ21*12*BZ22</f>
        <v>5235615000</v>
      </c>
      <c r="CA23" s="59" t="n">
        <f aca="false">CA18*CA21*12*CA22</f>
        <v>5235615000</v>
      </c>
      <c r="CB23" s="59" t="n">
        <f aca="false">CB18*CB21*12*CB22</f>
        <v>5235615000</v>
      </c>
      <c r="CC23" s="59" t="n">
        <f aca="false">CC18*CC21*12*CC22</f>
        <v>5235615000</v>
      </c>
      <c r="CD23" s="59" t="n">
        <f aca="false">CD18*CD21*12*CD22</f>
        <v>5235615000</v>
      </c>
      <c r="CE23" s="59" t="n">
        <f aca="false">CE18*CE21*12*CE22</f>
        <v>5235615000</v>
      </c>
      <c r="CF23" s="59" t="n">
        <f aca="false">CF18*CF21*12*CF22</f>
        <v>5235615000</v>
      </c>
      <c r="CG23" s="59" t="n">
        <f aca="false">CG18*CG21*12*CG22</f>
        <v>5235615000</v>
      </c>
      <c r="CH23" s="59" t="n">
        <f aca="false">CH18*CH21*12*CH22</f>
        <v>5235615000</v>
      </c>
      <c r="CI23" s="59" t="n">
        <f aca="false">CI18*CI21*12*CI22</f>
        <v>5235615000</v>
      </c>
      <c r="CJ23" s="59" t="n">
        <f aca="false">CJ18*CJ21*12*CJ22</f>
        <v>5235615000</v>
      </c>
      <c r="CK23" s="59" t="n">
        <f aca="false">CK18*CK21*12*CK22</f>
        <v>5235615000</v>
      </c>
      <c r="CL23" s="59" t="n">
        <f aca="false">CL18*CL21*12*CL22</f>
        <v>5235615000</v>
      </c>
      <c r="CM23" s="59" t="n">
        <f aca="false">CM18*CM21*12*CM22</f>
        <v>5235615000</v>
      </c>
      <c r="CN23" s="59" t="n">
        <f aca="false">CN18*CN21*12*CN22</f>
        <v>5235615000</v>
      </c>
      <c r="CO23" s="59" t="n">
        <f aca="false">CO18*CO21*12*CO22</f>
        <v>5235615000</v>
      </c>
      <c r="CP23" s="59" t="n">
        <f aca="false">CP18*CP21*12*CP22</f>
        <v>50169600000</v>
      </c>
      <c r="CQ23" s="59" t="n">
        <f aca="false">CQ18*CQ21*12*CQ22</f>
        <v>50192064000</v>
      </c>
      <c r="CR23" s="59" t="n">
        <f aca="false">CR18*CR21*12*CR22</f>
        <v>50192064000</v>
      </c>
      <c r="CS23" s="59" t="n">
        <f aca="false">CS18*CS21*12*CS22</f>
        <v>50192064000</v>
      </c>
      <c r="CT23" s="59" t="n">
        <f aca="false">CT18*CT21*12*CT22</f>
        <v>50189568000</v>
      </c>
      <c r="CU23" s="59" t="n">
        <f aca="false">CU18*CU21*12*CU22</f>
        <v>50671296000</v>
      </c>
      <c r="CV23" s="59" t="n">
        <f aca="false">CV18*CV21*12*CV22</f>
        <v>50671296000</v>
      </c>
      <c r="CW23" s="59" t="n">
        <f aca="false">CW18*CW21*12*CW22</f>
        <v>50671296000</v>
      </c>
      <c r="CX23" s="59" t="n">
        <f aca="false">CX18*CX21*12*CX22</f>
        <v>50169600000</v>
      </c>
      <c r="CY23" s="59" t="n">
        <f aca="false">CY18*CY21*12*CY22</f>
        <v>50169600000</v>
      </c>
      <c r="CZ23" s="59" t="n">
        <f aca="false">CZ18*CZ21*12*CZ22</f>
        <v>50169600000</v>
      </c>
      <c r="DA23" s="59" t="n">
        <f aca="false">DA18*DA21*12*DA22</f>
        <v>50169600000</v>
      </c>
      <c r="DB23" s="59" t="n">
        <f aca="false">DB18*DB21*12*DB22</f>
        <v>50169600000</v>
      </c>
      <c r="DC23" s="59" t="n">
        <f aca="false">DC18*DC21*12*DC22</f>
        <v>50169600000</v>
      </c>
      <c r="DD23" s="59" t="n">
        <f aca="false">DD18*DD21*12*DD22</f>
        <v>50169600000</v>
      </c>
      <c r="DE23" s="59" t="n">
        <f aca="false">DE18*DE21*12*DE22</f>
        <v>50169600000</v>
      </c>
      <c r="DF23" s="59" t="n">
        <f aca="false">DF18*DF21*12*DF22</f>
        <v>50169600000</v>
      </c>
      <c r="DG23" s="59" t="n">
        <f aca="false">DG18*DG21*12*DG22</f>
        <v>50169600000</v>
      </c>
      <c r="DH23" s="59" t="n">
        <f aca="false">DH18*DH21*12*DH22</f>
        <v>50169600000</v>
      </c>
      <c r="DI23" s="59" t="n">
        <f aca="false">DI18*DI21*12*DI22</f>
        <v>50169600000</v>
      </c>
      <c r="DJ23" s="59" t="n">
        <f aca="false">DJ18*DJ21*12*DJ22</f>
        <v>50169600000</v>
      </c>
      <c r="DK23" s="59" t="n">
        <f aca="false">DK18*DK21*12*DK22</f>
        <v>50169600000</v>
      </c>
      <c r="DL23" s="59" t="n">
        <f aca="false">DL18*DL21*12*DL22</f>
        <v>50169600000</v>
      </c>
      <c r="DM23" s="59" t="n">
        <f aca="false">DM18*DM21*12*DM22</f>
        <v>50169600000</v>
      </c>
      <c r="DN23" s="59" t="n">
        <f aca="false">DN18*DN21*12*DN22</f>
        <v>50169600000</v>
      </c>
      <c r="DO23" s="59" t="n">
        <f aca="false">DO18*DO21*12*DO22</f>
        <v>50169600000</v>
      </c>
      <c r="DP23" s="59" t="n">
        <f aca="false">DP18*DP21*12*DP22</f>
        <v>50169600000</v>
      </c>
      <c r="DQ23" s="59" t="n">
        <f aca="false">DQ18*DQ21*12*DQ22</f>
        <v>50169600000</v>
      </c>
      <c r="DR23" s="59" t="n">
        <f aca="false">DR18*DR21*12*DR22</f>
        <v>50169600000</v>
      </c>
      <c r="DS23" s="59" t="n">
        <f aca="false">DS18*DS21*12*DS22</f>
        <v>50169600000</v>
      </c>
      <c r="DT23" s="59" t="n">
        <f aca="false">DT18*DT21*12*DT22</f>
        <v>50169600000</v>
      </c>
      <c r="DU23" s="59" t="n">
        <f aca="false">DU18*DU21*12*DU22</f>
        <v>50169600000</v>
      </c>
      <c r="DV23" s="59" t="n">
        <f aca="false">DV18*DV21*12*DV22</f>
        <v>50169600000</v>
      </c>
      <c r="DW23" s="59" t="n">
        <f aca="false">DW18*DW21*12*DW22</f>
        <v>50169600000</v>
      </c>
      <c r="DX23" s="59" t="n">
        <f aca="false">DX18*DX21*12*DX22</f>
        <v>50169600000</v>
      </c>
      <c r="DY23" s="59" t="n">
        <f aca="false">DY18*DY21*12*DY22</f>
        <v>50169600000</v>
      </c>
      <c r="DZ23" s="59" t="n">
        <f aca="false">DZ18*DZ21*12*DZ22</f>
        <v>50169600000</v>
      </c>
      <c r="EA23" s="59" t="n">
        <f aca="false">EA18*EA21*12*EA22</f>
        <v>50169600000</v>
      </c>
      <c r="EB23" s="59" t="n">
        <f aca="false">EB18*EB21*12*EB22</f>
        <v>50169600000</v>
      </c>
      <c r="EC23" s="59" t="n">
        <f aca="false">EC18*EC21*12*EC22</f>
        <v>50169600000</v>
      </c>
      <c r="ED23" s="59" t="n">
        <f aca="false">ED18*ED21*12*ED22</f>
        <v>50169600000</v>
      </c>
      <c r="EE23" s="59" t="n">
        <f aca="false">EE18*EE21*12*EE22</f>
        <v>50169600000</v>
      </c>
      <c r="EF23" s="59" t="n">
        <f aca="false">EF18*EF21*12*EF22</f>
        <v>12474000000</v>
      </c>
      <c r="EG23" s="59" t="n">
        <f aca="false">EG18*EG21*12*EG22</f>
        <v>12598740000</v>
      </c>
      <c r="EH23" s="59" t="n">
        <f aca="false">EH18*EH21*12*EH22</f>
        <v>12598740000</v>
      </c>
      <c r="EI23" s="59" t="n">
        <f aca="false">EI18*EI21*12*EI22</f>
        <v>12598740000</v>
      </c>
      <c r="EJ23" s="59" t="n">
        <f aca="false">EJ18*EJ21*12*EJ22</f>
        <v>12600000000</v>
      </c>
      <c r="EK23" s="59" t="n">
        <f aca="false">EK18*EK21*12*EK22</f>
        <v>12598740000</v>
      </c>
      <c r="EL23" s="59" t="n">
        <f aca="false">EL18*EL21*12*EL22</f>
        <v>12598740000</v>
      </c>
      <c r="EM23" s="59" t="n">
        <f aca="false">EM18*EM21*12*EM22</f>
        <v>12598740000</v>
      </c>
      <c r="EN23" s="59" t="n">
        <f aca="false">EN18*EN21*12*EN22</f>
        <v>12474000000</v>
      </c>
      <c r="EO23" s="59" t="n">
        <f aca="false">EO18*EO21*12*EO22</f>
        <v>12474000000</v>
      </c>
      <c r="EP23" s="59" t="n">
        <f aca="false">EP18*EP21*12*EP22</f>
        <v>12474000000</v>
      </c>
      <c r="EQ23" s="59" t="n">
        <f aca="false">EQ18*EQ21*12*EQ22</f>
        <v>12474000000</v>
      </c>
      <c r="ER23" s="59" t="n">
        <f aca="false">ER18*ER21*12*ER22</f>
        <v>12474000000</v>
      </c>
      <c r="ES23" s="59" t="n">
        <f aca="false">ES18*ES21*12*ES22</f>
        <v>12474000000</v>
      </c>
      <c r="ET23" s="59" t="n">
        <f aca="false">ET18*ET21*12*ET22</f>
        <v>12474000000</v>
      </c>
      <c r="EU23" s="59" t="n">
        <f aca="false">EU18*EU21*12*EU22</f>
        <v>12474000000</v>
      </c>
      <c r="EV23" s="59" t="n">
        <f aca="false">EV18*EV21*12*EV22</f>
        <v>12474000000</v>
      </c>
      <c r="EW23" s="59" t="n">
        <f aca="false">EW18*EW21*12*EW22</f>
        <v>12474000000</v>
      </c>
      <c r="EX23" s="59" t="n">
        <f aca="false">EX18*EX21*12*EX22</f>
        <v>12474000000</v>
      </c>
      <c r="EY23" s="59" t="n">
        <f aca="false">EY18*EY21*12*EY22</f>
        <v>12474000000</v>
      </c>
      <c r="EZ23" s="59" t="n">
        <f aca="false">EZ18*EZ21*12*EZ22</f>
        <v>12474000000</v>
      </c>
      <c r="FA23" s="59" t="n">
        <f aca="false">FA18*FA21*12*FA22</f>
        <v>12474000000</v>
      </c>
      <c r="FB23" s="59" t="n">
        <f aca="false">FB18*FB21*12*FB22</f>
        <v>12474000000</v>
      </c>
      <c r="FC23" s="59" t="n">
        <f aca="false">FC18*FC21*12*FC22</f>
        <v>12474000000</v>
      </c>
      <c r="FD23" s="59" t="n">
        <f aca="false">FD18*FD21*12*FD22</f>
        <v>12474000000</v>
      </c>
      <c r="FE23" s="59" t="n">
        <f aca="false">FE18*FE21*12*FE22</f>
        <v>12474000000</v>
      </c>
      <c r="FF23" s="59" t="n">
        <f aca="false">FF18*FF21*12*FF22</f>
        <v>12474000000</v>
      </c>
      <c r="FG23" s="59" t="n">
        <f aca="false">FG18*FG21*12*FG22</f>
        <v>12474000000</v>
      </c>
      <c r="FH23" s="59" t="n">
        <f aca="false">FH18*FH21*12*FH22</f>
        <v>12474000000</v>
      </c>
      <c r="FI23" s="59" t="n">
        <f aca="false">FI18*FI21*12*FI22</f>
        <v>12474000000</v>
      </c>
      <c r="FJ23" s="59" t="n">
        <f aca="false">FJ18*FJ21*12*FJ22</f>
        <v>12474000000</v>
      </c>
      <c r="FK23" s="59" t="n">
        <f aca="false">FK18*FK21*12*FK22</f>
        <v>12474000000</v>
      </c>
      <c r="FL23" s="59" t="n">
        <f aca="false">FL18*FL21*12*FL22</f>
        <v>12474000000</v>
      </c>
      <c r="FM23" s="59" t="n">
        <f aca="false">FM18*FM21*12*FM22</f>
        <v>12474000000</v>
      </c>
      <c r="FN23" s="59" t="n">
        <f aca="false">FN18*FN21*12*FN22</f>
        <v>12474000000</v>
      </c>
      <c r="FO23" s="59" t="n">
        <f aca="false">FO18*FO21*12*FO22</f>
        <v>12474000000</v>
      </c>
      <c r="FP23" s="59" t="n">
        <f aca="false">FP18*FP21*12*FP22</f>
        <v>12474000000</v>
      </c>
      <c r="FQ23" s="59" t="n">
        <f aca="false">FQ18*FQ21*12*FQ22</f>
        <v>12474000000</v>
      </c>
      <c r="FR23" s="59" t="n">
        <f aca="false">FR18*FR21*12*FR22</f>
        <v>12474000000</v>
      </c>
      <c r="FS23" s="59" t="n">
        <f aca="false">FS18*FS21*12*FS22</f>
        <v>12474000000</v>
      </c>
      <c r="FT23" s="59" t="n">
        <f aca="false">FT18*FT21*12*FT22</f>
        <v>12474000000</v>
      </c>
      <c r="FU23" s="59" t="n">
        <f aca="false">FU18*FU21*12*FU22</f>
        <v>12474000000</v>
      </c>
      <c r="FV23" s="59" t="n">
        <f aca="false">FV18*FV21*12*FV22</f>
        <v>6468000000</v>
      </c>
      <c r="FW23" s="59" t="n">
        <f aca="false">FW18*FW21*12*FW22</f>
        <v>6532680000</v>
      </c>
      <c r="FX23" s="59" t="n">
        <f aca="false">FX18*FX21*12*FX22</f>
        <v>6532680000</v>
      </c>
      <c r="FY23" s="59" t="n">
        <f aca="false">FY18*FY21*12*FY22</f>
        <v>6532680000</v>
      </c>
      <c r="FZ23" s="59" t="n">
        <f aca="false">FZ18*FZ21*12*FZ22</f>
        <v>6533333333.33334</v>
      </c>
      <c r="GA23" s="59" t="n">
        <f aca="false">GA18*GA21*12*GA22</f>
        <v>6532680000</v>
      </c>
      <c r="GB23" s="59" t="n">
        <f aca="false">GB18*GB21*12*GB22</f>
        <v>6532680000</v>
      </c>
      <c r="GC23" s="59" t="n">
        <f aca="false">GC18*GC21*12*GC22</f>
        <v>6532680000</v>
      </c>
      <c r="GD23" s="59" t="n">
        <f aca="false">GD18*GD21*12*GD22</f>
        <v>6468000000</v>
      </c>
      <c r="GE23" s="59" t="n">
        <f aca="false">GE18*GE21*12*GE22</f>
        <v>6468000000</v>
      </c>
      <c r="GF23" s="59" t="n">
        <f aca="false">GF18*GF21*12*GF22</f>
        <v>6468000000</v>
      </c>
      <c r="GG23" s="59" t="n">
        <f aca="false">GG18*GG21*12*GG22</f>
        <v>6468000000</v>
      </c>
      <c r="GH23" s="59" t="n">
        <f aca="false">GH18*GH21*12*GH22</f>
        <v>6468000000</v>
      </c>
      <c r="GI23" s="59" t="n">
        <f aca="false">GI18*GI21*12*GI22</f>
        <v>6468000000</v>
      </c>
      <c r="GJ23" s="59" t="n">
        <f aca="false">GJ18*GJ21*12*GJ22</f>
        <v>6468000000</v>
      </c>
      <c r="GK23" s="59" t="n">
        <f aca="false">GK18*GK21*12*GK22</f>
        <v>6468000000</v>
      </c>
      <c r="GL23" s="59" t="n">
        <f aca="false">GL18*GL21*12*GL22</f>
        <v>6468000000</v>
      </c>
      <c r="GM23" s="59" t="n">
        <f aca="false">GM18*GM21*12*GM22</f>
        <v>6468000000</v>
      </c>
      <c r="GN23" s="59" t="n">
        <f aca="false">GN18*GN21*12*GN22</f>
        <v>6468000000</v>
      </c>
      <c r="GO23" s="59" t="n">
        <f aca="false">GO18*GO21*12*GO22</f>
        <v>6468000000</v>
      </c>
      <c r="GP23" s="59" t="n">
        <f aca="false">GP18*GP21*12*GP22</f>
        <v>6468000000</v>
      </c>
      <c r="GQ23" s="59" t="n">
        <f aca="false">GQ18*GQ21*12*GQ22</f>
        <v>6468000000</v>
      </c>
      <c r="GR23" s="59" t="n">
        <f aca="false">GR18*GR21*12*GR22</f>
        <v>6468000000</v>
      </c>
      <c r="GS23" s="59" t="n">
        <f aca="false">GS18*GS21*12*GS22</f>
        <v>6468000000</v>
      </c>
      <c r="GT23" s="59" t="n">
        <f aca="false">GT18*GT21*12*GT22</f>
        <v>6468000000</v>
      </c>
      <c r="GU23" s="59" t="n">
        <f aca="false">GU18*GU21*12*GU22</f>
        <v>6468000000</v>
      </c>
      <c r="GV23" s="59" t="n">
        <f aca="false">GV18*GV21*12*GV22</f>
        <v>6468000000</v>
      </c>
      <c r="GW23" s="59" t="n">
        <f aca="false">GW18*GW21*12*GW22</f>
        <v>6468000000</v>
      </c>
      <c r="GX23" s="59" t="n">
        <f aca="false">GX18*GX21*12*GX22</f>
        <v>6468000000</v>
      </c>
      <c r="GY23" s="59" t="n">
        <f aca="false">GY18*GY21*12*GY22</f>
        <v>6468000000</v>
      </c>
      <c r="GZ23" s="59" t="n">
        <f aca="false">GZ18*GZ21*12*GZ22</f>
        <v>6468000000</v>
      </c>
      <c r="HA23" s="59" t="n">
        <f aca="false">HA18*HA21*12*HA22</f>
        <v>6468000000</v>
      </c>
      <c r="HB23" s="59" t="n">
        <f aca="false">HB18*HB21*12*HB22</f>
        <v>6468000000</v>
      </c>
      <c r="HC23" s="59" t="n">
        <f aca="false">HC18*HC21*12*HC22</f>
        <v>6468000000</v>
      </c>
      <c r="HD23" s="59" t="n">
        <f aca="false">HD18*HD21*12*HD22</f>
        <v>6468000000</v>
      </c>
      <c r="HE23" s="59" t="n">
        <f aca="false">HE18*HE21*12*HE22</f>
        <v>6468000000</v>
      </c>
      <c r="HF23" s="59" t="n">
        <f aca="false">HF18*HF21*12*HF22</f>
        <v>6468000000</v>
      </c>
      <c r="HG23" s="59" t="n">
        <f aca="false">HG18*HG21*12*HG22</f>
        <v>6468000000</v>
      </c>
      <c r="HH23" s="59" t="n">
        <f aca="false">HH18*HH21*12*HH22</f>
        <v>6468000000</v>
      </c>
      <c r="HI23" s="59" t="n">
        <f aca="false">HI18*HI21*12*HI22</f>
        <v>6468000000</v>
      </c>
      <c r="HJ23" s="59" t="n">
        <f aca="false">HJ18*HJ21*12*HJ22</f>
        <v>6468000000</v>
      </c>
      <c r="HK23" s="59" t="n">
        <f aca="false">HK18*HK21*12*HK22</f>
        <v>6468000000</v>
      </c>
      <c r="HL23" s="59" t="n">
        <f aca="false">HL18*HL21*12*HL22</f>
        <v>56160000000</v>
      </c>
      <c r="HM23" s="59" t="n">
        <f aca="false">HM18*HM21*12*HM22</f>
        <v>56721600000</v>
      </c>
      <c r="HN23" s="59" t="n">
        <f aca="false">HN18*HN21*12*HN22</f>
        <v>56721600000</v>
      </c>
      <c r="HO23" s="59" t="n">
        <f aca="false">HO18*HO21*12*HO22</f>
        <v>56721600000</v>
      </c>
      <c r="HP23" s="59" t="n">
        <f aca="false">HP18*HP21*12*HP22</f>
        <v>56727272727.2727</v>
      </c>
      <c r="HQ23" s="59" t="n">
        <f aca="false">HQ18*HQ21*12*HQ22</f>
        <v>56721600000</v>
      </c>
      <c r="HR23" s="59" t="n">
        <f aca="false">HR18*HR21*12*HR22</f>
        <v>56721600000</v>
      </c>
      <c r="HS23" s="59" t="n">
        <f aca="false">HS18*HS21*12*HS22</f>
        <v>56721600000</v>
      </c>
      <c r="HT23" s="59" t="n">
        <f aca="false">HT18*HT21*12*HT22</f>
        <v>56160000000</v>
      </c>
      <c r="HU23" s="59" t="n">
        <f aca="false">HU18*HU21*12*HU22</f>
        <v>56160000000</v>
      </c>
      <c r="HV23" s="59" t="n">
        <f aca="false">HV18*HV21*12*HV22</f>
        <v>56160000000</v>
      </c>
      <c r="HW23" s="59" t="n">
        <f aca="false">HW18*HW21*12*HW22</f>
        <v>56160000000</v>
      </c>
      <c r="HX23" s="59" t="n">
        <f aca="false">HX18*HX21*12*HX22</f>
        <v>56160000000</v>
      </c>
      <c r="HY23" s="59" t="n">
        <f aca="false">HY18*HY21*12*HY22</f>
        <v>56160000000</v>
      </c>
      <c r="HZ23" s="59" t="n">
        <f aca="false">HZ18*HZ21*12*HZ22</f>
        <v>56160000000</v>
      </c>
      <c r="IA23" s="59" t="n">
        <f aca="false">IA18*IA21*12*IA22</f>
        <v>56160000000</v>
      </c>
      <c r="IB23" s="59" t="n">
        <f aca="false">IB18*IB21*12*IB22</f>
        <v>56160000000</v>
      </c>
      <c r="IC23" s="59" t="n">
        <f aca="false">IC18*IC21*12*IC22</f>
        <v>56160000000</v>
      </c>
      <c r="ID23" s="59" t="n">
        <f aca="false">ID18*ID21*12*ID22</f>
        <v>56160000000</v>
      </c>
      <c r="IE23" s="59" t="n">
        <f aca="false">IE18*IE21*12*IE22</f>
        <v>56160000000</v>
      </c>
      <c r="IF23" s="59" t="n">
        <f aca="false">IF18*IF21*12*IF22</f>
        <v>56160000000</v>
      </c>
      <c r="IG23" s="59" t="n">
        <f aca="false">IG18*IG21*12*IG22</f>
        <v>56160000000</v>
      </c>
      <c r="IH23" s="59" t="n">
        <f aca="false">IH18*IH21*12*IH22</f>
        <v>56160000000</v>
      </c>
      <c r="II23" s="59" t="n">
        <f aca="false">II18*II21*12*II22</f>
        <v>56160000000</v>
      </c>
      <c r="IJ23" s="59" t="n">
        <f aca="false">IJ18*IJ21*12*IJ22</f>
        <v>56160000000</v>
      </c>
      <c r="IK23" s="59" t="n">
        <f aca="false">IK18*IK21*12*IK22</f>
        <v>56160000000</v>
      </c>
      <c r="IL23" s="59" t="n">
        <f aca="false">IL18*IL21*12*IL22</f>
        <v>56160000000</v>
      </c>
      <c r="IM23" s="59" t="n">
        <f aca="false">IM18*IM21*12*IM22</f>
        <v>56160000000</v>
      </c>
      <c r="IN23" s="59" t="n">
        <f aca="false">IN18*IN21*12*IN22</f>
        <v>56160000000</v>
      </c>
      <c r="IO23" s="59" t="n">
        <f aca="false">IO18*IO21*12*IO22</f>
        <v>56160000000</v>
      </c>
      <c r="IP23" s="59" t="n">
        <f aca="false">IP18*IP21*12*IP22</f>
        <v>56160000000</v>
      </c>
      <c r="IQ23" s="59" t="n">
        <f aca="false">IQ18*IQ21*12*IQ22</f>
        <v>56160000000</v>
      </c>
      <c r="IR23" s="59" t="n">
        <f aca="false">IR18*IR21*12*IR22</f>
        <v>56160000000</v>
      </c>
      <c r="IS23" s="59" t="n">
        <f aca="false">IS18*IS21*12*IS22</f>
        <v>56160000000</v>
      </c>
      <c r="IT23" s="59" t="n">
        <f aca="false">IT18*IT21*12*IT22</f>
        <v>56160000000</v>
      </c>
      <c r="IU23" s="59" t="n">
        <f aca="false">IU18*IU21*12*IU22</f>
        <v>56160000000</v>
      </c>
      <c r="IV23" s="59" t="n">
        <f aca="false">IV18*IV21*12*IV22</f>
        <v>56160000000</v>
      </c>
      <c r="IW23" s="59" t="n">
        <f aca="false">IW18*IW21*12*IW22</f>
        <v>56160000000</v>
      </c>
      <c r="IX23" s="59" t="n">
        <f aca="false">IX18*IX21*12*IX22</f>
        <v>56160000000</v>
      </c>
      <c r="IY23" s="59" t="n">
        <f aca="false">IY18*IY21*12*IY22</f>
        <v>56160000000</v>
      </c>
      <c r="IZ23" s="59" t="n">
        <f aca="false">IZ18*IZ21*12*IZ22</f>
        <v>56160000000</v>
      </c>
      <c r="JA23" s="59" t="n">
        <f aca="false">JA18*JA21*12*JA22</f>
        <v>56160000000</v>
      </c>
    </row>
    <row r="24" customFormat="false" ht="15" hidden="false" customHeight="false" outlineLevel="0" collapsed="false">
      <c r="A24" s="13" t="s">
        <v>192</v>
      </c>
      <c r="B24" s="13" t="s">
        <v>193</v>
      </c>
      <c r="C24" s="13" t="s">
        <v>194</v>
      </c>
      <c r="D24" s="9" t="s">
        <v>36</v>
      </c>
      <c r="E24" s="32" t="n">
        <f aca="false">INDEX(Вводные!$D$13:$F$64,MATCH($A24,Вводные!$A$13:$A$64,0),MATCH(E$3,Вводные!$D$11:$F$11,0))*(1+IF(E$4=$A24,Вводные!$D$5*INDEX(Вводные!$G$13:$G$64,MATCH($A24,Вводные!$A$13:$A$64,0)),0))</f>
        <v>0.0015</v>
      </c>
      <c r="F24" s="32" t="n">
        <f aca="false">INDEX(Вводные!$D$13:$F$64,MATCH($A24,Вводные!$A$13:$A$64,0),MATCH(F$3,Вводные!$D$11:$F$11,0))*(1+IF(F$4=$A24,Вводные!$D$5*INDEX(Вводные!$G$13:$G$64,MATCH($A24,Вводные!$A$13:$A$64,0)),0))</f>
        <v>0.001</v>
      </c>
      <c r="G24" s="32" t="n">
        <f aca="false">INDEX(Вводные!$D$13:$F$64,MATCH($A24,Вводные!$A$13:$A$64,0),MATCH(G$3,Вводные!$D$11:$F$11,0))*(1+IF(G$4=$A24,Вводные!$D$5*INDEX(Вводные!$G$13:$G$64,MATCH($A24,Вводные!$A$13:$A$64,0)),0))</f>
        <v>0.0002</v>
      </c>
      <c r="H24" s="60"/>
      <c r="J24" s="32" t="n">
        <f aca="false">INDEX(Вводные!$D$13:$F$64,MATCH($A24,Вводные!$A$13:$A$64,0),MATCH(J$3,Вводные!$D$11:$F$11,0))*(1+IF(J$4=$A24,Вводные!$D$5*INDEX(Вводные!$G$13:$G$64,MATCH($A24,Вводные!$A$13:$A$64,0)),0))</f>
        <v>0.0015</v>
      </c>
      <c r="K24" s="32" t="n">
        <f aca="false">INDEX(Вводные!$D$13:$F$64,MATCH($A24,Вводные!$A$13:$A$64,0),MATCH(K$3,Вводные!$D$11:$F$11,0))*(1+IF(K$4=$A24,Вводные!$D$5*INDEX(Вводные!$G$13:$G$64,MATCH($A24,Вводные!$A$13:$A$64,0)),0))</f>
        <v>0.0015</v>
      </c>
      <c r="L24" s="32" t="n">
        <f aca="false">INDEX(Вводные!$D$13:$F$64,MATCH($A24,Вводные!$A$13:$A$64,0),MATCH(L$3,Вводные!$D$11:$F$11,0))*(1+IF(L$4=$A24,Вводные!$D$5*INDEX(Вводные!$G$13:$G$64,MATCH($A24,Вводные!$A$13:$A$64,0)),0))</f>
        <v>0.0015</v>
      </c>
      <c r="M24" s="32" t="n">
        <f aca="false">INDEX(Вводные!$D$13:$F$64,MATCH($A24,Вводные!$A$13:$A$64,0),MATCH(M$3,Вводные!$D$11:$F$11,0))*(1+IF(M$4=$A24,Вводные!$D$5*INDEX(Вводные!$G$13:$G$64,MATCH($A24,Вводные!$A$13:$A$64,0)),0))</f>
        <v>0.0015</v>
      </c>
      <c r="N24" s="32" t="n">
        <f aca="false">INDEX(Вводные!$D$13:$F$64,MATCH($A24,Вводные!$A$13:$A$64,0),MATCH(N$3,Вводные!$D$11:$F$11,0))*(1+IF(N$4=$A24,Вводные!$D$5*INDEX(Вводные!$G$13:$G$64,MATCH($A24,Вводные!$A$13:$A$64,0)),0))</f>
        <v>0.0015</v>
      </c>
      <c r="O24" s="32" t="n">
        <f aca="false">INDEX(Вводные!$D$13:$F$64,MATCH($A24,Вводные!$A$13:$A$64,0),MATCH(O$3,Вводные!$D$11:$F$11,0))*(1+IF(O$4=$A24,Вводные!$D$5*INDEX(Вводные!$G$13:$G$64,MATCH($A24,Вводные!$A$13:$A$64,0)),0))</f>
        <v>0.0015</v>
      </c>
      <c r="P24" s="32" t="n">
        <f aca="false">INDEX(Вводные!$D$13:$F$64,MATCH($A24,Вводные!$A$13:$A$64,0),MATCH(P$3,Вводные!$D$11:$F$11,0))*(1+IF(P$4=$A24,Вводные!$D$5*INDEX(Вводные!$G$13:$G$64,MATCH($A24,Вводные!$A$13:$A$64,0)),0))</f>
        <v>0.0015</v>
      </c>
      <c r="Q24" s="32" t="n">
        <f aca="false">INDEX(Вводные!$D$13:$F$64,MATCH($A24,Вводные!$A$13:$A$64,0),MATCH(Q$3,Вводные!$D$11:$F$11,0))*(1+IF(Q$4=$A24,Вводные!$D$5*INDEX(Вводные!$G$13:$G$64,MATCH($A24,Вводные!$A$13:$A$64,0)),0))</f>
        <v>0.0015</v>
      </c>
      <c r="R24" s="32" t="n">
        <f aca="false">INDEX(Вводные!$D$13:$F$64,MATCH($A24,Вводные!$A$13:$A$64,0),MATCH(R$3,Вводные!$D$11:$F$11,0))*(1+IF(R$4=$A24,Вводные!$D$5*INDEX(Вводные!$G$13:$G$64,MATCH($A24,Вводные!$A$13:$A$64,0)),0))</f>
        <v>0.001515</v>
      </c>
      <c r="S24" s="32" t="n">
        <f aca="false">INDEX(Вводные!$D$13:$F$64,MATCH($A24,Вводные!$A$13:$A$64,0),MATCH(S$3,Вводные!$D$11:$F$11,0))*(1+IF(S$4=$A24,Вводные!$D$5*INDEX(Вводные!$G$13:$G$64,MATCH($A24,Вводные!$A$13:$A$64,0)),0))</f>
        <v>0.0015</v>
      </c>
      <c r="T24" s="32" t="n">
        <f aca="false">INDEX(Вводные!$D$13:$F$64,MATCH($A24,Вводные!$A$13:$A$64,0),MATCH(T$3,Вводные!$D$11:$F$11,0))*(1+IF(T$4=$A24,Вводные!$D$5*INDEX(Вводные!$G$13:$G$64,MATCH($A24,Вводные!$A$13:$A$64,0)),0))</f>
        <v>0.0015</v>
      </c>
      <c r="U24" s="32" t="n">
        <f aca="false">INDEX(Вводные!$D$13:$F$64,MATCH($A24,Вводные!$A$13:$A$64,0),MATCH(U$3,Вводные!$D$11:$F$11,0))*(1+IF(U$4=$A24,Вводные!$D$5*INDEX(Вводные!$G$13:$G$64,MATCH($A24,Вводные!$A$13:$A$64,0)),0))</f>
        <v>0.0015</v>
      </c>
      <c r="V24" s="32" t="n">
        <f aca="false">INDEX(Вводные!$D$13:$F$64,MATCH($A24,Вводные!$A$13:$A$64,0),MATCH(V$3,Вводные!$D$11:$F$11,0))*(1+IF(V$4=$A24,Вводные!$D$5*INDEX(Вводные!$G$13:$G$64,MATCH($A24,Вводные!$A$13:$A$64,0)),0))</f>
        <v>0.0015</v>
      </c>
      <c r="W24" s="32" t="n">
        <f aca="false">INDEX(Вводные!$D$13:$F$64,MATCH($A24,Вводные!$A$13:$A$64,0),MATCH(W$3,Вводные!$D$11:$F$11,0))*(1+IF(W$4=$A24,Вводные!$D$5*INDEX(Вводные!$G$13:$G$64,MATCH($A24,Вводные!$A$13:$A$64,0)),0))</f>
        <v>0.0015</v>
      </c>
      <c r="X24" s="32" t="n">
        <f aca="false">INDEX(Вводные!$D$13:$F$64,MATCH($A24,Вводные!$A$13:$A$64,0),MATCH(X$3,Вводные!$D$11:$F$11,0))*(1+IF(X$4=$A24,Вводные!$D$5*INDEX(Вводные!$G$13:$G$64,MATCH($A24,Вводные!$A$13:$A$64,0)),0))</f>
        <v>0.0015</v>
      </c>
      <c r="Y24" s="32" t="n">
        <f aca="false">INDEX(Вводные!$D$13:$F$64,MATCH($A24,Вводные!$A$13:$A$64,0),MATCH(Y$3,Вводные!$D$11:$F$11,0))*(1+IF(Y$4=$A24,Вводные!$D$5*INDEX(Вводные!$G$13:$G$64,MATCH($A24,Вводные!$A$13:$A$64,0)),0))</f>
        <v>0.0015</v>
      </c>
      <c r="Z24" s="32" t="n">
        <f aca="false">INDEX(Вводные!$D$13:$F$64,MATCH($A24,Вводные!$A$13:$A$64,0),MATCH(Z$3,Вводные!$D$11:$F$11,0))*(1+IF(Z$4=$A24,Вводные!$D$5*INDEX(Вводные!$G$13:$G$64,MATCH($A24,Вводные!$A$13:$A$64,0)),0))</f>
        <v>0.0015</v>
      </c>
      <c r="AA24" s="32" t="n">
        <f aca="false">INDEX(Вводные!$D$13:$F$64,MATCH($A24,Вводные!$A$13:$A$64,0),MATCH(AA$3,Вводные!$D$11:$F$11,0))*(1+IF(AA$4=$A24,Вводные!$D$5*INDEX(Вводные!$G$13:$G$64,MATCH($A24,Вводные!$A$13:$A$64,0)),0))</f>
        <v>0.0015</v>
      </c>
      <c r="AB24" s="32" t="n">
        <f aca="false">INDEX(Вводные!$D$13:$F$64,MATCH($A24,Вводные!$A$13:$A$64,0),MATCH(AB$3,Вводные!$D$11:$F$11,0))*(1+IF(AB$4=$A24,Вводные!$D$5*INDEX(Вводные!$G$13:$G$64,MATCH($A24,Вводные!$A$13:$A$64,0)),0))</f>
        <v>0.0015</v>
      </c>
      <c r="AC24" s="32" t="n">
        <f aca="false">INDEX(Вводные!$D$13:$F$64,MATCH($A24,Вводные!$A$13:$A$64,0),MATCH(AC$3,Вводные!$D$11:$F$11,0))*(1+IF(AC$4=$A24,Вводные!$D$5*INDEX(Вводные!$G$13:$G$64,MATCH($A24,Вводные!$A$13:$A$64,0)),0))</f>
        <v>0.0015</v>
      </c>
      <c r="AD24" s="32" t="n">
        <f aca="false">INDEX(Вводные!$D$13:$F$64,MATCH($A24,Вводные!$A$13:$A$64,0),MATCH(AD$3,Вводные!$D$11:$F$11,0))*(1+IF(AD$4=$A24,Вводные!$D$5*INDEX(Вводные!$G$13:$G$64,MATCH($A24,Вводные!$A$13:$A$64,0)),0))</f>
        <v>0.0015</v>
      </c>
      <c r="AE24" s="32" t="n">
        <f aca="false">INDEX(Вводные!$D$13:$F$64,MATCH($A24,Вводные!$A$13:$A$64,0),MATCH(AE$3,Вводные!$D$11:$F$11,0))*(1+IF(AE$4=$A24,Вводные!$D$5*INDEX(Вводные!$G$13:$G$64,MATCH($A24,Вводные!$A$13:$A$64,0)),0))</f>
        <v>0.0015</v>
      </c>
      <c r="AF24" s="32" t="n">
        <f aca="false">INDEX(Вводные!$D$13:$F$64,MATCH($A24,Вводные!$A$13:$A$64,0),MATCH(AF$3,Вводные!$D$11:$F$11,0))*(1+IF(AF$4=$A24,Вводные!$D$5*INDEX(Вводные!$G$13:$G$64,MATCH($A24,Вводные!$A$13:$A$64,0)),0))</f>
        <v>0.0015</v>
      </c>
      <c r="AG24" s="32" t="n">
        <f aca="false">INDEX(Вводные!$D$13:$F$64,MATCH($A24,Вводные!$A$13:$A$64,0),MATCH(AG$3,Вводные!$D$11:$F$11,0))*(1+IF(AG$4=$A24,Вводные!$D$5*INDEX(Вводные!$G$13:$G$64,MATCH($A24,Вводные!$A$13:$A$64,0)),0))</f>
        <v>0.0015</v>
      </c>
      <c r="AH24" s="32" t="n">
        <f aca="false">INDEX(Вводные!$D$13:$F$64,MATCH($A24,Вводные!$A$13:$A$64,0),MATCH(AH$3,Вводные!$D$11:$F$11,0))*(1+IF(AH$4=$A24,Вводные!$D$5*INDEX(Вводные!$G$13:$G$64,MATCH($A24,Вводные!$A$13:$A$64,0)),0))</f>
        <v>0.0015</v>
      </c>
      <c r="AI24" s="32" t="n">
        <f aca="false">INDEX(Вводные!$D$13:$F$64,MATCH($A24,Вводные!$A$13:$A$64,0),MATCH(AI$3,Вводные!$D$11:$F$11,0))*(1+IF(AI$4=$A24,Вводные!$D$5*INDEX(Вводные!$G$13:$G$64,MATCH($A24,Вводные!$A$13:$A$64,0)),0))</f>
        <v>0.0015</v>
      </c>
      <c r="AJ24" s="32" t="n">
        <f aca="false">INDEX(Вводные!$D$13:$F$64,MATCH($A24,Вводные!$A$13:$A$64,0),MATCH(AJ$3,Вводные!$D$11:$F$11,0))*(1+IF(AJ$4=$A24,Вводные!$D$5*INDEX(Вводные!$G$13:$G$64,MATCH($A24,Вводные!$A$13:$A$64,0)),0))</f>
        <v>0.0015</v>
      </c>
      <c r="AK24" s="32" t="n">
        <f aca="false">INDEX(Вводные!$D$13:$F$64,MATCH($A24,Вводные!$A$13:$A$64,0),MATCH(AK$3,Вводные!$D$11:$F$11,0))*(1+IF(AK$4=$A24,Вводные!$D$5*INDEX(Вводные!$G$13:$G$64,MATCH($A24,Вводные!$A$13:$A$64,0)),0))</f>
        <v>0.0015</v>
      </c>
      <c r="AL24" s="32" t="n">
        <f aca="false">INDEX(Вводные!$D$13:$F$64,MATCH($A24,Вводные!$A$13:$A$64,0),MATCH(AL$3,Вводные!$D$11:$F$11,0))*(1+IF(AL$4=$A24,Вводные!$D$5*INDEX(Вводные!$G$13:$G$64,MATCH($A24,Вводные!$A$13:$A$64,0)),0))</f>
        <v>0.0015</v>
      </c>
      <c r="AM24" s="32" t="n">
        <f aca="false">INDEX(Вводные!$D$13:$F$64,MATCH($A24,Вводные!$A$13:$A$64,0),MATCH(AM$3,Вводные!$D$11:$F$11,0))*(1+IF(AM$4=$A24,Вводные!$D$5*INDEX(Вводные!$G$13:$G$64,MATCH($A24,Вводные!$A$13:$A$64,0)),0))</f>
        <v>0.0015</v>
      </c>
      <c r="AN24" s="32" t="n">
        <f aca="false">INDEX(Вводные!$D$13:$F$64,MATCH($A24,Вводные!$A$13:$A$64,0),MATCH(AN$3,Вводные!$D$11:$F$11,0))*(1+IF(AN$4=$A24,Вводные!$D$5*INDEX(Вводные!$G$13:$G$64,MATCH($A24,Вводные!$A$13:$A$64,0)),0))</f>
        <v>0.0015</v>
      </c>
      <c r="AO24" s="32" t="n">
        <f aca="false">INDEX(Вводные!$D$13:$F$64,MATCH($A24,Вводные!$A$13:$A$64,0),MATCH(AO$3,Вводные!$D$11:$F$11,0))*(1+IF(AO$4=$A24,Вводные!$D$5*INDEX(Вводные!$G$13:$G$64,MATCH($A24,Вводные!$A$13:$A$64,0)),0))</f>
        <v>0.0015</v>
      </c>
      <c r="AP24" s="32" t="n">
        <f aca="false">INDEX(Вводные!$D$13:$F$64,MATCH($A24,Вводные!$A$13:$A$64,0),MATCH(AP$3,Вводные!$D$11:$F$11,0))*(1+IF(AP$4=$A24,Вводные!$D$5*INDEX(Вводные!$G$13:$G$64,MATCH($A24,Вводные!$A$13:$A$64,0)),0))</f>
        <v>0.0015</v>
      </c>
      <c r="AQ24" s="32" t="n">
        <f aca="false">INDEX(Вводные!$D$13:$F$64,MATCH($A24,Вводные!$A$13:$A$64,0),MATCH(AQ$3,Вводные!$D$11:$F$11,0))*(1+IF(AQ$4=$A24,Вводные!$D$5*INDEX(Вводные!$G$13:$G$64,MATCH($A24,Вводные!$A$13:$A$64,0)),0))</f>
        <v>0.0015</v>
      </c>
      <c r="AR24" s="32" t="n">
        <f aca="false">INDEX(Вводные!$D$13:$F$64,MATCH($A24,Вводные!$A$13:$A$64,0),MATCH(AR$3,Вводные!$D$11:$F$11,0))*(1+IF(AR$4=$A24,Вводные!$D$5*INDEX(Вводные!$G$13:$G$64,MATCH($A24,Вводные!$A$13:$A$64,0)),0))</f>
        <v>0.0015</v>
      </c>
      <c r="AS24" s="32" t="n">
        <f aca="false">INDEX(Вводные!$D$13:$F$64,MATCH($A24,Вводные!$A$13:$A$64,0),MATCH(AS$3,Вводные!$D$11:$F$11,0))*(1+IF(AS$4=$A24,Вводные!$D$5*INDEX(Вводные!$G$13:$G$64,MATCH($A24,Вводные!$A$13:$A$64,0)),0))</f>
        <v>0.0015</v>
      </c>
      <c r="AT24" s="32" t="n">
        <f aca="false">INDEX(Вводные!$D$13:$F$64,MATCH($A24,Вводные!$A$13:$A$64,0),MATCH(AT$3,Вводные!$D$11:$F$11,0))*(1+IF(AT$4=$A24,Вводные!$D$5*INDEX(Вводные!$G$13:$G$64,MATCH($A24,Вводные!$A$13:$A$64,0)),0))</f>
        <v>0.0015</v>
      </c>
      <c r="AU24" s="32" t="n">
        <f aca="false">INDEX(Вводные!$D$13:$F$64,MATCH($A24,Вводные!$A$13:$A$64,0),MATCH(AU$3,Вводные!$D$11:$F$11,0))*(1+IF(AU$4=$A24,Вводные!$D$5*INDEX(Вводные!$G$13:$G$64,MATCH($A24,Вводные!$A$13:$A$64,0)),0))</f>
        <v>0.0015</v>
      </c>
      <c r="AV24" s="32" t="n">
        <f aca="false">INDEX(Вводные!$D$13:$F$64,MATCH($A24,Вводные!$A$13:$A$64,0),MATCH(AV$3,Вводные!$D$11:$F$11,0))*(1+IF(AV$4=$A24,Вводные!$D$5*INDEX(Вводные!$G$13:$G$64,MATCH($A24,Вводные!$A$13:$A$64,0)),0))</f>
        <v>0.0015</v>
      </c>
      <c r="AW24" s="32" t="n">
        <f aca="false">INDEX(Вводные!$D$13:$F$64,MATCH($A24,Вводные!$A$13:$A$64,0),MATCH(AW$3,Вводные!$D$11:$F$11,0))*(1+IF(AW$4=$A24,Вводные!$D$5*INDEX(Вводные!$G$13:$G$64,MATCH($A24,Вводные!$A$13:$A$64,0)),0))</f>
        <v>0.0015</v>
      </c>
      <c r="AX24" s="32" t="n">
        <f aca="false">INDEX(Вводные!$D$13:$F$64,MATCH($A24,Вводные!$A$13:$A$64,0),MATCH(AX$3,Вводные!$D$11:$F$11,0))*(1+IF(AX$4=$A24,Вводные!$D$5*INDEX(Вводные!$G$13:$G$64,MATCH($A24,Вводные!$A$13:$A$64,0)),0))</f>
        <v>0.0015</v>
      </c>
      <c r="AY24" s="32" t="n">
        <f aca="false">INDEX(Вводные!$D$13:$F$64,MATCH($A24,Вводные!$A$13:$A$64,0),MATCH(AY$3,Вводные!$D$11:$F$11,0))*(1+IF(AY$4=$A24,Вводные!$D$5*INDEX(Вводные!$G$13:$G$64,MATCH($A24,Вводные!$A$13:$A$64,0)),0))</f>
        <v>0.0015</v>
      </c>
      <c r="AZ24" s="32" t="n">
        <f aca="false">INDEX(Вводные!$D$13:$F$64,MATCH($A24,Вводные!$A$13:$A$64,0),MATCH(AZ$3,Вводные!$D$11:$F$11,0))*(1+IF(AZ$4=$A24,Вводные!$D$5*INDEX(Вводные!$G$13:$G$64,MATCH($A24,Вводные!$A$13:$A$64,0)),0))</f>
        <v>0.001</v>
      </c>
      <c r="BA24" s="32" t="n">
        <f aca="false">INDEX(Вводные!$D$13:$F$64,MATCH($A24,Вводные!$A$13:$A$64,0),MATCH(BA$3,Вводные!$D$11:$F$11,0))*(1+IF(BA$4=$A24,Вводные!$D$5*INDEX(Вводные!$G$13:$G$64,MATCH($A24,Вводные!$A$13:$A$64,0)),0))</f>
        <v>0.001</v>
      </c>
      <c r="BB24" s="32" t="n">
        <f aca="false">INDEX(Вводные!$D$13:$F$64,MATCH($A24,Вводные!$A$13:$A$64,0),MATCH(BB$3,Вводные!$D$11:$F$11,0))*(1+IF(BB$4=$A24,Вводные!$D$5*INDEX(Вводные!$G$13:$G$64,MATCH($A24,Вводные!$A$13:$A$64,0)),0))</f>
        <v>0.001</v>
      </c>
      <c r="BC24" s="32" t="n">
        <f aca="false">INDEX(Вводные!$D$13:$F$64,MATCH($A24,Вводные!$A$13:$A$64,0),MATCH(BC$3,Вводные!$D$11:$F$11,0))*(1+IF(BC$4=$A24,Вводные!$D$5*INDEX(Вводные!$G$13:$G$64,MATCH($A24,Вводные!$A$13:$A$64,0)),0))</f>
        <v>0.001</v>
      </c>
      <c r="BD24" s="32" t="n">
        <f aca="false">INDEX(Вводные!$D$13:$F$64,MATCH($A24,Вводные!$A$13:$A$64,0),MATCH(BD$3,Вводные!$D$11:$F$11,0))*(1+IF(BD$4=$A24,Вводные!$D$5*INDEX(Вводные!$G$13:$G$64,MATCH($A24,Вводные!$A$13:$A$64,0)),0))</f>
        <v>0.001</v>
      </c>
      <c r="BE24" s="32" t="n">
        <f aca="false">INDEX(Вводные!$D$13:$F$64,MATCH($A24,Вводные!$A$13:$A$64,0),MATCH(BE$3,Вводные!$D$11:$F$11,0))*(1+IF(BE$4=$A24,Вводные!$D$5*INDEX(Вводные!$G$13:$G$64,MATCH($A24,Вводные!$A$13:$A$64,0)),0))</f>
        <v>0.001</v>
      </c>
      <c r="BF24" s="32" t="n">
        <f aca="false">INDEX(Вводные!$D$13:$F$64,MATCH($A24,Вводные!$A$13:$A$64,0),MATCH(BF$3,Вводные!$D$11:$F$11,0))*(1+IF(BF$4=$A24,Вводные!$D$5*INDEX(Вводные!$G$13:$G$64,MATCH($A24,Вводные!$A$13:$A$64,0)),0))</f>
        <v>0.001</v>
      </c>
      <c r="BG24" s="32" t="n">
        <f aca="false">INDEX(Вводные!$D$13:$F$64,MATCH($A24,Вводные!$A$13:$A$64,0),MATCH(BG$3,Вводные!$D$11:$F$11,0))*(1+IF(BG$4=$A24,Вводные!$D$5*INDEX(Вводные!$G$13:$G$64,MATCH($A24,Вводные!$A$13:$A$64,0)),0))</f>
        <v>0.001</v>
      </c>
      <c r="BH24" s="32" t="n">
        <f aca="false">INDEX(Вводные!$D$13:$F$64,MATCH($A24,Вводные!$A$13:$A$64,0),MATCH(BH$3,Вводные!$D$11:$F$11,0))*(1+IF(BH$4=$A24,Вводные!$D$5*INDEX(Вводные!$G$13:$G$64,MATCH($A24,Вводные!$A$13:$A$64,0)),0))</f>
        <v>0.00101</v>
      </c>
      <c r="BI24" s="32" t="n">
        <f aca="false">INDEX(Вводные!$D$13:$F$64,MATCH($A24,Вводные!$A$13:$A$64,0),MATCH(BI$3,Вводные!$D$11:$F$11,0))*(1+IF(BI$4=$A24,Вводные!$D$5*INDEX(Вводные!$G$13:$G$64,MATCH($A24,Вводные!$A$13:$A$64,0)),0))</f>
        <v>0.001</v>
      </c>
      <c r="BJ24" s="32" t="n">
        <f aca="false">INDEX(Вводные!$D$13:$F$64,MATCH($A24,Вводные!$A$13:$A$64,0),MATCH(BJ$3,Вводные!$D$11:$F$11,0))*(1+IF(BJ$4=$A24,Вводные!$D$5*INDEX(Вводные!$G$13:$G$64,MATCH($A24,Вводные!$A$13:$A$64,0)),0))</f>
        <v>0.001</v>
      </c>
      <c r="BK24" s="32" t="n">
        <f aca="false">INDEX(Вводные!$D$13:$F$64,MATCH($A24,Вводные!$A$13:$A$64,0),MATCH(BK$3,Вводные!$D$11:$F$11,0))*(1+IF(BK$4=$A24,Вводные!$D$5*INDEX(Вводные!$G$13:$G$64,MATCH($A24,Вводные!$A$13:$A$64,0)),0))</f>
        <v>0.001</v>
      </c>
      <c r="BL24" s="32" t="n">
        <f aca="false">INDEX(Вводные!$D$13:$F$64,MATCH($A24,Вводные!$A$13:$A$64,0),MATCH(BL$3,Вводные!$D$11:$F$11,0))*(1+IF(BL$4=$A24,Вводные!$D$5*INDEX(Вводные!$G$13:$G$64,MATCH($A24,Вводные!$A$13:$A$64,0)),0))</f>
        <v>0.001</v>
      </c>
      <c r="BM24" s="32" t="n">
        <f aca="false">INDEX(Вводные!$D$13:$F$64,MATCH($A24,Вводные!$A$13:$A$64,0),MATCH(BM$3,Вводные!$D$11:$F$11,0))*(1+IF(BM$4=$A24,Вводные!$D$5*INDEX(Вводные!$G$13:$G$64,MATCH($A24,Вводные!$A$13:$A$64,0)),0))</f>
        <v>0.001</v>
      </c>
      <c r="BN24" s="32" t="n">
        <f aca="false">INDEX(Вводные!$D$13:$F$64,MATCH($A24,Вводные!$A$13:$A$64,0),MATCH(BN$3,Вводные!$D$11:$F$11,0))*(1+IF(BN$4=$A24,Вводные!$D$5*INDEX(Вводные!$G$13:$G$64,MATCH($A24,Вводные!$A$13:$A$64,0)),0))</f>
        <v>0.001</v>
      </c>
      <c r="BO24" s="32" t="n">
        <f aca="false">INDEX(Вводные!$D$13:$F$64,MATCH($A24,Вводные!$A$13:$A$64,0),MATCH(BO$3,Вводные!$D$11:$F$11,0))*(1+IF(BO$4=$A24,Вводные!$D$5*INDEX(Вводные!$G$13:$G$64,MATCH($A24,Вводные!$A$13:$A$64,0)),0))</f>
        <v>0.001</v>
      </c>
      <c r="BP24" s="32" t="n">
        <f aca="false">INDEX(Вводные!$D$13:$F$64,MATCH($A24,Вводные!$A$13:$A$64,0),MATCH(BP$3,Вводные!$D$11:$F$11,0))*(1+IF(BP$4=$A24,Вводные!$D$5*INDEX(Вводные!$G$13:$G$64,MATCH($A24,Вводные!$A$13:$A$64,0)),0))</f>
        <v>0.001</v>
      </c>
      <c r="BQ24" s="32" t="n">
        <f aca="false">INDEX(Вводные!$D$13:$F$64,MATCH($A24,Вводные!$A$13:$A$64,0),MATCH(BQ$3,Вводные!$D$11:$F$11,0))*(1+IF(BQ$4=$A24,Вводные!$D$5*INDEX(Вводные!$G$13:$G$64,MATCH($A24,Вводные!$A$13:$A$64,0)),0))</f>
        <v>0.001</v>
      </c>
      <c r="BR24" s="32" t="n">
        <f aca="false">INDEX(Вводные!$D$13:$F$64,MATCH($A24,Вводные!$A$13:$A$64,0),MATCH(BR$3,Вводные!$D$11:$F$11,0))*(1+IF(BR$4=$A24,Вводные!$D$5*INDEX(Вводные!$G$13:$G$64,MATCH($A24,Вводные!$A$13:$A$64,0)),0))</f>
        <v>0.001</v>
      </c>
      <c r="BS24" s="32" t="n">
        <f aca="false">INDEX(Вводные!$D$13:$F$64,MATCH($A24,Вводные!$A$13:$A$64,0),MATCH(BS$3,Вводные!$D$11:$F$11,0))*(1+IF(BS$4=$A24,Вводные!$D$5*INDEX(Вводные!$G$13:$G$64,MATCH($A24,Вводные!$A$13:$A$64,0)),0))</f>
        <v>0.001</v>
      </c>
      <c r="BT24" s="32" t="n">
        <f aca="false">INDEX(Вводные!$D$13:$F$64,MATCH($A24,Вводные!$A$13:$A$64,0),MATCH(BT$3,Вводные!$D$11:$F$11,0))*(1+IF(BT$4=$A24,Вводные!$D$5*INDEX(Вводные!$G$13:$G$64,MATCH($A24,Вводные!$A$13:$A$64,0)),0))</f>
        <v>0.001</v>
      </c>
      <c r="BU24" s="32" t="n">
        <f aca="false">INDEX(Вводные!$D$13:$F$64,MATCH($A24,Вводные!$A$13:$A$64,0),MATCH(BU$3,Вводные!$D$11:$F$11,0))*(1+IF(BU$4=$A24,Вводные!$D$5*INDEX(Вводные!$G$13:$G$64,MATCH($A24,Вводные!$A$13:$A$64,0)),0))</f>
        <v>0.001</v>
      </c>
      <c r="BV24" s="32" t="n">
        <f aca="false">INDEX(Вводные!$D$13:$F$64,MATCH($A24,Вводные!$A$13:$A$64,0),MATCH(BV$3,Вводные!$D$11:$F$11,0))*(1+IF(BV$4=$A24,Вводные!$D$5*INDEX(Вводные!$G$13:$G$64,MATCH($A24,Вводные!$A$13:$A$64,0)),0))</f>
        <v>0.001</v>
      </c>
      <c r="BW24" s="32" t="n">
        <f aca="false">INDEX(Вводные!$D$13:$F$64,MATCH($A24,Вводные!$A$13:$A$64,0),MATCH(BW$3,Вводные!$D$11:$F$11,0))*(1+IF(BW$4=$A24,Вводные!$D$5*INDEX(Вводные!$G$13:$G$64,MATCH($A24,Вводные!$A$13:$A$64,0)),0))</f>
        <v>0.001</v>
      </c>
      <c r="BX24" s="32" t="n">
        <f aca="false">INDEX(Вводные!$D$13:$F$64,MATCH($A24,Вводные!$A$13:$A$64,0),MATCH(BX$3,Вводные!$D$11:$F$11,0))*(1+IF(BX$4=$A24,Вводные!$D$5*INDEX(Вводные!$G$13:$G$64,MATCH($A24,Вводные!$A$13:$A$64,0)),0))</f>
        <v>0.001</v>
      </c>
      <c r="BY24" s="32" t="n">
        <f aca="false">INDEX(Вводные!$D$13:$F$64,MATCH($A24,Вводные!$A$13:$A$64,0),MATCH(BY$3,Вводные!$D$11:$F$11,0))*(1+IF(BY$4=$A24,Вводные!$D$5*INDEX(Вводные!$G$13:$G$64,MATCH($A24,Вводные!$A$13:$A$64,0)),0))</f>
        <v>0.001</v>
      </c>
      <c r="BZ24" s="32" t="n">
        <f aca="false">INDEX(Вводные!$D$13:$F$64,MATCH($A24,Вводные!$A$13:$A$64,0),MATCH(BZ$3,Вводные!$D$11:$F$11,0))*(1+IF(BZ$4=$A24,Вводные!$D$5*INDEX(Вводные!$G$13:$G$64,MATCH($A24,Вводные!$A$13:$A$64,0)),0))</f>
        <v>0.001</v>
      </c>
      <c r="CA24" s="32" t="n">
        <f aca="false">INDEX(Вводные!$D$13:$F$64,MATCH($A24,Вводные!$A$13:$A$64,0),MATCH(CA$3,Вводные!$D$11:$F$11,0))*(1+IF(CA$4=$A24,Вводные!$D$5*INDEX(Вводные!$G$13:$G$64,MATCH($A24,Вводные!$A$13:$A$64,0)),0))</f>
        <v>0.001</v>
      </c>
      <c r="CB24" s="32" t="n">
        <f aca="false">INDEX(Вводные!$D$13:$F$64,MATCH($A24,Вводные!$A$13:$A$64,0),MATCH(CB$3,Вводные!$D$11:$F$11,0))*(1+IF(CB$4=$A24,Вводные!$D$5*INDEX(Вводные!$G$13:$G$64,MATCH($A24,Вводные!$A$13:$A$64,0)),0))</f>
        <v>0.001</v>
      </c>
      <c r="CC24" s="32" t="n">
        <f aca="false">INDEX(Вводные!$D$13:$F$64,MATCH($A24,Вводные!$A$13:$A$64,0),MATCH(CC$3,Вводные!$D$11:$F$11,0))*(1+IF(CC$4=$A24,Вводные!$D$5*INDEX(Вводные!$G$13:$G$64,MATCH($A24,Вводные!$A$13:$A$64,0)),0))</f>
        <v>0.001</v>
      </c>
      <c r="CD24" s="32" t="n">
        <f aca="false">INDEX(Вводные!$D$13:$F$64,MATCH($A24,Вводные!$A$13:$A$64,0),MATCH(CD$3,Вводные!$D$11:$F$11,0))*(1+IF(CD$4=$A24,Вводные!$D$5*INDEX(Вводные!$G$13:$G$64,MATCH($A24,Вводные!$A$13:$A$64,0)),0))</f>
        <v>0.001</v>
      </c>
      <c r="CE24" s="32" t="n">
        <f aca="false">INDEX(Вводные!$D$13:$F$64,MATCH($A24,Вводные!$A$13:$A$64,0),MATCH(CE$3,Вводные!$D$11:$F$11,0))*(1+IF(CE$4=$A24,Вводные!$D$5*INDEX(Вводные!$G$13:$G$64,MATCH($A24,Вводные!$A$13:$A$64,0)),0))</f>
        <v>0.001</v>
      </c>
      <c r="CF24" s="32" t="n">
        <f aca="false">INDEX(Вводные!$D$13:$F$64,MATCH($A24,Вводные!$A$13:$A$64,0),MATCH(CF$3,Вводные!$D$11:$F$11,0))*(1+IF(CF$4=$A24,Вводные!$D$5*INDEX(Вводные!$G$13:$G$64,MATCH($A24,Вводные!$A$13:$A$64,0)),0))</f>
        <v>0.001</v>
      </c>
      <c r="CG24" s="32" t="n">
        <f aca="false">INDEX(Вводные!$D$13:$F$64,MATCH($A24,Вводные!$A$13:$A$64,0),MATCH(CG$3,Вводные!$D$11:$F$11,0))*(1+IF(CG$4=$A24,Вводные!$D$5*INDEX(Вводные!$G$13:$G$64,MATCH($A24,Вводные!$A$13:$A$64,0)),0))</f>
        <v>0.001</v>
      </c>
      <c r="CH24" s="32" t="n">
        <f aca="false">INDEX(Вводные!$D$13:$F$64,MATCH($A24,Вводные!$A$13:$A$64,0),MATCH(CH$3,Вводные!$D$11:$F$11,0))*(1+IF(CH$4=$A24,Вводные!$D$5*INDEX(Вводные!$G$13:$G$64,MATCH($A24,Вводные!$A$13:$A$64,0)),0))</f>
        <v>0.001</v>
      </c>
      <c r="CI24" s="32" t="n">
        <f aca="false">INDEX(Вводные!$D$13:$F$64,MATCH($A24,Вводные!$A$13:$A$64,0),MATCH(CI$3,Вводные!$D$11:$F$11,0))*(1+IF(CI$4=$A24,Вводные!$D$5*INDEX(Вводные!$G$13:$G$64,MATCH($A24,Вводные!$A$13:$A$64,0)),0))</f>
        <v>0.001</v>
      </c>
      <c r="CJ24" s="32" t="n">
        <f aca="false">INDEX(Вводные!$D$13:$F$64,MATCH($A24,Вводные!$A$13:$A$64,0),MATCH(CJ$3,Вводные!$D$11:$F$11,0))*(1+IF(CJ$4=$A24,Вводные!$D$5*INDEX(Вводные!$G$13:$G$64,MATCH($A24,Вводные!$A$13:$A$64,0)),0))</f>
        <v>0.001</v>
      </c>
      <c r="CK24" s="32" t="n">
        <f aca="false">INDEX(Вводные!$D$13:$F$64,MATCH($A24,Вводные!$A$13:$A$64,0),MATCH(CK$3,Вводные!$D$11:$F$11,0))*(1+IF(CK$4=$A24,Вводные!$D$5*INDEX(Вводные!$G$13:$G$64,MATCH($A24,Вводные!$A$13:$A$64,0)),0))</f>
        <v>0.001</v>
      </c>
      <c r="CL24" s="32" t="n">
        <f aca="false">INDEX(Вводные!$D$13:$F$64,MATCH($A24,Вводные!$A$13:$A$64,0),MATCH(CL$3,Вводные!$D$11:$F$11,0))*(1+IF(CL$4=$A24,Вводные!$D$5*INDEX(Вводные!$G$13:$G$64,MATCH($A24,Вводные!$A$13:$A$64,0)),0))</f>
        <v>0.001</v>
      </c>
      <c r="CM24" s="32" t="n">
        <f aca="false">INDEX(Вводные!$D$13:$F$64,MATCH($A24,Вводные!$A$13:$A$64,0),MATCH(CM$3,Вводные!$D$11:$F$11,0))*(1+IF(CM$4=$A24,Вводные!$D$5*INDEX(Вводные!$G$13:$G$64,MATCH($A24,Вводные!$A$13:$A$64,0)),0))</f>
        <v>0.001</v>
      </c>
      <c r="CN24" s="32" t="n">
        <f aca="false">INDEX(Вводные!$D$13:$F$64,MATCH($A24,Вводные!$A$13:$A$64,0),MATCH(CN$3,Вводные!$D$11:$F$11,0))*(1+IF(CN$4=$A24,Вводные!$D$5*INDEX(Вводные!$G$13:$G$64,MATCH($A24,Вводные!$A$13:$A$64,0)),0))</f>
        <v>0.001</v>
      </c>
      <c r="CO24" s="32" t="n">
        <f aca="false">INDEX(Вводные!$D$13:$F$64,MATCH($A24,Вводные!$A$13:$A$64,0),MATCH(CO$3,Вводные!$D$11:$F$11,0))*(1+IF(CO$4=$A24,Вводные!$D$5*INDEX(Вводные!$G$13:$G$64,MATCH($A24,Вводные!$A$13:$A$64,0)),0))</f>
        <v>0.001</v>
      </c>
      <c r="CP24" s="32" t="n">
        <f aca="false">INDEX(Вводные!$D$13:$F$64,MATCH($A24,Вводные!$A$13:$A$64,0),MATCH(CP$3,Вводные!$D$11:$F$11,0))*(1+IF(CP$4=$A24,Вводные!$D$5*INDEX(Вводные!$G$13:$G$64,MATCH($A24,Вводные!$A$13:$A$64,0)),0))</f>
        <v>0.0002</v>
      </c>
      <c r="CQ24" s="32" t="n">
        <f aca="false">INDEX(Вводные!$D$13:$F$64,MATCH($A24,Вводные!$A$13:$A$64,0),MATCH(CQ$3,Вводные!$D$11:$F$11,0))*(1+IF(CQ$4=$A24,Вводные!$D$5*INDEX(Вводные!$G$13:$G$64,MATCH($A24,Вводные!$A$13:$A$64,0)),0))</f>
        <v>0.0002</v>
      </c>
      <c r="CR24" s="32" t="n">
        <f aca="false">INDEX(Вводные!$D$13:$F$64,MATCH($A24,Вводные!$A$13:$A$64,0),MATCH(CR$3,Вводные!$D$11:$F$11,0))*(1+IF(CR$4=$A24,Вводные!$D$5*INDEX(Вводные!$G$13:$G$64,MATCH($A24,Вводные!$A$13:$A$64,0)),0))</f>
        <v>0.0002</v>
      </c>
      <c r="CS24" s="32" t="n">
        <f aca="false">INDEX(Вводные!$D$13:$F$64,MATCH($A24,Вводные!$A$13:$A$64,0),MATCH(CS$3,Вводные!$D$11:$F$11,0))*(1+IF(CS$4=$A24,Вводные!$D$5*INDEX(Вводные!$G$13:$G$64,MATCH($A24,Вводные!$A$13:$A$64,0)),0))</f>
        <v>0.0002</v>
      </c>
      <c r="CT24" s="32" t="n">
        <f aca="false">INDEX(Вводные!$D$13:$F$64,MATCH($A24,Вводные!$A$13:$A$64,0),MATCH(CT$3,Вводные!$D$11:$F$11,0))*(1+IF(CT$4=$A24,Вводные!$D$5*INDEX(Вводные!$G$13:$G$64,MATCH($A24,Вводные!$A$13:$A$64,0)),0))</f>
        <v>0.0002</v>
      </c>
      <c r="CU24" s="32" t="n">
        <f aca="false">INDEX(Вводные!$D$13:$F$64,MATCH($A24,Вводные!$A$13:$A$64,0),MATCH(CU$3,Вводные!$D$11:$F$11,0))*(1+IF(CU$4=$A24,Вводные!$D$5*INDEX(Вводные!$G$13:$G$64,MATCH($A24,Вводные!$A$13:$A$64,0)),0))</f>
        <v>0.0002</v>
      </c>
      <c r="CV24" s="32" t="n">
        <f aca="false">INDEX(Вводные!$D$13:$F$64,MATCH($A24,Вводные!$A$13:$A$64,0),MATCH(CV$3,Вводные!$D$11:$F$11,0))*(1+IF(CV$4=$A24,Вводные!$D$5*INDEX(Вводные!$G$13:$G$64,MATCH($A24,Вводные!$A$13:$A$64,0)),0))</f>
        <v>0.0002</v>
      </c>
      <c r="CW24" s="32" t="n">
        <f aca="false">INDEX(Вводные!$D$13:$F$64,MATCH($A24,Вводные!$A$13:$A$64,0),MATCH(CW$3,Вводные!$D$11:$F$11,0))*(1+IF(CW$4=$A24,Вводные!$D$5*INDEX(Вводные!$G$13:$G$64,MATCH($A24,Вводные!$A$13:$A$64,0)),0))</f>
        <v>0.0002</v>
      </c>
      <c r="CX24" s="32" t="n">
        <f aca="false">INDEX(Вводные!$D$13:$F$64,MATCH($A24,Вводные!$A$13:$A$64,0),MATCH(CX$3,Вводные!$D$11:$F$11,0))*(1+IF(CX$4=$A24,Вводные!$D$5*INDEX(Вводные!$G$13:$G$64,MATCH($A24,Вводные!$A$13:$A$64,0)),0))</f>
        <v>0.000202</v>
      </c>
      <c r="CY24" s="32" t="n">
        <f aca="false">INDEX(Вводные!$D$13:$F$64,MATCH($A24,Вводные!$A$13:$A$64,0),MATCH(CY$3,Вводные!$D$11:$F$11,0))*(1+IF(CY$4=$A24,Вводные!$D$5*INDEX(Вводные!$G$13:$G$64,MATCH($A24,Вводные!$A$13:$A$64,0)),0))</f>
        <v>0.0002</v>
      </c>
      <c r="CZ24" s="32" t="n">
        <f aca="false">INDEX(Вводные!$D$13:$F$64,MATCH($A24,Вводные!$A$13:$A$64,0),MATCH(CZ$3,Вводные!$D$11:$F$11,0))*(1+IF(CZ$4=$A24,Вводные!$D$5*INDEX(Вводные!$G$13:$G$64,MATCH($A24,Вводные!$A$13:$A$64,0)),0))</f>
        <v>0.0002</v>
      </c>
      <c r="DA24" s="32" t="n">
        <f aca="false">INDEX(Вводные!$D$13:$F$64,MATCH($A24,Вводные!$A$13:$A$64,0),MATCH(DA$3,Вводные!$D$11:$F$11,0))*(1+IF(DA$4=$A24,Вводные!$D$5*INDEX(Вводные!$G$13:$G$64,MATCH($A24,Вводные!$A$13:$A$64,0)),0))</f>
        <v>0.0002</v>
      </c>
      <c r="DB24" s="32" t="n">
        <f aca="false">INDEX(Вводные!$D$13:$F$64,MATCH($A24,Вводные!$A$13:$A$64,0),MATCH(DB$3,Вводные!$D$11:$F$11,0))*(1+IF(DB$4=$A24,Вводные!$D$5*INDEX(Вводные!$G$13:$G$64,MATCH($A24,Вводные!$A$13:$A$64,0)),0))</f>
        <v>0.0002</v>
      </c>
      <c r="DC24" s="32" t="n">
        <f aca="false">INDEX(Вводные!$D$13:$F$64,MATCH($A24,Вводные!$A$13:$A$64,0),MATCH(DC$3,Вводные!$D$11:$F$11,0))*(1+IF(DC$4=$A24,Вводные!$D$5*INDEX(Вводные!$G$13:$G$64,MATCH($A24,Вводные!$A$13:$A$64,0)),0))</f>
        <v>0.0002</v>
      </c>
      <c r="DD24" s="32" t="n">
        <f aca="false">INDEX(Вводные!$D$13:$F$64,MATCH($A24,Вводные!$A$13:$A$64,0),MATCH(DD$3,Вводные!$D$11:$F$11,0))*(1+IF(DD$4=$A24,Вводные!$D$5*INDEX(Вводные!$G$13:$G$64,MATCH($A24,Вводные!$A$13:$A$64,0)),0))</f>
        <v>0.0002</v>
      </c>
      <c r="DE24" s="32" t="n">
        <f aca="false">INDEX(Вводные!$D$13:$F$64,MATCH($A24,Вводные!$A$13:$A$64,0),MATCH(DE$3,Вводные!$D$11:$F$11,0))*(1+IF(DE$4=$A24,Вводные!$D$5*INDEX(Вводные!$G$13:$G$64,MATCH($A24,Вводные!$A$13:$A$64,0)),0))</f>
        <v>0.0002</v>
      </c>
      <c r="DF24" s="32" t="n">
        <f aca="false">INDEX(Вводные!$D$13:$F$64,MATCH($A24,Вводные!$A$13:$A$64,0),MATCH(DF$3,Вводные!$D$11:$F$11,0))*(1+IF(DF$4=$A24,Вводные!$D$5*INDEX(Вводные!$G$13:$G$64,MATCH($A24,Вводные!$A$13:$A$64,0)),0))</f>
        <v>0.0002</v>
      </c>
      <c r="DG24" s="32" t="n">
        <f aca="false">INDEX(Вводные!$D$13:$F$64,MATCH($A24,Вводные!$A$13:$A$64,0),MATCH(DG$3,Вводные!$D$11:$F$11,0))*(1+IF(DG$4=$A24,Вводные!$D$5*INDEX(Вводные!$G$13:$G$64,MATCH($A24,Вводные!$A$13:$A$64,0)),0))</f>
        <v>0.0002</v>
      </c>
      <c r="DH24" s="32" t="n">
        <f aca="false">INDEX(Вводные!$D$13:$F$64,MATCH($A24,Вводные!$A$13:$A$64,0),MATCH(DH$3,Вводные!$D$11:$F$11,0))*(1+IF(DH$4=$A24,Вводные!$D$5*INDEX(Вводные!$G$13:$G$64,MATCH($A24,Вводные!$A$13:$A$64,0)),0))</f>
        <v>0.0002</v>
      </c>
      <c r="DI24" s="32" t="n">
        <f aca="false">INDEX(Вводные!$D$13:$F$64,MATCH($A24,Вводные!$A$13:$A$64,0),MATCH(DI$3,Вводные!$D$11:$F$11,0))*(1+IF(DI$4=$A24,Вводные!$D$5*INDEX(Вводные!$G$13:$G$64,MATCH($A24,Вводные!$A$13:$A$64,0)),0))</f>
        <v>0.0002</v>
      </c>
      <c r="DJ24" s="32" t="n">
        <f aca="false">INDEX(Вводные!$D$13:$F$64,MATCH($A24,Вводные!$A$13:$A$64,0),MATCH(DJ$3,Вводные!$D$11:$F$11,0))*(1+IF(DJ$4=$A24,Вводные!$D$5*INDEX(Вводные!$G$13:$G$64,MATCH($A24,Вводные!$A$13:$A$64,0)),0))</f>
        <v>0.0002</v>
      </c>
      <c r="DK24" s="32" t="n">
        <f aca="false">INDEX(Вводные!$D$13:$F$64,MATCH($A24,Вводные!$A$13:$A$64,0),MATCH(DK$3,Вводные!$D$11:$F$11,0))*(1+IF(DK$4=$A24,Вводные!$D$5*INDEX(Вводные!$G$13:$G$64,MATCH($A24,Вводные!$A$13:$A$64,0)),0))</f>
        <v>0.0002</v>
      </c>
      <c r="DL24" s="32" t="n">
        <f aca="false">INDEX(Вводные!$D$13:$F$64,MATCH($A24,Вводные!$A$13:$A$64,0),MATCH(DL$3,Вводные!$D$11:$F$11,0))*(1+IF(DL$4=$A24,Вводные!$D$5*INDEX(Вводные!$G$13:$G$64,MATCH($A24,Вводные!$A$13:$A$64,0)),0))</f>
        <v>0.0002</v>
      </c>
      <c r="DM24" s="32" t="n">
        <f aca="false">INDEX(Вводные!$D$13:$F$64,MATCH($A24,Вводные!$A$13:$A$64,0),MATCH(DM$3,Вводные!$D$11:$F$11,0))*(1+IF(DM$4=$A24,Вводные!$D$5*INDEX(Вводные!$G$13:$G$64,MATCH($A24,Вводные!$A$13:$A$64,0)),0))</f>
        <v>0.0002</v>
      </c>
      <c r="DN24" s="32" t="n">
        <f aca="false">INDEX(Вводные!$D$13:$F$64,MATCH($A24,Вводные!$A$13:$A$64,0),MATCH(DN$3,Вводные!$D$11:$F$11,0))*(1+IF(DN$4=$A24,Вводные!$D$5*INDEX(Вводные!$G$13:$G$64,MATCH($A24,Вводные!$A$13:$A$64,0)),0))</f>
        <v>0.0002</v>
      </c>
      <c r="DO24" s="32" t="n">
        <f aca="false">INDEX(Вводные!$D$13:$F$64,MATCH($A24,Вводные!$A$13:$A$64,0),MATCH(DO$3,Вводные!$D$11:$F$11,0))*(1+IF(DO$4=$A24,Вводные!$D$5*INDEX(Вводные!$G$13:$G$64,MATCH($A24,Вводные!$A$13:$A$64,0)),0))</f>
        <v>0.0002</v>
      </c>
      <c r="DP24" s="32" t="n">
        <f aca="false">INDEX(Вводные!$D$13:$F$64,MATCH($A24,Вводные!$A$13:$A$64,0),MATCH(DP$3,Вводные!$D$11:$F$11,0))*(1+IF(DP$4=$A24,Вводные!$D$5*INDEX(Вводные!$G$13:$G$64,MATCH($A24,Вводные!$A$13:$A$64,0)),0))</f>
        <v>0.0002</v>
      </c>
      <c r="DQ24" s="32" t="n">
        <f aca="false">INDEX(Вводные!$D$13:$F$64,MATCH($A24,Вводные!$A$13:$A$64,0),MATCH(DQ$3,Вводные!$D$11:$F$11,0))*(1+IF(DQ$4=$A24,Вводные!$D$5*INDEX(Вводные!$G$13:$G$64,MATCH($A24,Вводные!$A$13:$A$64,0)),0))</f>
        <v>0.0002</v>
      </c>
      <c r="DR24" s="32" t="n">
        <f aca="false">INDEX(Вводные!$D$13:$F$64,MATCH($A24,Вводные!$A$13:$A$64,0),MATCH(DR$3,Вводные!$D$11:$F$11,0))*(1+IF(DR$4=$A24,Вводные!$D$5*INDEX(Вводные!$G$13:$G$64,MATCH($A24,Вводные!$A$13:$A$64,0)),0))</f>
        <v>0.0002</v>
      </c>
      <c r="DS24" s="32" t="n">
        <f aca="false">INDEX(Вводные!$D$13:$F$64,MATCH($A24,Вводные!$A$13:$A$64,0),MATCH(DS$3,Вводные!$D$11:$F$11,0))*(1+IF(DS$4=$A24,Вводные!$D$5*INDEX(Вводные!$G$13:$G$64,MATCH($A24,Вводные!$A$13:$A$64,0)),0))</f>
        <v>0.0002</v>
      </c>
      <c r="DT24" s="32" t="n">
        <f aca="false">INDEX(Вводные!$D$13:$F$64,MATCH($A24,Вводные!$A$13:$A$64,0),MATCH(DT$3,Вводные!$D$11:$F$11,0))*(1+IF(DT$4=$A24,Вводные!$D$5*INDEX(Вводные!$G$13:$G$64,MATCH($A24,Вводные!$A$13:$A$64,0)),0))</f>
        <v>0.0002</v>
      </c>
      <c r="DU24" s="32" t="n">
        <f aca="false">INDEX(Вводные!$D$13:$F$64,MATCH($A24,Вводные!$A$13:$A$64,0),MATCH(DU$3,Вводные!$D$11:$F$11,0))*(1+IF(DU$4=$A24,Вводные!$D$5*INDEX(Вводные!$G$13:$G$64,MATCH($A24,Вводные!$A$13:$A$64,0)),0))</f>
        <v>0.0002</v>
      </c>
      <c r="DV24" s="32" t="n">
        <f aca="false">INDEX(Вводные!$D$13:$F$64,MATCH($A24,Вводные!$A$13:$A$64,0),MATCH(DV$3,Вводные!$D$11:$F$11,0))*(1+IF(DV$4=$A24,Вводные!$D$5*INDEX(Вводные!$G$13:$G$64,MATCH($A24,Вводные!$A$13:$A$64,0)),0))</f>
        <v>0.0002</v>
      </c>
      <c r="DW24" s="32" t="n">
        <f aca="false">INDEX(Вводные!$D$13:$F$64,MATCH($A24,Вводные!$A$13:$A$64,0),MATCH(DW$3,Вводные!$D$11:$F$11,0))*(1+IF(DW$4=$A24,Вводные!$D$5*INDEX(Вводные!$G$13:$G$64,MATCH($A24,Вводные!$A$13:$A$64,0)),0))</f>
        <v>0.0002</v>
      </c>
      <c r="DX24" s="32" t="n">
        <f aca="false">INDEX(Вводные!$D$13:$F$64,MATCH($A24,Вводные!$A$13:$A$64,0),MATCH(DX$3,Вводные!$D$11:$F$11,0))*(1+IF(DX$4=$A24,Вводные!$D$5*INDEX(Вводные!$G$13:$G$64,MATCH($A24,Вводные!$A$13:$A$64,0)),0))</f>
        <v>0.0002</v>
      </c>
      <c r="DY24" s="32" t="n">
        <f aca="false">INDEX(Вводные!$D$13:$F$64,MATCH($A24,Вводные!$A$13:$A$64,0),MATCH(DY$3,Вводные!$D$11:$F$11,0))*(1+IF(DY$4=$A24,Вводные!$D$5*INDEX(Вводные!$G$13:$G$64,MATCH($A24,Вводные!$A$13:$A$64,0)),0))</f>
        <v>0.0002</v>
      </c>
      <c r="DZ24" s="32" t="n">
        <f aca="false">INDEX(Вводные!$D$13:$F$64,MATCH($A24,Вводные!$A$13:$A$64,0),MATCH(DZ$3,Вводные!$D$11:$F$11,0))*(1+IF(DZ$4=$A24,Вводные!$D$5*INDEX(Вводные!$G$13:$G$64,MATCH($A24,Вводные!$A$13:$A$64,0)),0))</f>
        <v>0.0002</v>
      </c>
      <c r="EA24" s="32" t="n">
        <f aca="false">INDEX(Вводные!$D$13:$F$64,MATCH($A24,Вводные!$A$13:$A$64,0),MATCH(EA$3,Вводные!$D$11:$F$11,0))*(1+IF(EA$4=$A24,Вводные!$D$5*INDEX(Вводные!$G$13:$G$64,MATCH($A24,Вводные!$A$13:$A$64,0)),0))</f>
        <v>0.0002</v>
      </c>
      <c r="EB24" s="32" t="n">
        <f aca="false">INDEX(Вводные!$D$13:$F$64,MATCH($A24,Вводные!$A$13:$A$64,0),MATCH(EB$3,Вводные!$D$11:$F$11,0))*(1+IF(EB$4=$A24,Вводные!$D$5*INDEX(Вводные!$G$13:$G$64,MATCH($A24,Вводные!$A$13:$A$64,0)),0))</f>
        <v>0.0002</v>
      </c>
      <c r="EC24" s="32" t="n">
        <f aca="false">INDEX(Вводные!$D$13:$F$64,MATCH($A24,Вводные!$A$13:$A$64,0),MATCH(EC$3,Вводные!$D$11:$F$11,0))*(1+IF(EC$4=$A24,Вводные!$D$5*INDEX(Вводные!$G$13:$G$64,MATCH($A24,Вводные!$A$13:$A$64,0)),0))</f>
        <v>0.0002</v>
      </c>
      <c r="ED24" s="32" t="n">
        <f aca="false">INDEX(Вводные!$D$13:$F$64,MATCH($A24,Вводные!$A$13:$A$64,0),MATCH(ED$3,Вводные!$D$11:$F$11,0))*(1+IF(ED$4=$A24,Вводные!$D$5*INDEX(Вводные!$G$13:$G$64,MATCH($A24,Вводные!$A$13:$A$64,0)),0))</f>
        <v>0.0002</v>
      </c>
      <c r="EE24" s="32" t="n">
        <f aca="false">INDEX(Вводные!$D$13:$F$64,MATCH($A24,Вводные!$A$13:$A$64,0),MATCH(EE$3,Вводные!$D$11:$F$11,0))*(1+IF(EE$4=$A24,Вводные!$D$5*INDEX(Вводные!$G$13:$G$64,MATCH($A24,Вводные!$A$13:$A$64,0)),0))</f>
        <v>0.0002</v>
      </c>
      <c r="EF24" s="32" t="n">
        <f aca="false">INDEX(Вводные!$D$13:$F$64,MATCH($A24,Вводные!$A$13:$A$64,0),MATCH(EF$3,Вводные!$D$11:$F$11,0))*(1+IF(EF$4=$A24,Вводные!$D$5*INDEX(Вводные!$G$13:$G$64,MATCH($A24,Вводные!$A$13:$A$64,0)),0))</f>
        <v>0.0015</v>
      </c>
      <c r="EG24" s="32" t="n">
        <f aca="false">INDEX(Вводные!$D$13:$F$64,MATCH($A24,Вводные!$A$13:$A$64,0),MATCH(EG$3,Вводные!$D$11:$F$11,0))*(1+IF(EG$4=$A24,Вводные!$D$5*INDEX(Вводные!$G$13:$G$64,MATCH($A24,Вводные!$A$13:$A$64,0)),0))</f>
        <v>0.0015</v>
      </c>
      <c r="EH24" s="32" t="n">
        <f aca="false">INDEX(Вводные!$D$13:$F$64,MATCH($A24,Вводные!$A$13:$A$64,0),MATCH(EH$3,Вводные!$D$11:$F$11,0))*(1+IF(EH$4=$A24,Вводные!$D$5*INDEX(Вводные!$G$13:$G$64,MATCH($A24,Вводные!$A$13:$A$64,0)),0))</f>
        <v>0.0015</v>
      </c>
      <c r="EI24" s="32" t="n">
        <f aca="false">INDEX(Вводные!$D$13:$F$64,MATCH($A24,Вводные!$A$13:$A$64,0),MATCH(EI$3,Вводные!$D$11:$F$11,0))*(1+IF(EI$4=$A24,Вводные!$D$5*INDEX(Вводные!$G$13:$G$64,MATCH($A24,Вводные!$A$13:$A$64,0)),0))</f>
        <v>0.0015</v>
      </c>
      <c r="EJ24" s="32" t="n">
        <f aca="false">INDEX(Вводные!$D$13:$F$64,MATCH($A24,Вводные!$A$13:$A$64,0),MATCH(EJ$3,Вводные!$D$11:$F$11,0))*(1+IF(EJ$4=$A24,Вводные!$D$5*INDEX(Вводные!$G$13:$G$64,MATCH($A24,Вводные!$A$13:$A$64,0)),0))</f>
        <v>0.0015</v>
      </c>
      <c r="EK24" s="32" t="n">
        <f aca="false">INDEX(Вводные!$D$13:$F$64,MATCH($A24,Вводные!$A$13:$A$64,0),MATCH(EK$3,Вводные!$D$11:$F$11,0))*(1+IF(EK$4=$A24,Вводные!$D$5*INDEX(Вводные!$G$13:$G$64,MATCH($A24,Вводные!$A$13:$A$64,0)),0))</f>
        <v>0.0015</v>
      </c>
      <c r="EL24" s="32" t="n">
        <f aca="false">INDEX(Вводные!$D$13:$F$64,MATCH($A24,Вводные!$A$13:$A$64,0),MATCH(EL$3,Вводные!$D$11:$F$11,0))*(1+IF(EL$4=$A24,Вводные!$D$5*INDEX(Вводные!$G$13:$G$64,MATCH($A24,Вводные!$A$13:$A$64,0)),0))</f>
        <v>0.0015</v>
      </c>
      <c r="EM24" s="32" t="n">
        <f aca="false">INDEX(Вводные!$D$13:$F$64,MATCH($A24,Вводные!$A$13:$A$64,0),MATCH(EM$3,Вводные!$D$11:$F$11,0))*(1+IF(EM$4=$A24,Вводные!$D$5*INDEX(Вводные!$G$13:$G$64,MATCH($A24,Вводные!$A$13:$A$64,0)),0))</f>
        <v>0.0015</v>
      </c>
      <c r="EN24" s="32" t="n">
        <f aca="false">INDEX(Вводные!$D$13:$F$64,MATCH($A24,Вводные!$A$13:$A$64,0),MATCH(EN$3,Вводные!$D$11:$F$11,0))*(1+IF(EN$4=$A24,Вводные!$D$5*INDEX(Вводные!$G$13:$G$64,MATCH($A24,Вводные!$A$13:$A$64,0)),0))</f>
        <v>0.001515</v>
      </c>
      <c r="EO24" s="32" t="n">
        <f aca="false">INDEX(Вводные!$D$13:$F$64,MATCH($A24,Вводные!$A$13:$A$64,0),MATCH(EO$3,Вводные!$D$11:$F$11,0))*(1+IF(EO$4=$A24,Вводные!$D$5*INDEX(Вводные!$G$13:$G$64,MATCH($A24,Вводные!$A$13:$A$64,0)),0))</f>
        <v>0.0015</v>
      </c>
      <c r="EP24" s="32" t="n">
        <f aca="false">INDEX(Вводные!$D$13:$F$64,MATCH($A24,Вводные!$A$13:$A$64,0),MATCH(EP$3,Вводные!$D$11:$F$11,0))*(1+IF(EP$4=$A24,Вводные!$D$5*INDEX(Вводные!$G$13:$G$64,MATCH($A24,Вводные!$A$13:$A$64,0)),0))</f>
        <v>0.0015</v>
      </c>
      <c r="EQ24" s="32" t="n">
        <f aca="false">INDEX(Вводные!$D$13:$F$64,MATCH($A24,Вводные!$A$13:$A$64,0),MATCH(EQ$3,Вводные!$D$11:$F$11,0))*(1+IF(EQ$4=$A24,Вводные!$D$5*INDEX(Вводные!$G$13:$G$64,MATCH($A24,Вводные!$A$13:$A$64,0)),0))</f>
        <v>0.0015</v>
      </c>
      <c r="ER24" s="32" t="n">
        <f aca="false">INDEX(Вводные!$D$13:$F$64,MATCH($A24,Вводные!$A$13:$A$64,0),MATCH(ER$3,Вводные!$D$11:$F$11,0))*(1+IF(ER$4=$A24,Вводные!$D$5*INDEX(Вводные!$G$13:$G$64,MATCH($A24,Вводные!$A$13:$A$64,0)),0))</f>
        <v>0.0015</v>
      </c>
      <c r="ES24" s="32" t="n">
        <f aca="false">INDEX(Вводные!$D$13:$F$64,MATCH($A24,Вводные!$A$13:$A$64,0),MATCH(ES$3,Вводные!$D$11:$F$11,0))*(1+IF(ES$4=$A24,Вводные!$D$5*INDEX(Вводные!$G$13:$G$64,MATCH($A24,Вводные!$A$13:$A$64,0)),0))</f>
        <v>0.0015</v>
      </c>
      <c r="ET24" s="32" t="n">
        <f aca="false">INDEX(Вводные!$D$13:$F$64,MATCH($A24,Вводные!$A$13:$A$64,0),MATCH(ET$3,Вводные!$D$11:$F$11,0))*(1+IF(ET$4=$A24,Вводные!$D$5*INDEX(Вводные!$G$13:$G$64,MATCH($A24,Вводные!$A$13:$A$64,0)),0))</f>
        <v>0.0015</v>
      </c>
      <c r="EU24" s="32" t="n">
        <f aca="false">INDEX(Вводные!$D$13:$F$64,MATCH($A24,Вводные!$A$13:$A$64,0),MATCH(EU$3,Вводные!$D$11:$F$11,0))*(1+IF(EU$4=$A24,Вводные!$D$5*INDEX(Вводные!$G$13:$G$64,MATCH($A24,Вводные!$A$13:$A$64,0)),0))</f>
        <v>0.0015</v>
      </c>
      <c r="EV24" s="32" t="n">
        <f aca="false">INDEX(Вводные!$D$13:$F$64,MATCH($A24,Вводные!$A$13:$A$64,0),MATCH(EV$3,Вводные!$D$11:$F$11,0))*(1+IF(EV$4=$A24,Вводные!$D$5*INDEX(Вводные!$G$13:$G$64,MATCH($A24,Вводные!$A$13:$A$64,0)),0))</f>
        <v>0.0015</v>
      </c>
      <c r="EW24" s="32" t="n">
        <f aca="false">INDEX(Вводные!$D$13:$F$64,MATCH($A24,Вводные!$A$13:$A$64,0),MATCH(EW$3,Вводные!$D$11:$F$11,0))*(1+IF(EW$4=$A24,Вводные!$D$5*INDEX(Вводные!$G$13:$G$64,MATCH($A24,Вводные!$A$13:$A$64,0)),0))</f>
        <v>0.0015</v>
      </c>
      <c r="EX24" s="32" t="n">
        <f aca="false">INDEX(Вводные!$D$13:$F$64,MATCH($A24,Вводные!$A$13:$A$64,0),MATCH(EX$3,Вводные!$D$11:$F$11,0))*(1+IF(EX$4=$A24,Вводные!$D$5*INDEX(Вводные!$G$13:$G$64,MATCH($A24,Вводные!$A$13:$A$64,0)),0))</f>
        <v>0.0015</v>
      </c>
      <c r="EY24" s="32" t="n">
        <f aca="false">INDEX(Вводные!$D$13:$F$64,MATCH($A24,Вводные!$A$13:$A$64,0),MATCH(EY$3,Вводные!$D$11:$F$11,0))*(1+IF(EY$4=$A24,Вводные!$D$5*INDEX(Вводные!$G$13:$G$64,MATCH($A24,Вводные!$A$13:$A$64,0)),0))</f>
        <v>0.0015</v>
      </c>
      <c r="EZ24" s="32" t="n">
        <f aca="false">INDEX(Вводные!$D$13:$F$64,MATCH($A24,Вводные!$A$13:$A$64,0),MATCH(EZ$3,Вводные!$D$11:$F$11,0))*(1+IF(EZ$4=$A24,Вводные!$D$5*INDEX(Вводные!$G$13:$G$64,MATCH($A24,Вводные!$A$13:$A$64,0)),0))</f>
        <v>0.0015</v>
      </c>
      <c r="FA24" s="32" t="n">
        <f aca="false">INDEX(Вводные!$D$13:$F$64,MATCH($A24,Вводные!$A$13:$A$64,0),MATCH(FA$3,Вводные!$D$11:$F$11,0))*(1+IF(FA$4=$A24,Вводные!$D$5*INDEX(Вводные!$G$13:$G$64,MATCH($A24,Вводные!$A$13:$A$64,0)),0))</f>
        <v>0.0015</v>
      </c>
      <c r="FB24" s="32" t="n">
        <f aca="false">INDEX(Вводные!$D$13:$F$64,MATCH($A24,Вводные!$A$13:$A$64,0),MATCH(FB$3,Вводные!$D$11:$F$11,0))*(1+IF(FB$4=$A24,Вводные!$D$5*INDEX(Вводные!$G$13:$G$64,MATCH($A24,Вводные!$A$13:$A$64,0)),0))</f>
        <v>0.0015</v>
      </c>
      <c r="FC24" s="32" t="n">
        <f aca="false">INDEX(Вводные!$D$13:$F$64,MATCH($A24,Вводные!$A$13:$A$64,0),MATCH(FC$3,Вводные!$D$11:$F$11,0))*(1+IF(FC$4=$A24,Вводные!$D$5*INDEX(Вводные!$G$13:$G$64,MATCH($A24,Вводные!$A$13:$A$64,0)),0))</f>
        <v>0.0015</v>
      </c>
      <c r="FD24" s="32" t="n">
        <f aca="false">INDEX(Вводные!$D$13:$F$64,MATCH($A24,Вводные!$A$13:$A$64,0),MATCH(FD$3,Вводные!$D$11:$F$11,0))*(1+IF(FD$4=$A24,Вводные!$D$5*INDEX(Вводные!$G$13:$G$64,MATCH($A24,Вводные!$A$13:$A$64,0)),0))</f>
        <v>0.0015</v>
      </c>
      <c r="FE24" s="32" t="n">
        <f aca="false">INDEX(Вводные!$D$13:$F$64,MATCH($A24,Вводные!$A$13:$A$64,0),MATCH(FE$3,Вводные!$D$11:$F$11,0))*(1+IF(FE$4=$A24,Вводные!$D$5*INDEX(Вводные!$G$13:$G$64,MATCH($A24,Вводные!$A$13:$A$64,0)),0))</f>
        <v>0.0015</v>
      </c>
      <c r="FF24" s="32" t="n">
        <f aca="false">INDEX(Вводные!$D$13:$F$64,MATCH($A24,Вводные!$A$13:$A$64,0),MATCH(FF$3,Вводные!$D$11:$F$11,0))*(1+IF(FF$4=$A24,Вводные!$D$5*INDEX(Вводные!$G$13:$G$64,MATCH($A24,Вводные!$A$13:$A$64,0)),0))</f>
        <v>0.0015</v>
      </c>
      <c r="FG24" s="32" t="n">
        <f aca="false">INDEX(Вводные!$D$13:$F$64,MATCH($A24,Вводные!$A$13:$A$64,0),MATCH(FG$3,Вводные!$D$11:$F$11,0))*(1+IF(FG$4=$A24,Вводные!$D$5*INDEX(Вводные!$G$13:$G$64,MATCH($A24,Вводные!$A$13:$A$64,0)),0))</f>
        <v>0.0015</v>
      </c>
      <c r="FH24" s="32" t="n">
        <f aca="false">INDEX(Вводные!$D$13:$F$64,MATCH($A24,Вводные!$A$13:$A$64,0),MATCH(FH$3,Вводные!$D$11:$F$11,0))*(1+IF(FH$4=$A24,Вводные!$D$5*INDEX(Вводные!$G$13:$G$64,MATCH($A24,Вводные!$A$13:$A$64,0)),0))</f>
        <v>0.0015</v>
      </c>
      <c r="FI24" s="32" t="n">
        <f aca="false">INDEX(Вводные!$D$13:$F$64,MATCH($A24,Вводные!$A$13:$A$64,0),MATCH(FI$3,Вводные!$D$11:$F$11,0))*(1+IF(FI$4=$A24,Вводные!$D$5*INDEX(Вводные!$G$13:$G$64,MATCH($A24,Вводные!$A$13:$A$64,0)),0))</f>
        <v>0.0015</v>
      </c>
      <c r="FJ24" s="32" t="n">
        <f aca="false">INDEX(Вводные!$D$13:$F$64,MATCH($A24,Вводные!$A$13:$A$64,0),MATCH(FJ$3,Вводные!$D$11:$F$11,0))*(1+IF(FJ$4=$A24,Вводные!$D$5*INDEX(Вводные!$G$13:$G$64,MATCH($A24,Вводные!$A$13:$A$64,0)),0))</f>
        <v>0.0015</v>
      </c>
      <c r="FK24" s="32" t="n">
        <f aca="false">INDEX(Вводные!$D$13:$F$64,MATCH($A24,Вводные!$A$13:$A$64,0),MATCH(FK$3,Вводные!$D$11:$F$11,0))*(1+IF(FK$4=$A24,Вводные!$D$5*INDEX(Вводные!$G$13:$G$64,MATCH($A24,Вводные!$A$13:$A$64,0)),0))</f>
        <v>0.0015</v>
      </c>
      <c r="FL24" s="32" t="n">
        <f aca="false">INDEX(Вводные!$D$13:$F$64,MATCH($A24,Вводные!$A$13:$A$64,0),MATCH(FL$3,Вводные!$D$11:$F$11,0))*(1+IF(FL$4=$A24,Вводные!$D$5*INDEX(Вводные!$G$13:$G$64,MATCH($A24,Вводные!$A$13:$A$64,0)),0))</f>
        <v>0.0015</v>
      </c>
      <c r="FM24" s="32" t="n">
        <f aca="false">INDEX(Вводные!$D$13:$F$64,MATCH($A24,Вводные!$A$13:$A$64,0),MATCH(FM$3,Вводные!$D$11:$F$11,0))*(1+IF(FM$4=$A24,Вводные!$D$5*INDEX(Вводные!$G$13:$G$64,MATCH($A24,Вводные!$A$13:$A$64,0)),0))</f>
        <v>0.0015</v>
      </c>
      <c r="FN24" s="32" t="n">
        <f aca="false">INDEX(Вводные!$D$13:$F$64,MATCH($A24,Вводные!$A$13:$A$64,0),MATCH(FN$3,Вводные!$D$11:$F$11,0))*(1+IF(FN$4=$A24,Вводные!$D$5*INDEX(Вводные!$G$13:$G$64,MATCH($A24,Вводные!$A$13:$A$64,0)),0))</f>
        <v>0.0015</v>
      </c>
      <c r="FO24" s="32" t="n">
        <f aca="false">INDEX(Вводные!$D$13:$F$64,MATCH($A24,Вводные!$A$13:$A$64,0),MATCH(FO$3,Вводные!$D$11:$F$11,0))*(1+IF(FO$4=$A24,Вводные!$D$5*INDEX(Вводные!$G$13:$G$64,MATCH($A24,Вводные!$A$13:$A$64,0)),0))</f>
        <v>0.0015</v>
      </c>
      <c r="FP24" s="32" t="n">
        <f aca="false">INDEX(Вводные!$D$13:$F$64,MATCH($A24,Вводные!$A$13:$A$64,0),MATCH(FP$3,Вводные!$D$11:$F$11,0))*(1+IF(FP$4=$A24,Вводные!$D$5*INDEX(Вводные!$G$13:$G$64,MATCH($A24,Вводные!$A$13:$A$64,0)),0))</f>
        <v>0.0015</v>
      </c>
      <c r="FQ24" s="32" t="n">
        <f aca="false">INDEX(Вводные!$D$13:$F$64,MATCH($A24,Вводные!$A$13:$A$64,0),MATCH(FQ$3,Вводные!$D$11:$F$11,0))*(1+IF(FQ$4=$A24,Вводные!$D$5*INDEX(Вводные!$G$13:$G$64,MATCH($A24,Вводные!$A$13:$A$64,0)),0))</f>
        <v>0.0015</v>
      </c>
      <c r="FR24" s="32" t="n">
        <f aca="false">INDEX(Вводные!$D$13:$F$64,MATCH($A24,Вводные!$A$13:$A$64,0),MATCH(FR$3,Вводные!$D$11:$F$11,0))*(1+IF(FR$4=$A24,Вводные!$D$5*INDEX(Вводные!$G$13:$G$64,MATCH($A24,Вводные!$A$13:$A$64,0)),0))</f>
        <v>0.0015</v>
      </c>
      <c r="FS24" s="32" t="n">
        <f aca="false">INDEX(Вводные!$D$13:$F$64,MATCH($A24,Вводные!$A$13:$A$64,0),MATCH(FS$3,Вводные!$D$11:$F$11,0))*(1+IF(FS$4=$A24,Вводные!$D$5*INDEX(Вводные!$G$13:$G$64,MATCH($A24,Вводные!$A$13:$A$64,0)),0))</f>
        <v>0.0015</v>
      </c>
      <c r="FT24" s="32" t="n">
        <f aca="false">INDEX(Вводные!$D$13:$F$64,MATCH($A24,Вводные!$A$13:$A$64,0),MATCH(FT$3,Вводные!$D$11:$F$11,0))*(1+IF(FT$4=$A24,Вводные!$D$5*INDEX(Вводные!$G$13:$G$64,MATCH($A24,Вводные!$A$13:$A$64,0)),0))</f>
        <v>0.0015</v>
      </c>
      <c r="FU24" s="32" t="n">
        <f aca="false">INDEX(Вводные!$D$13:$F$64,MATCH($A24,Вводные!$A$13:$A$64,0),MATCH(FU$3,Вводные!$D$11:$F$11,0))*(1+IF(FU$4=$A24,Вводные!$D$5*INDEX(Вводные!$G$13:$G$64,MATCH($A24,Вводные!$A$13:$A$64,0)),0))</f>
        <v>0.0015</v>
      </c>
      <c r="FV24" s="32" t="n">
        <f aca="false">INDEX(Вводные!$D$13:$F$64,MATCH($A24,Вводные!$A$13:$A$64,0),MATCH(FV$3,Вводные!$D$11:$F$11,0))*(1+IF(FV$4=$A24,Вводные!$D$5*INDEX(Вводные!$G$13:$G$64,MATCH($A24,Вводные!$A$13:$A$64,0)),0))</f>
        <v>0.001</v>
      </c>
      <c r="FW24" s="32" t="n">
        <f aca="false">INDEX(Вводные!$D$13:$F$64,MATCH($A24,Вводные!$A$13:$A$64,0),MATCH(FW$3,Вводные!$D$11:$F$11,0))*(1+IF(FW$4=$A24,Вводные!$D$5*INDEX(Вводные!$G$13:$G$64,MATCH($A24,Вводные!$A$13:$A$64,0)),0))</f>
        <v>0.001</v>
      </c>
      <c r="FX24" s="32" t="n">
        <f aca="false">INDEX(Вводные!$D$13:$F$64,MATCH($A24,Вводные!$A$13:$A$64,0),MATCH(FX$3,Вводные!$D$11:$F$11,0))*(1+IF(FX$4=$A24,Вводные!$D$5*INDEX(Вводные!$G$13:$G$64,MATCH($A24,Вводные!$A$13:$A$64,0)),0))</f>
        <v>0.001</v>
      </c>
      <c r="FY24" s="32" t="n">
        <f aca="false">INDEX(Вводные!$D$13:$F$64,MATCH($A24,Вводные!$A$13:$A$64,0),MATCH(FY$3,Вводные!$D$11:$F$11,0))*(1+IF(FY$4=$A24,Вводные!$D$5*INDEX(Вводные!$G$13:$G$64,MATCH($A24,Вводные!$A$13:$A$64,0)),0))</f>
        <v>0.001</v>
      </c>
      <c r="FZ24" s="32" t="n">
        <f aca="false">INDEX(Вводные!$D$13:$F$64,MATCH($A24,Вводные!$A$13:$A$64,0),MATCH(FZ$3,Вводные!$D$11:$F$11,0))*(1+IF(FZ$4=$A24,Вводные!$D$5*INDEX(Вводные!$G$13:$G$64,MATCH($A24,Вводные!$A$13:$A$64,0)),0))</f>
        <v>0.001</v>
      </c>
      <c r="GA24" s="32" t="n">
        <f aca="false">INDEX(Вводные!$D$13:$F$64,MATCH($A24,Вводные!$A$13:$A$64,0),MATCH(GA$3,Вводные!$D$11:$F$11,0))*(1+IF(GA$4=$A24,Вводные!$D$5*INDEX(Вводные!$G$13:$G$64,MATCH($A24,Вводные!$A$13:$A$64,0)),0))</f>
        <v>0.001</v>
      </c>
      <c r="GB24" s="32" t="n">
        <f aca="false">INDEX(Вводные!$D$13:$F$64,MATCH($A24,Вводные!$A$13:$A$64,0),MATCH(GB$3,Вводные!$D$11:$F$11,0))*(1+IF(GB$4=$A24,Вводные!$D$5*INDEX(Вводные!$G$13:$G$64,MATCH($A24,Вводные!$A$13:$A$64,0)),0))</f>
        <v>0.001</v>
      </c>
      <c r="GC24" s="32" t="n">
        <f aca="false">INDEX(Вводные!$D$13:$F$64,MATCH($A24,Вводные!$A$13:$A$64,0),MATCH(GC$3,Вводные!$D$11:$F$11,0))*(1+IF(GC$4=$A24,Вводные!$D$5*INDEX(Вводные!$G$13:$G$64,MATCH($A24,Вводные!$A$13:$A$64,0)),0))</f>
        <v>0.001</v>
      </c>
      <c r="GD24" s="32" t="n">
        <f aca="false">INDEX(Вводные!$D$13:$F$64,MATCH($A24,Вводные!$A$13:$A$64,0),MATCH(GD$3,Вводные!$D$11:$F$11,0))*(1+IF(GD$4=$A24,Вводные!$D$5*INDEX(Вводные!$G$13:$G$64,MATCH($A24,Вводные!$A$13:$A$64,0)),0))</f>
        <v>0.00101</v>
      </c>
      <c r="GE24" s="32" t="n">
        <f aca="false">INDEX(Вводные!$D$13:$F$64,MATCH($A24,Вводные!$A$13:$A$64,0),MATCH(GE$3,Вводные!$D$11:$F$11,0))*(1+IF(GE$4=$A24,Вводные!$D$5*INDEX(Вводные!$G$13:$G$64,MATCH($A24,Вводные!$A$13:$A$64,0)),0))</f>
        <v>0.001</v>
      </c>
      <c r="GF24" s="32" t="n">
        <f aca="false">INDEX(Вводные!$D$13:$F$64,MATCH($A24,Вводные!$A$13:$A$64,0),MATCH(GF$3,Вводные!$D$11:$F$11,0))*(1+IF(GF$4=$A24,Вводные!$D$5*INDEX(Вводные!$G$13:$G$64,MATCH($A24,Вводные!$A$13:$A$64,0)),0))</f>
        <v>0.001</v>
      </c>
      <c r="GG24" s="32" t="n">
        <f aca="false">INDEX(Вводные!$D$13:$F$64,MATCH($A24,Вводные!$A$13:$A$64,0),MATCH(GG$3,Вводные!$D$11:$F$11,0))*(1+IF(GG$4=$A24,Вводные!$D$5*INDEX(Вводные!$G$13:$G$64,MATCH($A24,Вводные!$A$13:$A$64,0)),0))</f>
        <v>0.001</v>
      </c>
      <c r="GH24" s="32" t="n">
        <f aca="false">INDEX(Вводные!$D$13:$F$64,MATCH($A24,Вводные!$A$13:$A$64,0),MATCH(GH$3,Вводные!$D$11:$F$11,0))*(1+IF(GH$4=$A24,Вводные!$D$5*INDEX(Вводные!$G$13:$G$64,MATCH($A24,Вводные!$A$13:$A$64,0)),0))</f>
        <v>0.001</v>
      </c>
      <c r="GI24" s="32" t="n">
        <f aca="false">INDEX(Вводные!$D$13:$F$64,MATCH($A24,Вводные!$A$13:$A$64,0),MATCH(GI$3,Вводные!$D$11:$F$11,0))*(1+IF(GI$4=$A24,Вводные!$D$5*INDEX(Вводные!$G$13:$G$64,MATCH($A24,Вводные!$A$13:$A$64,0)),0))</f>
        <v>0.001</v>
      </c>
      <c r="GJ24" s="32" t="n">
        <f aca="false">INDEX(Вводные!$D$13:$F$64,MATCH($A24,Вводные!$A$13:$A$64,0),MATCH(GJ$3,Вводные!$D$11:$F$11,0))*(1+IF(GJ$4=$A24,Вводные!$D$5*INDEX(Вводные!$G$13:$G$64,MATCH($A24,Вводные!$A$13:$A$64,0)),0))</f>
        <v>0.001</v>
      </c>
      <c r="GK24" s="32" t="n">
        <f aca="false">INDEX(Вводные!$D$13:$F$64,MATCH($A24,Вводные!$A$13:$A$64,0),MATCH(GK$3,Вводные!$D$11:$F$11,0))*(1+IF(GK$4=$A24,Вводные!$D$5*INDEX(Вводные!$G$13:$G$64,MATCH($A24,Вводные!$A$13:$A$64,0)),0))</f>
        <v>0.001</v>
      </c>
      <c r="GL24" s="32" t="n">
        <f aca="false">INDEX(Вводные!$D$13:$F$64,MATCH($A24,Вводные!$A$13:$A$64,0),MATCH(GL$3,Вводные!$D$11:$F$11,0))*(1+IF(GL$4=$A24,Вводные!$D$5*INDEX(Вводные!$G$13:$G$64,MATCH($A24,Вводные!$A$13:$A$64,0)),0))</f>
        <v>0.001</v>
      </c>
      <c r="GM24" s="32" t="n">
        <f aca="false">INDEX(Вводные!$D$13:$F$64,MATCH($A24,Вводные!$A$13:$A$64,0),MATCH(GM$3,Вводные!$D$11:$F$11,0))*(1+IF(GM$4=$A24,Вводные!$D$5*INDEX(Вводные!$G$13:$G$64,MATCH($A24,Вводные!$A$13:$A$64,0)),0))</f>
        <v>0.001</v>
      </c>
      <c r="GN24" s="32" t="n">
        <f aca="false">INDEX(Вводные!$D$13:$F$64,MATCH($A24,Вводные!$A$13:$A$64,0),MATCH(GN$3,Вводные!$D$11:$F$11,0))*(1+IF(GN$4=$A24,Вводные!$D$5*INDEX(Вводные!$G$13:$G$64,MATCH($A24,Вводные!$A$13:$A$64,0)),0))</f>
        <v>0.001</v>
      </c>
      <c r="GO24" s="32" t="n">
        <f aca="false">INDEX(Вводные!$D$13:$F$64,MATCH($A24,Вводные!$A$13:$A$64,0),MATCH(GO$3,Вводные!$D$11:$F$11,0))*(1+IF(GO$4=$A24,Вводные!$D$5*INDEX(Вводные!$G$13:$G$64,MATCH($A24,Вводные!$A$13:$A$64,0)),0))</f>
        <v>0.001</v>
      </c>
      <c r="GP24" s="32" t="n">
        <f aca="false">INDEX(Вводные!$D$13:$F$64,MATCH($A24,Вводные!$A$13:$A$64,0),MATCH(GP$3,Вводные!$D$11:$F$11,0))*(1+IF(GP$4=$A24,Вводные!$D$5*INDEX(Вводные!$G$13:$G$64,MATCH($A24,Вводные!$A$13:$A$64,0)),0))</f>
        <v>0.001</v>
      </c>
      <c r="GQ24" s="32" t="n">
        <f aca="false">INDEX(Вводные!$D$13:$F$64,MATCH($A24,Вводные!$A$13:$A$64,0),MATCH(GQ$3,Вводные!$D$11:$F$11,0))*(1+IF(GQ$4=$A24,Вводные!$D$5*INDEX(Вводные!$G$13:$G$64,MATCH($A24,Вводные!$A$13:$A$64,0)),0))</f>
        <v>0.001</v>
      </c>
      <c r="GR24" s="32" t="n">
        <f aca="false">INDEX(Вводные!$D$13:$F$64,MATCH($A24,Вводные!$A$13:$A$64,0),MATCH(GR$3,Вводные!$D$11:$F$11,0))*(1+IF(GR$4=$A24,Вводные!$D$5*INDEX(Вводные!$G$13:$G$64,MATCH($A24,Вводные!$A$13:$A$64,0)),0))</f>
        <v>0.001</v>
      </c>
      <c r="GS24" s="32" t="n">
        <f aca="false">INDEX(Вводные!$D$13:$F$64,MATCH($A24,Вводные!$A$13:$A$64,0),MATCH(GS$3,Вводные!$D$11:$F$11,0))*(1+IF(GS$4=$A24,Вводные!$D$5*INDEX(Вводные!$G$13:$G$64,MATCH($A24,Вводные!$A$13:$A$64,0)),0))</f>
        <v>0.001</v>
      </c>
      <c r="GT24" s="32" t="n">
        <f aca="false">INDEX(Вводные!$D$13:$F$64,MATCH($A24,Вводные!$A$13:$A$64,0),MATCH(GT$3,Вводные!$D$11:$F$11,0))*(1+IF(GT$4=$A24,Вводные!$D$5*INDEX(Вводные!$G$13:$G$64,MATCH($A24,Вводные!$A$13:$A$64,0)),0))</f>
        <v>0.001</v>
      </c>
      <c r="GU24" s="32" t="n">
        <f aca="false">INDEX(Вводные!$D$13:$F$64,MATCH($A24,Вводные!$A$13:$A$64,0),MATCH(GU$3,Вводные!$D$11:$F$11,0))*(1+IF(GU$4=$A24,Вводные!$D$5*INDEX(Вводные!$G$13:$G$64,MATCH($A24,Вводные!$A$13:$A$64,0)),0))</f>
        <v>0.001</v>
      </c>
      <c r="GV24" s="32" t="n">
        <f aca="false">INDEX(Вводные!$D$13:$F$64,MATCH($A24,Вводные!$A$13:$A$64,0),MATCH(GV$3,Вводные!$D$11:$F$11,0))*(1+IF(GV$4=$A24,Вводные!$D$5*INDEX(Вводные!$G$13:$G$64,MATCH($A24,Вводные!$A$13:$A$64,0)),0))</f>
        <v>0.001</v>
      </c>
      <c r="GW24" s="32" t="n">
        <f aca="false">INDEX(Вводные!$D$13:$F$64,MATCH($A24,Вводные!$A$13:$A$64,0),MATCH(GW$3,Вводные!$D$11:$F$11,0))*(1+IF(GW$4=$A24,Вводные!$D$5*INDEX(Вводные!$G$13:$G$64,MATCH($A24,Вводные!$A$13:$A$64,0)),0))</f>
        <v>0.001</v>
      </c>
      <c r="GX24" s="32" t="n">
        <f aca="false">INDEX(Вводные!$D$13:$F$64,MATCH($A24,Вводные!$A$13:$A$64,0),MATCH(GX$3,Вводные!$D$11:$F$11,0))*(1+IF(GX$4=$A24,Вводные!$D$5*INDEX(Вводные!$G$13:$G$64,MATCH($A24,Вводные!$A$13:$A$64,0)),0))</f>
        <v>0.001</v>
      </c>
      <c r="GY24" s="32" t="n">
        <f aca="false">INDEX(Вводные!$D$13:$F$64,MATCH($A24,Вводные!$A$13:$A$64,0),MATCH(GY$3,Вводные!$D$11:$F$11,0))*(1+IF(GY$4=$A24,Вводные!$D$5*INDEX(Вводные!$G$13:$G$64,MATCH($A24,Вводные!$A$13:$A$64,0)),0))</f>
        <v>0.001</v>
      </c>
      <c r="GZ24" s="32" t="n">
        <f aca="false">INDEX(Вводные!$D$13:$F$64,MATCH($A24,Вводные!$A$13:$A$64,0),MATCH(GZ$3,Вводные!$D$11:$F$11,0))*(1+IF(GZ$4=$A24,Вводные!$D$5*INDEX(Вводные!$G$13:$G$64,MATCH($A24,Вводные!$A$13:$A$64,0)),0))</f>
        <v>0.001</v>
      </c>
      <c r="HA24" s="32" t="n">
        <f aca="false">INDEX(Вводные!$D$13:$F$64,MATCH($A24,Вводные!$A$13:$A$64,0),MATCH(HA$3,Вводные!$D$11:$F$11,0))*(1+IF(HA$4=$A24,Вводные!$D$5*INDEX(Вводные!$G$13:$G$64,MATCH($A24,Вводные!$A$13:$A$64,0)),0))</f>
        <v>0.001</v>
      </c>
      <c r="HB24" s="32" t="n">
        <f aca="false">INDEX(Вводные!$D$13:$F$64,MATCH($A24,Вводные!$A$13:$A$64,0),MATCH(HB$3,Вводные!$D$11:$F$11,0))*(1+IF(HB$4=$A24,Вводные!$D$5*INDEX(Вводные!$G$13:$G$64,MATCH($A24,Вводные!$A$13:$A$64,0)),0))</f>
        <v>0.001</v>
      </c>
      <c r="HC24" s="32" t="n">
        <f aca="false">INDEX(Вводные!$D$13:$F$64,MATCH($A24,Вводные!$A$13:$A$64,0),MATCH(HC$3,Вводные!$D$11:$F$11,0))*(1+IF(HC$4=$A24,Вводные!$D$5*INDEX(Вводные!$G$13:$G$64,MATCH($A24,Вводные!$A$13:$A$64,0)),0))</f>
        <v>0.001</v>
      </c>
      <c r="HD24" s="32" t="n">
        <f aca="false">INDEX(Вводные!$D$13:$F$64,MATCH($A24,Вводные!$A$13:$A$64,0),MATCH(HD$3,Вводные!$D$11:$F$11,0))*(1+IF(HD$4=$A24,Вводные!$D$5*INDEX(Вводные!$G$13:$G$64,MATCH($A24,Вводные!$A$13:$A$64,0)),0))</f>
        <v>0.001</v>
      </c>
      <c r="HE24" s="32" t="n">
        <f aca="false">INDEX(Вводные!$D$13:$F$64,MATCH($A24,Вводные!$A$13:$A$64,0),MATCH(HE$3,Вводные!$D$11:$F$11,0))*(1+IF(HE$4=$A24,Вводные!$D$5*INDEX(Вводные!$G$13:$G$64,MATCH($A24,Вводные!$A$13:$A$64,0)),0))</f>
        <v>0.001</v>
      </c>
      <c r="HF24" s="32" t="n">
        <f aca="false">INDEX(Вводные!$D$13:$F$64,MATCH($A24,Вводные!$A$13:$A$64,0),MATCH(HF$3,Вводные!$D$11:$F$11,0))*(1+IF(HF$4=$A24,Вводные!$D$5*INDEX(Вводные!$G$13:$G$64,MATCH($A24,Вводные!$A$13:$A$64,0)),0))</f>
        <v>0.001</v>
      </c>
      <c r="HG24" s="32" t="n">
        <f aca="false">INDEX(Вводные!$D$13:$F$64,MATCH($A24,Вводные!$A$13:$A$64,0),MATCH(HG$3,Вводные!$D$11:$F$11,0))*(1+IF(HG$4=$A24,Вводные!$D$5*INDEX(Вводные!$G$13:$G$64,MATCH($A24,Вводные!$A$13:$A$64,0)),0))</f>
        <v>0.001</v>
      </c>
      <c r="HH24" s="32" t="n">
        <f aca="false">INDEX(Вводные!$D$13:$F$64,MATCH($A24,Вводные!$A$13:$A$64,0),MATCH(HH$3,Вводные!$D$11:$F$11,0))*(1+IF(HH$4=$A24,Вводные!$D$5*INDEX(Вводные!$G$13:$G$64,MATCH($A24,Вводные!$A$13:$A$64,0)),0))</f>
        <v>0.001</v>
      </c>
      <c r="HI24" s="32" t="n">
        <f aca="false">INDEX(Вводные!$D$13:$F$64,MATCH($A24,Вводные!$A$13:$A$64,0),MATCH(HI$3,Вводные!$D$11:$F$11,0))*(1+IF(HI$4=$A24,Вводные!$D$5*INDEX(Вводные!$G$13:$G$64,MATCH($A24,Вводные!$A$13:$A$64,0)),0))</f>
        <v>0.001</v>
      </c>
      <c r="HJ24" s="32" t="n">
        <f aca="false">INDEX(Вводные!$D$13:$F$64,MATCH($A24,Вводные!$A$13:$A$64,0),MATCH(HJ$3,Вводные!$D$11:$F$11,0))*(1+IF(HJ$4=$A24,Вводные!$D$5*INDEX(Вводные!$G$13:$G$64,MATCH($A24,Вводные!$A$13:$A$64,0)),0))</f>
        <v>0.001</v>
      </c>
      <c r="HK24" s="32" t="n">
        <f aca="false">INDEX(Вводные!$D$13:$F$64,MATCH($A24,Вводные!$A$13:$A$64,0),MATCH(HK$3,Вводные!$D$11:$F$11,0))*(1+IF(HK$4=$A24,Вводные!$D$5*INDEX(Вводные!$G$13:$G$64,MATCH($A24,Вводные!$A$13:$A$64,0)),0))</f>
        <v>0.001</v>
      </c>
      <c r="HL24" s="32" t="n">
        <f aca="false">INDEX(Вводные!$D$13:$F$64,MATCH($A24,Вводные!$A$13:$A$64,0),MATCH(HL$3,Вводные!$D$11:$F$11,0))*(1+IF(HL$4=$A24,Вводные!$D$5*INDEX(Вводные!$G$13:$G$64,MATCH($A24,Вводные!$A$13:$A$64,0)),0))</f>
        <v>0.0002</v>
      </c>
      <c r="HM24" s="32" t="n">
        <f aca="false">INDEX(Вводные!$D$13:$F$64,MATCH($A24,Вводные!$A$13:$A$64,0),MATCH(HM$3,Вводные!$D$11:$F$11,0))*(1+IF(HM$4=$A24,Вводные!$D$5*INDEX(Вводные!$G$13:$G$64,MATCH($A24,Вводные!$A$13:$A$64,0)),0))</f>
        <v>0.0002</v>
      </c>
      <c r="HN24" s="32" t="n">
        <f aca="false">INDEX(Вводные!$D$13:$F$64,MATCH($A24,Вводные!$A$13:$A$64,0),MATCH(HN$3,Вводные!$D$11:$F$11,0))*(1+IF(HN$4=$A24,Вводные!$D$5*INDEX(Вводные!$G$13:$G$64,MATCH($A24,Вводные!$A$13:$A$64,0)),0))</f>
        <v>0.0002</v>
      </c>
      <c r="HO24" s="32" t="n">
        <f aca="false">INDEX(Вводные!$D$13:$F$64,MATCH($A24,Вводные!$A$13:$A$64,0),MATCH(HO$3,Вводные!$D$11:$F$11,0))*(1+IF(HO$4=$A24,Вводные!$D$5*INDEX(Вводные!$G$13:$G$64,MATCH($A24,Вводные!$A$13:$A$64,0)),0))</f>
        <v>0.0002</v>
      </c>
      <c r="HP24" s="32" t="n">
        <f aca="false">INDEX(Вводные!$D$13:$F$64,MATCH($A24,Вводные!$A$13:$A$64,0),MATCH(HP$3,Вводные!$D$11:$F$11,0))*(1+IF(HP$4=$A24,Вводные!$D$5*INDEX(Вводные!$G$13:$G$64,MATCH($A24,Вводные!$A$13:$A$64,0)),0))</f>
        <v>0.0002</v>
      </c>
      <c r="HQ24" s="32" t="n">
        <f aca="false">INDEX(Вводные!$D$13:$F$64,MATCH($A24,Вводные!$A$13:$A$64,0),MATCH(HQ$3,Вводные!$D$11:$F$11,0))*(1+IF(HQ$4=$A24,Вводные!$D$5*INDEX(Вводные!$G$13:$G$64,MATCH($A24,Вводные!$A$13:$A$64,0)),0))</f>
        <v>0.0002</v>
      </c>
      <c r="HR24" s="32" t="n">
        <f aca="false">INDEX(Вводные!$D$13:$F$64,MATCH($A24,Вводные!$A$13:$A$64,0),MATCH(HR$3,Вводные!$D$11:$F$11,0))*(1+IF(HR$4=$A24,Вводные!$D$5*INDEX(Вводные!$G$13:$G$64,MATCH($A24,Вводные!$A$13:$A$64,0)),0))</f>
        <v>0.0002</v>
      </c>
      <c r="HS24" s="32" t="n">
        <f aca="false">INDEX(Вводные!$D$13:$F$64,MATCH($A24,Вводные!$A$13:$A$64,0),MATCH(HS$3,Вводные!$D$11:$F$11,0))*(1+IF(HS$4=$A24,Вводные!$D$5*INDEX(Вводные!$G$13:$G$64,MATCH($A24,Вводные!$A$13:$A$64,0)),0))</f>
        <v>0.0002</v>
      </c>
      <c r="HT24" s="32" t="n">
        <f aca="false">INDEX(Вводные!$D$13:$F$64,MATCH($A24,Вводные!$A$13:$A$64,0),MATCH(HT$3,Вводные!$D$11:$F$11,0))*(1+IF(HT$4=$A24,Вводные!$D$5*INDEX(Вводные!$G$13:$G$64,MATCH($A24,Вводные!$A$13:$A$64,0)),0))</f>
        <v>0.000202</v>
      </c>
      <c r="HU24" s="32" t="n">
        <f aca="false">INDEX(Вводные!$D$13:$F$64,MATCH($A24,Вводные!$A$13:$A$64,0),MATCH(HU$3,Вводные!$D$11:$F$11,0))*(1+IF(HU$4=$A24,Вводные!$D$5*INDEX(Вводные!$G$13:$G$64,MATCH($A24,Вводные!$A$13:$A$64,0)),0))</f>
        <v>0.0002</v>
      </c>
      <c r="HV24" s="32" t="n">
        <f aca="false">INDEX(Вводные!$D$13:$F$64,MATCH($A24,Вводные!$A$13:$A$64,0),MATCH(HV$3,Вводные!$D$11:$F$11,0))*(1+IF(HV$4=$A24,Вводные!$D$5*INDEX(Вводные!$G$13:$G$64,MATCH($A24,Вводные!$A$13:$A$64,0)),0))</f>
        <v>0.0002</v>
      </c>
      <c r="HW24" s="32" t="n">
        <f aca="false">INDEX(Вводные!$D$13:$F$64,MATCH($A24,Вводные!$A$13:$A$64,0),MATCH(HW$3,Вводные!$D$11:$F$11,0))*(1+IF(HW$4=$A24,Вводные!$D$5*INDEX(Вводные!$G$13:$G$64,MATCH($A24,Вводные!$A$13:$A$64,0)),0))</f>
        <v>0.0002</v>
      </c>
      <c r="HX24" s="32" t="n">
        <f aca="false">INDEX(Вводные!$D$13:$F$64,MATCH($A24,Вводные!$A$13:$A$64,0),MATCH(HX$3,Вводные!$D$11:$F$11,0))*(1+IF(HX$4=$A24,Вводные!$D$5*INDEX(Вводные!$G$13:$G$64,MATCH($A24,Вводные!$A$13:$A$64,0)),0))</f>
        <v>0.0002</v>
      </c>
      <c r="HY24" s="32" t="n">
        <f aca="false">INDEX(Вводные!$D$13:$F$64,MATCH($A24,Вводные!$A$13:$A$64,0),MATCH(HY$3,Вводные!$D$11:$F$11,0))*(1+IF(HY$4=$A24,Вводные!$D$5*INDEX(Вводные!$G$13:$G$64,MATCH($A24,Вводные!$A$13:$A$64,0)),0))</f>
        <v>0.0002</v>
      </c>
      <c r="HZ24" s="32" t="n">
        <f aca="false">INDEX(Вводные!$D$13:$F$64,MATCH($A24,Вводные!$A$13:$A$64,0),MATCH(HZ$3,Вводные!$D$11:$F$11,0))*(1+IF(HZ$4=$A24,Вводные!$D$5*INDEX(Вводные!$G$13:$G$64,MATCH($A24,Вводные!$A$13:$A$64,0)),0))</f>
        <v>0.0002</v>
      </c>
      <c r="IA24" s="32" t="n">
        <f aca="false">INDEX(Вводные!$D$13:$F$64,MATCH($A24,Вводные!$A$13:$A$64,0),MATCH(IA$3,Вводные!$D$11:$F$11,0))*(1+IF(IA$4=$A24,Вводные!$D$5*INDEX(Вводные!$G$13:$G$64,MATCH($A24,Вводные!$A$13:$A$64,0)),0))</f>
        <v>0.0002</v>
      </c>
      <c r="IB24" s="32" t="n">
        <f aca="false">INDEX(Вводные!$D$13:$F$64,MATCH($A24,Вводные!$A$13:$A$64,0),MATCH(IB$3,Вводные!$D$11:$F$11,0))*(1+IF(IB$4=$A24,Вводные!$D$5*INDEX(Вводные!$G$13:$G$64,MATCH($A24,Вводные!$A$13:$A$64,0)),0))</f>
        <v>0.0002</v>
      </c>
      <c r="IC24" s="32" t="n">
        <f aca="false">INDEX(Вводные!$D$13:$F$64,MATCH($A24,Вводные!$A$13:$A$64,0),MATCH(IC$3,Вводные!$D$11:$F$11,0))*(1+IF(IC$4=$A24,Вводные!$D$5*INDEX(Вводные!$G$13:$G$64,MATCH($A24,Вводные!$A$13:$A$64,0)),0))</f>
        <v>0.0002</v>
      </c>
      <c r="ID24" s="32" t="n">
        <f aca="false">INDEX(Вводные!$D$13:$F$64,MATCH($A24,Вводные!$A$13:$A$64,0),MATCH(ID$3,Вводные!$D$11:$F$11,0))*(1+IF(ID$4=$A24,Вводные!$D$5*INDEX(Вводные!$G$13:$G$64,MATCH($A24,Вводные!$A$13:$A$64,0)),0))</f>
        <v>0.0002</v>
      </c>
      <c r="IE24" s="32" t="n">
        <f aca="false">INDEX(Вводные!$D$13:$F$64,MATCH($A24,Вводные!$A$13:$A$64,0),MATCH(IE$3,Вводные!$D$11:$F$11,0))*(1+IF(IE$4=$A24,Вводные!$D$5*INDEX(Вводные!$G$13:$G$64,MATCH($A24,Вводные!$A$13:$A$64,0)),0))</f>
        <v>0.0002</v>
      </c>
      <c r="IF24" s="32" t="n">
        <f aca="false">INDEX(Вводные!$D$13:$F$64,MATCH($A24,Вводные!$A$13:$A$64,0),MATCH(IF$3,Вводные!$D$11:$F$11,0))*(1+IF(IF$4=$A24,Вводные!$D$5*INDEX(Вводные!$G$13:$G$64,MATCH($A24,Вводные!$A$13:$A$64,0)),0))</f>
        <v>0.0002</v>
      </c>
      <c r="IG24" s="32" t="n">
        <f aca="false">INDEX(Вводные!$D$13:$F$64,MATCH($A24,Вводные!$A$13:$A$64,0),MATCH(IG$3,Вводные!$D$11:$F$11,0))*(1+IF(IG$4=$A24,Вводные!$D$5*INDEX(Вводные!$G$13:$G$64,MATCH($A24,Вводные!$A$13:$A$64,0)),0))</f>
        <v>0.0002</v>
      </c>
      <c r="IH24" s="32" t="n">
        <f aca="false">INDEX(Вводные!$D$13:$F$64,MATCH($A24,Вводные!$A$13:$A$64,0),MATCH(IH$3,Вводные!$D$11:$F$11,0))*(1+IF(IH$4=$A24,Вводные!$D$5*INDEX(Вводные!$G$13:$G$64,MATCH($A24,Вводные!$A$13:$A$64,0)),0))</f>
        <v>0.0002</v>
      </c>
      <c r="II24" s="32" t="n">
        <f aca="false">INDEX(Вводные!$D$13:$F$64,MATCH($A24,Вводные!$A$13:$A$64,0),MATCH(II$3,Вводные!$D$11:$F$11,0))*(1+IF(II$4=$A24,Вводные!$D$5*INDEX(Вводные!$G$13:$G$64,MATCH($A24,Вводные!$A$13:$A$64,0)),0))</f>
        <v>0.0002</v>
      </c>
      <c r="IJ24" s="32" t="n">
        <f aca="false">INDEX(Вводные!$D$13:$F$64,MATCH($A24,Вводные!$A$13:$A$64,0),MATCH(IJ$3,Вводные!$D$11:$F$11,0))*(1+IF(IJ$4=$A24,Вводные!$D$5*INDEX(Вводные!$G$13:$G$64,MATCH($A24,Вводные!$A$13:$A$64,0)),0))</f>
        <v>0.0002</v>
      </c>
      <c r="IK24" s="32" t="n">
        <f aca="false">INDEX(Вводные!$D$13:$F$64,MATCH($A24,Вводные!$A$13:$A$64,0),MATCH(IK$3,Вводные!$D$11:$F$11,0))*(1+IF(IK$4=$A24,Вводные!$D$5*INDEX(Вводные!$G$13:$G$64,MATCH($A24,Вводные!$A$13:$A$64,0)),0))</f>
        <v>0.0002</v>
      </c>
      <c r="IL24" s="32" t="n">
        <f aca="false">INDEX(Вводные!$D$13:$F$64,MATCH($A24,Вводные!$A$13:$A$64,0),MATCH(IL$3,Вводные!$D$11:$F$11,0))*(1+IF(IL$4=$A24,Вводные!$D$5*INDEX(Вводные!$G$13:$G$64,MATCH($A24,Вводные!$A$13:$A$64,0)),0))</f>
        <v>0.0002</v>
      </c>
      <c r="IM24" s="32" t="n">
        <f aca="false">INDEX(Вводные!$D$13:$F$64,MATCH($A24,Вводные!$A$13:$A$64,0),MATCH(IM$3,Вводные!$D$11:$F$11,0))*(1+IF(IM$4=$A24,Вводные!$D$5*INDEX(Вводные!$G$13:$G$64,MATCH($A24,Вводные!$A$13:$A$64,0)),0))</f>
        <v>0.0002</v>
      </c>
      <c r="IN24" s="32" t="n">
        <f aca="false">INDEX(Вводные!$D$13:$F$64,MATCH($A24,Вводные!$A$13:$A$64,0),MATCH(IN$3,Вводные!$D$11:$F$11,0))*(1+IF(IN$4=$A24,Вводные!$D$5*INDEX(Вводные!$G$13:$G$64,MATCH($A24,Вводные!$A$13:$A$64,0)),0))</f>
        <v>0.0002</v>
      </c>
      <c r="IO24" s="32" t="n">
        <f aca="false">INDEX(Вводные!$D$13:$F$64,MATCH($A24,Вводные!$A$13:$A$64,0),MATCH(IO$3,Вводные!$D$11:$F$11,0))*(1+IF(IO$4=$A24,Вводные!$D$5*INDEX(Вводные!$G$13:$G$64,MATCH($A24,Вводные!$A$13:$A$64,0)),0))</f>
        <v>0.0002</v>
      </c>
      <c r="IP24" s="32" t="n">
        <f aca="false">INDEX(Вводные!$D$13:$F$64,MATCH($A24,Вводные!$A$13:$A$64,0),MATCH(IP$3,Вводные!$D$11:$F$11,0))*(1+IF(IP$4=$A24,Вводные!$D$5*INDEX(Вводные!$G$13:$G$64,MATCH($A24,Вводные!$A$13:$A$64,0)),0))</f>
        <v>0.0002</v>
      </c>
      <c r="IQ24" s="32" t="n">
        <f aca="false">INDEX(Вводные!$D$13:$F$64,MATCH($A24,Вводные!$A$13:$A$64,0),MATCH(IQ$3,Вводные!$D$11:$F$11,0))*(1+IF(IQ$4=$A24,Вводные!$D$5*INDEX(Вводные!$G$13:$G$64,MATCH($A24,Вводные!$A$13:$A$64,0)),0))</f>
        <v>0.0002</v>
      </c>
      <c r="IR24" s="32" t="n">
        <f aca="false">INDEX(Вводные!$D$13:$F$64,MATCH($A24,Вводные!$A$13:$A$64,0),MATCH(IR$3,Вводные!$D$11:$F$11,0))*(1+IF(IR$4=$A24,Вводные!$D$5*INDEX(Вводные!$G$13:$G$64,MATCH($A24,Вводные!$A$13:$A$64,0)),0))</f>
        <v>0.0002</v>
      </c>
      <c r="IS24" s="32" t="n">
        <f aca="false">INDEX(Вводные!$D$13:$F$64,MATCH($A24,Вводные!$A$13:$A$64,0),MATCH(IS$3,Вводные!$D$11:$F$11,0))*(1+IF(IS$4=$A24,Вводные!$D$5*INDEX(Вводные!$G$13:$G$64,MATCH($A24,Вводные!$A$13:$A$64,0)),0))</f>
        <v>0.0002</v>
      </c>
      <c r="IT24" s="32" t="n">
        <f aca="false">INDEX(Вводные!$D$13:$F$64,MATCH($A24,Вводные!$A$13:$A$64,0),MATCH(IT$3,Вводные!$D$11:$F$11,0))*(1+IF(IT$4=$A24,Вводные!$D$5*INDEX(Вводные!$G$13:$G$64,MATCH($A24,Вводные!$A$13:$A$64,0)),0))</f>
        <v>0.0002</v>
      </c>
      <c r="IU24" s="32" t="n">
        <f aca="false">INDEX(Вводные!$D$13:$F$64,MATCH($A24,Вводные!$A$13:$A$64,0),MATCH(IU$3,Вводные!$D$11:$F$11,0))*(1+IF(IU$4=$A24,Вводные!$D$5*INDEX(Вводные!$G$13:$G$64,MATCH($A24,Вводные!$A$13:$A$64,0)),0))</f>
        <v>0.0002</v>
      </c>
      <c r="IV24" s="32" t="n">
        <f aca="false">INDEX(Вводные!$D$13:$F$64,MATCH($A24,Вводные!$A$13:$A$64,0),MATCH(IV$3,Вводные!$D$11:$F$11,0))*(1+IF(IV$4=$A24,Вводные!$D$5*INDEX(Вводные!$G$13:$G$64,MATCH($A24,Вводные!$A$13:$A$64,0)),0))</f>
        <v>0.0002</v>
      </c>
      <c r="IW24" s="32" t="n">
        <f aca="false">INDEX(Вводные!$D$13:$F$64,MATCH($A24,Вводные!$A$13:$A$64,0),MATCH(IW$3,Вводные!$D$11:$F$11,0))*(1+IF(IW$4=$A24,Вводные!$D$5*INDEX(Вводные!$G$13:$G$64,MATCH($A24,Вводные!$A$13:$A$64,0)),0))</f>
        <v>0.0002</v>
      </c>
      <c r="IX24" s="32" t="n">
        <f aca="false">INDEX(Вводные!$D$13:$F$64,MATCH($A24,Вводные!$A$13:$A$64,0),MATCH(IX$3,Вводные!$D$11:$F$11,0))*(1+IF(IX$4=$A24,Вводные!$D$5*INDEX(Вводные!$G$13:$G$64,MATCH($A24,Вводные!$A$13:$A$64,0)),0))</f>
        <v>0.0002</v>
      </c>
      <c r="IY24" s="32" t="n">
        <f aca="false">INDEX(Вводные!$D$13:$F$64,MATCH($A24,Вводные!$A$13:$A$64,0),MATCH(IY$3,Вводные!$D$11:$F$11,0))*(1+IF(IY$4=$A24,Вводные!$D$5*INDEX(Вводные!$G$13:$G$64,MATCH($A24,Вводные!$A$13:$A$64,0)),0))</f>
        <v>0.0002</v>
      </c>
      <c r="IZ24" s="32" t="n">
        <f aca="false">INDEX(Вводные!$D$13:$F$64,MATCH($A24,Вводные!$A$13:$A$64,0),MATCH(IZ$3,Вводные!$D$11:$F$11,0))*(1+IF(IZ$4=$A24,Вводные!$D$5*INDEX(Вводные!$G$13:$G$64,MATCH($A24,Вводные!$A$13:$A$64,0)),0))</f>
        <v>0.0002</v>
      </c>
      <c r="JA24" s="32" t="n">
        <f aca="false">INDEX(Вводные!$D$13:$F$64,MATCH($A24,Вводные!$A$13:$A$64,0),MATCH(JA$3,Вводные!$D$11:$F$11,0))*(1+IF(JA$4=$A24,Вводные!$D$5*INDEX(Вводные!$G$13:$G$64,MATCH($A24,Вводные!$A$13:$A$64,0)),0))</f>
        <v>0.0002</v>
      </c>
    </row>
    <row r="25" customFormat="false" ht="15" hidden="false" customHeight="false" outlineLevel="0" collapsed="false">
      <c r="A25" s="13" t="s">
        <v>196</v>
      </c>
      <c r="B25" s="13" t="s">
        <v>197</v>
      </c>
      <c r="C25" s="13" t="s">
        <v>194</v>
      </c>
      <c r="D25" s="9" t="s">
        <v>36</v>
      </c>
      <c r="E25" s="32" t="n">
        <f aca="false">INDEX(Вводные!$D$13:$F$64,MATCH($A25,Вводные!$A$13:$A$64,0),MATCH(E$3,Вводные!$D$11:$F$11,0))*(1+IF(E$4=$A25,Вводные!$D$5*INDEX(Вводные!$G$13:$G$64,MATCH($A25,Вводные!$A$13:$A$64,0)),0))</f>
        <v>0.0003</v>
      </c>
      <c r="F25" s="32" t="n">
        <f aca="false">INDEX(Вводные!$D$13:$F$64,MATCH($A25,Вводные!$A$13:$A$64,0),MATCH(F$3,Вводные!$D$11:$F$11,0))*(1+IF(F$4=$A25,Вводные!$D$5*INDEX(Вводные!$G$13:$G$64,MATCH($A25,Вводные!$A$13:$A$64,0)),0))</f>
        <v>0.0002</v>
      </c>
      <c r="G25" s="32" t="n">
        <f aca="false">INDEX(Вводные!$D$13:$F$64,MATCH($A25,Вводные!$A$13:$A$64,0),MATCH(G$3,Вводные!$D$11:$F$11,0))*(1+IF(G$4=$A25,Вводные!$D$5*INDEX(Вводные!$G$13:$G$64,MATCH($A25,Вводные!$A$13:$A$64,0)),0))</f>
        <v>8E-005</v>
      </c>
      <c r="H25" s="60"/>
      <c r="J25" s="32" t="n">
        <f aca="false">INDEX(Вводные!$D$13:$F$64,MATCH($A25,Вводные!$A$13:$A$64,0),MATCH(J$3,Вводные!$D$11:$F$11,0))*(1+IF(J$4=$A25,Вводные!$D$5*INDEX(Вводные!$G$13:$G$64,MATCH($A25,Вводные!$A$13:$A$64,0)),0))</f>
        <v>0.0003</v>
      </c>
      <c r="K25" s="32" t="n">
        <f aca="false">INDEX(Вводные!$D$13:$F$64,MATCH($A25,Вводные!$A$13:$A$64,0),MATCH(K$3,Вводные!$D$11:$F$11,0))*(1+IF(K$4=$A25,Вводные!$D$5*INDEX(Вводные!$G$13:$G$64,MATCH($A25,Вводные!$A$13:$A$64,0)),0))</f>
        <v>0.0003</v>
      </c>
      <c r="L25" s="32" t="n">
        <f aca="false">INDEX(Вводные!$D$13:$F$64,MATCH($A25,Вводные!$A$13:$A$64,0),MATCH(L$3,Вводные!$D$11:$F$11,0))*(1+IF(L$4=$A25,Вводные!$D$5*INDEX(Вводные!$G$13:$G$64,MATCH($A25,Вводные!$A$13:$A$64,0)),0))</f>
        <v>0.0003</v>
      </c>
      <c r="M25" s="32" t="n">
        <f aca="false">INDEX(Вводные!$D$13:$F$64,MATCH($A25,Вводные!$A$13:$A$64,0),MATCH(M$3,Вводные!$D$11:$F$11,0))*(1+IF(M$4=$A25,Вводные!$D$5*INDEX(Вводные!$G$13:$G$64,MATCH($A25,Вводные!$A$13:$A$64,0)),0))</f>
        <v>0.0003</v>
      </c>
      <c r="N25" s="32" t="n">
        <f aca="false">INDEX(Вводные!$D$13:$F$64,MATCH($A25,Вводные!$A$13:$A$64,0),MATCH(N$3,Вводные!$D$11:$F$11,0))*(1+IF(N$4=$A25,Вводные!$D$5*INDEX(Вводные!$G$13:$G$64,MATCH($A25,Вводные!$A$13:$A$64,0)),0))</f>
        <v>0.0003</v>
      </c>
      <c r="O25" s="32" t="n">
        <f aca="false">INDEX(Вводные!$D$13:$F$64,MATCH($A25,Вводные!$A$13:$A$64,0),MATCH(O$3,Вводные!$D$11:$F$11,0))*(1+IF(O$4=$A25,Вводные!$D$5*INDEX(Вводные!$G$13:$G$64,MATCH($A25,Вводные!$A$13:$A$64,0)),0))</f>
        <v>0.0003</v>
      </c>
      <c r="P25" s="32" t="n">
        <f aca="false">INDEX(Вводные!$D$13:$F$64,MATCH($A25,Вводные!$A$13:$A$64,0),MATCH(P$3,Вводные!$D$11:$F$11,0))*(1+IF(P$4=$A25,Вводные!$D$5*INDEX(Вводные!$G$13:$G$64,MATCH($A25,Вводные!$A$13:$A$64,0)),0))</f>
        <v>0.0003</v>
      </c>
      <c r="Q25" s="32" t="n">
        <f aca="false">INDEX(Вводные!$D$13:$F$64,MATCH($A25,Вводные!$A$13:$A$64,0),MATCH(Q$3,Вводные!$D$11:$F$11,0))*(1+IF(Q$4=$A25,Вводные!$D$5*INDEX(Вводные!$G$13:$G$64,MATCH($A25,Вводные!$A$13:$A$64,0)),0))</f>
        <v>0.0003</v>
      </c>
      <c r="R25" s="32" t="n">
        <f aca="false">INDEX(Вводные!$D$13:$F$64,MATCH($A25,Вводные!$A$13:$A$64,0),MATCH(R$3,Вводные!$D$11:$F$11,0))*(1+IF(R$4=$A25,Вводные!$D$5*INDEX(Вводные!$G$13:$G$64,MATCH($A25,Вводные!$A$13:$A$64,0)),0))</f>
        <v>0.0003</v>
      </c>
      <c r="S25" s="32" t="n">
        <f aca="false">INDEX(Вводные!$D$13:$F$64,MATCH($A25,Вводные!$A$13:$A$64,0),MATCH(S$3,Вводные!$D$11:$F$11,0))*(1+IF(S$4=$A25,Вводные!$D$5*INDEX(Вводные!$G$13:$G$64,MATCH($A25,Вводные!$A$13:$A$64,0)),0))</f>
        <v>0.000297</v>
      </c>
      <c r="T25" s="32" t="n">
        <f aca="false">INDEX(Вводные!$D$13:$F$64,MATCH($A25,Вводные!$A$13:$A$64,0),MATCH(T$3,Вводные!$D$11:$F$11,0))*(1+IF(T$4=$A25,Вводные!$D$5*INDEX(Вводные!$G$13:$G$64,MATCH($A25,Вводные!$A$13:$A$64,0)),0))</f>
        <v>0.0003</v>
      </c>
      <c r="U25" s="32" t="n">
        <f aca="false">INDEX(Вводные!$D$13:$F$64,MATCH($A25,Вводные!$A$13:$A$64,0),MATCH(U$3,Вводные!$D$11:$F$11,0))*(1+IF(U$4=$A25,Вводные!$D$5*INDEX(Вводные!$G$13:$G$64,MATCH($A25,Вводные!$A$13:$A$64,0)),0))</f>
        <v>0.0003</v>
      </c>
      <c r="V25" s="32" t="n">
        <f aca="false">INDEX(Вводные!$D$13:$F$64,MATCH($A25,Вводные!$A$13:$A$64,0),MATCH(V$3,Вводные!$D$11:$F$11,0))*(1+IF(V$4=$A25,Вводные!$D$5*INDEX(Вводные!$G$13:$G$64,MATCH($A25,Вводные!$A$13:$A$64,0)),0))</f>
        <v>0.0003</v>
      </c>
      <c r="W25" s="32" t="n">
        <f aca="false">INDEX(Вводные!$D$13:$F$64,MATCH($A25,Вводные!$A$13:$A$64,0),MATCH(W$3,Вводные!$D$11:$F$11,0))*(1+IF(W$4=$A25,Вводные!$D$5*INDEX(Вводные!$G$13:$G$64,MATCH($A25,Вводные!$A$13:$A$64,0)),0))</f>
        <v>0.0003</v>
      </c>
      <c r="X25" s="32" t="n">
        <f aca="false">INDEX(Вводные!$D$13:$F$64,MATCH($A25,Вводные!$A$13:$A$64,0),MATCH(X$3,Вводные!$D$11:$F$11,0))*(1+IF(X$4=$A25,Вводные!$D$5*INDEX(Вводные!$G$13:$G$64,MATCH($A25,Вводные!$A$13:$A$64,0)),0))</f>
        <v>0.0003</v>
      </c>
      <c r="Y25" s="32" t="n">
        <f aca="false">INDEX(Вводные!$D$13:$F$64,MATCH($A25,Вводные!$A$13:$A$64,0),MATCH(Y$3,Вводные!$D$11:$F$11,0))*(1+IF(Y$4=$A25,Вводные!$D$5*INDEX(Вводные!$G$13:$G$64,MATCH($A25,Вводные!$A$13:$A$64,0)),0))</f>
        <v>0.0003</v>
      </c>
      <c r="Z25" s="32" t="n">
        <f aca="false">INDEX(Вводные!$D$13:$F$64,MATCH($A25,Вводные!$A$13:$A$64,0),MATCH(Z$3,Вводные!$D$11:$F$11,0))*(1+IF(Z$4=$A25,Вводные!$D$5*INDEX(Вводные!$G$13:$G$64,MATCH($A25,Вводные!$A$13:$A$64,0)),0))</f>
        <v>0.0003</v>
      </c>
      <c r="AA25" s="32" t="n">
        <f aca="false">INDEX(Вводные!$D$13:$F$64,MATCH($A25,Вводные!$A$13:$A$64,0),MATCH(AA$3,Вводные!$D$11:$F$11,0))*(1+IF(AA$4=$A25,Вводные!$D$5*INDEX(Вводные!$G$13:$G$64,MATCH($A25,Вводные!$A$13:$A$64,0)),0))</f>
        <v>0.0003</v>
      </c>
      <c r="AB25" s="32" t="n">
        <f aca="false">INDEX(Вводные!$D$13:$F$64,MATCH($A25,Вводные!$A$13:$A$64,0),MATCH(AB$3,Вводные!$D$11:$F$11,0))*(1+IF(AB$4=$A25,Вводные!$D$5*INDEX(Вводные!$G$13:$G$64,MATCH($A25,Вводные!$A$13:$A$64,0)),0))</f>
        <v>0.0003</v>
      </c>
      <c r="AC25" s="32" t="n">
        <f aca="false">INDEX(Вводные!$D$13:$F$64,MATCH($A25,Вводные!$A$13:$A$64,0),MATCH(AC$3,Вводные!$D$11:$F$11,0))*(1+IF(AC$4=$A25,Вводные!$D$5*INDEX(Вводные!$G$13:$G$64,MATCH($A25,Вводные!$A$13:$A$64,0)),0))</f>
        <v>0.0003</v>
      </c>
      <c r="AD25" s="32" t="n">
        <f aca="false">INDEX(Вводные!$D$13:$F$64,MATCH($A25,Вводные!$A$13:$A$64,0),MATCH(AD$3,Вводные!$D$11:$F$11,0))*(1+IF(AD$4=$A25,Вводные!$D$5*INDEX(Вводные!$G$13:$G$64,MATCH($A25,Вводные!$A$13:$A$64,0)),0))</f>
        <v>0.0003</v>
      </c>
      <c r="AE25" s="32" t="n">
        <f aca="false">INDEX(Вводные!$D$13:$F$64,MATCH($A25,Вводные!$A$13:$A$64,0),MATCH(AE$3,Вводные!$D$11:$F$11,0))*(1+IF(AE$4=$A25,Вводные!$D$5*INDEX(Вводные!$G$13:$G$64,MATCH($A25,Вводные!$A$13:$A$64,0)),0))</f>
        <v>0.0003</v>
      </c>
      <c r="AF25" s="32" t="n">
        <f aca="false">INDEX(Вводные!$D$13:$F$64,MATCH($A25,Вводные!$A$13:$A$64,0),MATCH(AF$3,Вводные!$D$11:$F$11,0))*(1+IF(AF$4=$A25,Вводные!$D$5*INDEX(Вводные!$G$13:$G$64,MATCH($A25,Вводные!$A$13:$A$64,0)),0))</f>
        <v>0.0003</v>
      </c>
      <c r="AG25" s="32" t="n">
        <f aca="false">INDEX(Вводные!$D$13:$F$64,MATCH($A25,Вводные!$A$13:$A$64,0),MATCH(AG$3,Вводные!$D$11:$F$11,0))*(1+IF(AG$4=$A25,Вводные!$D$5*INDEX(Вводные!$G$13:$G$64,MATCH($A25,Вводные!$A$13:$A$64,0)),0))</f>
        <v>0.0003</v>
      </c>
      <c r="AH25" s="32" t="n">
        <f aca="false">INDEX(Вводные!$D$13:$F$64,MATCH($A25,Вводные!$A$13:$A$64,0),MATCH(AH$3,Вводные!$D$11:$F$11,0))*(1+IF(AH$4=$A25,Вводные!$D$5*INDEX(Вводные!$G$13:$G$64,MATCH($A25,Вводные!$A$13:$A$64,0)),0))</f>
        <v>0.0003</v>
      </c>
      <c r="AI25" s="32" t="n">
        <f aca="false">INDEX(Вводные!$D$13:$F$64,MATCH($A25,Вводные!$A$13:$A$64,0),MATCH(AI$3,Вводные!$D$11:$F$11,0))*(1+IF(AI$4=$A25,Вводные!$D$5*INDEX(Вводные!$G$13:$G$64,MATCH($A25,Вводные!$A$13:$A$64,0)),0))</f>
        <v>0.0003</v>
      </c>
      <c r="AJ25" s="32" t="n">
        <f aca="false">INDEX(Вводные!$D$13:$F$64,MATCH($A25,Вводные!$A$13:$A$64,0),MATCH(AJ$3,Вводные!$D$11:$F$11,0))*(1+IF(AJ$4=$A25,Вводные!$D$5*INDEX(Вводные!$G$13:$G$64,MATCH($A25,Вводные!$A$13:$A$64,0)),0))</f>
        <v>0.0003</v>
      </c>
      <c r="AK25" s="32" t="n">
        <f aca="false">INDEX(Вводные!$D$13:$F$64,MATCH($A25,Вводные!$A$13:$A$64,0),MATCH(AK$3,Вводные!$D$11:$F$11,0))*(1+IF(AK$4=$A25,Вводные!$D$5*INDEX(Вводные!$G$13:$G$64,MATCH($A25,Вводные!$A$13:$A$64,0)),0))</f>
        <v>0.0003</v>
      </c>
      <c r="AL25" s="32" t="n">
        <f aca="false">INDEX(Вводные!$D$13:$F$64,MATCH($A25,Вводные!$A$13:$A$64,0),MATCH(AL$3,Вводные!$D$11:$F$11,0))*(1+IF(AL$4=$A25,Вводные!$D$5*INDEX(Вводные!$G$13:$G$64,MATCH($A25,Вводные!$A$13:$A$64,0)),0))</f>
        <v>0.0003</v>
      </c>
      <c r="AM25" s="32" t="n">
        <f aca="false">INDEX(Вводные!$D$13:$F$64,MATCH($A25,Вводные!$A$13:$A$64,0),MATCH(AM$3,Вводные!$D$11:$F$11,0))*(1+IF(AM$4=$A25,Вводные!$D$5*INDEX(Вводные!$G$13:$G$64,MATCH($A25,Вводные!$A$13:$A$64,0)),0))</f>
        <v>0.0003</v>
      </c>
      <c r="AN25" s="32" t="n">
        <f aca="false">INDEX(Вводные!$D$13:$F$64,MATCH($A25,Вводные!$A$13:$A$64,0),MATCH(AN$3,Вводные!$D$11:$F$11,0))*(1+IF(AN$4=$A25,Вводные!$D$5*INDEX(Вводные!$G$13:$G$64,MATCH($A25,Вводные!$A$13:$A$64,0)),0))</f>
        <v>0.0003</v>
      </c>
      <c r="AO25" s="32" t="n">
        <f aca="false">INDEX(Вводные!$D$13:$F$64,MATCH($A25,Вводные!$A$13:$A$64,0),MATCH(AO$3,Вводные!$D$11:$F$11,0))*(1+IF(AO$4=$A25,Вводные!$D$5*INDEX(Вводные!$G$13:$G$64,MATCH($A25,Вводные!$A$13:$A$64,0)),0))</f>
        <v>0.0003</v>
      </c>
      <c r="AP25" s="32" t="n">
        <f aca="false">INDEX(Вводные!$D$13:$F$64,MATCH($A25,Вводные!$A$13:$A$64,0),MATCH(AP$3,Вводные!$D$11:$F$11,0))*(1+IF(AP$4=$A25,Вводные!$D$5*INDEX(Вводные!$G$13:$G$64,MATCH($A25,Вводные!$A$13:$A$64,0)),0))</f>
        <v>0.0003</v>
      </c>
      <c r="AQ25" s="32" t="n">
        <f aca="false">INDEX(Вводные!$D$13:$F$64,MATCH($A25,Вводные!$A$13:$A$64,0),MATCH(AQ$3,Вводные!$D$11:$F$11,0))*(1+IF(AQ$4=$A25,Вводные!$D$5*INDEX(Вводные!$G$13:$G$64,MATCH($A25,Вводные!$A$13:$A$64,0)),0))</f>
        <v>0.0003</v>
      </c>
      <c r="AR25" s="32" t="n">
        <f aca="false">INDEX(Вводные!$D$13:$F$64,MATCH($A25,Вводные!$A$13:$A$64,0),MATCH(AR$3,Вводные!$D$11:$F$11,0))*(1+IF(AR$4=$A25,Вводные!$D$5*INDEX(Вводные!$G$13:$G$64,MATCH($A25,Вводные!$A$13:$A$64,0)),0))</f>
        <v>0.0003</v>
      </c>
      <c r="AS25" s="32" t="n">
        <f aca="false">INDEX(Вводные!$D$13:$F$64,MATCH($A25,Вводные!$A$13:$A$64,0),MATCH(AS$3,Вводные!$D$11:$F$11,0))*(1+IF(AS$4=$A25,Вводные!$D$5*INDEX(Вводные!$G$13:$G$64,MATCH($A25,Вводные!$A$13:$A$64,0)),0))</f>
        <v>0.0003</v>
      </c>
      <c r="AT25" s="32" t="n">
        <f aca="false">INDEX(Вводные!$D$13:$F$64,MATCH($A25,Вводные!$A$13:$A$64,0),MATCH(AT$3,Вводные!$D$11:$F$11,0))*(1+IF(AT$4=$A25,Вводные!$D$5*INDEX(Вводные!$G$13:$G$64,MATCH($A25,Вводные!$A$13:$A$64,0)),0))</f>
        <v>0.0003</v>
      </c>
      <c r="AU25" s="32" t="n">
        <f aca="false">INDEX(Вводные!$D$13:$F$64,MATCH($A25,Вводные!$A$13:$A$64,0),MATCH(AU$3,Вводные!$D$11:$F$11,0))*(1+IF(AU$4=$A25,Вводные!$D$5*INDEX(Вводные!$G$13:$G$64,MATCH($A25,Вводные!$A$13:$A$64,0)),0))</f>
        <v>0.0003</v>
      </c>
      <c r="AV25" s="32" t="n">
        <f aca="false">INDEX(Вводные!$D$13:$F$64,MATCH($A25,Вводные!$A$13:$A$64,0),MATCH(AV$3,Вводные!$D$11:$F$11,0))*(1+IF(AV$4=$A25,Вводные!$D$5*INDEX(Вводные!$G$13:$G$64,MATCH($A25,Вводные!$A$13:$A$64,0)),0))</f>
        <v>0.0003</v>
      </c>
      <c r="AW25" s="32" t="n">
        <f aca="false">INDEX(Вводные!$D$13:$F$64,MATCH($A25,Вводные!$A$13:$A$64,0),MATCH(AW$3,Вводные!$D$11:$F$11,0))*(1+IF(AW$4=$A25,Вводные!$D$5*INDEX(Вводные!$G$13:$G$64,MATCH($A25,Вводные!$A$13:$A$64,0)),0))</f>
        <v>0.0003</v>
      </c>
      <c r="AX25" s="32" t="n">
        <f aca="false">INDEX(Вводные!$D$13:$F$64,MATCH($A25,Вводные!$A$13:$A$64,0),MATCH(AX$3,Вводные!$D$11:$F$11,0))*(1+IF(AX$4=$A25,Вводные!$D$5*INDEX(Вводные!$G$13:$G$64,MATCH($A25,Вводные!$A$13:$A$64,0)),0))</f>
        <v>0.0003</v>
      </c>
      <c r="AY25" s="32" t="n">
        <f aca="false">INDEX(Вводные!$D$13:$F$64,MATCH($A25,Вводные!$A$13:$A$64,0),MATCH(AY$3,Вводные!$D$11:$F$11,0))*(1+IF(AY$4=$A25,Вводные!$D$5*INDEX(Вводные!$G$13:$G$64,MATCH($A25,Вводные!$A$13:$A$64,0)),0))</f>
        <v>0.0003</v>
      </c>
      <c r="AZ25" s="32" t="n">
        <f aca="false">INDEX(Вводные!$D$13:$F$64,MATCH($A25,Вводные!$A$13:$A$64,0),MATCH(AZ$3,Вводные!$D$11:$F$11,0))*(1+IF(AZ$4=$A25,Вводные!$D$5*INDEX(Вводные!$G$13:$G$64,MATCH($A25,Вводные!$A$13:$A$64,0)),0))</f>
        <v>0.0002</v>
      </c>
      <c r="BA25" s="32" t="n">
        <f aca="false">INDEX(Вводные!$D$13:$F$64,MATCH($A25,Вводные!$A$13:$A$64,0),MATCH(BA$3,Вводные!$D$11:$F$11,0))*(1+IF(BA$4=$A25,Вводные!$D$5*INDEX(Вводные!$G$13:$G$64,MATCH($A25,Вводные!$A$13:$A$64,0)),0))</f>
        <v>0.0002</v>
      </c>
      <c r="BB25" s="32" t="n">
        <f aca="false">INDEX(Вводные!$D$13:$F$64,MATCH($A25,Вводные!$A$13:$A$64,0),MATCH(BB$3,Вводные!$D$11:$F$11,0))*(1+IF(BB$4=$A25,Вводные!$D$5*INDEX(Вводные!$G$13:$G$64,MATCH($A25,Вводные!$A$13:$A$64,0)),0))</f>
        <v>0.0002</v>
      </c>
      <c r="BC25" s="32" t="n">
        <f aca="false">INDEX(Вводные!$D$13:$F$64,MATCH($A25,Вводные!$A$13:$A$64,0),MATCH(BC$3,Вводные!$D$11:$F$11,0))*(1+IF(BC$4=$A25,Вводные!$D$5*INDEX(Вводные!$G$13:$G$64,MATCH($A25,Вводные!$A$13:$A$64,0)),0))</f>
        <v>0.0002</v>
      </c>
      <c r="BD25" s="32" t="n">
        <f aca="false">INDEX(Вводные!$D$13:$F$64,MATCH($A25,Вводные!$A$13:$A$64,0),MATCH(BD$3,Вводные!$D$11:$F$11,0))*(1+IF(BD$4=$A25,Вводные!$D$5*INDEX(Вводные!$G$13:$G$64,MATCH($A25,Вводные!$A$13:$A$64,0)),0))</f>
        <v>0.0002</v>
      </c>
      <c r="BE25" s="32" t="n">
        <f aca="false">INDEX(Вводные!$D$13:$F$64,MATCH($A25,Вводные!$A$13:$A$64,0),MATCH(BE$3,Вводные!$D$11:$F$11,0))*(1+IF(BE$4=$A25,Вводные!$D$5*INDEX(Вводные!$G$13:$G$64,MATCH($A25,Вводные!$A$13:$A$64,0)),0))</f>
        <v>0.0002</v>
      </c>
      <c r="BF25" s="32" t="n">
        <f aca="false">INDEX(Вводные!$D$13:$F$64,MATCH($A25,Вводные!$A$13:$A$64,0),MATCH(BF$3,Вводные!$D$11:$F$11,0))*(1+IF(BF$4=$A25,Вводные!$D$5*INDEX(Вводные!$G$13:$G$64,MATCH($A25,Вводные!$A$13:$A$64,0)),0))</f>
        <v>0.0002</v>
      </c>
      <c r="BG25" s="32" t="n">
        <f aca="false">INDEX(Вводные!$D$13:$F$64,MATCH($A25,Вводные!$A$13:$A$64,0),MATCH(BG$3,Вводные!$D$11:$F$11,0))*(1+IF(BG$4=$A25,Вводные!$D$5*INDEX(Вводные!$G$13:$G$64,MATCH($A25,Вводные!$A$13:$A$64,0)),0))</f>
        <v>0.0002</v>
      </c>
      <c r="BH25" s="32" t="n">
        <f aca="false">INDEX(Вводные!$D$13:$F$64,MATCH($A25,Вводные!$A$13:$A$64,0),MATCH(BH$3,Вводные!$D$11:$F$11,0))*(1+IF(BH$4=$A25,Вводные!$D$5*INDEX(Вводные!$G$13:$G$64,MATCH($A25,Вводные!$A$13:$A$64,0)),0))</f>
        <v>0.0002</v>
      </c>
      <c r="BI25" s="32" t="n">
        <f aca="false">INDEX(Вводные!$D$13:$F$64,MATCH($A25,Вводные!$A$13:$A$64,0),MATCH(BI$3,Вводные!$D$11:$F$11,0))*(1+IF(BI$4=$A25,Вводные!$D$5*INDEX(Вводные!$G$13:$G$64,MATCH($A25,Вводные!$A$13:$A$64,0)),0))</f>
        <v>0.000198</v>
      </c>
      <c r="BJ25" s="32" t="n">
        <f aca="false">INDEX(Вводные!$D$13:$F$64,MATCH($A25,Вводные!$A$13:$A$64,0),MATCH(BJ$3,Вводные!$D$11:$F$11,0))*(1+IF(BJ$4=$A25,Вводные!$D$5*INDEX(Вводные!$G$13:$G$64,MATCH($A25,Вводные!$A$13:$A$64,0)),0))</f>
        <v>0.0002</v>
      </c>
      <c r="BK25" s="32" t="n">
        <f aca="false">INDEX(Вводные!$D$13:$F$64,MATCH($A25,Вводные!$A$13:$A$64,0),MATCH(BK$3,Вводные!$D$11:$F$11,0))*(1+IF(BK$4=$A25,Вводные!$D$5*INDEX(Вводные!$G$13:$G$64,MATCH($A25,Вводные!$A$13:$A$64,0)),0))</f>
        <v>0.0002</v>
      </c>
      <c r="BL25" s="32" t="n">
        <f aca="false">INDEX(Вводные!$D$13:$F$64,MATCH($A25,Вводные!$A$13:$A$64,0),MATCH(BL$3,Вводные!$D$11:$F$11,0))*(1+IF(BL$4=$A25,Вводные!$D$5*INDEX(Вводные!$G$13:$G$64,MATCH($A25,Вводные!$A$13:$A$64,0)),0))</f>
        <v>0.0002</v>
      </c>
      <c r="BM25" s="32" t="n">
        <f aca="false">INDEX(Вводные!$D$13:$F$64,MATCH($A25,Вводные!$A$13:$A$64,0),MATCH(BM$3,Вводные!$D$11:$F$11,0))*(1+IF(BM$4=$A25,Вводные!$D$5*INDEX(Вводные!$G$13:$G$64,MATCH($A25,Вводные!$A$13:$A$64,0)),0))</f>
        <v>0.0002</v>
      </c>
      <c r="BN25" s="32" t="n">
        <f aca="false">INDEX(Вводные!$D$13:$F$64,MATCH($A25,Вводные!$A$13:$A$64,0),MATCH(BN$3,Вводные!$D$11:$F$11,0))*(1+IF(BN$4=$A25,Вводные!$D$5*INDEX(Вводные!$G$13:$G$64,MATCH($A25,Вводные!$A$13:$A$64,0)),0))</f>
        <v>0.0002</v>
      </c>
      <c r="BO25" s="32" t="n">
        <f aca="false">INDEX(Вводные!$D$13:$F$64,MATCH($A25,Вводные!$A$13:$A$64,0),MATCH(BO$3,Вводные!$D$11:$F$11,0))*(1+IF(BO$4=$A25,Вводные!$D$5*INDEX(Вводные!$G$13:$G$64,MATCH($A25,Вводные!$A$13:$A$64,0)),0))</f>
        <v>0.0002</v>
      </c>
      <c r="BP25" s="32" t="n">
        <f aca="false">INDEX(Вводные!$D$13:$F$64,MATCH($A25,Вводные!$A$13:$A$64,0),MATCH(BP$3,Вводные!$D$11:$F$11,0))*(1+IF(BP$4=$A25,Вводные!$D$5*INDEX(Вводные!$G$13:$G$64,MATCH($A25,Вводные!$A$13:$A$64,0)),0))</f>
        <v>0.0002</v>
      </c>
      <c r="BQ25" s="32" t="n">
        <f aca="false">INDEX(Вводные!$D$13:$F$64,MATCH($A25,Вводные!$A$13:$A$64,0),MATCH(BQ$3,Вводные!$D$11:$F$11,0))*(1+IF(BQ$4=$A25,Вводные!$D$5*INDEX(Вводные!$G$13:$G$64,MATCH($A25,Вводные!$A$13:$A$64,0)),0))</f>
        <v>0.0002</v>
      </c>
      <c r="BR25" s="32" t="n">
        <f aca="false">INDEX(Вводные!$D$13:$F$64,MATCH($A25,Вводные!$A$13:$A$64,0),MATCH(BR$3,Вводные!$D$11:$F$11,0))*(1+IF(BR$4=$A25,Вводные!$D$5*INDEX(Вводные!$G$13:$G$64,MATCH($A25,Вводные!$A$13:$A$64,0)),0))</f>
        <v>0.0002</v>
      </c>
      <c r="BS25" s="32" t="n">
        <f aca="false">INDEX(Вводные!$D$13:$F$64,MATCH($A25,Вводные!$A$13:$A$64,0),MATCH(BS$3,Вводные!$D$11:$F$11,0))*(1+IF(BS$4=$A25,Вводные!$D$5*INDEX(Вводные!$G$13:$G$64,MATCH($A25,Вводные!$A$13:$A$64,0)),0))</f>
        <v>0.0002</v>
      </c>
      <c r="BT25" s="32" t="n">
        <f aca="false">INDEX(Вводные!$D$13:$F$64,MATCH($A25,Вводные!$A$13:$A$64,0),MATCH(BT$3,Вводные!$D$11:$F$11,0))*(1+IF(BT$4=$A25,Вводные!$D$5*INDEX(Вводные!$G$13:$G$64,MATCH($A25,Вводные!$A$13:$A$64,0)),0))</f>
        <v>0.0002</v>
      </c>
      <c r="BU25" s="32" t="n">
        <f aca="false">INDEX(Вводные!$D$13:$F$64,MATCH($A25,Вводные!$A$13:$A$64,0),MATCH(BU$3,Вводные!$D$11:$F$11,0))*(1+IF(BU$4=$A25,Вводные!$D$5*INDEX(Вводные!$G$13:$G$64,MATCH($A25,Вводные!$A$13:$A$64,0)),0))</f>
        <v>0.0002</v>
      </c>
      <c r="BV25" s="32" t="n">
        <f aca="false">INDEX(Вводные!$D$13:$F$64,MATCH($A25,Вводные!$A$13:$A$64,0),MATCH(BV$3,Вводные!$D$11:$F$11,0))*(1+IF(BV$4=$A25,Вводные!$D$5*INDEX(Вводные!$G$13:$G$64,MATCH($A25,Вводные!$A$13:$A$64,0)),0))</f>
        <v>0.0002</v>
      </c>
      <c r="BW25" s="32" t="n">
        <f aca="false">INDEX(Вводные!$D$13:$F$64,MATCH($A25,Вводные!$A$13:$A$64,0),MATCH(BW$3,Вводные!$D$11:$F$11,0))*(1+IF(BW$4=$A25,Вводные!$D$5*INDEX(Вводные!$G$13:$G$64,MATCH($A25,Вводные!$A$13:$A$64,0)),0))</f>
        <v>0.0002</v>
      </c>
      <c r="BX25" s="32" t="n">
        <f aca="false">INDEX(Вводные!$D$13:$F$64,MATCH($A25,Вводные!$A$13:$A$64,0),MATCH(BX$3,Вводные!$D$11:$F$11,0))*(1+IF(BX$4=$A25,Вводные!$D$5*INDEX(Вводные!$G$13:$G$64,MATCH($A25,Вводные!$A$13:$A$64,0)),0))</f>
        <v>0.0002</v>
      </c>
      <c r="BY25" s="32" t="n">
        <f aca="false">INDEX(Вводные!$D$13:$F$64,MATCH($A25,Вводные!$A$13:$A$64,0),MATCH(BY$3,Вводные!$D$11:$F$11,0))*(1+IF(BY$4=$A25,Вводные!$D$5*INDEX(Вводные!$G$13:$G$64,MATCH($A25,Вводные!$A$13:$A$64,0)),0))</f>
        <v>0.0002</v>
      </c>
      <c r="BZ25" s="32" t="n">
        <f aca="false">INDEX(Вводные!$D$13:$F$64,MATCH($A25,Вводные!$A$13:$A$64,0),MATCH(BZ$3,Вводные!$D$11:$F$11,0))*(1+IF(BZ$4=$A25,Вводные!$D$5*INDEX(Вводные!$G$13:$G$64,MATCH($A25,Вводные!$A$13:$A$64,0)),0))</f>
        <v>0.0002</v>
      </c>
      <c r="CA25" s="32" t="n">
        <f aca="false">INDEX(Вводные!$D$13:$F$64,MATCH($A25,Вводные!$A$13:$A$64,0),MATCH(CA$3,Вводные!$D$11:$F$11,0))*(1+IF(CA$4=$A25,Вводные!$D$5*INDEX(Вводные!$G$13:$G$64,MATCH($A25,Вводные!$A$13:$A$64,0)),0))</f>
        <v>0.0002</v>
      </c>
      <c r="CB25" s="32" t="n">
        <f aca="false">INDEX(Вводные!$D$13:$F$64,MATCH($A25,Вводные!$A$13:$A$64,0),MATCH(CB$3,Вводные!$D$11:$F$11,0))*(1+IF(CB$4=$A25,Вводные!$D$5*INDEX(Вводные!$G$13:$G$64,MATCH($A25,Вводные!$A$13:$A$64,0)),0))</f>
        <v>0.0002</v>
      </c>
      <c r="CC25" s="32" t="n">
        <f aca="false">INDEX(Вводные!$D$13:$F$64,MATCH($A25,Вводные!$A$13:$A$64,0),MATCH(CC$3,Вводные!$D$11:$F$11,0))*(1+IF(CC$4=$A25,Вводные!$D$5*INDEX(Вводные!$G$13:$G$64,MATCH($A25,Вводные!$A$13:$A$64,0)),0))</f>
        <v>0.0002</v>
      </c>
      <c r="CD25" s="32" t="n">
        <f aca="false">INDEX(Вводные!$D$13:$F$64,MATCH($A25,Вводные!$A$13:$A$64,0),MATCH(CD$3,Вводные!$D$11:$F$11,0))*(1+IF(CD$4=$A25,Вводные!$D$5*INDEX(Вводные!$G$13:$G$64,MATCH($A25,Вводные!$A$13:$A$64,0)),0))</f>
        <v>0.0002</v>
      </c>
      <c r="CE25" s="32" t="n">
        <f aca="false">INDEX(Вводные!$D$13:$F$64,MATCH($A25,Вводные!$A$13:$A$64,0),MATCH(CE$3,Вводные!$D$11:$F$11,0))*(1+IF(CE$4=$A25,Вводные!$D$5*INDEX(Вводные!$G$13:$G$64,MATCH($A25,Вводные!$A$13:$A$64,0)),0))</f>
        <v>0.0002</v>
      </c>
      <c r="CF25" s="32" t="n">
        <f aca="false">INDEX(Вводные!$D$13:$F$64,MATCH($A25,Вводные!$A$13:$A$64,0),MATCH(CF$3,Вводные!$D$11:$F$11,0))*(1+IF(CF$4=$A25,Вводные!$D$5*INDEX(Вводные!$G$13:$G$64,MATCH($A25,Вводные!$A$13:$A$64,0)),0))</f>
        <v>0.0002</v>
      </c>
      <c r="CG25" s="32" t="n">
        <f aca="false">INDEX(Вводные!$D$13:$F$64,MATCH($A25,Вводные!$A$13:$A$64,0),MATCH(CG$3,Вводные!$D$11:$F$11,0))*(1+IF(CG$4=$A25,Вводные!$D$5*INDEX(Вводные!$G$13:$G$64,MATCH($A25,Вводные!$A$13:$A$64,0)),0))</f>
        <v>0.0002</v>
      </c>
      <c r="CH25" s="32" t="n">
        <f aca="false">INDEX(Вводные!$D$13:$F$64,MATCH($A25,Вводные!$A$13:$A$64,0),MATCH(CH$3,Вводные!$D$11:$F$11,0))*(1+IF(CH$4=$A25,Вводные!$D$5*INDEX(Вводные!$G$13:$G$64,MATCH($A25,Вводные!$A$13:$A$64,0)),0))</f>
        <v>0.0002</v>
      </c>
      <c r="CI25" s="32" t="n">
        <f aca="false">INDEX(Вводные!$D$13:$F$64,MATCH($A25,Вводные!$A$13:$A$64,0),MATCH(CI$3,Вводные!$D$11:$F$11,0))*(1+IF(CI$4=$A25,Вводные!$D$5*INDEX(Вводные!$G$13:$G$64,MATCH($A25,Вводные!$A$13:$A$64,0)),0))</f>
        <v>0.0002</v>
      </c>
      <c r="CJ25" s="32" t="n">
        <f aca="false">INDEX(Вводные!$D$13:$F$64,MATCH($A25,Вводные!$A$13:$A$64,0),MATCH(CJ$3,Вводные!$D$11:$F$11,0))*(1+IF(CJ$4=$A25,Вводные!$D$5*INDEX(Вводные!$G$13:$G$64,MATCH($A25,Вводные!$A$13:$A$64,0)),0))</f>
        <v>0.0002</v>
      </c>
      <c r="CK25" s="32" t="n">
        <f aca="false">INDEX(Вводные!$D$13:$F$64,MATCH($A25,Вводные!$A$13:$A$64,0),MATCH(CK$3,Вводные!$D$11:$F$11,0))*(1+IF(CK$4=$A25,Вводные!$D$5*INDEX(Вводные!$G$13:$G$64,MATCH($A25,Вводные!$A$13:$A$64,0)),0))</f>
        <v>0.0002</v>
      </c>
      <c r="CL25" s="32" t="n">
        <f aca="false">INDEX(Вводные!$D$13:$F$64,MATCH($A25,Вводные!$A$13:$A$64,0),MATCH(CL$3,Вводные!$D$11:$F$11,0))*(1+IF(CL$4=$A25,Вводные!$D$5*INDEX(Вводные!$G$13:$G$64,MATCH($A25,Вводные!$A$13:$A$64,0)),0))</f>
        <v>0.0002</v>
      </c>
      <c r="CM25" s="32" t="n">
        <f aca="false">INDEX(Вводные!$D$13:$F$64,MATCH($A25,Вводные!$A$13:$A$64,0),MATCH(CM$3,Вводные!$D$11:$F$11,0))*(1+IF(CM$4=$A25,Вводные!$D$5*INDEX(Вводные!$G$13:$G$64,MATCH($A25,Вводные!$A$13:$A$64,0)),0))</f>
        <v>0.0002</v>
      </c>
      <c r="CN25" s="32" t="n">
        <f aca="false">INDEX(Вводные!$D$13:$F$64,MATCH($A25,Вводные!$A$13:$A$64,0),MATCH(CN$3,Вводные!$D$11:$F$11,0))*(1+IF(CN$4=$A25,Вводные!$D$5*INDEX(Вводные!$G$13:$G$64,MATCH($A25,Вводные!$A$13:$A$64,0)),0))</f>
        <v>0.0002</v>
      </c>
      <c r="CO25" s="32" t="n">
        <f aca="false">INDEX(Вводные!$D$13:$F$64,MATCH($A25,Вводные!$A$13:$A$64,0),MATCH(CO$3,Вводные!$D$11:$F$11,0))*(1+IF(CO$4=$A25,Вводные!$D$5*INDEX(Вводные!$G$13:$G$64,MATCH($A25,Вводные!$A$13:$A$64,0)),0))</f>
        <v>0.0002</v>
      </c>
      <c r="CP25" s="32" t="n">
        <f aca="false">INDEX(Вводные!$D$13:$F$64,MATCH($A25,Вводные!$A$13:$A$64,0),MATCH(CP$3,Вводные!$D$11:$F$11,0))*(1+IF(CP$4=$A25,Вводные!$D$5*INDEX(Вводные!$G$13:$G$64,MATCH($A25,Вводные!$A$13:$A$64,0)),0))</f>
        <v>8E-005</v>
      </c>
      <c r="CQ25" s="32" t="n">
        <f aca="false">INDEX(Вводные!$D$13:$F$64,MATCH($A25,Вводные!$A$13:$A$64,0),MATCH(CQ$3,Вводные!$D$11:$F$11,0))*(1+IF(CQ$4=$A25,Вводные!$D$5*INDEX(Вводные!$G$13:$G$64,MATCH($A25,Вводные!$A$13:$A$64,0)),0))</f>
        <v>8E-005</v>
      </c>
      <c r="CR25" s="32" t="n">
        <f aca="false">INDEX(Вводные!$D$13:$F$64,MATCH($A25,Вводные!$A$13:$A$64,0),MATCH(CR$3,Вводные!$D$11:$F$11,0))*(1+IF(CR$4=$A25,Вводные!$D$5*INDEX(Вводные!$G$13:$G$64,MATCH($A25,Вводные!$A$13:$A$64,0)),0))</f>
        <v>8E-005</v>
      </c>
      <c r="CS25" s="32" t="n">
        <f aca="false">INDEX(Вводные!$D$13:$F$64,MATCH($A25,Вводные!$A$13:$A$64,0),MATCH(CS$3,Вводные!$D$11:$F$11,0))*(1+IF(CS$4=$A25,Вводные!$D$5*INDEX(Вводные!$G$13:$G$64,MATCH($A25,Вводные!$A$13:$A$64,0)),0))</f>
        <v>8E-005</v>
      </c>
      <c r="CT25" s="32" t="n">
        <f aca="false">INDEX(Вводные!$D$13:$F$64,MATCH($A25,Вводные!$A$13:$A$64,0),MATCH(CT$3,Вводные!$D$11:$F$11,0))*(1+IF(CT$4=$A25,Вводные!$D$5*INDEX(Вводные!$G$13:$G$64,MATCH($A25,Вводные!$A$13:$A$64,0)),0))</f>
        <v>8E-005</v>
      </c>
      <c r="CU25" s="32" t="n">
        <f aca="false">INDEX(Вводные!$D$13:$F$64,MATCH($A25,Вводные!$A$13:$A$64,0),MATCH(CU$3,Вводные!$D$11:$F$11,0))*(1+IF(CU$4=$A25,Вводные!$D$5*INDEX(Вводные!$G$13:$G$64,MATCH($A25,Вводные!$A$13:$A$64,0)),0))</f>
        <v>8E-005</v>
      </c>
      <c r="CV25" s="32" t="n">
        <f aca="false">INDEX(Вводные!$D$13:$F$64,MATCH($A25,Вводные!$A$13:$A$64,0),MATCH(CV$3,Вводные!$D$11:$F$11,0))*(1+IF(CV$4=$A25,Вводные!$D$5*INDEX(Вводные!$G$13:$G$64,MATCH($A25,Вводные!$A$13:$A$64,0)),0))</f>
        <v>8E-005</v>
      </c>
      <c r="CW25" s="32" t="n">
        <f aca="false">INDEX(Вводные!$D$13:$F$64,MATCH($A25,Вводные!$A$13:$A$64,0),MATCH(CW$3,Вводные!$D$11:$F$11,0))*(1+IF(CW$4=$A25,Вводные!$D$5*INDEX(Вводные!$G$13:$G$64,MATCH($A25,Вводные!$A$13:$A$64,0)),0))</f>
        <v>8E-005</v>
      </c>
      <c r="CX25" s="32" t="n">
        <f aca="false">INDEX(Вводные!$D$13:$F$64,MATCH($A25,Вводные!$A$13:$A$64,0),MATCH(CX$3,Вводные!$D$11:$F$11,0))*(1+IF(CX$4=$A25,Вводные!$D$5*INDEX(Вводные!$G$13:$G$64,MATCH($A25,Вводные!$A$13:$A$64,0)),0))</f>
        <v>8E-005</v>
      </c>
      <c r="CY25" s="32" t="n">
        <f aca="false">INDEX(Вводные!$D$13:$F$64,MATCH($A25,Вводные!$A$13:$A$64,0),MATCH(CY$3,Вводные!$D$11:$F$11,0))*(1+IF(CY$4=$A25,Вводные!$D$5*INDEX(Вводные!$G$13:$G$64,MATCH($A25,Вводные!$A$13:$A$64,0)),0))</f>
        <v>7.92E-005</v>
      </c>
      <c r="CZ25" s="32" t="n">
        <f aca="false">INDEX(Вводные!$D$13:$F$64,MATCH($A25,Вводные!$A$13:$A$64,0),MATCH(CZ$3,Вводные!$D$11:$F$11,0))*(1+IF(CZ$4=$A25,Вводные!$D$5*INDEX(Вводные!$G$13:$G$64,MATCH($A25,Вводные!$A$13:$A$64,0)),0))</f>
        <v>8E-005</v>
      </c>
      <c r="DA25" s="32" t="n">
        <f aca="false">INDEX(Вводные!$D$13:$F$64,MATCH($A25,Вводные!$A$13:$A$64,0),MATCH(DA$3,Вводные!$D$11:$F$11,0))*(1+IF(DA$4=$A25,Вводные!$D$5*INDEX(Вводные!$G$13:$G$64,MATCH($A25,Вводные!$A$13:$A$64,0)),0))</f>
        <v>8E-005</v>
      </c>
      <c r="DB25" s="32" t="n">
        <f aca="false">INDEX(Вводные!$D$13:$F$64,MATCH($A25,Вводные!$A$13:$A$64,0),MATCH(DB$3,Вводные!$D$11:$F$11,0))*(1+IF(DB$4=$A25,Вводные!$D$5*INDEX(Вводные!$G$13:$G$64,MATCH($A25,Вводные!$A$13:$A$64,0)),0))</f>
        <v>8E-005</v>
      </c>
      <c r="DC25" s="32" t="n">
        <f aca="false">INDEX(Вводные!$D$13:$F$64,MATCH($A25,Вводные!$A$13:$A$64,0),MATCH(DC$3,Вводные!$D$11:$F$11,0))*(1+IF(DC$4=$A25,Вводные!$D$5*INDEX(Вводные!$G$13:$G$64,MATCH($A25,Вводные!$A$13:$A$64,0)),0))</f>
        <v>8E-005</v>
      </c>
      <c r="DD25" s="32" t="n">
        <f aca="false">INDEX(Вводные!$D$13:$F$64,MATCH($A25,Вводные!$A$13:$A$64,0),MATCH(DD$3,Вводные!$D$11:$F$11,0))*(1+IF(DD$4=$A25,Вводные!$D$5*INDEX(Вводные!$G$13:$G$64,MATCH($A25,Вводные!$A$13:$A$64,0)),0))</f>
        <v>8E-005</v>
      </c>
      <c r="DE25" s="32" t="n">
        <f aca="false">INDEX(Вводные!$D$13:$F$64,MATCH($A25,Вводные!$A$13:$A$64,0),MATCH(DE$3,Вводные!$D$11:$F$11,0))*(1+IF(DE$4=$A25,Вводные!$D$5*INDEX(Вводные!$G$13:$G$64,MATCH($A25,Вводные!$A$13:$A$64,0)),0))</f>
        <v>8E-005</v>
      </c>
      <c r="DF25" s="32" t="n">
        <f aca="false">INDEX(Вводные!$D$13:$F$64,MATCH($A25,Вводные!$A$13:$A$64,0),MATCH(DF$3,Вводные!$D$11:$F$11,0))*(1+IF(DF$4=$A25,Вводные!$D$5*INDEX(Вводные!$G$13:$G$64,MATCH($A25,Вводные!$A$13:$A$64,0)),0))</f>
        <v>8E-005</v>
      </c>
      <c r="DG25" s="32" t="n">
        <f aca="false">INDEX(Вводные!$D$13:$F$64,MATCH($A25,Вводные!$A$13:$A$64,0),MATCH(DG$3,Вводные!$D$11:$F$11,0))*(1+IF(DG$4=$A25,Вводные!$D$5*INDEX(Вводные!$G$13:$G$64,MATCH($A25,Вводные!$A$13:$A$64,0)),0))</f>
        <v>8E-005</v>
      </c>
      <c r="DH25" s="32" t="n">
        <f aca="false">INDEX(Вводные!$D$13:$F$64,MATCH($A25,Вводные!$A$13:$A$64,0),MATCH(DH$3,Вводные!$D$11:$F$11,0))*(1+IF(DH$4=$A25,Вводные!$D$5*INDEX(Вводные!$G$13:$G$64,MATCH($A25,Вводные!$A$13:$A$64,0)),0))</f>
        <v>8E-005</v>
      </c>
      <c r="DI25" s="32" t="n">
        <f aca="false">INDEX(Вводные!$D$13:$F$64,MATCH($A25,Вводные!$A$13:$A$64,0),MATCH(DI$3,Вводные!$D$11:$F$11,0))*(1+IF(DI$4=$A25,Вводные!$D$5*INDEX(Вводные!$G$13:$G$64,MATCH($A25,Вводные!$A$13:$A$64,0)),0))</f>
        <v>8E-005</v>
      </c>
      <c r="DJ25" s="32" t="n">
        <f aca="false">INDEX(Вводные!$D$13:$F$64,MATCH($A25,Вводные!$A$13:$A$64,0),MATCH(DJ$3,Вводные!$D$11:$F$11,0))*(1+IF(DJ$4=$A25,Вводные!$D$5*INDEX(Вводные!$G$13:$G$64,MATCH($A25,Вводные!$A$13:$A$64,0)),0))</f>
        <v>8E-005</v>
      </c>
      <c r="DK25" s="32" t="n">
        <f aca="false">INDEX(Вводные!$D$13:$F$64,MATCH($A25,Вводные!$A$13:$A$64,0),MATCH(DK$3,Вводные!$D$11:$F$11,0))*(1+IF(DK$4=$A25,Вводные!$D$5*INDEX(Вводные!$G$13:$G$64,MATCH($A25,Вводные!$A$13:$A$64,0)),0))</f>
        <v>8E-005</v>
      </c>
      <c r="DL25" s="32" t="n">
        <f aca="false">INDEX(Вводные!$D$13:$F$64,MATCH($A25,Вводные!$A$13:$A$64,0),MATCH(DL$3,Вводные!$D$11:$F$11,0))*(1+IF(DL$4=$A25,Вводные!$D$5*INDEX(Вводные!$G$13:$G$64,MATCH($A25,Вводные!$A$13:$A$64,0)),0))</f>
        <v>8E-005</v>
      </c>
      <c r="DM25" s="32" t="n">
        <f aca="false">INDEX(Вводные!$D$13:$F$64,MATCH($A25,Вводные!$A$13:$A$64,0),MATCH(DM$3,Вводные!$D$11:$F$11,0))*(1+IF(DM$4=$A25,Вводные!$D$5*INDEX(Вводные!$G$13:$G$64,MATCH($A25,Вводные!$A$13:$A$64,0)),0))</f>
        <v>8E-005</v>
      </c>
      <c r="DN25" s="32" t="n">
        <f aca="false">INDEX(Вводные!$D$13:$F$64,MATCH($A25,Вводные!$A$13:$A$64,0),MATCH(DN$3,Вводные!$D$11:$F$11,0))*(1+IF(DN$4=$A25,Вводные!$D$5*INDEX(Вводные!$G$13:$G$64,MATCH($A25,Вводные!$A$13:$A$64,0)),0))</f>
        <v>8E-005</v>
      </c>
      <c r="DO25" s="32" t="n">
        <f aca="false">INDEX(Вводные!$D$13:$F$64,MATCH($A25,Вводные!$A$13:$A$64,0),MATCH(DO$3,Вводные!$D$11:$F$11,0))*(1+IF(DO$4=$A25,Вводные!$D$5*INDEX(Вводные!$G$13:$G$64,MATCH($A25,Вводные!$A$13:$A$64,0)),0))</f>
        <v>8E-005</v>
      </c>
      <c r="DP25" s="32" t="n">
        <f aca="false">INDEX(Вводные!$D$13:$F$64,MATCH($A25,Вводные!$A$13:$A$64,0),MATCH(DP$3,Вводные!$D$11:$F$11,0))*(1+IF(DP$4=$A25,Вводные!$D$5*INDEX(Вводные!$G$13:$G$64,MATCH($A25,Вводные!$A$13:$A$64,0)),0))</f>
        <v>8E-005</v>
      </c>
      <c r="DQ25" s="32" t="n">
        <f aca="false">INDEX(Вводные!$D$13:$F$64,MATCH($A25,Вводные!$A$13:$A$64,0),MATCH(DQ$3,Вводные!$D$11:$F$11,0))*(1+IF(DQ$4=$A25,Вводные!$D$5*INDEX(Вводные!$G$13:$G$64,MATCH($A25,Вводные!$A$13:$A$64,0)),0))</f>
        <v>8E-005</v>
      </c>
      <c r="DR25" s="32" t="n">
        <f aca="false">INDEX(Вводные!$D$13:$F$64,MATCH($A25,Вводные!$A$13:$A$64,0),MATCH(DR$3,Вводные!$D$11:$F$11,0))*(1+IF(DR$4=$A25,Вводные!$D$5*INDEX(Вводные!$G$13:$G$64,MATCH($A25,Вводные!$A$13:$A$64,0)),0))</f>
        <v>8E-005</v>
      </c>
      <c r="DS25" s="32" t="n">
        <f aca="false">INDEX(Вводные!$D$13:$F$64,MATCH($A25,Вводные!$A$13:$A$64,0),MATCH(DS$3,Вводные!$D$11:$F$11,0))*(1+IF(DS$4=$A25,Вводные!$D$5*INDEX(Вводные!$G$13:$G$64,MATCH($A25,Вводные!$A$13:$A$64,0)),0))</f>
        <v>8E-005</v>
      </c>
      <c r="DT25" s="32" t="n">
        <f aca="false">INDEX(Вводные!$D$13:$F$64,MATCH($A25,Вводные!$A$13:$A$64,0),MATCH(DT$3,Вводные!$D$11:$F$11,0))*(1+IF(DT$4=$A25,Вводные!$D$5*INDEX(Вводные!$G$13:$G$64,MATCH($A25,Вводные!$A$13:$A$64,0)),0))</f>
        <v>8E-005</v>
      </c>
      <c r="DU25" s="32" t="n">
        <f aca="false">INDEX(Вводные!$D$13:$F$64,MATCH($A25,Вводные!$A$13:$A$64,0),MATCH(DU$3,Вводные!$D$11:$F$11,0))*(1+IF(DU$4=$A25,Вводные!$D$5*INDEX(Вводные!$G$13:$G$64,MATCH($A25,Вводные!$A$13:$A$64,0)),0))</f>
        <v>8E-005</v>
      </c>
      <c r="DV25" s="32" t="n">
        <f aca="false">INDEX(Вводные!$D$13:$F$64,MATCH($A25,Вводные!$A$13:$A$64,0),MATCH(DV$3,Вводные!$D$11:$F$11,0))*(1+IF(DV$4=$A25,Вводные!$D$5*INDEX(Вводные!$G$13:$G$64,MATCH($A25,Вводные!$A$13:$A$64,0)),0))</f>
        <v>8E-005</v>
      </c>
      <c r="DW25" s="32" t="n">
        <f aca="false">INDEX(Вводные!$D$13:$F$64,MATCH($A25,Вводные!$A$13:$A$64,0),MATCH(DW$3,Вводные!$D$11:$F$11,0))*(1+IF(DW$4=$A25,Вводные!$D$5*INDEX(Вводные!$G$13:$G$64,MATCH($A25,Вводные!$A$13:$A$64,0)),0))</f>
        <v>8E-005</v>
      </c>
      <c r="DX25" s="32" t="n">
        <f aca="false">INDEX(Вводные!$D$13:$F$64,MATCH($A25,Вводные!$A$13:$A$64,0),MATCH(DX$3,Вводные!$D$11:$F$11,0))*(1+IF(DX$4=$A25,Вводные!$D$5*INDEX(Вводные!$G$13:$G$64,MATCH($A25,Вводные!$A$13:$A$64,0)),0))</f>
        <v>8E-005</v>
      </c>
      <c r="DY25" s="32" t="n">
        <f aca="false">INDEX(Вводные!$D$13:$F$64,MATCH($A25,Вводные!$A$13:$A$64,0),MATCH(DY$3,Вводные!$D$11:$F$11,0))*(1+IF(DY$4=$A25,Вводные!$D$5*INDEX(Вводные!$G$13:$G$64,MATCH($A25,Вводные!$A$13:$A$64,0)),0))</f>
        <v>8E-005</v>
      </c>
      <c r="DZ25" s="32" t="n">
        <f aca="false">INDEX(Вводные!$D$13:$F$64,MATCH($A25,Вводные!$A$13:$A$64,0),MATCH(DZ$3,Вводные!$D$11:$F$11,0))*(1+IF(DZ$4=$A25,Вводные!$D$5*INDEX(Вводные!$G$13:$G$64,MATCH($A25,Вводные!$A$13:$A$64,0)),0))</f>
        <v>8E-005</v>
      </c>
      <c r="EA25" s="32" t="n">
        <f aca="false">INDEX(Вводные!$D$13:$F$64,MATCH($A25,Вводные!$A$13:$A$64,0),MATCH(EA$3,Вводные!$D$11:$F$11,0))*(1+IF(EA$4=$A25,Вводные!$D$5*INDEX(Вводные!$G$13:$G$64,MATCH($A25,Вводные!$A$13:$A$64,0)),0))</f>
        <v>8E-005</v>
      </c>
      <c r="EB25" s="32" t="n">
        <f aca="false">INDEX(Вводные!$D$13:$F$64,MATCH($A25,Вводные!$A$13:$A$64,0),MATCH(EB$3,Вводные!$D$11:$F$11,0))*(1+IF(EB$4=$A25,Вводные!$D$5*INDEX(Вводные!$G$13:$G$64,MATCH($A25,Вводные!$A$13:$A$64,0)),0))</f>
        <v>8E-005</v>
      </c>
      <c r="EC25" s="32" t="n">
        <f aca="false">INDEX(Вводные!$D$13:$F$64,MATCH($A25,Вводные!$A$13:$A$64,0),MATCH(EC$3,Вводные!$D$11:$F$11,0))*(1+IF(EC$4=$A25,Вводные!$D$5*INDEX(Вводные!$G$13:$G$64,MATCH($A25,Вводные!$A$13:$A$64,0)),0))</f>
        <v>8E-005</v>
      </c>
      <c r="ED25" s="32" t="n">
        <f aca="false">INDEX(Вводные!$D$13:$F$64,MATCH($A25,Вводные!$A$13:$A$64,0),MATCH(ED$3,Вводные!$D$11:$F$11,0))*(1+IF(ED$4=$A25,Вводные!$D$5*INDEX(Вводные!$G$13:$G$64,MATCH($A25,Вводные!$A$13:$A$64,0)),0))</f>
        <v>8E-005</v>
      </c>
      <c r="EE25" s="32" t="n">
        <f aca="false">INDEX(Вводные!$D$13:$F$64,MATCH($A25,Вводные!$A$13:$A$64,0),MATCH(EE$3,Вводные!$D$11:$F$11,0))*(1+IF(EE$4=$A25,Вводные!$D$5*INDEX(Вводные!$G$13:$G$64,MATCH($A25,Вводные!$A$13:$A$64,0)),0))</f>
        <v>8E-005</v>
      </c>
      <c r="EF25" s="32" t="n">
        <f aca="false">INDEX(Вводные!$D$13:$F$64,MATCH($A25,Вводные!$A$13:$A$64,0),MATCH(EF$3,Вводные!$D$11:$F$11,0))*(1+IF(EF$4=$A25,Вводные!$D$5*INDEX(Вводные!$G$13:$G$64,MATCH($A25,Вводные!$A$13:$A$64,0)),0))</f>
        <v>0.0003</v>
      </c>
      <c r="EG25" s="32" t="n">
        <f aca="false">INDEX(Вводные!$D$13:$F$64,MATCH($A25,Вводные!$A$13:$A$64,0),MATCH(EG$3,Вводные!$D$11:$F$11,0))*(1+IF(EG$4=$A25,Вводные!$D$5*INDEX(Вводные!$G$13:$G$64,MATCH($A25,Вводные!$A$13:$A$64,0)),0))</f>
        <v>0.0003</v>
      </c>
      <c r="EH25" s="32" t="n">
        <f aca="false">INDEX(Вводные!$D$13:$F$64,MATCH($A25,Вводные!$A$13:$A$64,0),MATCH(EH$3,Вводные!$D$11:$F$11,0))*(1+IF(EH$4=$A25,Вводные!$D$5*INDEX(Вводные!$G$13:$G$64,MATCH($A25,Вводные!$A$13:$A$64,0)),0))</f>
        <v>0.0003</v>
      </c>
      <c r="EI25" s="32" t="n">
        <f aca="false">INDEX(Вводные!$D$13:$F$64,MATCH($A25,Вводные!$A$13:$A$64,0),MATCH(EI$3,Вводные!$D$11:$F$11,0))*(1+IF(EI$4=$A25,Вводные!$D$5*INDEX(Вводные!$G$13:$G$64,MATCH($A25,Вводные!$A$13:$A$64,0)),0))</f>
        <v>0.0003</v>
      </c>
      <c r="EJ25" s="32" t="n">
        <f aca="false">INDEX(Вводные!$D$13:$F$64,MATCH($A25,Вводные!$A$13:$A$64,0),MATCH(EJ$3,Вводные!$D$11:$F$11,0))*(1+IF(EJ$4=$A25,Вводные!$D$5*INDEX(Вводные!$G$13:$G$64,MATCH($A25,Вводные!$A$13:$A$64,0)),0))</f>
        <v>0.0003</v>
      </c>
      <c r="EK25" s="32" t="n">
        <f aca="false">INDEX(Вводные!$D$13:$F$64,MATCH($A25,Вводные!$A$13:$A$64,0),MATCH(EK$3,Вводные!$D$11:$F$11,0))*(1+IF(EK$4=$A25,Вводные!$D$5*INDEX(Вводные!$G$13:$G$64,MATCH($A25,Вводные!$A$13:$A$64,0)),0))</f>
        <v>0.0003</v>
      </c>
      <c r="EL25" s="32" t="n">
        <f aca="false">INDEX(Вводные!$D$13:$F$64,MATCH($A25,Вводные!$A$13:$A$64,0),MATCH(EL$3,Вводные!$D$11:$F$11,0))*(1+IF(EL$4=$A25,Вводные!$D$5*INDEX(Вводные!$G$13:$G$64,MATCH($A25,Вводные!$A$13:$A$64,0)),0))</f>
        <v>0.0003</v>
      </c>
      <c r="EM25" s="32" t="n">
        <f aca="false">INDEX(Вводные!$D$13:$F$64,MATCH($A25,Вводные!$A$13:$A$64,0),MATCH(EM$3,Вводные!$D$11:$F$11,0))*(1+IF(EM$4=$A25,Вводные!$D$5*INDEX(Вводные!$G$13:$G$64,MATCH($A25,Вводные!$A$13:$A$64,0)),0))</f>
        <v>0.0003</v>
      </c>
      <c r="EN25" s="32" t="n">
        <f aca="false">INDEX(Вводные!$D$13:$F$64,MATCH($A25,Вводные!$A$13:$A$64,0),MATCH(EN$3,Вводные!$D$11:$F$11,0))*(1+IF(EN$4=$A25,Вводные!$D$5*INDEX(Вводные!$G$13:$G$64,MATCH($A25,Вводные!$A$13:$A$64,0)),0))</f>
        <v>0.0003</v>
      </c>
      <c r="EO25" s="32" t="n">
        <f aca="false">INDEX(Вводные!$D$13:$F$64,MATCH($A25,Вводные!$A$13:$A$64,0),MATCH(EO$3,Вводные!$D$11:$F$11,0))*(1+IF(EO$4=$A25,Вводные!$D$5*INDEX(Вводные!$G$13:$G$64,MATCH($A25,Вводные!$A$13:$A$64,0)),0))</f>
        <v>0.000297</v>
      </c>
      <c r="EP25" s="32" t="n">
        <f aca="false">INDEX(Вводные!$D$13:$F$64,MATCH($A25,Вводные!$A$13:$A$64,0),MATCH(EP$3,Вводные!$D$11:$F$11,0))*(1+IF(EP$4=$A25,Вводные!$D$5*INDEX(Вводные!$G$13:$G$64,MATCH($A25,Вводные!$A$13:$A$64,0)),0))</f>
        <v>0.0003</v>
      </c>
      <c r="EQ25" s="32" t="n">
        <f aca="false">INDEX(Вводные!$D$13:$F$64,MATCH($A25,Вводные!$A$13:$A$64,0),MATCH(EQ$3,Вводные!$D$11:$F$11,0))*(1+IF(EQ$4=$A25,Вводные!$D$5*INDEX(Вводные!$G$13:$G$64,MATCH($A25,Вводные!$A$13:$A$64,0)),0))</f>
        <v>0.0003</v>
      </c>
      <c r="ER25" s="32" t="n">
        <f aca="false">INDEX(Вводные!$D$13:$F$64,MATCH($A25,Вводные!$A$13:$A$64,0),MATCH(ER$3,Вводные!$D$11:$F$11,0))*(1+IF(ER$4=$A25,Вводные!$D$5*INDEX(Вводные!$G$13:$G$64,MATCH($A25,Вводные!$A$13:$A$64,0)),0))</f>
        <v>0.0003</v>
      </c>
      <c r="ES25" s="32" t="n">
        <f aca="false">INDEX(Вводные!$D$13:$F$64,MATCH($A25,Вводные!$A$13:$A$64,0),MATCH(ES$3,Вводные!$D$11:$F$11,0))*(1+IF(ES$4=$A25,Вводные!$D$5*INDEX(Вводные!$G$13:$G$64,MATCH($A25,Вводные!$A$13:$A$64,0)),0))</f>
        <v>0.0003</v>
      </c>
      <c r="ET25" s="32" t="n">
        <f aca="false">INDEX(Вводные!$D$13:$F$64,MATCH($A25,Вводные!$A$13:$A$64,0),MATCH(ET$3,Вводные!$D$11:$F$11,0))*(1+IF(ET$4=$A25,Вводные!$D$5*INDEX(Вводные!$G$13:$G$64,MATCH($A25,Вводные!$A$13:$A$64,0)),0))</f>
        <v>0.0003</v>
      </c>
      <c r="EU25" s="32" t="n">
        <f aca="false">INDEX(Вводные!$D$13:$F$64,MATCH($A25,Вводные!$A$13:$A$64,0),MATCH(EU$3,Вводные!$D$11:$F$11,0))*(1+IF(EU$4=$A25,Вводные!$D$5*INDEX(Вводные!$G$13:$G$64,MATCH($A25,Вводные!$A$13:$A$64,0)),0))</f>
        <v>0.0003</v>
      </c>
      <c r="EV25" s="32" t="n">
        <f aca="false">INDEX(Вводные!$D$13:$F$64,MATCH($A25,Вводные!$A$13:$A$64,0),MATCH(EV$3,Вводные!$D$11:$F$11,0))*(1+IF(EV$4=$A25,Вводные!$D$5*INDEX(Вводные!$G$13:$G$64,MATCH($A25,Вводные!$A$13:$A$64,0)),0))</f>
        <v>0.0003</v>
      </c>
      <c r="EW25" s="32" t="n">
        <f aca="false">INDEX(Вводные!$D$13:$F$64,MATCH($A25,Вводные!$A$13:$A$64,0),MATCH(EW$3,Вводные!$D$11:$F$11,0))*(1+IF(EW$4=$A25,Вводные!$D$5*INDEX(Вводные!$G$13:$G$64,MATCH($A25,Вводные!$A$13:$A$64,0)),0))</f>
        <v>0.0003</v>
      </c>
      <c r="EX25" s="32" t="n">
        <f aca="false">INDEX(Вводные!$D$13:$F$64,MATCH($A25,Вводные!$A$13:$A$64,0),MATCH(EX$3,Вводные!$D$11:$F$11,0))*(1+IF(EX$4=$A25,Вводные!$D$5*INDEX(Вводные!$G$13:$G$64,MATCH($A25,Вводные!$A$13:$A$64,0)),0))</f>
        <v>0.0003</v>
      </c>
      <c r="EY25" s="32" t="n">
        <f aca="false">INDEX(Вводные!$D$13:$F$64,MATCH($A25,Вводные!$A$13:$A$64,0),MATCH(EY$3,Вводные!$D$11:$F$11,0))*(1+IF(EY$4=$A25,Вводные!$D$5*INDEX(Вводные!$G$13:$G$64,MATCH($A25,Вводные!$A$13:$A$64,0)),0))</f>
        <v>0.0003</v>
      </c>
      <c r="EZ25" s="32" t="n">
        <f aca="false">INDEX(Вводные!$D$13:$F$64,MATCH($A25,Вводные!$A$13:$A$64,0),MATCH(EZ$3,Вводные!$D$11:$F$11,0))*(1+IF(EZ$4=$A25,Вводные!$D$5*INDEX(Вводные!$G$13:$G$64,MATCH($A25,Вводные!$A$13:$A$64,0)),0))</f>
        <v>0.0003</v>
      </c>
      <c r="FA25" s="32" t="n">
        <f aca="false">INDEX(Вводные!$D$13:$F$64,MATCH($A25,Вводные!$A$13:$A$64,0),MATCH(FA$3,Вводные!$D$11:$F$11,0))*(1+IF(FA$4=$A25,Вводные!$D$5*INDEX(Вводные!$G$13:$G$64,MATCH($A25,Вводные!$A$13:$A$64,0)),0))</f>
        <v>0.0003</v>
      </c>
      <c r="FB25" s="32" t="n">
        <f aca="false">INDEX(Вводные!$D$13:$F$64,MATCH($A25,Вводные!$A$13:$A$64,0),MATCH(FB$3,Вводные!$D$11:$F$11,0))*(1+IF(FB$4=$A25,Вводные!$D$5*INDEX(Вводные!$G$13:$G$64,MATCH($A25,Вводные!$A$13:$A$64,0)),0))</f>
        <v>0.0003</v>
      </c>
      <c r="FC25" s="32" t="n">
        <f aca="false">INDEX(Вводные!$D$13:$F$64,MATCH($A25,Вводные!$A$13:$A$64,0),MATCH(FC$3,Вводные!$D$11:$F$11,0))*(1+IF(FC$4=$A25,Вводные!$D$5*INDEX(Вводные!$G$13:$G$64,MATCH($A25,Вводные!$A$13:$A$64,0)),0))</f>
        <v>0.0003</v>
      </c>
      <c r="FD25" s="32" t="n">
        <f aca="false">INDEX(Вводные!$D$13:$F$64,MATCH($A25,Вводные!$A$13:$A$64,0),MATCH(FD$3,Вводные!$D$11:$F$11,0))*(1+IF(FD$4=$A25,Вводные!$D$5*INDEX(Вводные!$G$13:$G$64,MATCH($A25,Вводные!$A$13:$A$64,0)),0))</f>
        <v>0.0003</v>
      </c>
      <c r="FE25" s="32" t="n">
        <f aca="false">INDEX(Вводные!$D$13:$F$64,MATCH($A25,Вводные!$A$13:$A$64,0),MATCH(FE$3,Вводные!$D$11:$F$11,0))*(1+IF(FE$4=$A25,Вводные!$D$5*INDEX(Вводные!$G$13:$G$64,MATCH($A25,Вводные!$A$13:$A$64,0)),0))</f>
        <v>0.0003</v>
      </c>
      <c r="FF25" s="32" t="n">
        <f aca="false">INDEX(Вводные!$D$13:$F$64,MATCH($A25,Вводные!$A$13:$A$64,0),MATCH(FF$3,Вводные!$D$11:$F$11,0))*(1+IF(FF$4=$A25,Вводные!$D$5*INDEX(Вводные!$G$13:$G$64,MATCH($A25,Вводные!$A$13:$A$64,0)),0))</f>
        <v>0.0003</v>
      </c>
      <c r="FG25" s="32" t="n">
        <f aca="false">INDEX(Вводные!$D$13:$F$64,MATCH($A25,Вводные!$A$13:$A$64,0),MATCH(FG$3,Вводные!$D$11:$F$11,0))*(1+IF(FG$4=$A25,Вводные!$D$5*INDEX(Вводные!$G$13:$G$64,MATCH($A25,Вводные!$A$13:$A$64,0)),0))</f>
        <v>0.0003</v>
      </c>
      <c r="FH25" s="32" t="n">
        <f aca="false">INDEX(Вводные!$D$13:$F$64,MATCH($A25,Вводные!$A$13:$A$64,0),MATCH(FH$3,Вводные!$D$11:$F$11,0))*(1+IF(FH$4=$A25,Вводные!$D$5*INDEX(Вводные!$G$13:$G$64,MATCH($A25,Вводные!$A$13:$A$64,0)),0))</f>
        <v>0.0003</v>
      </c>
      <c r="FI25" s="32" t="n">
        <f aca="false">INDEX(Вводные!$D$13:$F$64,MATCH($A25,Вводные!$A$13:$A$64,0),MATCH(FI$3,Вводные!$D$11:$F$11,0))*(1+IF(FI$4=$A25,Вводные!$D$5*INDEX(Вводные!$G$13:$G$64,MATCH($A25,Вводные!$A$13:$A$64,0)),0))</f>
        <v>0.0003</v>
      </c>
      <c r="FJ25" s="32" t="n">
        <f aca="false">INDEX(Вводные!$D$13:$F$64,MATCH($A25,Вводные!$A$13:$A$64,0),MATCH(FJ$3,Вводные!$D$11:$F$11,0))*(1+IF(FJ$4=$A25,Вводные!$D$5*INDEX(Вводные!$G$13:$G$64,MATCH($A25,Вводные!$A$13:$A$64,0)),0))</f>
        <v>0.0003</v>
      </c>
      <c r="FK25" s="32" t="n">
        <f aca="false">INDEX(Вводные!$D$13:$F$64,MATCH($A25,Вводные!$A$13:$A$64,0),MATCH(FK$3,Вводные!$D$11:$F$11,0))*(1+IF(FK$4=$A25,Вводные!$D$5*INDEX(Вводные!$G$13:$G$64,MATCH($A25,Вводные!$A$13:$A$64,0)),0))</f>
        <v>0.0003</v>
      </c>
      <c r="FL25" s="32" t="n">
        <f aca="false">INDEX(Вводные!$D$13:$F$64,MATCH($A25,Вводные!$A$13:$A$64,0),MATCH(FL$3,Вводные!$D$11:$F$11,0))*(1+IF(FL$4=$A25,Вводные!$D$5*INDEX(Вводные!$G$13:$G$64,MATCH($A25,Вводные!$A$13:$A$64,0)),0))</f>
        <v>0.0003</v>
      </c>
      <c r="FM25" s="32" t="n">
        <f aca="false">INDEX(Вводные!$D$13:$F$64,MATCH($A25,Вводные!$A$13:$A$64,0),MATCH(FM$3,Вводные!$D$11:$F$11,0))*(1+IF(FM$4=$A25,Вводные!$D$5*INDEX(Вводные!$G$13:$G$64,MATCH($A25,Вводные!$A$13:$A$64,0)),0))</f>
        <v>0.0003</v>
      </c>
      <c r="FN25" s="32" t="n">
        <f aca="false">INDEX(Вводные!$D$13:$F$64,MATCH($A25,Вводные!$A$13:$A$64,0),MATCH(FN$3,Вводные!$D$11:$F$11,0))*(1+IF(FN$4=$A25,Вводные!$D$5*INDEX(Вводные!$G$13:$G$64,MATCH($A25,Вводные!$A$13:$A$64,0)),0))</f>
        <v>0.0003</v>
      </c>
      <c r="FO25" s="32" t="n">
        <f aca="false">INDEX(Вводные!$D$13:$F$64,MATCH($A25,Вводные!$A$13:$A$64,0),MATCH(FO$3,Вводные!$D$11:$F$11,0))*(1+IF(FO$4=$A25,Вводные!$D$5*INDEX(Вводные!$G$13:$G$64,MATCH($A25,Вводные!$A$13:$A$64,0)),0))</f>
        <v>0.0003</v>
      </c>
      <c r="FP25" s="32" t="n">
        <f aca="false">INDEX(Вводные!$D$13:$F$64,MATCH($A25,Вводные!$A$13:$A$64,0),MATCH(FP$3,Вводные!$D$11:$F$11,0))*(1+IF(FP$4=$A25,Вводные!$D$5*INDEX(Вводные!$G$13:$G$64,MATCH($A25,Вводные!$A$13:$A$64,0)),0))</f>
        <v>0.0003</v>
      </c>
      <c r="FQ25" s="32" t="n">
        <f aca="false">INDEX(Вводные!$D$13:$F$64,MATCH($A25,Вводные!$A$13:$A$64,0),MATCH(FQ$3,Вводные!$D$11:$F$11,0))*(1+IF(FQ$4=$A25,Вводные!$D$5*INDEX(Вводные!$G$13:$G$64,MATCH($A25,Вводные!$A$13:$A$64,0)),0))</f>
        <v>0.0003</v>
      </c>
      <c r="FR25" s="32" t="n">
        <f aca="false">INDEX(Вводные!$D$13:$F$64,MATCH($A25,Вводные!$A$13:$A$64,0),MATCH(FR$3,Вводные!$D$11:$F$11,0))*(1+IF(FR$4=$A25,Вводные!$D$5*INDEX(Вводные!$G$13:$G$64,MATCH($A25,Вводные!$A$13:$A$64,0)),0))</f>
        <v>0.0003</v>
      </c>
      <c r="FS25" s="32" t="n">
        <f aca="false">INDEX(Вводные!$D$13:$F$64,MATCH($A25,Вводные!$A$13:$A$64,0),MATCH(FS$3,Вводные!$D$11:$F$11,0))*(1+IF(FS$4=$A25,Вводные!$D$5*INDEX(Вводные!$G$13:$G$64,MATCH($A25,Вводные!$A$13:$A$64,0)),0))</f>
        <v>0.0003</v>
      </c>
      <c r="FT25" s="32" t="n">
        <f aca="false">INDEX(Вводные!$D$13:$F$64,MATCH($A25,Вводные!$A$13:$A$64,0),MATCH(FT$3,Вводные!$D$11:$F$11,0))*(1+IF(FT$4=$A25,Вводные!$D$5*INDEX(Вводные!$G$13:$G$64,MATCH($A25,Вводные!$A$13:$A$64,0)),0))</f>
        <v>0.0003</v>
      </c>
      <c r="FU25" s="32" t="n">
        <f aca="false">INDEX(Вводные!$D$13:$F$64,MATCH($A25,Вводные!$A$13:$A$64,0),MATCH(FU$3,Вводные!$D$11:$F$11,0))*(1+IF(FU$4=$A25,Вводные!$D$5*INDEX(Вводные!$G$13:$G$64,MATCH($A25,Вводные!$A$13:$A$64,0)),0))</f>
        <v>0.0003</v>
      </c>
      <c r="FV25" s="32" t="n">
        <f aca="false">INDEX(Вводные!$D$13:$F$64,MATCH($A25,Вводные!$A$13:$A$64,0),MATCH(FV$3,Вводные!$D$11:$F$11,0))*(1+IF(FV$4=$A25,Вводные!$D$5*INDEX(Вводные!$G$13:$G$64,MATCH($A25,Вводные!$A$13:$A$64,0)),0))</f>
        <v>0.0002</v>
      </c>
      <c r="FW25" s="32" t="n">
        <f aca="false">INDEX(Вводные!$D$13:$F$64,MATCH($A25,Вводные!$A$13:$A$64,0),MATCH(FW$3,Вводные!$D$11:$F$11,0))*(1+IF(FW$4=$A25,Вводные!$D$5*INDEX(Вводные!$G$13:$G$64,MATCH($A25,Вводные!$A$13:$A$64,0)),0))</f>
        <v>0.0002</v>
      </c>
      <c r="FX25" s="32" t="n">
        <f aca="false">INDEX(Вводные!$D$13:$F$64,MATCH($A25,Вводные!$A$13:$A$64,0),MATCH(FX$3,Вводные!$D$11:$F$11,0))*(1+IF(FX$4=$A25,Вводные!$D$5*INDEX(Вводные!$G$13:$G$64,MATCH($A25,Вводные!$A$13:$A$64,0)),0))</f>
        <v>0.0002</v>
      </c>
      <c r="FY25" s="32" t="n">
        <f aca="false">INDEX(Вводные!$D$13:$F$64,MATCH($A25,Вводные!$A$13:$A$64,0),MATCH(FY$3,Вводные!$D$11:$F$11,0))*(1+IF(FY$4=$A25,Вводные!$D$5*INDEX(Вводные!$G$13:$G$64,MATCH($A25,Вводные!$A$13:$A$64,0)),0))</f>
        <v>0.0002</v>
      </c>
      <c r="FZ25" s="32" t="n">
        <f aca="false">INDEX(Вводные!$D$13:$F$64,MATCH($A25,Вводные!$A$13:$A$64,0),MATCH(FZ$3,Вводные!$D$11:$F$11,0))*(1+IF(FZ$4=$A25,Вводные!$D$5*INDEX(Вводные!$G$13:$G$64,MATCH($A25,Вводные!$A$13:$A$64,0)),0))</f>
        <v>0.0002</v>
      </c>
      <c r="GA25" s="32" t="n">
        <f aca="false">INDEX(Вводные!$D$13:$F$64,MATCH($A25,Вводные!$A$13:$A$64,0),MATCH(GA$3,Вводные!$D$11:$F$11,0))*(1+IF(GA$4=$A25,Вводные!$D$5*INDEX(Вводные!$G$13:$G$64,MATCH($A25,Вводные!$A$13:$A$64,0)),0))</f>
        <v>0.0002</v>
      </c>
      <c r="GB25" s="32" t="n">
        <f aca="false">INDEX(Вводные!$D$13:$F$64,MATCH($A25,Вводные!$A$13:$A$64,0),MATCH(GB$3,Вводные!$D$11:$F$11,0))*(1+IF(GB$4=$A25,Вводные!$D$5*INDEX(Вводные!$G$13:$G$64,MATCH($A25,Вводные!$A$13:$A$64,0)),0))</f>
        <v>0.0002</v>
      </c>
      <c r="GC25" s="32" t="n">
        <f aca="false">INDEX(Вводные!$D$13:$F$64,MATCH($A25,Вводные!$A$13:$A$64,0),MATCH(GC$3,Вводные!$D$11:$F$11,0))*(1+IF(GC$4=$A25,Вводные!$D$5*INDEX(Вводные!$G$13:$G$64,MATCH($A25,Вводные!$A$13:$A$64,0)),0))</f>
        <v>0.0002</v>
      </c>
      <c r="GD25" s="32" t="n">
        <f aca="false">INDEX(Вводные!$D$13:$F$64,MATCH($A25,Вводные!$A$13:$A$64,0),MATCH(GD$3,Вводные!$D$11:$F$11,0))*(1+IF(GD$4=$A25,Вводные!$D$5*INDEX(Вводные!$G$13:$G$64,MATCH($A25,Вводные!$A$13:$A$64,0)),0))</f>
        <v>0.0002</v>
      </c>
      <c r="GE25" s="32" t="n">
        <f aca="false">INDEX(Вводные!$D$13:$F$64,MATCH($A25,Вводные!$A$13:$A$64,0),MATCH(GE$3,Вводные!$D$11:$F$11,0))*(1+IF(GE$4=$A25,Вводные!$D$5*INDEX(Вводные!$G$13:$G$64,MATCH($A25,Вводные!$A$13:$A$64,0)),0))</f>
        <v>0.000198</v>
      </c>
      <c r="GF25" s="32" t="n">
        <f aca="false">INDEX(Вводные!$D$13:$F$64,MATCH($A25,Вводные!$A$13:$A$64,0),MATCH(GF$3,Вводные!$D$11:$F$11,0))*(1+IF(GF$4=$A25,Вводные!$D$5*INDEX(Вводные!$G$13:$G$64,MATCH($A25,Вводные!$A$13:$A$64,0)),0))</f>
        <v>0.0002</v>
      </c>
      <c r="GG25" s="32" t="n">
        <f aca="false">INDEX(Вводные!$D$13:$F$64,MATCH($A25,Вводные!$A$13:$A$64,0),MATCH(GG$3,Вводные!$D$11:$F$11,0))*(1+IF(GG$4=$A25,Вводные!$D$5*INDEX(Вводные!$G$13:$G$64,MATCH($A25,Вводные!$A$13:$A$64,0)),0))</f>
        <v>0.0002</v>
      </c>
      <c r="GH25" s="32" t="n">
        <f aca="false">INDEX(Вводные!$D$13:$F$64,MATCH($A25,Вводные!$A$13:$A$64,0),MATCH(GH$3,Вводные!$D$11:$F$11,0))*(1+IF(GH$4=$A25,Вводные!$D$5*INDEX(Вводные!$G$13:$G$64,MATCH($A25,Вводные!$A$13:$A$64,0)),0))</f>
        <v>0.0002</v>
      </c>
      <c r="GI25" s="32" t="n">
        <f aca="false">INDEX(Вводные!$D$13:$F$64,MATCH($A25,Вводные!$A$13:$A$64,0),MATCH(GI$3,Вводные!$D$11:$F$11,0))*(1+IF(GI$4=$A25,Вводные!$D$5*INDEX(Вводные!$G$13:$G$64,MATCH($A25,Вводные!$A$13:$A$64,0)),0))</f>
        <v>0.0002</v>
      </c>
      <c r="GJ25" s="32" t="n">
        <f aca="false">INDEX(Вводные!$D$13:$F$64,MATCH($A25,Вводные!$A$13:$A$64,0),MATCH(GJ$3,Вводные!$D$11:$F$11,0))*(1+IF(GJ$4=$A25,Вводные!$D$5*INDEX(Вводные!$G$13:$G$64,MATCH($A25,Вводные!$A$13:$A$64,0)),0))</f>
        <v>0.0002</v>
      </c>
      <c r="GK25" s="32" t="n">
        <f aca="false">INDEX(Вводные!$D$13:$F$64,MATCH($A25,Вводные!$A$13:$A$64,0),MATCH(GK$3,Вводные!$D$11:$F$11,0))*(1+IF(GK$4=$A25,Вводные!$D$5*INDEX(Вводные!$G$13:$G$64,MATCH($A25,Вводные!$A$13:$A$64,0)),0))</f>
        <v>0.0002</v>
      </c>
      <c r="GL25" s="32" t="n">
        <f aca="false">INDEX(Вводные!$D$13:$F$64,MATCH($A25,Вводные!$A$13:$A$64,0),MATCH(GL$3,Вводные!$D$11:$F$11,0))*(1+IF(GL$4=$A25,Вводные!$D$5*INDEX(Вводные!$G$13:$G$64,MATCH($A25,Вводные!$A$13:$A$64,0)),0))</f>
        <v>0.0002</v>
      </c>
      <c r="GM25" s="32" t="n">
        <f aca="false">INDEX(Вводные!$D$13:$F$64,MATCH($A25,Вводные!$A$13:$A$64,0),MATCH(GM$3,Вводные!$D$11:$F$11,0))*(1+IF(GM$4=$A25,Вводные!$D$5*INDEX(Вводные!$G$13:$G$64,MATCH($A25,Вводные!$A$13:$A$64,0)),0))</f>
        <v>0.0002</v>
      </c>
      <c r="GN25" s="32" t="n">
        <f aca="false">INDEX(Вводные!$D$13:$F$64,MATCH($A25,Вводные!$A$13:$A$64,0),MATCH(GN$3,Вводные!$D$11:$F$11,0))*(1+IF(GN$4=$A25,Вводные!$D$5*INDEX(Вводные!$G$13:$G$64,MATCH($A25,Вводные!$A$13:$A$64,0)),0))</f>
        <v>0.0002</v>
      </c>
      <c r="GO25" s="32" t="n">
        <f aca="false">INDEX(Вводные!$D$13:$F$64,MATCH($A25,Вводные!$A$13:$A$64,0),MATCH(GO$3,Вводные!$D$11:$F$11,0))*(1+IF(GO$4=$A25,Вводные!$D$5*INDEX(Вводные!$G$13:$G$64,MATCH($A25,Вводные!$A$13:$A$64,0)),0))</f>
        <v>0.0002</v>
      </c>
      <c r="GP25" s="32" t="n">
        <f aca="false">INDEX(Вводные!$D$13:$F$64,MATCH($A25,Вводные!$A$13:$A$64,0),MATCH(GP$3,Вводные!$D$11:$F$11,0))*(1+IF(GP$4=$A25,Вводные!$D$5*INDEX(Вводные!$G$13:$G$64,MATCH($A25,Вводные!$A$13:$A$64,0)),0))</f>
        <v>0.0002</v>
      </c>
      <c r="GQ25" s="32" t="n">
        <f aca="false">INDEX(Вводные!$D$13:$F$64,MATCH($A25,Вводные!$A$13:$A$64,0),MATCH(GQ$3,Вводные!$D$11:$F$11,0))*(1+IF(GQ$4=$A25,Вводные!$D$5*INDEX(Вводные!$G$13:$G$64,MATCH($A25,Вводные!$A$13:$A$64,0)),0))</f>
        <v>0.0002</v>
      </c>
      <c r="GR25" s="32" t="n">
        <f aca="false">INDEX(Вводные!$D$13:$F$64,MATCH($A25,Вводные!$A$13:$A$64,0),MATCH(GR$3,Вводные!$D$11:$F$11,0))*(1+IF(GR$4=$A25,Вводные!$D$5*INDEX(Вводные!$G$13:$G$64,MATCH($A25,Вводные!$A$13:$A$64,0)),0))</f>
        <v>0.0002</v>
      </c>
      <c r="GS25" s="32" t="n">
        <f aca="false">INDEX(Вводные!$D$13:$F$64,MATCH($A25,Вводные!$A$13:$A$64,0),MATCH(GS$3,Вводные!$D$11:$F$11,0))*(1+IF(GS$4=$A25,Вводные!$D$5*INDEX(Вводные!$G$13:$G$64,MATCH($A25,Вводные!$A$13:$A$64,0)),0))</f>
        <v>0.0002</v>
      </c>
      <c r="GT25" s="32" t="n">
        <f aca="false">INDEX(Вводные!$D$13:$F$64,MATCH($A25,Вводные!$A$13:$A$64,0),MATCH(GT$3,Вводные!$D$11:$F$11,0))*(1+IF(GT$4=$A25,Вводные!$D$5*INDEX(Вводные!$G$13:$G$64,MATCH($A25,Вводные!$A$13:$A$64,0)),0))</f>
        <v>0.0002</v>
      </c>
      <c r="GU25" s="32" t="n">
        <f aca="false">INDEX(Вводные!$D$13:$F$64,MATCH($A25,Вводные!$A$13:$A$64,0),MATCH(GU$3,Вводные!$D$11:$F$11,0))*(1+IF(GU$4=$A25,Вводные!$D$5*INDEX(Вводные!$G$13:$G$64,MATCH($A25,Вводные!$A$13:$A$64,0)),0))</f>
        <v>0.0002</v>
      </c>
      <c r="GV25" s="32" t="n">
        <f aca="false">INDEX(Вводные!$D$13:$F$64,MATCH($A25,Вводные!$A$13:$A$64,0),MATCH(GV$3,Вводные!$D$11:$F$11,0))*(1+IF(GV$4=$A25,Вводные!$D$5*INDEX(Вводные!$G$13:$G$64,MATCH($A25,Вводные!$A$13:$A$64,0)),0))</f>
        <v>0.0002</v>
      </c>
      <c r="GW25" s="32" t="n">
        <f aca="false">INDEX(Вводные!$D$13:$F$64,MATCH($A25,Вводные!$A$13:$A$64,0),MATCH(GW$3,Вводные!$D$11:$F$11,0))*(1+IF(GW$4=$A25,Вводные!$D$5*INDEX(Вводные!$G$13:$G$64,MATCH($A25,Вводные!$A$13:$A$64,0)),0))</f>
        <v>0.0002</v>
      </c>
      <c r="GX25" s="32" t="n">
        <f aca="false">INDEX(Вводные!$D$13:$F$64,MATCH($A25,Вводные!$A$13:$A$64,0),MATCH(GX$3,Вводные!$D$11:$F$11,0))*(1+IF(GX$4=$A25,Вводные!$D$5*INDEX(Вводные!$G$13:$G$64,MATCH($A25,Вводные!$A$13:$A$64,0)),0))</f>
        <v>0.0002</v>
      </c>
      <c r="GY25" s="32" t="n">
        <f aca="false">INDEX(Вводные!$D$13:$F$64,MATCH($A25,Вводные!$A$13:$A$64,0),MATCH(GY$3,Вводные!$D$11:$F$11,0))*(1+IF(GY$4=$A25,Вводные!$D$5*INDEX(Вводные!$G$13:$G$64,MATCH($A25,Вводные!$A$13:$A$64,0)),0))</f>
        <v>0.0002</v>
      </c>
      <c r="GZ25" s="32" t="n">
        <f aca="false">INDEX(Вводные!$D$13:$F$64,MATCH($A25,Вводные!$A$13:$A$64,0),MATCH(GZ$3,Вводные!$D$11:$F$11,0))*(1+IF(GZ$4=$A25,Вводные!$D$5*INDEX(Вводные!$G$13:$G$64,MATCH($A25,Вводные!$A$13:$A$64,0)),0))</f>
        <v>0.0002</v>
      </c>
      <c r="HA25" s="32" t="n">
        <f aca="false">INDEX(Вводные!$D$13:$F$64,MATCH($A25,Вводные!$A$13:$A$64,0),MATCH(HA$3,Вводные!$D$11:$F$11,0))*(1+IF(HA$4=$A25,Вводные!$D$5*INDEX(Вводные!$G$13:$G$64,MATCH($A25,Вводные!$A$13:$A$64,0)),0))</f>
        <v>0.0002</v>
      </c>
      <c r="HB25" s="32" t="n">
        <f aca="false">INDEX(Вводные!$D$13:$F$64,MATCH($A25,Вводные!$A$13:$A$64,0),MATCH(HB$3,Вводные!$D$11:$F$11,0))*(1+IF(HB$4=$A25,Вводные!$D$5*INDEX(Вводные!$G$13:$G$64,MATCH($A25,Вводные!$A$13:$A$64,0)),0))</f>
        <v>0.0002</v>
      </c>
      <c r="HC25" s="32" t="n">
        <f aca="false">INDEX(Вводные!$D$13:$F$64,MATCH($A25,Вводные!$A$13:$A$64,0),MATCH(HC$3,Вводные!$D$11:$F$11,0))*(1+IF(HC$4=$A25,Вводные!$D$5*INDEX(Вводные!$G$13:$G$64,MATCH($A25,Вводные!$A$13:$A$64,0)),0))</f>
        <v>0.0002</v>
      </c>
      <c r="HD25" s="32" t="n">
        <f aca="false">INDEX(Вводные!$D$13:$F$64,MATCH($A25,Вводные!$A$13:$A$64,0),MATCH(HD$3,Вводные!$D$11:$F$11,0))*(1+IF(HD$4=$A25,Вводные!$D$5*INDEX(Вводные!$G$13:$G$64,MATCH($A25,Вводные!$A$13:$A$64,0)),0))</f>
        <v>0.0002</v>
      </c>
      <c r="HE25" s="32" t="n">
        <f aca="false">INDEX(Вводные!$D$13:$F$64,MATCH($A25,Вводные!$A$13:$A$64,0),MATCH(HE$3,Вводные!$D$11:$F$11,0))*(1+IF(HE$4=$A25,Вводные!$D$5*INDEX(Вводные!$G$13:$G$64,MATCH($A25,Вводные!$A$13:$A$64,0)),0))</f>
        <v>0.0002</v>
      </c>
      <c r="HF25" s="32" t="n">
        <f aca="false">INDEX(Вводные!$D$13:$F$64,MATCH($A25,Вводные!$A$13:$A$64,0),MATCH(HF$3,Вводные!$D$11:$F$11,0))*(1+IF(HF$4=$A25,Вводные!$D$5*INDEX(Вводные!$G$13:$G$64,MATCH($A25,Вводные!$A$13:$A$64,0)),0))</f>
        <v>0.0002</v>
      </c>
      <c r="HG25" s="32" t="n">
        <f aca="false">INDEX(Вводные!$D$13:$F$64,MATCH($A25,Вводные!$A$13:$A$64,0),MATCH(HG$3,Вводные!$D$11:$F$11,0))*(1+IF(HG$4=$A25,Вводные!$D$5*INDEX(Вводные!$G$13:$G$64,MATCH($A25,Вводные!$A$13:$A$64,0)),0))</f>
        <v>0.0002</v>
      </c>
      <c r="HH25" s="32" t="n">
        <f aca="false">INDEX(Вводные!$D$13:$F$64,MATCH($A25,Вводные!$A$13:$A$64,0),MATCH(HH$3,Вводные!$D$11:$F$11,0))*(1+IF(HH$4=$A25,Вводные!$D$5*INDEX(Вводные!$G$13:$G$64,MATCH($A25,Вводные!$A$13:$A$64,0)),0))</f>
        <v>0.0002</v>
      </c>
      <c r="HI25" s="32" t="n">
        <f aca="false">INDEX(Вводные!$D$13:$F$64,MATCH($A25,Вводные!$A$13:$A$64,0),MATCH(HI$3,Вводные!$D$11:$F$11,0))*(1+IF(HI$4=$A25,Вводные!$D$5*INDEX(Вводные!$G$13:$G$64,MATCH($A25,Вводные!$A$13:$A$64,0)),0))</f>
        <v>0.0002</v>
      </c>
      <c r="HJ25" s="32" t="n">
        <f aca="false">INDEX(Вводные!$D$13:$F$64,MATCH($A25,Вводные!$A$13:$A$64,0),MATCH(HJ$3,Вводные!$D$11:$F$11,0))*(1+IF(HJ$4=$A25,Вводные!$D$5*INDEX(Вводные!$G$13:$G$64,MATCH($A25,Вводные!$A$13:$A$64,0)),0))</f>
        <v>0.0002</v>
      </c>
      <c r="HK25" s="32" t="n">
        <f aca="false">INDEX(Вводные!$D$13:$F$64,MATCH($A25,Вводные!$A$13:$A$64,0),MATCH(HK$3,Вводные!$D$11:$F$11,0))*(1+IF(HK$4=$A25,Вводные!$D$5*INDEX(Вводные!$G$13:$G$64,MATCH($A25,Вводные!$A$13:$A$64,0)),0))</f>
        <v>0.0002</v>
      </c>
      <c r="HL25" s="32" t="n">
        <f aca="false">INDEX(Вводные!$D$13:$F$64,MATCH($A25,Вводные!$A$13:$A$64,0),MATCH(HL$3,Вводные!$D$11:$F$11,0))*(1+IF(HL$4=$A25,Вводные!$D$5*INDEX(Вводные!$G$13:$G$64,MATCH($A25,Вводные!$A$13:$A$64,0)),0))</f>
        <v>8E-005</v>
      </c>
      <c r="HM25" s="32" t="n">
        <f aca="false">INDEX(Вводные!$D$13:$F$64,MATCH($A25,Вводные!$A$13:$A$64,0),MATCH(HM$3,Вводные!$D$11:$F$11,0))*(1+IF(HM$4=$A25,Вводные!$D$5*INDEX(Вводные!$G$13:$G$64,MATCH($A25,Вводные!$A$13:$A$64,0)),0))</f>
        <v>8E-005</v>
      </c>
      <c r="HN25" s="32" t="n">
        <f aca="false">INDEX(Вводные!$D$13:$F$64,MATCH($A25,Вводные!$A$13:$A$64,0),MATCH(HN$3,Вводные!$D$11:$F$11,0))*(1+IF(HN$4=$A25,Вводные!$D$5*INDEX(Вводные!$G$13:$G$64,MATCH($A25,Вводные!$A$13:$A$64,0)),0))</f>
        <v>8E-005</v>
      </c>
      <c r="HO25" s="32" t="n">
        <f aca="false">INDEX(Вводные!$D$13:$F$64,MATCH($A25,Вводные!$A$13:$A$64,0),MATCH(HO$3,Вводные!$D$11:$F$11,0))*(1+IF(HO$4=$A25,Вводные!$D$5*INDEX(Вводные!$G$13:$G$64,MATCH($A25,Вводные!$A$13:$A$64,0)),0))</f>
        <v>8E-005</v>
      </c>
      <c r="HP25" s="32" t="n">
        <f aca="false">INDEX(Вводные!$D$13:$F$64,MATCH($A25,Вводные!$A$13:$A$64,0),MATCH(HP$3,Вводные!$D$11:$F$11,0))*(1+IF(HP$4=$A25,Вводные!$D$5*INDEX(Вводные!$G$13:$G$64,MATCH($A25,Вводные!$A$13:$A$64,0)),0))</f>
        <v>8E-005</v>
      </c>
      <c r="HQ25" s="32" t="n">
        <f aca="false">INDEX(Вводные!$D$13:$F$64,MATCH($A25,Вводные!$A$13:$A$64,0),MATCH(HQ$3,Вводные!$D$11:$F$11,0))*(1+IF(HQ$4=$A25,Вводные!$D$5*INDEX(Вводные!$G$13:$G$64,MATCH($A25,Вводные!$A$13:$A$64,0)),0))</f>
        <v>8E-005</v>
      </c>
      <c r="HR25" s="32" t="n">
        <f aca="false">INDEX(Вводные!$D$13:$F$64,MATCH($A25,Вводные!$A$13:$A$64,0),MATCH(HR$3,Вводные!$D$11:$F$11,0))*(1+IF(HR$4=$A25,Вводные!$D$5*INDEX(Вводные!$G$13:$G$64,MATCH($A25,Вводные!$A$13:$A$64,0)),0))</f>
        <v>8E-005</v>
      </c>
      <c r="HS25" s="32" t="n">
        <f aca="false">INDEX(Вводные!$D$13:$F$64,MATCH($A25,Вводные!$A$13:$A$64,0),MATCH(HS$3,Вводные!$D$11:$F$11,0))*(1+IF(HS$4=$A25,Вводные!$D$5*INDEX(Вводные!$G$13:$G$64,MATCH($A25,Вводные!$A$13:$A$64,0)),0))</f>
        <v>8E-005</v>
      </c>
      <c r="HT25" s="32" t="n">
        <f aca="false">INDEX(Вводные!$D$13:$F$64,MATCH($A25,Вводные!$A$13:$A$64,0),MATCH(HT$3,Вводные!$D$11:$F$11,0))*(1+IF(HT$4=$A25,Вводные!$D$5*INDEX(Вводные!$G$13:$G$64,MATCH($A25,Вводные!$A$13:$A$64,0)),0))</f>
        <v>8E-005</v>
      </c>
      <c r="HU25" s="32" t="n">
        <f aca="false">INDEX(Вводные!$D$13:$F$64,MATCH($A25,Вводные!$A$13:$A$64,0),MATCH(HU$3,Вводные!$D$11:$F$11,0))*(1+IF(HU$4=$A25,Вводные!$D$5*INDEX(Вводные!$G$13:$G$64,MATCH($A25,Вводные!$A$13:$A$64,0)),0))</f>
        <v>7.92E-005</v>
      </c>
      <c r="HV25" s="32" t="n">
        <f aca="false">INDEX(Вводные!$D$13:$F$64,MATCH($A25,Вводные!$A$13:$A$64,0),MATCH(HV$3,Вводные!$D$11:$F$11,0))*(1+IF(HV$4=$A25,Вводные!$D$5*INDEX(Вводные!$G$13:$G$64,MATCH($A25,Вводные!$A$13:$A$64,0)),0))</f>
        <v>8E-005</v>
      </c>
      <c r="HW25" s="32" t="n">
        <f aca="false">INDEX(Вводные!$D$13:$F$64,MATCH($A25,Вводные!$A$13:$A$64,0),MATCH(HW$3,Вводные!$D$11:$F$11,0))*(1+IF(HW$4=$A25,Вводные!$D$5*INDEX(Вводные!$G$13:$G$64,MATCH($A25,Вводные!$A$13:$A$64,0)),0))</f>
        <v>8E-005</v>
      </c>
      <c r="HX25" s="32" t="n">
        <f aca="false">INDEX(Вводные!$D$13:$F$64,MATCH($A25,Вводные!$A$13:$A$64,0),MATCH(HX$3,Вводные!$D$11:$F$11,0))*(1+IF(HX$4=$A25,Вводные!$D$5*INDEX(Вводные!$G$13:$G$64,MATCH($A25,Вводные!$A$13:$A$64,0)),0))</f>
        <v>8E-005</v>
      </c>
      <c r="HY25" s="32" t="n">
        <f aca="false">INDEX(Вводные!$D$13:$F$64,MATCH($A25,Вводные!$A$13:$A$64,0),MATCH(HY$3,Вводные!$D$11:$F$11,0))*(1+IF(HY$4=$A25,Вводные!$D$5*INDEX(Вводные!$G$13:$G$64,MATCH($A25,Вводные!$A$13:$A$64,0)),0))</f>
        <v>8E-005</v>
      </c>
      <c r="HZ25" s="32" t="n">
        <f aca="false">INDEX(Вводные!$D$13:$F$64,MATCH($A25,Вводные!$A$13:$A$64,0),MATCH(HZ$3,Вводные!$D$11:$F$11,0))*(1+IF(HZ$4=$A25,Вводные!$D$5*INDEX(Вводные!$G$13:$G$64,MATCH($A25,Вводные!$A$13:$A$64,0)),0))</f>
        <v>8E-005</v>
      </c>
      <c r="IA25" s="32" t="n">
        <f aca="false">INDEX(Вводные!$D$13:$F$64,MATCH($A25,Вводные!$A$13:$A$64,0),MATCH(IA$3,Вводные!$D$11:$F$11,0))*(1+IF(IA$4=$A25,Вводные!$D$5*INDEX(Вводные!$G$13:$G$64,MATCH($A25,Вводные!$A$13:$A$64,0)),0))</f>
        <v>8E-005</v>
      </c>
      <c r="IB25" s="32" t="n">
        <f aca="false">INDEX(Вводные!$D$13:$F$64,MATCH($A25,Вводные!$A$13:$A$64,0),MATCH(IB$3,Вводные!$D$11:$F$11,0))*(1+IF(IB$4=$A25,Вводные!$D$5*INDEX(Вводные!$G$13:$G$64,MATCH($A25,Вводные!$A$13:$A$64,0)),0))</f>
        <v>8E-005</v>
      </c>
      <c r="IC25" s="32" t="n">
        <f aca="false">INDEX(Вводные!$D$13:$F$64,MATCH($A25,Вводные!$A$13:$A$64,0),MATCH(IC$3,Вводные!$D$11:$F$11,0))*(1+IF(IC$4=$A25,Вводные!$D$5*INDEX(Вводные!$G$13:$G$64,MATCH($A25,Вводные!$A$13:$A$64,0)),0))</f>
        <v>8E-005</v>
      </c>
      <c r="ID25" s="32" t="n">
        <f aca="false">INDEX(Вводные!$D$13:$F$64,MATCH($A25,Вводные!$A$13:$A$64,0),MATCH(ID$3,Вводные!$D$11:$F$11,0))*(1+IF(ID$4=$A25,Вводные!$D$5*INDEX(Вводные!$G$13:$G$64,MATCH($A25,Вводные!$A$13:$A$64,0)),0))</f>
        <v>8E-005</v>
      </c>
      <c r="IE25" s="32" t="n">
        <f aca="false">INDEX(Вводные!$D$13:$F$64,MATCH($A25,Вводные!$A$13:$A$64,0),MATCH(IE$3,Вводные!$D$11:$F$11,0))*(1+IF(IE$4=$A25,Вводные!$D$5*INDEX(Вводные!$G$13:$G$64,MATCH($A25,Вводные!$A$13:$A$64,0)),0))</f>
        <v>8E-005</v>
      </c>
      <c r="IF25" s="32" t="n">
        <f aca="false">INDEX(Вводные!$D$13:$F$64,MATCH($A25,Вводные!$A$13:$A$64,0),MATCH(IF$3,Вводные!$D$11:$F$11,0))*(1+IF(IF$4=$A25,Вводные!$D$5*INDEX(Вводные!$G$13:$G$64,MATCH($A25,Вводные!$A$13:$A$64,0)),0))</f>
        <v>8E-005</v>
      </c>
      <c r="IG25" s="32" t="n">
        <f aca="false">INDEX(Вводные!$D$13:$F$64,MATCH($A25,Вводные!$A$13:$A$64,0),MATCH(IG$3,Вводные!$D$11:$F$11,0))*(1+IF(IG$4=$A25,Вводные!$D$5*INDEX(Вводные!$G$13:$G$64,MATCH($A25,Вводные!$A$13:$A$64,0)),0))</f>
        <v>8E-005</v>
      </c>
      <c r="IH25" s="32" t="n">
        <f aca="false">INDEX(Вводные!$D$13:$F$64,MATCH($A25,Вводные!$A$13:$A$64,0),MATCH(IH$3,Вводные!$D$11:$F$11,0))*(1+IF(IH$4=$A25,Вводные!$D$5*INDEX(Вводные!$G$13:$G$64,MATCH($A25,Вводные!$A$13:$A$64,0)),0))</f>
        <v>8E-005</v>
      </c>
      <c r="II25" s="32" t="n">
        <f aca="false">INDEX(Вводные!$D$13:$F$64,MATCH($A25,Вводные!$A$13:$A$64,0),MATCH(II$3,Вводные!$D$11:$F$11,0))*(1+IF(II$4=$A25,Вводные!$D$5*INDEX(Вводные!$G$13:$G$64,MATCH($A25,Вводные!$A$13:$A$64,0)),0))</f>
        <v>8E-005</v>
      </c>
      <c r="IJ25" s="32" t="n">
        <f aca="false">INDEX(Вводные!$D$13:$F$64,MATCH($A25,Вводные!$A$13:$A$64,0),MATCH(IJ$3,Вводные!$D$11:$F$11,0))*(1+IF(IJ$4=$A25,Вводные!$D$5*INDEX(Вводные!$G$13:$G$64,MATCH($A25,Вводные!$A$13:$A$64,0)),0))</f>
        <v>8E-005</v>
      </c>
      <c r="IK25" s="32" t="n">
        <f aca="false">INDEX(Вводные!$D$13:$F$64,MATCH($A25,Вводные!$A$13:$A$64,0),MATCH(IK$3,Вводные!$D$11:$F$11,0))*(1+IF(IK$4=$A25,Вводные!$D$5*INDEX(Вводные!$G$13:$G$64,MATCH($A25,Вводные!$A$13:$A$64,0)),0))</f>
        <v>8E-005</v>
      </c>
      <c r="IL25" s="32" t="n">
        <f aca="false">INDEX(Вводные!$D$13:$F$64,MATCH($A25,Вводные!$A$13:$A$64,0),MATCH(IL$3,Вводные!$D$11:$F$11,0))*(1+IF(IL$4=$A25,Вводные!$D$5*INDEX(Вводные!$G$13:$G$64,MATCH($A25,Вводные!$A$13:$A$64,0)),0))</f>
        <v>8E-005</v>
      </c>
      <c r="IM25" s="32" t="n">
        <f aca="false">INDEX(Вводные!$D$13:$F$64,MATCH($A25,Вводные!$A$13:$A$64,0),MATCH(IM$3,Вводные!$D$11:$F$11,0))*(1+IF(IM$4=$A25,Вводные!$D$5*INDEX(Вводные!$G$13:$G$64,MATCH($A25,Вводные!$A$13:$A$64,0)),0))</f>
        <v>8E-005</v>
      </c>
      <c r="IN25" s="32" t="n">
        <f aca="false">INDEX(Вводные!$D$13:$F$64,MATCH($A25,Вводные!$A$13:$A$64,0),MATCH(IN$3,Вводные!$D$11:$F$11,0))*(1+IF(IN$4=$A25,Вводные!$D$5*INDEX(Вводные!$G$13:$G$64,MATCH($A25,Вводные!$A$13:$A$64,0)),0))</f>
        <v>8E-005</v>
      </c>
      <c r="IO25" s="32" t="n">
        <f aca="false">INDEX(Вводные!$D$13:$F$64,MATCH($A25,Вводные!$A$13:$A$64,0),MATCH(IO$3,Вводные!$D$11:$F$11,0))*(1+IF(IO$4=$A25,Вводные!$D$5*INDEX(Вводные!$G$13:$G$64,MATCH($A25,Вводные!$A$13:$A$64,0)),0))</f>
        <v>8E-005</v>
      </c>
      <c r="IP25" s="32" t="n">
        <f aca="false">INDEX(Вводные!$D$13:$F$64,MATCH($A25,Вводные!$A$13:$A$64,0),MATCH(IP$3,Вводные!$D$11:$F$11,0))*(1+IF(IP$4=$A25,Вводные!$D$5*INDEX(Вводные!$G$13:$G$64,MATCH($A25,Вводные!$A$13:$A$64,0)),0))</f>
        <v>8E-005</v>
      </c>
      <c r="IQ25" s="32" t="n">
        <f aca="false">INDEX(Вводные!$D$13:$F$64,MATCH($A25,Вводные!$A$13:$A$64,0),MATCH(IQ$3,Вводные!$D$11:$F$11,0))*(1+IF(IQ$4=$A25,Вводные!$D$5*INDEX(Вводные!$G$13:$G$64,MATCH($A25,Вводные!$A$13:$A$64,0)),0))</f>
        <v>8E-005</v>
      </c>
      <c r="IR25" s="32" t="n">
        <f aca="false">INDEX(Вводные!$D$13:$F$64,MATCH($A25,Вводные!$A$13:$A$64,0),MATCH(IR$3,Вводные!$D$11:$F$11,0))*(1+IF(IR$4=$A25,Вводные!$D$5*INDEX(Вводные!$G$13:$G$64,MATCH($A25,Вводные!$A$13:$A$64,0)),0))</f>
        <v>8E-005</v>
      </c>
      <c r="IS25" s="32" t="n">
        <f aca="false">INDEX(Вводные!$D$13:$F$64,MATCH($A25,Вводные!$A$13:$A$64,0),MATCH(IS$3,Вводные!$D$11:$F$11,0))*(1+IF(IS$4=$A25,Вводные!$D$5*INDEX(Вводные!$G$13:$G$64,MATCH($A25,Вводные!$A$13:$A$64,0)),0))</f>
        <v>8E-005</v>
      </c>
      <c r="IT25" s="32" t="n">
        <f aca="false">INDEX(Вводные!$D$13:$F$64,MATCH($A25,Вводные!$A$13:$A$64,0),MATCH(IT$3,Вводные!$D$11:$F$11,0))*(1+IF(IT$4=$A25,Вводные!$D$5*INDEX(Вводные!$G$13:$G$64,MATCH($A25,Вводные!$A$13:$A$64,0)),0))</f>
        <v>8E-005</v>
      </c>
      <c r="IU25" s="32" t="n">
        <f aca="false">INDEX(Вводные!$D$13:$F$64,MATCH($A25,Вводные!$A$13:$A$64,0),MATCH(IU$3,Вводные!$D$11:$F$11,0))*(1+IF(IU$4=$A25,Вводные!$D$5*INDEX(Вводные!$G$13:$G$64,MATCH($A25,Вводные!$A$13:$A$64,0)),0))</f>
        <v>8E-005</v>
      </c>
      <c r="IV25" s="32" t="n">
        <f aca="false">INDEX(Вводные!$D$13:$F$64,MATCH($A25,Вводные!$A$13:$A$64,0),MATCH(IV$3,Вводные!$D$11:$F$11,0))*(1+IF(IV$4=$A25,Вводные!$D$5*INDEX(Вводные!$G$13:$G$64,MATCH($A25,Вводные!$A$13:$A$64,0)),0))</f>
        <v>8E-005</v>
      </c>
      <c r="IW25" s="32" t="n">
        <f aca="false">INDEX(Вводные!$D$13:$F$64,MATCH($A25,Вводные!$A$13:$A$64,0),MATCH(IW$3,Вводные!$D$11:$F$11,0))*(1+IF(IW$4=$A25,Вводные!$D$5*INDEX(Вводные!$G$13:$G$64,MATCH($A25,Вводные!$A$13:$A$64,0)),0))</f>
        <v>8E-005</v>
      </c>
      <c r="IX25" s="32" t="n">
        <f aca="false">INDEX(Вводные!$D$13:$F$64,MATCH($A25,Вводные!$A$13:$A$64,0),MATCH(IX$3,Вводные!$D$11:$F$11,0))*(1+IF(IX$4=$A25,Вводные!$D$5*INDEX(Вводные!$G$13:$G$64,MATCH($A25,Вводные!$A$13:$A$64,0)),0))</f>
        <v>8E-005</v>
      </c>
      <c r="IY25" s="32" t="n">
        <f aca="false">INDEX(Вводные!$D$13:$F$64,MATCH($A25,Вводные!$A$13:$A$64,0),MATCH(IY$3,Вводные!$D$11:$F$11,0))*(1+IF(IY$4=$A25,Вводные!$D$5*INDEX(Вводные!$G$13:$G$64,MATCH($A25,Вводные!$A$13:$A$64,0)),0))</f>
        <v>8E-005</v>
      </c>
      <c r="IZ25" s="32" t="n">
        <f aca="false">INDEX(Вводные!$D$13:$F$64,MATCH($A25,Вводные!$A$13:$A$64,0),MATCH(IZ$3,Вводные!$D$11:$F$11,0))*(1+IF(IZ$4=$A25,Вводные!$D$5*INDEX(Вводные!$G$13:$G$64,MATCH($A25,Вводные!$A$13:$A$64,0)),0))</f>
        <v>8E-005</v>
      </c>
      <c r="JA25" s="32" t="n">
        <f aca="false">INDEX(Вводные!$D$13:$F$64,MATCH($A25,Вводные!$A$13:$A$64,0),MATCH(JA$3,Вводные!$D$11:$F$11,0))*(1+IF(JA$4=$A25,Вводные!$D$5*INDEX(Вводные!$G$13:$G$64,MATCH($A25,Вводные!$A$13:$A$64,0)),0))</f>
        <v>8E-005</v>
      </c>
    </row>
    <row r="26" customFormat="false" ht="15" hidden="false" customHeight="false" outlineLevel="0" collapsed="false">
      <c r="A26" s="2" t="s">
        <v>97</v>
      </c>
      <c r="B26" s="13" t="s">
        <v>98</v>
      </c>
      <c r="C26" s="13" t="s">
        <v>179</v>
      </c>
      <c r="D26" s="9" t="s">
        <v>182</v>
      </c>
      <c r="E26" s="59" t="n">
        <f aca="false">E23*(E24-E25)</f>
        <v>12268368</v>
      </c>
      <c r="F26" s="59" t="n">
        <f aca="false">F23*(F24-F25)</f>
        <v>4188492</v>
      </c>
      <c r="G26" s="59" t="n">
        <f aca="false">G23*(G24-G25)</f>
        <v>6020352</v>
      </c>
      <c r="H26" s="59" t="n">
        <f aca="false">SUM(E26:G26)</f>
        <v>22477212</v>
      </c>
      <c r="J26" s="59" t="n">
        <f aca="false">J23*(J24-J25)</f>
        <v>12268368</v>
      </c>
      <c r="K26" s="59" t="n">
        <f aca="false">K23*(K24-K25)</f>
        <v>12277349.28</v>
      </c>
      <c r="L26" s="59" t="n">
        <f aca="false">L23*(L24-L25)</f>
        <v>12277349.28</v>
      </c>
      <c r="M26" s="59" t="n">
        <f aca="false">M23*(M24-M25)</f>
        <v>12277349.28</v>
      </c>
      <c r="N26" s="59" t="n">
        <f aca="false">N23*(N24-N25)</f>
        <v>12275625.6</v>
      </c>
      <c r="O26" s="59" t="n">
        <f aca="false">O23*(O24-O25)</f>
        <v>12391051.68</v>
      </c>
      <c r="P26" s="59" t="n">
        <f aca="false">P23*(P24-P25)</f>
        <v>12391051.68</v>
      </c>
      <c r="Q26" s="59" t="n">
        <f aca="false">Q23*(Q24-Q25)</f>
        <v>12391051.68</v>
      </c>
      <c r="R26" s="59" t="n">
        <f aca="false">R23*(R24-R25)</f>
        <v>12421722.6</v>
      </c>
      <c r="S26" s="59" t="n">
        <f aca="false">S23*(S24-S25)</f>
        <v>12299038.92</v>
      </c>
      <c r="T26" s="59" t="n">
        <f aca="false">T23*(T24-T25)</f>
        <v>12268368</v>
      </c>
      <c r="U26" s="59" t="n">
        <f aca="false">U23*(U24-U25)</f>
        <v>12268368</v>
      </c>
      <c r="V26" s="59" t="n">
        <f aca="false">V23*(V24-V25)</f>
        <v>12268368</v>
      </c>
      <c r="W26" s="59" t="n">
        <f aca="false">W23*(W24-W25)</f>
        <v>12268368</v>
      </c>
      <c r="X26" s="59" t="n">
        <f aca="false">X23*(X24-X25)</f>
        <v>12268368</v>
      </c>
      <c r="Y26" s="59" t="n">
        <f aca="false">Y23*(Y24-Y25)</f>
        <v>12268368</v>
      </c>
      <c r="Z26" s="59" t="n">
        <f aca="false">Z23*(Z24-Z25)</f>
        <v>12268368</v>
      </c>
      <c r="AA26" s="59" t="n">
        <f aca="false">AA23*(AA24-AA25)</f>
        <v>12268368</v>
      </c>
      <c r="AB26" s="59" t="n">
        <f aca="false">AB23*(AB24-AB25)</f>
        <v>12268368</v>
      </c>
      <c r="AC26" s="59" t="n">
        <f aca="false">AC23*(AC24-AC25)</f>
        <v>12268368</v>
      </c>
      <c r="AD26" s="59" t="n">
        <f aca="false">AD23*(AD24-AD25)</f>
        <v>12268368</v>
      </c>
      <c r="AE26" s="59" t="n">
        <f aca="false">AE23*(AE24-AE25)</f>
        <v>12268368</v>
      </c>
      <c r="AF26" s="59" t="n">
        <f aca="false">AF23*(AF24-AF25)</f>
        <v>12268368</v>
      </c>
      <c r="AG26" s="59" t="n">
        <f aca="false">AG23*(AG24-AG25)</f>
        <v>12268368</v>
      </c>
      <c r="AH26" s="59" t="n">
        <f aca="false">AH23*(AH24-AH25)</f>
        <v>12268368</v>
      </c>
      <c r="AI26" s="59" t="n">
        <f aca="false">AI23*(AI24-AI25)</f>
        <v>12268368</v>
      </c>
      <c r="AJ26" s="59" t="n">
        <f aca="false">AJ23*(AJ24-AJ25)</f>
        <v>12268368</v>
      </c>
      <c r="AK26" s="59" t="n">
        <f aca="false">AK23*(AK24-AK25)</f>
        <v>12268368</v>
      </c>
      <c r="AL26" s="59" t="n">
        <f aca="false">AL23*(AL24-AL25)</f>
        <v>12268368</v>
      </c>
      <c r="AM26" s="59" t="n">
        <f aca="false">AM23*(AM24-AM25)</f>
        <v>12268368</v>
      </c>
      <c r="AN26" s="59" t="n">
        <f aca="false">AN23*(AN24-AN25)</f>
        <v>12268368</v>
      </c>
      <c r="AO26" s="59" t="n">
        <f aca="false">AO23*(AO24-AO25)</f>
        <v>12268368</v>
      </c>
      <c r="AP26" s="59" t="n">
        <f aca="false">AP23*(AP24-AP25)</f>
        <v>12268368</v>
      </c>
      <c r="AQ26" s="59" t="n">
        <f aca="false">AQ23*(AQ24-AQ25)</f>
        <v>12268368</v>
      </c>
      <c r="AR26" s="59" t="n">
        <f aca="false">AR23*(AR24-AR25)</f>
        <v>12268368</v>
      </c>
      <c r="AS26" s="59" t="n">
        <f aca="false">AS23*(AS24-AS25)</f>
        <v>12268368</v>
      </c>
      <c r="AT26" s="59" t="n">
        <f aca="false">AT23*(AT24-AT25)</f>
        <v>12268368</v>
      </c>
      <c r="AU26" s="59" t="n">
        <f aca="false">AU23*(AU24-AU25)</f>
        <v>12268368</v>
      </c>
      <c r="AV26" s="59" t="n">
        <f aca="false">AV23*(AV24-AV25)</f>
        <v>12268368</v>
      </c>
      <c r="AW26" s="59" t="n">
        <f aca="false">AW23*(AW24-AW25)</f>
        <v>12268368</v>
      </c>
      <c r="AX26" s="59" t="n">
        <f aca="false">AX23*(AX24-AX25)</f>
        <v>12268368</v>
      </c>
      <c r="AY26" s="59" t="n">
        <f aca="false">AY23*(AY24-AY25)</f>
        <v>12268368</v>
      </c>
      <c r="AZ26" s="59" t="n">
        <f aca="false">AZ23*(AZ24-AZ25)</f>
        <v>4188492</v>
      </c>
      <c r="BA26" s="59" t="n">
        <f aca="false">BA23*(BA24-BA25)</f>
        <v>4190044.32</v>
      </c>
      <c r="BB26" s="59" t="n">
        <f aca="false">BB23*(BB24-BB25)</f>
        <v>4190044.32</v>
      </c>
      <c r="BC26" s="59" t="n">
        <f aca="false">BC23*(BC24-BC25)</f>
        <v>4190044.32</v>
      </c>
      <c r="BD26" s="59" t="n">
        <f aca="false">BD23*(BD24-BD25)</f>
        <v>4189739.4</v>
      </c>
      <c r="BE26" s="59" t="n">
        <f aca="false">BE23*(BE24-BE25)</f>
        <v>4230376.92</v>
      </c>
      <c r="BF26" s="59" t="n">
        <f aca="false">BF23*(BF24-BF25)</f>
        <v>4230376.92</v>
      </c>
      <c r="BG26" s="59" t="n">
        <f aca="false">BG23*(BG24-BG25)</f>
        <v>4230376.92</v>
      </c>
      <c r="BH26" s="59" t="n">
        <f aca="false">BH23*(BH24-BH25)</f>
        <v>4240848.15</v>
      </c>
      <c r="BI26" s="59" t="n">
        <f aca="false">BI23*(BI24-BI25)</f>
        <v>4198963.23</v>
      </c>
      <c r="BJ26" s="59" t="n">
        <f aca="false">BJ23*(BJ24-BJ25)</f>
        <v>4188492</v>
      </c>
      <c r="BK26" s="59" t="n">
        <f aca="false">BK23*(BK24-BK25)</f>
        <v>4188492</v>
      </c>
      <c r="BL26" s="59" t="n">
        <f aca="false">BL23*(BL24-BL25)</f>
        <v>4188492</v>
      </c>
      <c r="BM26" s="59" t="n">
        <f aca="false">BM23*(BM24-BM25)</f>
        <v>4188492</v>
      </c>
      <c r="BN26" s="59" t="n">
        <f aca="false">BN23*(BN24-BN25)</f>
        <v>4188492</v>
      </c>
      <c r="BO26" s="59" t="n">
        <f aca="false">BO23*(BO24-BO25)</f>
        <v>4188492</v>
      </c>
      <c r="BP26" s="59" t="n">
        <f aca="false">BP23*(BP24-BP25)</f>
        <v>4188492</v>
      </c>
      <c r="BQ26" s="59" t="n">
        <f aca="false">BQ23*(BQ24-BQ25)</f>
        <v>4188492</v>
      </c>
      <c r="BR26" s="59" t="n">
        <f aca="false">BR23*(BR24-BR25)</f>
        <v>4188492</v>
      </c>
      <c r="BS26" s="59" t="n">
        <f aca="false">BS23*(BS24-BS25)</f>
        <v>4188492</v>
      </c>
      <c r="BT26" s="59" t="n">
        <f aca="false">BT23*(BT24-BT25)</f>
        <v>4188492</v>
      </c>
      <c r="BU26" s="59" t="n">
        <f aca="false">BU23*(BU24-BU25)</f>
        <v>4188492</v>
      </c>
      <c r="BV26" s="59" t="n">
        <f aca="false">BV23*(BV24-BV25)</f>
        <v>4188492</v>
      </c>
      <c r="BW26" s="59" t="n">
        <f aca="false">BW23*(BW24-BW25)</f>
        <v>4188492</v>
      </c>
      <c r="BX26" s="59" t="n">
        <f aca="false">BX23*(BX24-BX25)</f>
        <v>4188492</v>
      </c>
      <c r="BY26" s="59" t="n">
        <f aca="false">BY23*(BY24-BY25)</f>
        <v>4188492</v>
      </c>
      <c r="BZ26" s="59" t="n">
        <f aca="false">BZ23*(BZ24-BZ25)</f>
        <v>4188492</v>
      </c>
      <c r="CA26" s="59" t="n">
        <f aca="false">CA23*(CA24-CA25)</f>
        <v>4188492</v>
      </c>
      <c r="CB26" s="59" t="n">
        <f aca="false">CB23*(CB24-CB25)</f>
        <v>4188492</v>
      </c>
      <c r="CC26" s="59" t="n">
        <f aca="false">CC23*(CC24-CC25)</f>
        <v>4188492</v>
      </c>
      <c r="CD26" s="59" t="n">
        <f aca="false">CD23*(CD24-CD25)</f>
        <v>4188492</v>
      </c>
      <c r="CE26" s="59" t="n">
        <f aca="false">CE23*(CE24-CE25)</f>
        <v>4188492</v>
      </c>
      <c r="CF26" s="59" t="n">
        <f aca="false">CF23*(CF24-CF25)</f>
        <v>4188492</v>
      </c>
      <c r="CG26" s="59" t="n">
        <f aca="false">CG23*(CG24-CG25)</f>
        <v>4188492</v>
      </c>
      <c r="CH26" s="59" t="n">
        <f aca="false">CH23*(CH24-CH25)</f>
        <v>4188492</v>
      </c>
      <c r="CI26" s="59" t="n">
        <f aca="false">CI23*(CI24-CI25)</f>
        <v>4188492</v>
      </c>
      <c r="CJ26" s="59" t="n">
        <f aca="false">CJ23*(CJ24-CJ25)</f>
        <v>4188492</v>
      </c>
      <c r="CK26" s="59" t="n">
        <f aca="false">CK23*(CK24-CK25)</f>
        <v>4188492</v>
      </c>
      <c r="CL26" s="59" t="n">
        <f aca="false">CL23*(CL24-CL25)</f>
        <v>4188492</v>
      </c>
      <c r="CM26" s="59" t="n">
        <f aca="false">CM23*(CM24-CM25)</f>
        <v>4188492</v>
      </c>
      <c r="CN26" s="59" t="n">
        <f aca="false">CN23*(CN24-CN25)</f>
        <v>4188492</v>
      </c>
      <c r="CO26" s="59" t="n">
        <f aca="false">CO23*(CO24-CO25)</f>
        <v>4188492</v>
      </c>
      <c r="CP26" s="59" t="n">
        <f aca="false">CP23*(CP24-CP25)</f>
        <v>6020352</v>
      </c>
      <c r="CQ26" s="59" t="n">
        <f aca="false">CQ23*(CQ24-CQ25)</f>
        <v>6023047.68</v>
      </c>
      <c r="CR26" s="59" t="n">
        <f aca="false">CR23*(CR24-CR25)</f>
        <v>6023047.68</v>
      </c>
      <c r="CS26" s="59" t="n">
        <f aca="false">CS23*(CS24-CS25)</f>
        <v>6023047.68</v>
      </c>
      <c r="CT26" s="59" t="n">
        <f aca="false">CT23*(CT24-CT25)</f>
        <v>6022748.16</v>
      </c>
      <c r="CU26" s="59" t="n">
        <f aca="false">CU23*(CU24-CU25)</f>
        <v>6080555.52</v>
      </c>
      <c r="CV26" s="59" t="n">
        <f aca="false">CV23*(CV24-CV25)</f>
        <v>6080555.52</v>
      </c>
      <c r="CW26" s="59" t="n">
        <f aca="false">CW23*(CW24-CW25)</f>
        <v>6080555.52</v>
      </c>
      <c r="CX26" s="59" t="n">
        <f aca="false">CX23*(CX24-CX25)</f>
        <v>6120691.2</v>
      </c>
      <c r="CY26" s="59" t="n">
        <f aca="false">CY23*(CY24-CY25)</f>
        <v>6060487.68</v>
      </c>
      <c r="CZ26" s="59" t="n">
        <f aca="false">CZ23*(CZ24-CZ25)</f>
        <v>6020352</v>
      </c>
      <c r="DA26" s="59" t="n">
        <f aca="false">DA23*(DA24-DA25)</f>
        <v>6020352</v>
      </c>
      <c r="DB26" s="59" t="n">
        <f aca="false">DB23*(DB24-DB25)</f>
        <v>6020352</v>
      </c>
      <c r="DC26" s="59" t="n">
        <f aca="false">DC23*(DC24-DC25)</f>
        <v>6020352</v>
      </c>
      <c r="DD26" s="59" t="n">
        <f aca="false">DD23*(DD24-DD25)</f>
        <v>6020352</v>
      </c>
      <c r="DE26" s="59" t="n">
        <f aca="false">DE23*(DE24-DE25)</f>
        <v>6020352</v>
      </c>
      <c r="DF26" s="59" t="n">
        <f aca="false">DF23*(DF24-DF25)</f>
        <v>6020352</v>
      </c>
      <c r="DG26" s="59" t="n">
        <f aca="false">DG23*(DG24-DG25)</f>
        <v>6020352</v>
      </c>
      <c r="DH26" s="59" t="n">
        <f aca="false">DH23*(DH24-DH25)</f>
        <v>6020352</v>
      </c>
      <c r="DI26" s="59" t="n">
        <f aca="false">DI23*(DI24-DI25)</f>
        <v>6020352</v>
      </c>
      <c r="DJ26" s="59" t="n">
        <f aca="false">DJ23*(DJ24-DJ25)</f>
        <v>6020352</v>
      </c>
      <c r="DK26" s="59" t="n">
        <f aca="false">DK23*(DK24-DK25)</f>
        <v>6020352</v>
      </c>
      <c r="DL26" s="59" t="n">
        <f aca="false">DL23*(DL24-DL25)</f>
        <v>6020352</v>
      </c>
      <c r="DM26" s="59" t="n">
        <f aca="false">DM23*(DM24-DM25)</f>
        <v>6020352</v>
      </c>
      <c r="DN26" s="59" t="n">
        <f aca="false">DN23*(DN24-DN25)</f>
        <v>6020352</v>
      </c>
      <c r="DO26" s="59" t="n">
        <f aca="false">DO23*(DO24-DO25)</f>
        <v>6020352</v>
      </c>
      <c r="DP26" s="59" t="n">
        <f aca="false">DP23*(DP24-DP25)</f>
        <v>6020352</v>
      </c>
      <c r="DQ26" s="59" t="n">
        <f aca="false">DQ23*(DQ24-DQ25)</f>
        <v>6020352</v>
      </c>
      <c r="DR26" s="59" t="n">
        <f aca="false">DR23*(DR24-DR25)</f>
        <v>6020352</v>
      </c>
      <c r="DS26" s="59" t="n">
        <f aca="false">DS23*(DS24-DS25)</f>
        <v>6020352</v>
      </c>
      <c r="DT26" s="59" t="n">
        <f aca="false">DT23*(DT24-DT25)</f>
        <v>6020352</v>
      </c>
      <c r="DU26" s="59" t="n">
        <f aca="false">DU23*(DU24-DU25)</f>
        <v>6020352</v>
      </c>
      <c r="DV26" s="59" t="n">
        <f aca="false">DV23*(DV24-DV25)</f>
        <v>6020352</v>
      </c>
      <c r="DW26" s="59" t="n">
        <f aca="false">DW23*(DW24-DW25)</f>
        <v>6020352</v>
      </c>
      <c r="DX26" s="59" t="n">
        <f aca="false">DX23*(DX24-DX25)</f>
        <v>6020352</v>
      </c>
      <c r="DY26" s="59" t="n">
        <f aca="false">DY23*(DY24-DY25)</f>
        <v>6020352</v>
      </c>
      <c r="DZ26" s="59" t="n">
        <f aca="false">DZ23*(DZ24-DZ25)</f>
        <v>6020352</v>
      </c>
      <c r="EA26" s="59" t="n">
        <f aca="false">EA23*(EA24-EA25)</f>
        <v>6020352</v>
      </c>
      <c r="EB26" s="59" t="n">
        <f aca="false">EB23*(EB24-EB25)</f>
        <v>6020352</v>
      </c>
      <c r="EC26" s="59" t="n">
        <f aca="false">EC23*(EC24-EC25)</f>
        <v>6020352</v>
      </c>
      <c r="ED26" s="59" t="n">
        <f aca="false">ED23*(ED24-ED25)</f>
        <v>6020352</v>
      </c>
      <c r="EE26" s="59" t="n">
        <f aca="false">EE23*(EE24-EE25)</f>
        <v>6020352</v>
      </c>
      <c r="EF26" s="59" t="n">
        <f aca="false">EF23*(EF24-EF25)</f>
        <v>14968800</v>
      </c>
      <c r="EG26" s="59" t="n">
        <f aca="false">EG23*(EG24-EG25)</f>
        <v>15118488</v>
      </c>
      <c r="EH26" s="59" t="n">
        <f aca="false">EH23*(EH24-EH25)</f>
        <v>15118488</v>
      </c>
      <c r="EI26" s="59" t="n">
        <f aca="false">EI23*(EI24-EI25)</f>
        <v>15118488</v>
      </c>
      <c r="EJ26" s="59" t="n">
        <f aca="false">EJ23*(EJ24-EJ25)</f>
        <v>15120000</v>
      </c>
      <c r="EK26" s="59" t="n">
        <f aca="false">EK23*(EK24-EK25)</f>
        <v>15118488</v>
      </c>
      <c r="EL26" s="59" t="n">
        <f aca="false">EL23*(EL24-EL25)</f>
        <v>15118488</v>
      </c>
      <c r="EM26" s="59" t="n">
        <f aca="false">EM23*(EM24-EM25)</f>
        <v>15118488</v>
      </c>
      <c r="EN26" s="59" t="n">
        <f aca="false">EN23*(EN24-EN25)</f>
        <v>15155910</v>
      </c>
      <c r="EO26" s="59" t="n">
        <f aca="false">EO23*(EO24-EO25)</f>
        <v>15006222</v>
      </c>
      <c r="EP26" s="59" t="n">
        <f aca="false">EP23*(EP24-EP25)</f>
        <v>14968800</v>
      </c>
      <c r="EQ26" s="59" t="n">
        <f aca="false">EQ23*(EQ24-EQ25)</f>
        <v>14968800</v>
      </c>
      <c r="ER26" s="59" t="n">
        <f aca="false">ER23*(ER24-ER25)</f>
        <v>14968800</v>
      </c>
      <c r="ES26" s="59" t="n">
        <f aca="false">ES23*(ES24-ES25)</f>
        <v>14968800</v>
      </c>
      <c r="ET26" s="59" t="n">
        <f aca="false">ET23*(ET24-ET25)</f>
        <v>14968800</v>
      </c>
      <c r="EU26" s="59" t="n">
        <f aca="false">EU23*(EU24-EU25)</f>
        <v>14968800</v>
      </c>
      <c r="EV26" s="59" t="n">
        <f aca="false">EV23*(EV24-EV25)</f>
        <v>14968800</v>
      </c>
      <c r="EW26" s="59" t="n">
        <f aca="false">EW23*(EW24-EW25)</f>
        <v>14968800</v>
      </c>
      <c r="EX26" s="59" t="n">
        <f aca="false">EX23*(EX24-EX25)</f>
        <v>14968800</v>
      </c>
      <c r="EY26" s="59" t="n">
        <f aca="false">EY23*(EY24-EY25)</f>
        <v>14968800</v>
      </c>
      <c r="EZ26" s="59" t="n">
        <f aca="false">EZ23*(EZ24-EZ25)</f>
        <v>14968800</v>
      </c>
      <c r="FA26" s="59" t="n">
        <f aca="false">FA23*(FA24-FA25)</f>
        <v>14968800</v>
      </c>
      <c r="FB26" s="59" t="n">
        <f aca="false">FB23*(FB24-FB25)</f>
        <v>14968800</v>
      </c>
      <c r="FC26" s="59" t="n">
        <f aca="false">FC23*(FC24-FC25)</f>
        <v>14968800</v>
      </c>
      <c r="FD26" s="59" t="n">
        <f aca="false">FD23*(FD24-FD25)</f>
        <v>14968800</v>
      </c>
      <c r="FE26" s="59" t="n">
        <f aca="false">FE23*(FE24-FE25)</f>
        <v>14968800</v>
      </c>
      <c r="FF26" s="59" t="n">
        <f aca="false">FF23*(FF24-FF25)</f>
        <v>14968800</v>
      </c>
      <c r="FG26" s="59" t="n">
        <f aca="false">FG23*(FG24-FG25)</f>
        <v>14968800</v>
      </c>
      <c r="FH26" s="59" t="n">
        <f aca="false">FH23*(FH24-FH25)</f>
        <v>14968800</v>
      </c>
      <c r="FI26" s="59" t="n">
        <f aca="false">FI23*(FI24-FI25)</f>
        <v>14968800</v>
      </c>
      <c r="FJ26" s="59" t="n">
        <f aca="false">FJ23*(FJ24-FJ25)</f>
        <v>14968800</v>
      </c>
      <c r="FK26" s="59" t="n">
        <f aca="false">FK23*(FK24-FK25)</f>
        <v>14968800</v>
      </c>
      <c r="FL26" s="59" t="n">
        <f aca="false">FL23*(FL24-FL25)</f>
        <v>14968800</v>
      </c>
      <c r="FM26" s="59" t="n">
        <f aca="false">FM23*(FM24-FM25)</f>
        <v>14968800</v>
      </c>
      <c r="FN26" s="59" t="n">
        <f aca="false">FN23*(FN24-FN25)</f>
        <v>14968800</v>
      </c>
      <c r="FO26" s="59" t="n">
        <f aca="false">FO23*(FO24-FO25)</f>
        <v>14968800</v>
      </c>
      <c r="FP26" s="59" t="n">
        <f aca="false">FP23*(FP24-FP25)</f>
        <v>14968800</v>
      </c>
      <c r="FQ26" s="59" t="n">
        <f aca="false">FQ23*(FQ24-FQ25)</f>
        <v>14968800</v>
      </c>
      <c r="FR26" s="59" t="n">
        <f aca="false">FR23*(FR24-FR25)</f>
        <v>14968800</v>
      </c>
      <c r="FS26" s="59" t="n">
        <f aca="false">FS23*(FS24-FS25)</f>
        <v>14968800</v>
      </c>
      <c r="FT26" s="59" t="n">
        <f aca="false">FT23*(FT24-FT25)</f>
        <v>14968800</v>
      </c>
      <c r="FU26" s="59" t="n">
        <f aca="false">FU23*(FU24-FU25)</f>
        <v>14968800</v>
      </c>
      <c r="FV26" s="59" t="n">
        <f aca="false">FV23*(FV24-FV25)</f>
        <v>5174400</v>
      </c>
      <c r="FW26" s="59" t="n">
        <f aca="false">FW23*(FW24-FW25)</f>
        <v>5226144</v>
      </c>
      <c r="FX26" s="59" t="n">
        <f aca="false">FX23*(FX24-FX25)</f>
        <v>5226144</v>
      </c>
      <c r="FY26" s="59" t="n">
        <f aca="false">FY23*(FY24-FY25)</f>
        <v>5226144</v>
      </c>
      <c r="FZ26" s="59" t="n">
        <f aca="false">FZ23*(FZ24-FZ25)</f>
        <v>5226666.66666667</v>
      </c>
      <c r="GA26" s="59" t="n">
        <f aca="false">GA23*(GA24-GA25)</f>
        <v>5226144</v>
      </c>
      <c r="GB26" s="59" t="n">
        <f aca="false">GB23*(GB24-GB25)</f>
        <v>5226144</v>
      </c>
      <c r="GC26" s="59" t="n">
        <f aca="false">GC23*(GC24-GC25)</f>
        <v>5226144</v>
      </c>
      <c r="GD26" s="59" t="n">
        <f aca="false">GD23*(GD24-GD25)</f>
        <v>5239080</v>
      </c>
      <c r="GE26" s="59" t="n">
        <f aca="false">GE23*(GE24-GE25)</f>
        <v>5187336</v>
      </c>
      <c r="GF26" s="59" t="n">
        <f aca="false">GF23*(GF24-GF25)</f>
        <v>5174400</v>
      </c>
      <c r="GG26" s="59" t="n">
        <f aca="false">GG23*(GG24-GG25)</f>
        <v>5174400</v>
      </c>
      <c r="GH26" s="59" t="n">
        <f aca="false">GH23*(GH24-GH25)</f>
        <v>5174400</v>
      </c>
      <c r="GI26" s="59" t="n">
        <f aca="false">GI23*(GI24-GI25)</f>
        <v>5174400</v>
      </c>
      <c r="GJ26" s="59" t="n">
        <f aca="false">GJ23*(GJ24-GJ25)</f>
        <v>5174400</v>
      </c>
      <c r="GK26" s="59" t="n">
        <f aca="false">GK23*(GK24-GK25)</f>
        <v>5174400</v>
      </c>
      <c r="GL26" s="59" t="n">
        <f aca="false">GL23*(GL24-GL25)</f>
        <v>5174400</v>
      </c>
      <c r="GM26" s="59" t="n">
        <f aca="false">GM23*(GM24-GM25)</f>
        <v>5174400</v>
      </c>
      <c r="GN26" s="59" t="n">
        <f aca="false">GN23*(GN24-GN25)</f>
        <v>5174400</v>
      </c>
      <c r="GO26" s="59" t="n">
        <f aca="false">GO23*(GO24-GO25)</f>
        <v>5174400</v>
      </c>
      <c r="GP26" s="59" t="n">
        <f aca="false">GP23*(GP24-GP25)</f>
        <v>5174400</v>
      </c>
      <c r="GQ26" s="59" t="n">
        <f aca="false">GQ23*(GQ24-GQ25)</f>
        <v>5174400</v>
      </c>
      <c r="GR26" s="59" t="n">
        <f aca="false">GR23*(GR24-GR25)</f>
        <v>5174400</v>
      </c>
      <c r="GS26" s="59" t="n">
        <f aca="false">GS23*(GS24-GS25)</f>
        <v>5174400</v>
      </c>
      <c r="GT26" s="59" t="n">
        <f aca="false">GT23*(GT24-GT25)</f>
        <v>5174400</v>
      </c>
      <c r="GU26" s="59" t="n">
        <f aca="false">GU23*(GU24-GU25)</f>
        <v>5174400</v>
      </c>
      <c r="GV26" s="59" t="n">
        <f aca="false">GV23*(GV24-GV25)</f>
        <v>5174400</v>
      </c>
      <c r="GW26" s="59" t="n">
        <f aca="false">GW23*(GW24-GW25)</f>
        <v>5174400</v>
      </c>
      <c r="GX26" s="59" t="n">
        <f aca="false">GX23*(GX24-GX25)</f>
        <v>5174400</v>
      </c>
      <c r="GY26" s="59" t="n">
        <f aca="false">GY23*(GY24-GY25)</f>
        <v>5174400</v>
      </c>
      <c r="GZ26" s="59" t="n">
        <f aca="false">GZ23*(GZ24-GZ25)</f>
        <v>5174400</v>
      </c>
      <c r="HA26" s="59" t="n">
        <f aca="false">HA23*(HA24-HA25)</f>
        <v>5174400</v>
      </c>
      <c r="HB26" s="59" t="n">
        <f aca="false">HB23*(HB24-HB25)</f>
        <v>5174400</v>
      </c>
      <c r="HC26" s="59" t="n">
        <f aca="false">HC23*(HC24-HC25)</f>
        <v>5174400</v>
      </c>
      <c r="HD26" s="59" t="n">
        <f aca="false">HD23*(HD24-HD25)</f>
        <v>5174400</v>
      </c>
      <c r="HE26" s="59" t="n">
        <f aca="false">HE23*(HE24-HE25)</f>
        <v>5174400</v>
      </c>
      <c r="HF26" s="59" t="n">
        <f aca="false">HF23*(HF24-HF25)</f>
        <v>5174400</v>
      </c>
      <c r="HG26" s="59" t="n">
        <f aca="false">HG23*(HG24-HG25)</f>
        <v>5174400</v>
      </c>
      <c r="HH26" s="59" t="n">
        <f aca="false">HH23*(HH24-HH25)</f>
        <v>5174400</v>
      </c>
      <c r="HI26" s="59" t="n">
        <f aca="false">HI23*(HI24-HI25)</f>
        <v>5174400</v>
      </c>
      <c r="HJ26" s="59" t="n">
        <f aca="false">HJ23*(HJ24-HJ25)</f>
        <v>5174400</v>
      </c>
      <c r="HK26" s="59" t="n">
        <f aca="false">HK23*(HK24-HK25)</f>
        <v>5174400</v>
      </c>
      <c r="HL26" s="59" t="n">
        <f aca="false">HL23*(HL24-HL25)</f>
        <v>6739200</v>
      </c>
      <c r="HM26" s="59" t="n">
        <f aca="false">HM23*(HM24-HM25)</f>
        <v>6806592</v>
      </c>
      <c r="HN26" s="59" t="n">
        <f aca="false">HN23*(HN24-HN25)</f>
        <v>6806592</v>
      </c>
      <c r="HO26" s="59" t="n">
        <f aca="false">HO23*(HO24-HO25)</f>
        <v>6806592</v>
      </c>
      <c r="HP26" s="59" t="n">
        <f aca="false">HP23*(HP24-HP25)</f>
        <v>6807272.72727273</v>
      </c>
      <c r="HQ26" s="59" t="n">
        <f aca="false">HQ23*(HQ24-HQ25)</f>
        <v>6806592</v>
      </c>
      <c r="HR26" s="59" t="n">
        <f aca="false">HR23*(HR24-HR25)</f>
        <v>6806592</v>
      </c>
      <c r="HS26" s="59" t="n">
        <f aca="false">HS23*(HS24-HS25)</f>
        <v>6806592</v>
      </c>
      <c r="HT26" s="59" t="n">
        <f aca="false">HT23*(HT24-HT25)</f>
        <v>6851520</v>
      </c>
      <c r="HU26" s="59" t="n">
        <f aca="false">HU23*(HU24-HU25)</f>
        <v>6784128</v>
      </c>
      <c r="HV26" s="59" t="n">
        <f aca="false">HV23*(HV24-HV25)</f>
        <v>6739200</v>
      </c>
      <c r="HW26" s="59" t="n">
        <f aca="false">HW23*(HW24-HW25)</f>
        <v>6739200</v>
      </c>
      <c r="HX26" s="59" t="n">
        <f aca="false">HX23*(HX24-HX25)</f>
        <v>6739200</v>
      </c>
      <c r="HY26" s="59" t="n">
        <f aca="false">HY23*(HY24-HY25)</f>
        <v>6739200</v>
      </c>
      <c r="HZ26" s="59" t="n">
        <f aca="false">HZ23*(HZ24-HZ25)</f>
        <v>6739200</v>
      </c>
      <c r="IA26" s="59" t="n">
        <f aca="false">IA23*(IA24-IA25)</f>
        <v>6739200</v>
      </c>
      <c r="IB26" s="59" t="n">
        <f aca="false">IB23*(IB24-IB25)</f>
        <v>6739200</v>
      </c>
      <c r="IC26" s="59" t="n">
        <f aca="false">IC23*(IC24-IC25)</f>
        <v>6739200</v>
      </c>
      <c r="ID26" s="59" t="n">
        <f aca="false">ID23*(ID24-ID25)</f>
        <v>6739200</v>
      </c>
      <c r="IE26" s="59" t="n">
        <f aca="false">IE23*(IE24-IE25)</f>
        <v>6739200</v>
      </c>
      <c r="IF26" s="59" t="n">
        <f aca="false">IF23*(IF24-IF25)</f>
        <v>6739200</v>
      </c>
      <c r="IG26" s="59" t="n">
        <f aca="false">IG23*(IG24-IG25)</f>
        <v>6739200</v>
      </c>
      <c r="IH26" s="59" t="n">
        <f aca="false">IH23*(IH24-IH25)</f>
        <v>6739200</v>
      </c>
      <c r="II26" s="59" t="n">
        <f aca="false">II23*(II24-II25)</f>
        <v>6739200</v>
      </c>
      <c r="IJ26" s="59" t="n">
        <f aca="false">IJ23*(IJ24-IJ25)</f>
        <v>6739200</v>
      </c>
      <c r="IK26" s="59" t="n">
        <f aca="false">IK23*(IK24-IK25)</f>
        <v>6739200</v>
      </c>
      <c r="IL26" s="59" t="n">
        <f aca="false">IL23*(IL24-IL25)</f>
        <v>6739200</v>
      </c>
      <c r="IM26" s="59" t="n">
        <f aca="false">IM23*(IM24-IM25)</f>
        <v>6739200</v>
      </c>
      <c r="IN26" s="59" t="n">
        <f aca="false">IN23*(IN24-IN25)</f>
        <v>6739200</v>
      </c>
      <c r="IO26" s="59" t="n">
        <f aca="false">IO23*(IO24-IO25)</f>
        <v>6739200</v>
      </c>
      <c r="IP26" s="59" t="n">
        <f aca="false">IP23*(IP24-IP25)</f>
        <v>6739200</v>
      </c>
      <c r="IQ26" s="59" t="n">
        <f aca="false">IQ23*(IQ24-IQ25)</f>
        <v>6739200</v>
      </c>
      <c r="IR26" s="59" t="n">
        <f aca="false">IR23*(IR24-IR25)</f>
        <v>6739200</v>
      </c>
      <c r="IS26" s="59" t="n">
        <f aca="false">IS23*(IS24-IS25)</f>
        <v>6739200</v>
      </c>
      <c r="IT26" s="59" t="n">
        <f aca="false">IT23*(IT24-IT25)</f>
        <v>6739200</v>
      </c>
      <c r="IU26" s="59" t="n">
        <f aca="false">IU23*(IU24-IU25)</f>
        <v>6739200</v>
      </c>
      <c r="IV26" s="59" t="n">
        <f aca="false">IV23*(IV24-IV25)</f>
        <v>6739200</v>
      </c>
      <c r="IW26" s="59" t="n">
        <f aca="false">IW23*(IW24-IW25)</f>
        <v>6739200</v>
      </c>
      <c r="IX26" s="59" t="n">
        <f aca="false">IX23*(IX24-IX25)</f>
        <v>6739200</v>
      </c>
      <c r="IY26" s="59" t="n">
        <f aca="false">IY23*(IY24-IY25)</f>
        <v>6739200</v>
      </c>
      <c r="IZ26" s="59" t="n">
        <f aca="false">IZ23*(IZ24-IZ25)</f>
        <v>6739200</v>
      </c>
      <c r="JA26" s="59" t="n">
        <f aca="false">JA23*(JA24-JA25)</f>
        <v>6739200</v>
      </c>
    </row>
    <row r="27" customFormat="false" ht="15" hidden="false" customHeight="false" outlineLevel="0" collapsed="false">
      <c r="A27" s="4" t="s">
        <v>725</v>
      </c>
      <c r="B27" s="5"/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A28" s="13" t="s">
        <v>201</v>
      </c>
      <c r="B28" s="13" t="s">
        <v>202</v>
      </c>
      <c r="C28" s="13" t="s">
        <v>194</v>
      </c>
      <c r="D28" s="9" t="s">
        <v>36</v>
      </c>
      <c r="E28" s="32" t="n">
        <f aca="false">INDEX(Вводные!$D$13:$F$64,MATCH($A28,Вводные!$A$13:$A$64,0),MATCH(E$3,Вводные!$D$11:$F$11,0))*(1+IF(E$4=$A28,Вводные!$D$5*INDEX(Вводные!$G$13:$G$64,MATCH($A28,Вводные!$A$13:$A$64,0)),0))</f>
        <v>0.05</v>
      </c>
      <c r="F28" s="32" t="n">
        <f aca="false">INDEX(Вводные!$D$13:$F$64,MATCH($A28,Вводные!$A$13:$A$64,0),MATCH(F$3,Вводные!$D$11:$F$11,0))*(1+IF(F$4=$A28,Вводные!$D$5*INDEX(Вводные!$G$13:$G$64,MATCH($A28,Вводные!$A$13:$A$64,0)),0))</f>
        <v>0.1</v>
      </c>
      <c r="G28" s="32" t="n">
        <f aca="false">INDEX(Вводные!$D$13:$F$64,MATCH($A28,Вводные!$A$13:$A$64,0),MATCH(G$3,Вводные!$D$11:$F$11,0))*(1+IF(G$4=$A28,Вводные!$D$5*INDEX(Вводные!$G$13:$G$64,MATCH($A28,Вводные!$A$13:$A$64,0)),0))</f>
        <v>0.2</v>
      </c>
      <c r="H28" s="60"/>
      <c r="J28" s="32" t="n">
        <f aca="false">INDEX(Вводные!$D$13:$F$64,MATCH($A28,Вводные!$A$13:$A$64,0),MATCH(J$3,Вводные!$D$11:$F$11,0))*(1+IF(J$4=$A28,Вводные!$D$5*INDEX(Вводные!$G$13:$G$64,MATCH($A28,Вводные!$A$13:$A$64,0)),0))</f>
        <v>0.05</v>
      </c>
      <c r="K28" s="32" t="n">
        <f aca="false">INDEX(Вводные!$D$13:$F$64,MATCH($A28,Вводные!$A$13:$A$64,0),MATCH(K$3,Вводные!$D$11:$F$11,0))*(1+IF(K$4=$A28,Вводные!$D$5*INDEX(Вводные!$G$13:$G$64,MATCH($A28,Вводные!$A$13:$A$64,0)),0))</f>
        <v>0.05</v>
      </c>
      <c r="L28" s="32" t="n">
        <f aca="false">INDEX(Вводные!$D$13:$F$64,MATCH($A28,Вводные!$A$13:$A$64,0),MATCH(L$3,Вводные!$D$11:$F$11,0))*(1+IF(L$4=$A28,Вводные!$D$5*INDEX(Вводные!$G$13:$G$64,MATCH($A28,Вводные!$A$13:$A$64,0)),0))</f>
        <v>0.05</v>
      </c>
      <c r="M28" s="32" t="n">
        <f aca="false">INDEX(Вводные!$D$13:$F$64,MATCH($A28,Вводные!$A$13:$A$64,0),MATCH(M$3,Вводные!$D$11:$F$11,0))*(1+IF(M$4=$A28,Вводные!$D$5*INDEX(Вводные!$G$13:$G$64,MATCH($A28,Вводные!$A$13:$A$64,0)),0))</f>
        <v>0.05</v>
      </c>
      <c r="N28" s="32" t="n">
        <f aca="false">INDEX(Вводные!$D$13:$F$64,MATCH($A28,Вводные!$A$13:$A$64,0),MATCH(N$3,Вводные!$D$11:$F$11,0))*(1+IF(N$4=$A28,Вводные!$D$5*INDEX(Вводные!$G$13:$G$64,MATCH($A28,Вводные!$A$13:$A$64,0)),0))</f>
        <v>0.05</v>
      </c>
      <c r="O28" s="32" t="n">
        <f aca="false">INDEX(Вводные!$D$13:$F$64,MATCH($A28,Вводные!$A$13:$A$64,0),MATCH(O$3,Вводные!$D$11:$F$11,0))*(1+IF(O$4=$A28,Вводные!$D$5*INDEX(Вводные!$G$13:$G$64,MATCH($A28,Вводные!$A$13:$A$64,0)),0))</f>
        <v>0.05</v>
      </c>
      <c r="P28" s="32" t="n">
        <f aca="false">INDEX(Вводные!$D$13:$F$64,MATCH($A28,Вводные!$A$13:$A$64,0),MATCH(P$3,Вводные!$D$11:$F$11,0))*(1+IF(P$4=$A28,Вводные!$D$5*INDEX(Вводные!$G$13:$G$64,MATCH($A28,Вводные!$A$13:$A$64,0)),0))</f>
        <v>0.05</v>
      </c>
      <c r="Q28" s="32" t="n">
        <f aca="false">INDEX(Вводные!$D$13:$F$64,MATCH($A28,Вводные!$A$13:$A$64,0),MATCH(Q$3,Вводные!$D$11:$F$11,0))*(1+IF(Q$4=$A28,Вводные!$D$5*INDEX(Вводные!$G$13:$G$64,MATCH($A28,Вводные!$A$13:$A$64,0)),0))</f>
        <v>0.05</v>
      </c>
      <c r="R28" s="32" t="n">
        <f aca="false">INDEX(Вводные!$D$13:$F$64,MATCH($A28,Вводные!$A$13:$A$64,0),MATCH(R$3,Вводные!$D$11:$F$11,0))*(1+IF(R$4=$A28,Вводные!$D$5*INDEX(Вводные!$G$13:$G$64,MATCH($A28,Вводные!$A$13:$A$64,0)),0))</f>
        <v>0.05</v>
      </c>
      <c r="S28" s="32" t="n">
        <f aca="false">INDEX(Вводные!$D$13:$F$64,MATCH($A28,Вводные!$A$13:$A$64,0),MATCH(S$3,Вводные!$D$11:$F$11,0))*(1+IF(S$4=$A28,Вводные!$D$5*INDEX(Вводные!$G$13:$G$64,MATCH($A28,Вводные!$A$13:$A$64,0)),0))</f>
        <v>0.05</v>
      </c>
      <c r="T28" s="32" t="n">
        <f aca="false">INDEX(Вводные!$D$13:$F$64,MATCH($A28,Вводные!$A$13:$A$64,0),MATCH(T$3,Вводные!$D$11:$F$11,0))*(1+IF(T$4=$A28,Вводные!$D$5*INDEX(Вводные!$G$13:$G$64,MATCH($A28,Вводные!$A$13:$A$64,0)),0))</f>
        <v>0.05</v>
      </c>
      <c r="U28" s="32" t="n">
        <f aca="false">INDEX(Вводные!$D$13:$F$64,MATCH($A28,Вводные!$A$13:$A$64,0),MATCH(U$3,Вводные!$D$11:$F$11,0))*(1+IF(U$4=$A28,Вводные!$D$5*INDEX(Вводные!$G$13:$G$64,MATCH($A28,Вводные!$A$13:$A$64,0)),0))</f>
        <v>0.05</v>
      </c>
      <c r="V28" s="32" t="n">
        <f aca="false">INDEX(Вводные!$D$13:$F$64,MATCH($A28,Вводные!$A$13:$A$64,0),MATCH(V$3,Вводные!$D$11:$F$11,0))*(1+IF(V$4=$A28,Вводные!$D$5*INDEX(Вводные!$G$13:$G$64,MATCH($A28,Вводные!$A$13:$A$64,0)),0))</f>
        <v>0.05</v>
      </c>
      <c r="W28" s="32" t="n">
        <f aca="false">INDEX(Вводные!$D$13:$F$64,MATCH($A28,Вводные!$A$13:$A$64,0),MATCH(W$3,Вводные!$D$11:$F$11,0))*(1+IF(W$4=$A28,Вводные!$D$5*INDEX(Вводные!$G$13:$G$64,MATCH($A28,Вводные!$A$13:$A$64,0)),0))</f>
        <v>0.05</v>
      </c>
      <c r="X28" s="32" t="n">
        <f aca="false">INDEX(Вводные!$D$13:$F$64,MATCH($A28,Вводные!$A$13:$A$64,0),MATCH(X$3,Вводные!$D$11:$F$11,0))*(1+IF(X$4=$A28,Вводные!$D$5*INDEX(Вводные!$G$13:$G$64,MATCH($A28,Вводные!$A$13:$A$64,0)),0))</f>
        <v>0.0505</v>
      </c>
      <c r="Y28" s="32" t="n">
        <f aca="false">INDEX(Вводные!$D$13:$F$64,MATCH($A28,Вводные!$A$13:$A$64,0),MATCH(Y$3,Вводные!$D$11:$F$11,0))*(1+IF(Y$4=$A28,Вводные!$D$5*INDEX(Вводные!$G$13:$G$64,MATCH($A28,Вводные!$A$13:$A$64,0)),0))</f>
        <v>0.05</v>
      </c>
      <c r="Z28" s="32" t="n">
        <f aca="false">INDEX(Вводные!$D$13:$F$64,MATCH($A28,Вводные!$A$13:$A$64,0),MATCH(Z$3,Вводные!$D$11:$F$11,0))*(1+IF(Z$4=$A28,Вводные!$D$5*INDEX(Вводные!$G$13:$G$64,MATCH($A28,Вводные!$A$13:$A$64,0)),0))</f>
        <v>0.05</v>
      </c>
      <c r="AA28" s="32" t="n">
        <f aca="false">INDEX(Вводные!$D$13:$F$64,MATCH($A28,Вводные!$A$13:$A$64,0),MATCH(AA$3,Вводные!$D$11:$F$11,0))*(1+IF(AA$4=$A28,Вводные!$D$5*INDEX(Вводные!$G$13:$G$64,MATCH($A28,Вводные!$A$13:$A$64,0)),0))</f>
        <v>0.05</v>
      </c>
      <c r="AB28" s="32" t="n">
        <f aca="false">INDEX(Вводные!$D$13:$F$64,MATCH($A28,Вводные!$A$13:$A$64,0),MATCH(AB$3,Вводные!$D$11:$F$11,0))*(1+IF(AB$4=$A28,Вводные!$D$5*INDEX(Вводные!$G$13:$G$64,MATCH($A28,Вводные!$A$13:$A$64,0)),0))</f>
        <v>0.05</v>
      </c>
      <c r="AC28" s="32" t="n">
        <f aca="false">INDEX(Вводные!$D$13:$F$64,MATCH($A28,Вводные!$A$13:$A$64,0),MATCH(AC$3,Вводные!$D$11:$F$11,0))*(1+IF(AC$4=$A28,Вводные!$D$5*INDEX(Вводные!$G$13:$G$64,MATCH($A28,Вводные!$A$13:$A$64,0)),0))</f>
        <v>0.05</v>
      </c>
      <c r="AD28" s="32" t="n">
        <f aca="false">INDEX(Вводные!$D$13:$F$64,MATCH($A28,Вводные!$A$13:$A$64,0),MATCH(AD$3,Вводные!$D$11:$F$11,0))*(1+IF(AD$4=$A28,Вводные!$D$5*INDEX(Вводные!$G$13:$G$64,MATCH($A28,Вводные!$A$13:$A$64,0)),0))</f>
        <v>0.05</v>
      </c>
      <c r="AE28" s="32" t="n">
        <f aca="false">INDEX(Вводные!$D$13:$F$64,MATCH($A28,Вводные!$A$13:$A$64,0),MATCH(AE$3,Вводные!$D$11:$F$11,0))*(1+IF(AE$4=$A28,Вводные!$D$5*INDEX(Вводные!$G$13:$G$64,MATCH($A28,Вводные!$A$13:$A$64,0)),0))</f>
        <v>0.05</v>
      </c>
      <c r="AF28" s="32" t="n">
        <f aca="false">INDEX(Вводные!$D$13:$F$64,MATCH($A28,Вводные!$A$13:$A$64,0),MATCH(AF$3,Вводные!$D$11:$F$11,0))*(1+IF(AF$4=$A28,Вводные!$D$5*INDEX(Вводные!$G$13:$G$64,MATCH($A28,Вводные!$A$13:$A$64,0)),0))</f>
        <v>0.05</v>
      </c>
      <c r="AG28" s="32" t="n">
        <f aca="false">INDEX(Вводные!$D$13:$F$64,MATCH($A28,Вводные!$A$13:$A$64,0),MATCH(AG$3,Вводные!$D$11:$F$11,0))*(1+IF(AG$4=$A28,Вводные!$D$5*INDEX(Вводные!$G$13:$G$64,MATCH($A28,Вводные!$A$13:$A$64,0)),0))</f>
        <v>0.05</v>
      </c>
      <c r="AH28" s="32" t="n">
        <f aca="false">INDEX(Вводные!$D$13:$F$64,MATCH($A28,Вводные!$A$13:$A$64,0),MATCH(AH$3,Вводные!$D$11:$F$11,0))*(1+IF(AH$4=$A28,Вводные!$D$5*INDEX(Вводные!$G$13:$G$64,MATCH($A28,Вводные!$A$13:$A$64,0)),0))</f>
        <v>0.05</v>
      </c>
      <c r="AI28" s="32" t="n">
        <f aca="false">INDEX(Вводные!$D$13:$F$64,MATCH($A28,Вводные!$A$13:$A$64,0),MATCH(AI$3,Вводные!$D$11:$F$11,0))*(1+IF(AI$4=$A28,Вводные!$D$5*INDEX(Вводные!$G$13:$G$64,MATCH($A28,Вводные!$A$13:$A$64,0)),0))</f>
        <v>0.05</v>
      </c>
      <c r="AJ28" s="32" t="n">
        <f aca="false">INDEX(Вводные!$D$13:$F$64,MATCH($A28,Вводные!$A$13:$A$64,0),MATCH(AJ$3,Вводные!$D$11:$F$11,0))*(1+IF(AJ$4=$A28,Вводные!$D$5*INDEX(Вводные!$G$13:$G$64,MATCH($A28,Вводные!$A$13:$A$64,0)),0))</f>
        <v>0.05</v>
      </c>
      <c r="AK28" s="32" t="n">
        <f aca="false">INDEX(Вводные!$D$13:$F$64,MATCH($A28,Вводные!$A$13:$A$64,0),MATCH(AK$3,Вводные!$D$11:$F$11,0))*(1+IF(AK$4=$A28,Вводные!$D$5*INDEX(Вводные!$G$13:$G$64,MATCH($A28,Вводные!$A$13:$A$64,0)),0))</f>
        <v>0.05</v>
      </c>
      <c r="AL28" s="32" t="n">
        <f aca="false">INDEX(Вводные!$D$13:$F$64,MATCH($A28,Вводные!$A$13:$A$64,0),MATCH(AL$3,Вводные!$D$11:$F$11,0))*(1+IF(AL$4=$A28,Вводные!$D$5*INDEX(Вводные!$G$13:$G$64,MATCH($A28,Вводные!$A$13:$A$64,0)),0))</f>
        <v>0.05</v>
      </c>
      <c r="AM28" s="32" t="n">
        <f aca="false">INDEX(Вводные!$D$13:$F$64,MATCH($A28,Вводные!$A$13:$A$64,0),MATCH(AM$3,Вводные!$D$11:$F$11,0))*(1+IF(AM$4=$A28,Вводные!$D$5*INDEX(Вводные!$G$13:$G$64,MATCH($A28,Вводные!$A$13:$A$64,0)),0))</f>
        <v>0.05</v>
      </c>
      <c r="AN28" s="32" t="n">
        <f aca="false">INDEX(Вводные!$D$13:$F$64,MATCH($A28,Вводные!$A$13:$A$64,0),MATCH(AN$3,Вводные!$D$11:$F$11,0))*(1+IF(AN$4=$A28,Вводные!$D$5*INDEX(Вводные!$G$13:$G$64,MATCH($A28,Вводные!$A$13:$A$64,0)),0))</f>
        <v>0.05</v>
      </c>
      <c r="AO28" s="32" t="n">
        <f aca="false">INDEX(Вводные!$D$13:$F$64,MATCH($A28,Вводные!$A$13:$A$64,0),MATCH(AO$3,Вводные!$D$11:$F$11,0))*(1+IF(AO$4=$A28,Вводные!$D$5*INDEX(Вводные!$G$13:$G$64,MATCH($A28,Вводные!$A$13:$A$64,0)),0))</f>
        <v>0.05</v>
      </c>
      <c r="AP28" s="32" t="n">
        <f aca="false">INDEX(Вводные!$D$13:$F$64,MATCH($A28,Вводные!$A$13:$A$64,0),MATCH(AP$3,Вводные!$D$11:$F$11,0))*(1+IF(AP$4=$A28,Вводные!$D$5*INDEX(Вводные!$G$13:$G$64,MATCH($A28,Вводные!$A$13:$A$64,0)),0))</f>
        <v>0.05</v>
      </c>
      <c r="AQ28" s="32" t="n">
        <f aca="false">INDEX(Вводные!$D$13:$F$64,MATCH($A28,Вводные!$A$13:$A$64,0),MATCH(AQ$3,Вводные!$D$11:$F$11,0))*(1+IF(AQ$4=$A28,Вводные!$D$5*INDEX(Вводные!$G$13:$G$64,MATCH($A28,Вводные!$A$13:$A$64,0)),0))</f>
        <v>0.05</v>
      </c>
      <c r="AR28" s="32" t="n">
        <f aca="false">INDEX(Вводные!$D$13:$F$64,MATCH($A28,Вводные!$A$13:$A$64,0),MATCH(AR$3,Вводные!$D$11:$F$11,0))*(1+IF(AR$4=$A28,Вводные!$D$5*INDEX(Вводные!$G$13:$G$64,MATCH($A28,Вводные!$A$13:$A$64,0)),0))</f>
        <v>0.05</v>
      </c>
      <c r="AS28" s="32" t="n">
        <f aca="false">INDEX(Вводные!$D$13:$F$64,MATCH($A28,Вводные!$A$13:$A$64,0),MATCH(AS$3,Вводные!$D$11:$F$11,0))*(1+IF(AS$4=$A28,Вводные!$D$5*INDEX(Вводные!$G$13:$G$64,MATCH($A28,Вводные!$A$13:$A$64,0)),0))</f>
        <v>0.05</v>
      </c>
      <c r="AT28" s="32" t="n">
        <f aca="false">INDEX(Вводные!$D$13:$F$64,MATCH($A28,Вводные!$A$13:$A$64,0),MATCH(AT$3,Вводные!$D$11:$F$11,0))*(1+IF(AT$4=$A28,Вводные!$D$5*INDEX(Вводные!$G$13:$G$64,MATCH($A28,Вводные!$A$13:$A$64,0)),0))</f>
        <v>0.05</v>
      </c>
      <c r="AU28" s="32" t="n">
        <f aca="false">INDEX(Вводные!$D$13:$F$64,MATCH($A28,Вводные!$A$13:$A$64,0),MATCH(AU$3,Вводные!$D$11:$F$11,0))*(1+IF(AU$4=$A28,Вводные!$D$5*INDEX(Вводные!$G$13:$G$64,MATCH($A28,Вводные!$A$13:$A$64,0)),0))</f>
        <v>0.05</v>
      </c>
      <c r="AV28" s="32" t="n">
        <f aca="false">INDEX(Вводные!$D$13:$F$64,MATCH($A28,Вводные!$A$13:$A$64,0),MATCH(AV$3,Вводные!$D$11:$F$11,0))*(1+IF(AV$4=$A28,Вводные!$D$5*INDEX(Вводные!$G$13:$G$64,MATCH($A28,Вводные!$A$13:$A$64,0)),0))</f>
        <v>0.05</v>
      </c>
      <c r="AW28" s="32" t="n">
        <f aca="false">INDEX(Вводные!$D$13:$F$64,MATCH($A28,Вводные!$A$13:$A$64,0),MATCH(AW$3,Вводные!$D$11:$F$11,0))*(1+IF(AW$4=$A28,Вводные!$D$5*INDEX(Вводные!$G$13:$G$64,MATCH($A28,Вводные!$A$13:$A$64,0)),0))</f>
        <v>0.05</v>
      </c>
      <c r="AX28" s="32" t="n">
        <f aca="false">INDEX(Вводные!$D$13:$F$64,MATCH($A28,Вводные!$A$13:$A$64,0),MATCH(AX$3,Вводные!$D$11:$F$11,0))*(1+IF(AX$4=$A28,Вводные!$D$5*INDEX(Вводные!$G$13:$G$64,MATCH($A28,Вводные!$A$13:$A$64,0)),0))</f>
        <v>0.05</v>
      </c>
      <c r="AY28" s="32" t="n">
        <f aca="false">INDEX(Вводные!$D$13:$F$64,MATCH($A28,Вводные!$A$13:$A$64,0),MATCH(AY$3,Вводные!$D$11:$F$11,0))*(1+IF(AY$4=$A28,Вводные!$D$5*INDEX(Вводные!$G$13:$G$64,MATCH($A28,Вводные!$A$13:$A$64,0)),0))</f>
        <v>0.05</v>
      </c>
      <c r="AZ28" s="32" t="n">
        <f aca="false">INDEX(Вводные!$D$13:$F$64,MATCH($A28,Вводные!$A$13:$A$64,0),MATCH(AZ$3,Вводные!$D$11:$F$11,0))*(1+IF(AZ$4=$A28,Вводные!$D$5*INDEX(Вводные!$G$13:$G$64,MATCH($A28,Вводные!$A$13:$A$64,0)),0))</f>
        <v>0.1</v>
      </c>
      <c r="BA28" s="32" t="n">
        <f aca="false">INDEX(Вводные!$D$13:$F$64,MATCH($A28,Вводные!$A$13:$A$64,0),MATCH(BA$3,Вводные!$D$11:$F$11,0))*(1+IF(BA$4=$A28,Вводные!$D$5*INDEX(Вводные!$G$13:$G$64,MATCH($A28,Вводные!$A$13:$A$64,0)),0))</f>
        <v>0.1</v>
      </c>
      <c r="BB28" s="32" t="n">
        <f aca="false">INDEX(Вводные!$D$13:$F$64,MATCH($A28,Вводные!$A$13:$A$64,0),MATCH(BB$3,Вводные!$D$11:$F$11,0))*(1+IF(BB$4=$A28,Вводные!$D$5*INDEX(Вводные!$G$13:$G$64,MATCH($A28,Вводные!$A$13:$A$64,0)),0))</f>
        <v>0.1</v>
      </c>
      <c r="BC28" s="32" t="n">
        <f aca="false">INDEX(Вводные!$D$13:$F$64,MATCH($A28,Вводные!$A$13:$A$64,0),MATCH(BC$3,Вводные!$D$11:$F$11,0))*(1+IF(BC$4=$A28,Вводные!$D$5*INDEX(Вводные!$G$13:$G$64,MATCH($A28,Вводные!$A$13:$A$64,0)),0))</f>
        <v>0.1</v>
      </c>
      <c r="BD28" s="32" t="n">
        <f aca="false">INDEX(Вводные!$D$13:$F$64,MATCH($A28,Вводные!$A$13:$A$64,0),MATCH(BD$3,Вводные!$D$11:$F$11,0))*(1+IF(BD$4=$A28,Вводные!$D$5*INDEX(Вводные!$G$13:$G$64,MATCH($A28,Вводные!$A$13:$A$64,0)),0))</f>
        <v>0.1</v>
      </c>
      <c r="BE28" s="32" t="n">
        <f aca="false">INDEX(Вводные!$D$13:$F$64,MATCH($A28,Вводные!$A$13:$A$64,0),MATCH(BE$3,Вводные!$D$11:$F$11,0))*(1+IF(BE$4=$A28,Вводные!$D$5*INDEX(Вводные!$G$13:$G$64,MATCH($A28,Вводные!$A$13:$A$64,0)),0))</f>
        <v>0.1</v>
      </c>
      <c r="BF28" s="32" t="n">
        <f aca="false">INDEX(Вводные!$D$13:$F$64,MATCH($A28,Вводные!$A$13:$A$64,0),MATCH(BF$3,Вводные!$D$11:$F$11,0))*(1+IF(BF$4=$A28,Вводные!$D$5*INDEX(Вводные!$G$13:$G$64,MATCH($A28,Вводные!$A$13:$A$64,0)),0))</f>
        <v>0.1</v>
      </c>
      <c r="BG28" s="32" t="n">
        <f aca="false">INDEX(Вводные!$D$13:$F$64,MATCH($A28,Вводные!$A$13:$A$64,0),MATCH(BG$3,Вводные!$D$11:$F$11,0))*(1+IF(BG$4=$A28,Вводные!$D$5*INDEX(Вводные!$G$13:$G$64,MATCH($A28,Вводные!$A$13:$A$64,0)),0))</f>
        <v>0.1</v>
      </c>
      <c r="BH28" s="32" t="n">
        <f aca="false">INDEX(Вводные!$D$13:$F$64,MATCH($A28,Вводные!$A$13:$A$64,0),MATCH(BH$3,Вводные!$D$11:$F$11,0))*(1+IF(BH$4=$A28,Вводные!$D$5*INDEX(Вводные!$G$13:$G$64,MATCH($A28,Вводные!$A$13:$A$64,0)),0))</f>
        <v>0.1</v>
      </c>
      <c r="BI28" s="32" t="n">
        <f aca="false">INDEX(Вводные!$D$13:$F$64,MATCH($A28,Вводные!$A$13:$A$64,0),MATCH(BI$3,Вводные!$D$11:$F$11,0))*(1+IF(BI$4=$A28,Вводные!$D$5*INDEX(Вводные!$G$13:$G$64,MATCH($A28,Вводные!$A$13:$A$64,0)),0))</f>
        <v>0.1</v>
      </c>
      <c r="BJ28" s="32" t="n">
        <f aca="false">INDEX(Вводные!$D$13:$F$64,MATCH($A28,Вводные!$A$13:$A$64,0),MATCH(BJ$3,Вводные!$D$11:$F$11,0))*(1+IF(BJ$4=$A28,Вводные!$D$5*INDEX(Вводные!$G$13:$G$64,MATCH($A28,Вводные!$A$13:$A$64,0)),0))</f>
        <v>0.1</v>
      </c>
      <c r="BK28" s="32" t="n">
        <f aca="false">INDEX(Вводные!$D$13:$F$64,MATCH($A28,Вводные!$A$13:$A$64,0),MATCH(BK$3,Вводные!$D$11:$F$11,0))*(1+IF(BK$4=$A28,Вводные!$D$5*INDEX(Вводные!$G$13:$G$64,MATCH($A28,Вводные!$A$13:$A$64,0)),0))</f>
        <v>0.1</v>
      </c>
      <c r="BL28" s="32" t="n">
        <f aca="false">INDEX(Вводные!$D$13:$F$64,MATCH($A28,Вводные!$A$13:$A$64,0),MATCH(BL$3,Вводные!$D$11:$F$11,0))*(1+IF(BL$4=$A28,Вводные!$D$5*INDEX(Вводные!$G$13:$G$64,MATCH($A28,Вводные!$A$13:$A$64,0)),0))</f>
        <v>0.1</v>
      </c>
      <c r="BM28" s="32" t="n">
        <f aca="false">INDEX(Вводные!$D$13:$F$64,MATCH($A28,Вводные!$A$13:$A$64,0),MATCH(BM$3,Вводные!$D$11:$F$11,0))*(1+IF(BM$4=$A28,Вводные!$D$5*INDEX(Вводные!$G$13:$G$64,MATCH($A28,Вводные!$A$13:$A$64,0)),0))</f>
        <v>0.1</v>
      </c>
      <c r="BN28" s="32" t="n">
        <f aca="false">INDEX(Вводные!$D$13:$F$64,MATCH($A28,Вводные!$A$13:$A$64,0),MATCH(BN$3,Вводные!$D$11:$F$11,0))*(1+IF(BN$4=$A28,Вводные!$D$5*INDEX(Вводные!$G$13:$G$64,MATCH($A28,Вводные!$A$13:$A$64,0)),0))</f>
        <v>0.101</v>
      </c>
      <c r="BO28" s="32" t="n">
        <f aca="false">INDEX(Вводные!$D$13:$F$64,MATCH($A28,Вводные!$A$13:$A$64,0),MATCH(BO$3,Вводные!$D$11:$F$11,0))*(1+IF(BO$4=$A28,Вводные!$D$5*INDEX(Вводные!$G$13:$G$64,MATCH($A28,Вводные!$A$13:$A$64,0)),0))</f>
        <v>0.1</v>
      </c>
      <c r="BP28" s="32" t="n">
        <f aca="false">INDEX(Вводные!$D$13:$F$64,MATCH($A28,Вводные!$A$13:$A$64,0),MATCH(BP$3,Вводные!$D$11:$F$11,0))*(1+IF(BP$4=$A28,Вводные!$D$5*INDEX(Вводные!$G$13:$G$64,MATCH($A28,Вводные!$A$13:$A$64,0)),0))</f>
        <v>0.1</v>
      </c>
      <c r="BQ28" s="32" t="n">
        <f aca="false">INDEX(Вводные!$D$13:$F$64,MATCH($A28,Вводные!$A$13:$A$64,0),MATCH(BQ$3,Вводные!$D$11:$F$11,0))*(1+IF(BQ$4=$A28,Вводные!$D$5*INDEX(Вводные!$G$13:$G$64,MATCH($A28,Вводные!$A$13:$A$64,0)),0))</f>
        <v>0.1</v>
      </c>
      <c r="BR28" s="32" t="n">
        <f aca="false">INDEX(Вводные!$D$13:$F$64,MATCH($A28,Вводные!$A$13:$A$64,0),MATCH(BR$3,Вводные!$D$11:$F$11,0))*(1+IF(BR$4=$A28,Вводные!$D$5*INDEX(Вводные!$G$13:$G$64,MATCH($A28,Вводные!$A$13:$A$64,0)),0))</f>
        <v>0.1</v>
      </c>
      <c r="BS28" s="32" t="n">
        <f aca="false">INDEX(Вводные!$D$13:$F$64,MATCH($A28,Вводные!$A$13:$A$64,0),MATCH(BS$3,Вводные!$D$11:$F$11,0))*(1+IF(BS$4=$A28,Вводные!$D$5*INDEX(Вводные!$G$13:$G$64,MATCH($A28,Вводные!$A$13:$A$64,0)),0))</f>
        <v>0.1</v>
      </c>
      <c r="BT28" s="32" t="n">
        <f aca="false">INDEX(Вводные!$D$13:$F$64,MATCH($A28,Вводные!$A$13:$A$64,0),MATCH(BT$3,Вводные!$D$11:$F$11,0))*(1+IF(BT$4=$A28,Вводные!$D$5*INDEX(Вводные!$G$13:$G$64,MATCH($A28,Вводные!$A$13:$A$64,0)),0))</f>
        <v>0.1</v>
      </c>
      <c r="BU28" s="32" t="n">
        <f aca="false">INDEX(Вводные!$D$13:$F$64,MATCH($A28,Вводные!$A$13:$A$64,0),MATCH(BU$3,Вводные!$D$11:$F$11,0))*(1+IF(BU$4=$A28,Вводные!$D$5*INDEX(Вводные!$G$13:$G$64,MATCH($A28,Вводные!$A$13:$A$64,0)),0))</f>
        <v>0.1</v>
      </c>
      <c r="BV28" s="32" t="n">
        <f aca="false">INDEX(Вводные!$D$13:$F$64,MATCH($A28,Вводные!$A$13:$A$64,0),MATCH(BV$3,Вводные!$D$11:$F$11,0))*(1+IF(BV$4=$A28,Вводные!$D$5*INDEX(Вводные!$G$13:$G$64,MATCH($A28,Вводные!$A$13:$A$64,0)),0))</f>
        <v>0.1</v>
      </c>
      <c r="BW28" s="32" t="n">
        <f aca="false">INDEX(Вводные!$D$13:$F$64,MATCH($A28,Вводные!$A$13:$A$64,0),MATCH(BW$3,Вводные!$D$11:$F$11,0))*(1+IF(BW$4=$A28,Вводные!$D$5*INDEX(Вводные!$G$13:$G$64,MATCH($A28,Вводные!$A$13:$A$64,0)),0))</f>
        <v>0.1</v>
      </c>
      <c r="BX28" s="32" t="n">
        <f aca="false">INDEX(Вводные!$D$13:$F$64,MATCH($A28,Вводные!$A$13:$A$64,0),MATCH(BX$3,Вводные!$D$11:$F$11,0))*(1+IF(BX$4=$A28,Вводные!$D$5*INDEX(Вводные!$G$13:$G$64,MATCH($A28,Вводные!$A$13:$A$64,0)),0))</f>
        <v>0.1</v>
      </c>
      <c r="BY28" s="32" t="n">
        <f aca="false">INDEX(Вводные!$D$13:$F$64,MATCH($A28,Вводные!$A$13:$A$64,0),MATCH(BY$3,Вводные!$D$11:$F$11,0))*(1+IF(BY$4=$A28,Вводные!$D$5*INDEX(Вводные!$G$13:$G$64,MATCH($A28,Вводные!$A$13:$A$64,0)),0))</f>
        <v>0.1</v>
      </c>
      <c r="BZ28" s="32" t="n">
        <f aca="false">INDEX(Вводные!$D$13:$F$64,MATCH($A28,Вводные!$A$13:$A$64,0),MATCH(BZ$3,Вводные!$D$11:$F$11,0))*(1+IF(BZ$4=$A28,Вводные!$D$5*INDEX(Вводные!$G$13:$G$64,MATCH($A28,Вводные!$A$13:$A$64,0)),0))</f>
        <v>0.1</v>
      </c>
      <c r="CA28" s="32" t="n">
        <f aca="false">INDEX(Вводные!$D$13:$F$64,MATCH($A28,Вводные!$A$13:$A$64,0),MATCH(CA$3,Вводные!$D$11:$F$11,0))*(1+IF(CA$4=$A28,Вводные!$D$5*INDEX(Вводные!$G$13:$G$64,MATCH($A28,Вводные!$A$13:$A$64,0)),0))</f>
        <v>0.1</v>
      </c>
      <c r="CB28" s="32" t="n">
        <f aca="false">INDEX(Вводные!$D$13:$F$64,MATCH($A28,Вводные!$A$13:$A$64,0),MATCH(CB$3,Вводные!$D$11:$F$11,0))*(1+IF(CB$4=$A28,Вводные!$D$5*INDEX(Вводные!$G$13:$G$64,MATCH($A28,Вводные!$A$13:$A$64,0)),0))</f>
        <v>0.1</v>
      </c>
      <c r="CC28" s="32" t="n">
        <f aca="false">INDEX(Вводные!$D$13:$F$64,MATCH($A28,Вводные!$A$13:$A$64,0),MATCH(CC$3,Вводные!$D$11:$F$11,0))*(1+IF(CC$4=$A28,Вводные!$D$5*INDEX(Вводные!$G$13:$G$64,MATCH($A28,Вводные!$A$13:$A$64,0)),0))</f>
        <v>0.1</v>
      </c>
      <c r="CD28" s="32" t="n">
        <f aca="false">INDEX(Вводные!$D$13:$F$64,MATCH($A28,Вводные!$A$13:$A$64,0),MATCH(CD$3,Вводные!$D$11:$F$11,0))*(1+IF(CD$4=$A28,Вводные!$D$5*INDEX(Вводные!$G$13:$G$64,MATCH($A28,Вводные!$A$13:$A$64,0)),0))</f>
        <v>0.1</v>
      </c>
      <c r="CE28" s="32" t="n">
        <f aca="false">INDEX(Вводные!$D$13:$F$64,MATCH($A28,Вводные!$A$13:$A$64,0),MATCH(CE$3,Вводные!$D$11:$F$11,0))*(1+IF(CE$4=$A28,Вводные!$D$5*INDEX(Вводные!$G$13:$G$64,MATCH($A28,Вводные!$A$13:$A$64,0)),0))</f>
        <v>0.1</v>
      </c>
      <c r="CF28" s="32" t="n">
        <f aca="false">INDEX(Вводные!$D$13:$F$64,MATCH($A28,Вводные!$A$13:$A$64,0),MATCH(CF$3,Вводные!$D$11:$F$11,0))*(1+IF(CF$4=$A28,Вводные!$D$5*INDEX(Вводные!$G$13:$G$64,MATCH($A28,Вводные!$A$13:$A$64,0)),0))</f>
        <v>0.1</v>
      </c>
      <c r="CG28" s="32" t="n">
        <f aca="false">INDEX(Вводные!$D$13:$F$64,MATCH($A28,Вводные!$A$13:$A$64,0),MATCH(CG$3,Вводные!$D$11:$F$11,0))*(1+IF(CG$4=$A28,Вводные!$D$5*INDEX(Вводные!$G$13:$G$64,MATCH($A28,Вводные!$A$13:$A$64,0)),0))</f>
        <v>0.1</v>
      </c>
      <c r="CH28" s="32" t="n">
        <f aca="false">INDEX(Вводные!$D$13:$F$64,MATCH($A28,Вводные!$A$13:$A$64,0),MATCH(CH$3,Вводные!$D$11:$F$11,0))*(1+IF(CH$4=$A28,Вводные!$D$5*INDEX(Вводные!$G$13:$G$64,MATCH($A28,Вводные!$A$13:$A$64,0)),0))</f>
        <v>0.1</v>
      </c>
      <c r="CI28" s="32" t="n">
        <f aca="false">INDEX(Вводные!$D$13:$F$64,MATCH($A28,Вводные!$A$13:$A$64,0),MATCH(CI$3,Вводные!$D$11:$F$11,0))*(1+IF(CI$4=$A28,Вводные!$D$5*INDEX(Вводные!$G$13:$G$64,MATCH($A28,Вводные!$A$13:$A$64,0)),0))</f>
        <v>0.1</v>
      </c>
      <c r="CJ28" s="32" t="n">
        <f aca="false">INDEX(Вводные!$D$13:$F$64,MATCH($A28,Вводные!$A$13:$A$64,0),MATCH(CJ$3,Вводные!$D$11:$F$11,0))*(1+IF(CJ$4=$A28,Вводные!$D$5*INDEX(Вводные!$G$13:$G$64,MATCH($A28,Вводные!$A$13:$A$64,0)),0))</f>
        <v>0.1</v>
      </c>
      <c r="CK28" s="32" t="n">
        <f aca="false">INDEX(Вводные!$D$13:$F$64,MATCH($A28,Вводные!$A$13:$A$64,0),MATCH(CK$3,Вводные!$D$11:$F$11,0))*(1+IF(CK$4=$A28,Вводные!$D$5*INDEX(Вводные!$G$13:$G$64,MATCH($A28,Вводные!$A$13:$A$64,0)),0))</f>
        <v>0.1</v>
      </c>
      <c r="CL28" s="32" t="n">
        <f aca="false">INDEX(Вводные!$D$13:$F$64,MATCH($A28,Вводные!$A$13:$A$64,0),MATCH(CL$3,Вводные!$D$11:$F$11,0))*(1+IF(CL$4=$A28,Вводные!$D$5*INDEX(Вводные!$G$13:$G$64,MATCH($A28,Вводные!$A$13:$A$64,0)),0))</f>
        <v>0.1</v>
      </c>
      <c r="CM28" s="32" t="n">
        <f aca="false">INDEX(Вводные!$D$13:$F$64,MATCH($A28,Вводные!$A$13:$A$64,0),MATCH(CM$3,Вводные!$D$11:$F$11,0))*(1+IF(CM$4=$A28,Вводные!$D$5*INDEX(Вводные!$G$13:$G$64,MATCH($A28,Вводные!$A$13:$A$64,0)),0))</f>
        <v>0.1</v>
      </c>
      <c r="CN28" s="32" t="n">
        <f aca="false">INDEX(Вводные!$D$13:$F$64,MATCH($A28,Вводные!$A$13:$A$64,0),MATCH(CN$3,Вводные!$D$11:$F$11,0))*(1+IF(CN$4=$A28,Вводные!$D$5*INDEX(Вводные!$G$13:$G$64,MATCH($A28,Вводные!$A$13:$A$64,0)),0))</f>
        <v>0.1</v>
      </c>
      <c r="CO28" s="32" t="n">
        <f aca="false">INDEX(Вводные!$D$13:$F$64,MATCH($A28,Вводные!$A$13:$A$64,0),MATCH(CO$3,Вводные!$D$11:$F$11,0))*(1+IF(CO$4=$A28,Вводные!$D$5*INDEX(Вводные!$G$13:$G$64,MATCH($A28,Вводные!$A$13:$A$64,0)),0))</f>
        <v>0.1</v>
      </c>
      <c r="CP28" s="32" t="n">
        <f aca="false">INDEX(Вводные!$D$13:$F$64,MATCH($A28,Вводные!$A$13:$A$64,0),MATCH(CP$3,Вводные!$D$11:$F$11,0))*(1+IF(CP$4=$A28,Вводные!$D$5*INDEX(Вводные!$G$13:$G$64,MATCH($A28,Вводные!$A$13:$A$64,0)),0))</f>
        <v>0.2</v>
      </c>
      <c r="CQ28" s="32" t="n">
        <f aca="false">INDEX(Вводные!$D$13:$F$64,MATCH($A28,Вводные!$A$13:$A$64,0),MATCH(CQ$3,Вводные!$D$11:$F$11,0))*(1+IF(CQ$4=$A28,Вводные!$D$5*INDEX(Вводные!$G$13:$G$64,MATCH($A28,Вводные!$A$13:$A$64,0)),0))</f>
        <v>0.2</v>
      </c>
      <c r="CR28" s="32" t="n">
        <f aca="false">INDEX(Вводные!$D$13:$F$64,MATCH($A28,Вводные!$A$13:$A$64,0),MATCH(CR$3,Вводные!$D$11:$F$11,0))*(1+IF(CR$4=$A28,Вводные!$D$5*INDEX(Вводные!$G$13:$G$64,MATCH($A28,Вводные!$A$13:$A$64,0)),0))</f>
        <v>0.2</v>
      </c>
      <c r="CS28" s="32" t="n">
        <f aca="false">INDEX(Вводные!$D$13:$F$64,MATCH($A28,Вводные!$A$13:$A$64,0),MATCH(CS$3,Вводные!$D$11:$F$11,0))*(1+IF(CS$4=$A28,Вводные!$D$5*INDEX(Вводные!$G$13:$G$64,MATCH($A28,Вводные!$A$13:$A$64,0)),0))</f>
        <v>0.2</v>
      </c>
      <c r="CT28" s="32" t="n">
        <f aca="false">INDEX(Вводные!$D$13:$F$64,MATCH($A28,Вводные!$A$13:$A$64,0),MATCH(CT$3,Вводные!$D$11:$F$11,0))*(1+IF(CT$4=$A28,Вводные!$D$5*INDEX(Вводные!$G$13:$G$64,MATCH($A28,Вводные!$A$13:$A$64,0)),0))</f>
        <v>0.2</v>
      </c>
      <c r="CU28" s="32" t="n">
        <f aca="false">INDEX(Вводные!$D$13:$F$64,MATCH($A28,Вводные!$A$13:$A$64,0),MATCH(CU$3,Вводные!$D$11:$F$11,0))*(1+IF(CU$4=$A28,Вводные!$D$5*INDEX(Вводные!$G$13:$G$64,MATCH($A28,Вводные!$A$13:$A$64,0)),0))</f>
        <v>0.2</v>
      </c>
      <c r="CV28" s="32" t="n">
        <f aca="false">INDEX(Вводные!$D$13:$F$64,MATCH($A28,Вводные!$A$13:$A$64,0),MATCH(CV$3,Вводные!$D$11:$F$11,0))*(1+IF(CV$4=$A28,Вводные!$D$5*INDEX(Вводные!$G$13:$G$64,MATCH($A28,Вводные!$A$13:$A$64,0)),0))</f>
        <v>0.2</v>
      </c>
      <c r="CW28" s="32" t="n">
        <f aca="false">INDEX(Вводные!$D$13:$F$64,MATCH($A28,Вводные!$A$13:$A$64,0),MATCH(CW$3,Вводные!$D$11:$F$11,0))*(1+IF(CW$4=$A28,Вводные!$D$5*INDEX(Вводные!$G$13:$G$64,MATCH($A28,Вводные!$A$13:$A$64,0)),0))</f>
        <v>0.2</v>
      </c>
      <c r="CX28" s="32" t="n">
        <f aca="false">INDEX(Вводные!$D$13:$F$64,MATCH($A28,Вводные!$A$13:$A$64,0),MATCH(CX$3,Вводные!$D$11:$F$11,0))*(1+IF(CX$4=$A28,Вводные!$D$5*INDEX(Вводные!$G$13:$G$64,MATCH($A28,Вводные!$A$13:$A$64,0)),0))</f>
        <v>0.2</v>
      </c>
      <c r="CY28" s="32" t="n">
        <f aca="false">INDEX(Вводные!$D$13:$F$64,MATCH($A28,Вводные!$A$13:$A$64,0),MATCH(CY$3,Вводные!$D$11:$F$11,0))*(1+IF(CY$4=$A28,Вводные!$D$5*INDEX(Вводные!$G$13:$G$64,MATCH($A28,Вводные!$A$13:$A$64,0)),0))</f>
        <v>0.2</v>
      </c>
      <c r="CZ28" s="32" t="n">
        <f aca="false">INDEX(Вводные!$D$13:$F$64,MATCH($A28,Вводные!$A$13:$A$64,0),MATCH(CZ$3,Вводные!$D$11:$F$11,0))*(1+IF(CZ$4=$A28,Вводные!$D$5*INDEX(Вводные!$G$13:$G$64,MATCH($A28,Вводные!$A$13:$A$64,0)),0))</f>
        <v>0.2</v>
      </c>
      <c r="DA28" s="32" t="n">
        <f aca="false">INDEX(Вводные!$D$13:$F$64,MATCH($A28,Вводные!$A$13:$A$64,0),MATCH(DA$3,Вводные!$D$11:$F$11,0))*(1+IF(DA$4=$A28,Вводные!$D$5*INDEX(Вводные!$G$13:$G$64,MATCH($A28,Вводные!$A$13:$A$64,0)),0))</f>
        <v>0.2</v>
      </c>
      <c r="DB28" s="32" t="n">
        <f aca="false">INDEX(Вводные!$D$13:$F$64,MATCH($A28,Вводные!$A$13:$A$64,0),MATCH(DB$3,Вводные!$D$11:$F$11,0))*(1+IF(DB$4=$A28,Вводные!$D$5*INDEX(Вводные!$G$13:$G$64,MATCH($A28,Вводные!$A$13:$A$64,0)),0))</f>
        <v>0.2</v>
      </c>
      <c r="DC28" s="32" t="n">
        <f aca="false">INDEX(Вводные!$D$13:$F$64,MATCH($A28,Вводные!$A$13:$A$64,0),MATCH(DC$3,Вводные!$D$11:$F$11,0))*(1+IF(DC$4=$A28,Вводные!$D$5*INDEX(Вводные!$G$13:$G$64,MATCH($A28,Вводные!$A$13:$A$64,0)),0))</f>
        <v>0.2</v>
      </c>
      <c r="DD28" s="32" t="n">
        <f aca="false">INDEX(Вводные!$D$13:$F$64,MATCH($A28,Вводные!$A$13:$A$64,0),MATCH(DD$3,Вводные!$D$11:$F$11,0))*(1+IF(DD$4=$A28,Вводные!$D$5*INDEX(Вводные!$G$13:$G$64,MATCH($A28,Вводные!$A$13:$A$64,0)),0))</f>
        <v>0.202</v>
      </c>
      <c r="DE28" s="32" t="n">
        <f aca="false">INDEX(Вводные!$D$13:$F$64,MATCH($A28,Вводные!$A$13:$A$64,0),MATCH(DE$3,Вводные!$D$11:$F$11,0))*(1+IF(DE$4=$A28,Вводные!$D$5*INDEX(Вводные!$G$13:$G$64,MATCH($A28,Вводные!$A$13:$A$64,0)),0))</f>
        <v>0.2</v>
      </c>
      <c r="DF28" s="32" t="n">
        <f aca="false">INDEX(Вводные!$D$13:$F$64,MATCH($A28,Вводные!$A$13:$A$64,0),MATCH(DF$3,Вводные!$D$11:$F$11,0))*(1+IF(DF$4=$A28,Вводные!$D$5*INDEX(Вводные!$G$13:$G$64,MATCH($A28,Вводные!$A$13:$A$64,0)),0))</f>
        <v>0.2</v>
      </c>
      <c r="DG28" s="32" t="n">
        <f aca="false">INDEX(Вводные!$D$13:$F$64,MATCH($A28,Вводные!$A$13:$A$64,0),MATCH(DG$3,Вводные!$D$11:$F$11,0))*(1+IF(DG$4=$A28,Вводные!$D$5*INDEX(Вводные!$G$13:$G$64,MATCH($A28,Вводные!$A$13:$A$64,0)),0))</f>
        <v>0.2</v>
      </c>
      <c r="DH28" s="32" t="n">
        <f aca="false">INDEX(Вводные!$D$13:$F$64,MATCH($A28,Вводные!$A$13:$A$64,0),MATCH(DH$3,Вводные!$D$11:$F$11,0))*(1+IF(DH$4=$A28,Вводные!$D$5*INDEX(Вводные!$G$13:$G$64,MATCH($A28,Вводные!$A$13:$A$64,0)),0))</f>
        <v>0.2</v>
      </c>
      <c r="DI28" s="32" t="n">
        <f aca="false">INDEX(Вводные!$D$13:$F$64,MATCH($A28,Вводные!$A$13:$A$64,0),MATCH(DI$3,Вводные!$D$11:$F$11,0))*(1+IF(DI$4=$A28,Вводные!$D$5*INDEX(Вводные!$G$13:$G$64,MATCH($A28,Вводные!$A$13:$A$64,0)),0))</f>
        <v>0.2</v>
      </c>
      <c r="DJ28" s="32" t="n">
        <f aca="false">INDEX(Вводные!$D$13:$F$64,MATCH($A28,Вводные!$A$13:$A$64,0),MATCH(DJ$3,Вводные!$D$11:$F$11,0))*(1+IF(DJ$4=$A28,Вводные!$D$5*INDEX(Вводные!$G$13:$G$64,MATCH($A28,Вводные!$A$13:$A$64,0)),0))</f>
        <v>0.2</v>
      </c>
      <c r="DK28" s="32" t="n">
        <f aca="false">INDEX(Вводные!$D$13:$F$64,MATCH($A28,Вводные!$A$13:$A$64,0),MATCH(DK$3,Вводные!$D$11:$F$11,0))*(1+IF(DK$4=$A28,Вводные!$D$5*INDEX(Вводные!$G$13:$G$64,MATCH($A28,Вводные!$A$13:$A$64,0)),0))</f>
        <v>0.2</v>
      </c>
      <c r="DL28" s="32" t="n">
        <f aca="false">INDEX(Вводные!$D$13:$F$64,MATCH($A28,Вводные!$A$13:$A$64,0),MATCH(DL$3,Вводные!$D$11:$F$11,0))*(1+IF(DL$4=$A28,Вводные!$D$5*INDEX(Вводные!$G$13:$G$64,MATCH($A28,Вводные!$A$13:$A$64,0)),0))</f>
        <v>0.2</v>
      </c>
      <c r="DM28" s="32" t="n">
        <f aca="false">INDEX(Вводные!$D$13:$F$64,MATCH($A28,Вводные!$A$13:$A$64,0),MATCH(DM$3,Вводные!$D$11:$F$11,0))*(1+IF(DM$4=$A28,Вводные!$D$5*INDEX(Вводные!$G$13:$G$64,MATCH($A28,Вводные!$A$13:$A$64,0)),0))</f>
        <v>0.2</v>
      </c>
      <c r="DN28" s="32" t="n">
        <f aca="false">INDEX(Вводные!$D$13:$F$64,MATCH($A28,Вводные!$A$13:$A$64,0),MATCH(DN$3,Вводные!$D$11:$F$11,0))*(1+IF(DN$4=$A28,Вводные!$D$5*INDEX(Вводные!$G$13:$G$64,MATCH($A28,Вводные!$A$13:$A$64,0)),0))</f>
        <v>0.2</v>
      </c>
      <c r="DO28" s="32" t="n">
        <f aca="false">INDEX(Вводные!$D$13:$F$64,MATCH($A28,Вводные!$A$13:$A$64,0),MATCH(DO$3,Вводные!$D$11:$F$11,0))*(1+IF(DO$4=$A28,Вводные!$D$5*INDEX(Вводные!$G$13:$G$64,MATCH($A28,Вводные!$A$13:$A$64,0)),0))</f>
        <v>0.2</v>
      </c>
      <c r="DP28" s="32" t="n">
        <f aca="false">INDEX(Вводные!$D$13:$F$64,MATCH($A28,Вводные!$A$13:$A$64,0),MATCH(DP$3,Вводные!$D$11:$F$11,0))*(1+IF(DP$4=$A28,Вводные!$D$5*INDEX(Вводные!$G$13:$G$64,MATCH($A28,Вводные!$A$13:$A$64,0)),0))</f>
        <v>0.2</v>
      </c>
      <c r="DQ28" s="32" t="n">
        <f aca="false">INDEX(Вводные!$D$13:$F$64,MATCH($A28,Вводные!$A$13:$A$64,0),MATCH(DQ$3,Вводные!$D$11:$F$11,0))*(1+IF(DQ$4=$A28,Вводные!$D$5*INDEX(Вводные!$G$13:$G$64,MATCH($A28,Вводные!$A$13:$A$64,0)),0))</f>
        <v>0.2</v>
      </c>
      <c r="DR28" s="32" t="n">
        <f aca="false">INDEX(Вводные!$D$13:$F$64,MATCH($A28,Вводные!$A$13:$A$64,0),MATCH(DR$3,Вводные!$D$11:$F$11,0))*(1+IF(DR$4=$A28,Вводные!$D$5*INDEX(Вводные!$G$13:$G$64,MATCH($A28,Вводные!$A$13:$A$64,0)),0))</f>
        <v>0.2</v>
      </c>
      <c r="DS28" s="32" t="n">
        <f aca="false">INDEX(Вводные!$D$13:$F$64,MATCH($A28,Вводные!$A$13:$A$64,0),MATCH(DS$3,Вводные!$D$11:$F$11,0))*(1+IF(DS$4=$A28,Вводные!$D$5*INDEX(Вводные!$G$13:$G$64,MATCH($A28,Вводные!$A$13:$A$64,0)),0))</f>
        <v>0.2</v>
      </c>
      <c r="DT28" s="32" t="n">
        <f aca="false">INDEX(Вводные!$D$13:$F$64,MATCH($A28,Вводные!$A$13:$A$64,0),MATCH(DT$3,Вводные!$D$11:$F$11,0))*(1+IF(DT$4=$A28,Вводные!$D$5*INDEX(Вводные!$G$13:$G$64,MATCH($A28,Вводные!$A$13:$A$64,0)),0))</f>
        <v>0.2</v>
      </c>
      <c r="DU28" s="32" t="n">
        <f aca="false">INDEX(Вводные!$D$13:$F$64,MATCH($A28,Вводные!$A$13:$A$64,0),MATCH(DU$3,Вводные!$D$11:$F$11,0))*(1+IF(DU$4=$A28,Вводные!$D$5*INDEX(Вводные!$G$13:$G$64,MATCH($A28,Вводные!$A$13:$A$64,0)),0))</f>
        <v>0.2</v>
      </c>
      <c r="DV28" s="32" t="n">
        <f aca="false">INDEX(Вводные!$D$13:$F$64,MATCH($A28,Вводные!$A$13:$A$64,0),MATCH(DV$3,Вводные!$D$11:$F$11,0))*(1+IF(DV$4=$A28,Вводные!$D$5*INDEX(Вводные!$G$13:$G$64,MATCH($A28,Вводные!$A$13:$A$64,0)),0))</f>
        <v>0.2</v>
      </c>
      <c r="DW28" s="32" t="n">
        <f aca="false">INDEX(Вводные!$D$13:$F$64,MATCH($A28,Вводные!$A$13:$A$64,0),MATCH(DW$3,Вводные!$D$11:$F$11,0))*(1+IF(DW$4=$A28,Вводные!$D$5*INDEX(Вводные!$G$13:$G$64,MATCH($A28,Вводные!$A$13:$A$64,0)),0))</f>
        <v>0.2</v>
      </c>
      <c r="DX28" s="32" t="n">
        <f aca="false">INDEX(Вводные!$D$13:$F$64,MATCH($A28,Вводные!$A$13:$A$64,0),MATCH(DX$3,Вводные!$D$11:$F$11,0))*(1+IF(DX$4=$A28,Вводные!$D$5*INDEX(Вводные!$G$13:$G$64,MATCH($A28,Вводные!$A$13:$A$64,0)),0))</f>
        <v>0.2</v>
      </c>
      <c r="DY28" s="32" t="n">
        <f aca="false">INDEX(Вводные!$D$13:$F$64,MATCH($A28,Вводные!$A$13:$A$64,0),MATCH(DY$3,Вводные!$D$11:$F$11,0))*(1+IF(DY$4=$A28,Вводные!$D$5*INDEX(Вводные!$G$13:$G$64,MATCH($A28,Вводные!$A$13:$A$64,0)),0))</f>
        <v>0.2</v>
      </c>
      <c r="DZ28" s="32" t="n">
        <f aca="false">INDEX(Вводные!$D$13:$F$64,MATCH($A28,Вводные!$A$13:$A$64,0),MATCH(DZ$3,Вводные!$D$11:$F$11,0))*(1+IF(DZ$4=$A28,Вводные!$D$5*INDEX(Вводные!$G$13:$G$64,MATCH($A28,Вводные!$A$13:$A$64,0)),0))</f>
        <v>0.2</v>
      </c>
      <c r="EA28" s="32" t="n">
        <f aca="false">INDEX(Вводные!$D$13:$F$64,MATCH($A28,Вводные!$A$13:$A$64,0),MATCH(EA$3,Вводные!$D$11:$F$11,0))*(1+IF(EA$4=$A28,Вводные!$D$5*INDEX(Вводные!$G$13:$G$64,MATCH($A28,Вводные!$A$13:$A$64,0)),0))</f>
        <v>0.2</v>
      </c>
      <c r="EB28" s="32" t="n">
        <f aca="false">INDEX(Вводные!$D$13:$F$64,MATCH($A28,Вводные!$A$13:$A$64,0),MATCH(EB$3,Вводные!$D$11:$F$11,0))*(1+IF(EB$4=$A28,Вводные!$D$5*INDEX(Вводные!$G$13:$G$64,MATCH($A28,Вводные!$A$13:$A$64,0)),0))</f>
        <v>0.2</v>
      </c>
      <c r="EC28" s="32" t="n">
        <f aca="false">INDEX(Вводные!$D$13:$F$64,MATCH($A28,Вводные!$A$13:$A$64,0),MATCH(EC$3,Вводные!$D$11:$F$11,0))*(1+IF(EC$4=$A28,Вводные!$D$5*INDEX(Вводные!$G$13:$G$64,MATCH($A28,Вводные!$A$13:$A$64,0)),0))</f>
        <v>0.2</v>
      </c>
      <c r="ED28" s="32" t="n">
        <f aca="false">INDEX(Вводные!$D$13:$F$64,MATCH($A28,Вводные!$A$13:$A$64,0),MATCH(ED$3,Вводные!$D$11:$F$11,0))*(1+IF(ED$4=$A28,Вводные!$D$5*INDEX(Вводные!$G$13:$G$64,MATCH($A28,Вводные!$A$13:$A$64,0)),0))</f>
        <v>0.2</v>
      </c>
      <c r="EE28" s="32" t="n">
        <f aca="false">INDEX(Вводные!$D$13:$F$64,MATCH($A28,Вводные!$A$13:$A$64,0),MATCH(EE$3,Вводные!$D$11:$F$11,0))*(1+IF(EE$4=$A28,Вводные!$D$5*INDEX(Вводные!$G$13:$G$64,MATCH($A28,Вводные!$A$13:$A$64,0)),0))</f>
        <v>0.2</v>
      </c>
      <c r="EF28" s="32" t="n">
        <f aca="false">INDEX(Вводные!$D$13:$F$64,MATCH($A28,Вводные!$A$13:$A$64,0),MATCH(EF$3,Вводные!$D$11:$F$11,0))*(1+IF(EF$4=$A28,Вводные!$D$5*INDEX(Вводные!$G$13:$G$64,MATCH($A28,Вводные!$A$13:$A$64,0)),0))</f>
        <v>0.05</v>
      </c>
      <c r="EG28" s="32" t="n">
        <f aca="false">INDEX(Вводные!$D$13:$F$64,MATCH($A28,Вводные!$A$13:$A$64,0),MATCH(EG$3,Вводные!$D$11:$F$11,0))*(1+IF(EG$4=$A28,Вводные!$D$5*INDEX(Вводные!$G$13:$G$64,MATCH($A28,Вводные!$A$13:$A$64,0)),0))</f>
        <v>0.05</v>
      </c>
      <c r="EH28" s="32" t="n">
        <f aca="false">INDEX(Вводные!$D$13:$F$64,MATCH($A28,Вводные!$A$13:$A$64,0),MATCH(EH$3,Вводные!$D$11:$F$11,0))*(1+IF(EH$4=$A28,Вводные!$D$5*INDEX(Вводные!$G$13:$G$64,MATCH($A28,Вводные!$A$13:$A$64,0)),0))</f>
        <v>0.05</v>
      </c>
      <c r="EI28" s="32" t="n">
        <f aca="false">INDEX(Вводные!$D$13:$F$64,MATCH($A28,Вводные!$A$13:$A$64,0),MATCH(EI$3,Вводные!$D$11:$F$11,0))*(1+IF(EI$4=$A28,Вводные!$D$5*INDEX(Вводные!$G$13:$G$64,MATCH($A28,Вводные!$A$13:$A$64,0)),0))</f>
        <v>0.05</v>
      </c>
      <c r="EJ28" s="32" t="n">
        <f aca="false">INDEX(Вводные!$D$13:$F$64,MATCH($A28,Вводные!$A$13:$A$64,0),MATCH(EJ$3,Вводные!$D$11:$F$11,0))*(1+IF(EJ$4=$A28,Вводные!$D$5*INDEX(Вводные!$G$13:$G$64,MATCH($A28,Вводные!$A$13:$A$64,0)),0))</f>
        <v>0.05</v>
      </c>
      <c r="EK28" s="32" t="n">
        <f aca="false">INDEX(Вводные!$D$13:$F$64,MATCH($A28,Вводные!$A$13:$A$64,0),MATCH(EK$3,Вводные!$D$11:$F$11,0))*(1+IF(EK$4=$A28,Вводные!$D$5*INDEX(Вводные!$G$13:$G$64,MATCH($A28,Вводные!$A$13:$A$64,0)),0))</f>
        <v>0.05</v>
      </c>
      <c r="EL28" s="32" t="n">
        <f aca="false">INDEX(Вводные!$D$13:$F$64,MATCH($A28,Вводные!$A$13:$A$64,0),MATCH(EL$3,Вводные!$D$11:$F$11,0))*(1+IF(EL$4=$A28,Вводные!$D$5*INDEX(Вводные!$G$13:$G$64,MATCH($A28,Вводные!$A$13:$A$64,0)),0))</f>
        <v>0.05</v>
      </c>
      <c r="EM28" s="32" t="n">
        <f aca="false">INDEX(Вводные!$D$13:$F$64,MATCH($A28,Вводные!$A$13:$A$64,0),MATCH(EM$3,Вводные!$D$11:$F$11,0))*(1+IF(EM$4=$A28,Вводные!$D$5*INDEX(Вводные!$G$13:$G$64,MATCH($A28,Вводные!$A$13:$A$64,0)),0))</f>
        <v>0.05</v>
      </c>
      <c r="EN28" s="32" t="n">
        <f aca="false">INDEX(Вводные!$D$13:$F$64,MATCH($A28,Вводные!$A$13:$A$64,0),MATCH(EN$3,Вводные!$D$11:$F$11,0))*(1+IF(EN$4=$A28,Вводные!$D$5*INDEX(Вводные!$G$13:$G$64,MATCH($A28,Вводные!$A$13:$A$64,0)),0))</f>
        <v>0.05</v>
      </c>
      <c r="EO28" s="32" t="n">
        <f aca="false">INDEX(Вводные!$D$13:$F$64,MATCH($A28,Вводные!$A$13:$A$64,0),MATCH(EO$3,Вводные!$D$11:$F$11,0))*(1+IF(EO$4=$A28,Вводные!$D$5*INDEX(Вводные!$G$13:$G$64,MATCH($A28,Вводные!$A$13:$A$64,0)),0))</f>
        <v>0.05</v>
      </c>
      <c r="EP28" s="32" t="n">
        <f aca="false">INDEX(Вводные!$D$13:$F$64,MATCH($A28,Вводные!$A$13:$A$64,0),MATCH(EP$3,Вводные!$D$11:$F$11,0))*(1+IF(EP$4=$A28,Вводные!$D$5*INDEX(Вводные!$G$13:$G$64,MATCH($A28,Вводные!$A$13:$A$64,0)),0))</f>
        <v>0.05</v>
      </c>
      <c r="EQ28" s="32" t="n">
        <f aca="false">INDEX(Вводные!$D$13:$F$64,MATCH($A28,Вводные!$A$13:$A$64,0),MATCH(EQ$3,Вводные!$D$11:$F$11,0))*(1+IF(EQ$4=$A28,Вводные!$D$5*INDEX(Вводные!$G$13:$G$64,MATCH($A28,Вводные!$A$13:$A$64,0)),0))</f>
        <v>0.05</v>
      </c>
      <c r="ER28" s="32" t="n">
        <f aca="false">INDEX(Вводные!$D$13:$F$64,MATCH($A28,Вводные!$A$13:$A$64,0),MATCH(ER$3,Вводные!$D$11:$F$11,0))*(1+IF(ER$4=$A28,Вводные!$D$5*INDEX(Вводные!$G$13:$G$64,MATCH($A28,Вводные!$A$13:$A$64,0)),0))</f>
        <v>0.05</v>
      </c>
      <c r="ES28" s="32" t="n">
        <f aca="false">INDEX(Вводные!$D$13:$F$64,MATCH($A28,Вводные!$A$13:$A$64,0),MATCH(ES$3,Вводные!$D$11:$F$11,0))*(1+IF(ES$4=$A28,Вводные!$D$5*INDEX(Вводные!$G$13:$G$64,MATCH($A28,Вводные!$A$13:$A$64,0)),0))</f>
        <v>0.05</v>
      </c>
      <c r="ET28" s="32" t="n">
        <f aca="false">INDEX(Вводные!$D$13:$F$64,MATCH($A28,Вводные!$A$13:$A$64,0),MATCH(ET$3,Вводные!$D$11:$F$11,0))*(1+IF(ET$4=$A28,Вводные!$D$5*INDEX(Вводные!$G$13:$G$64,MATCH($A28,Вводные!$A$13:$A$64,0)),0))</f>
        <v>0.0505</v>
      </c>
      <c r="EU28" s="32" t="n">
        <f aca="false">INDEX(Вводные!$D$13:$F$64,MATCH($A28,Вводные!$A$13:$A$64,0),MATCH(EU$3,Вводные!$D$11:$F$11,0))*(1+IF(EU$4=$A28,Вводные!$D$5*INDEX(Вводные!$G$13:$G$64,MATCH($A28,Вводные!$A$13:$A$64,0)),0))</f>
        <v>0.05</v>
      </c>
      <c r="EV28" s="32" t="n">
        <f aca="false">INDEX(Вводные!$D$13:$F$64,MATCH($A28,Вводные!$A$13:$A$64,0),MATCH(EV$3,Вводные!$D$11:$F$11,0))*(1+IF(EV$4=$A28,Вводные!$D$5*INDEX(Вводные!$G$13:$G$64,MATCH($A28,Вводные!$A$13:$A$64,0)),0))</f>
        <v>0.05</v>
      </c>
      <c r="EW28" s="32" t="n">
        <f aca="false">INDEX(Вводные!$D$13:$F$64,MATCH($A28,Вводные!$A$13:$A$64,0),MATCH(EW$3,Вводные!$D$11:$F$11,0))*(1+IF(EW$4=$A28,Вводные!$D$5*INDEX(Вводные!$G$13:$G$64,MATCH($A28,Вводные!$A$13:$A$64,0)),0))</f>
        <v>0.05</v>
      </c>
      <c r="EX28" s="32" t="n">
        <f aca="false">INDEX(Вводные!$D$13:$F$64,MATCH($A28,Вводные!$A$13:$A$64,0),MATCH(EX$3,Вводные!$D$11:$F$11,0))*(1+IF(EX$4=$A28,Вводные!$D$5*INDEX(Вводные!$G$13:$G$64,MATCH($A28,Вводные!$A$13:$A$64,0)),0))</f>
        <v>0.05</v>
      </c>
      <c r="EY28" s="32" t="n">
        <f aca="false">INDEX(Вводные!$D$13:$F$64,MATCH($A28,Вводные!$A$13:$A$64,0),MATCH(EY$3,Вводные!$D$11:$F$11,0))*(1+IF(EY$4=$A28,Вводные!$D$5*INDEX(Вводные!$G$13:$G$64,MATCH($A28,Вводные!$A$13:$A$64,0)),0))</f>
        <v>0.05</v>
      </c>
      <c r="EZ28" s="32" t="n">
        <f aca="false">INDEX(Вводные!$D$13:$F$64,MATCH($A28,Вводные!$A$13:$A$64,0),MATCH(EZ$3,Вводные!$D$11:$F$11,0))*(1+IF(EZ$4=$A28,Вводные!$D$5*INDEX(Вводные!$G$13:$G$64,MATCH($A28,Вводные!$A$13:$A$64,0)),0))</f>
        <v>0.05</v>
      </c>
      <c r="FA28" s="32" t="n">
        <f aca="false">INDEX(Вводные!$D$13:$F$64,MATCH($A28,Вводные!$A$13:$A$64,0),MATCH(FA$3,Вводные!$D$11:$F$11,0))*(1+IF(FA$4=$A28,Вводные!$D$5*INDEX(Вводные!$G$13:$G$64,MATCH($A28,Вводные!$A$13:$A$64,0)),0))</f>
        <v>0.05</v>
      </c>
      <c r="FB28" s="32" t="n">
        <f aca="false">INDEX(Вводные!$D$13:$F$64,MATCH($A28,Вводные!$A$13:$A$64,0),MATCH(FB$3,Вводные!$D$11:$F$11,0))*(1+IF(FB$4=$A28,Вводные!$D$5*INDEX(Вводные!$G$13:$G$64,MATCH($A28,Вводные!$A$13:$A$64,0)),0))</f>
        <v>0.05</v>
      </c>
      <c r="FC28" s="32" t="n">
        <f aca="false">INDEX(Вводные!$D$13:$F$64,MATCH($A28,Вводные!$A$13:$A$64,0),MATCH(FC$3,Вводные!$D$11:$F$11,0))*(1+IF(FC$4=$A28,Вводные!$D$5*INDEX(Вводные!$G$13:$G$64,MATCH($A28,Вводные!$A$13:$A$64,0)),0))</f>
        <v>0.05</v>
      </c>
      <c r="FD28" s="32" t="n">
        <f aca="false">INDEX(Вводные!$D$13:$F$64,MATCH($A28,Вводные!$A$13:$A$64,0),MATCH(FD$3,Вводные!$D$11:$F$11,0))*(1+IF(FD$4=$A28,Вводные!$D$5*INDEX(Вводные!$G$13:$G$64,MATCH($A28,Вводные!$A$13:$A$64,0)),0))</f>
        <v>0.05</v>
      </c>
      <c r="FE28" s="32" t="n">
        <f aca="false">INDEX(Вводные!$D$13:$F$64,MATCH($A28,Вводные!$A$13:$A$64,0),MATCH(FE$3,Вводные!$D$11:$F$11,0))*(1+IF(FE$4=$A28,Вводные!$D$5*INDEX(Вводные!$G$13:$G$64,MATCH($A28,Вводные!$A$13:$A$64,0)),0))</f>
        <v>0.05</v>
      </c>
      <c r="FF28" s="32" t="n">
        <f aca="false">INDEX(Вводные!$D$13:$F$64,MATCH($A28,Вводные!$A$13:$A$64,0),MATCH(FF$3,Вводные!$D$11:$F$11,0))*(1+IF(FF$4=$A28,Вводные!$D$5*INDEX(Вводные!$G$13:$G$64,MATCH($A28,Вводные!$A$13:$A$64,0)),0))</f>
        <v>0.05</v>
      </c>
      <c r="FG28" s="32" t="n">
        <f aca="false">INDEX(Вводные!$D$13:$F$64,MATCH($A28,Вводные!$A$13:$A$64,0),MATCH(FG$3,Вводные!$D$11:$F$11,0))*(1+IF(FG$4=$A28,Вводные!$D$5*INDEX(Вводные!$G$13:$G$64,MATCH($A28,Вводные!$A$13:$A$64,0)),0))</f>
        <v>0.05</v>
      </c>
      <c r="FH28" s="32" t="n">
        <f aca="false">INDEX(Вводные!$D$13:$F$64,MATCH($A28,Вводные!$A$13:$A$64,0),MATCH(FH$3,Вводные!$D$11:$F$11,0))*(1+IF(FH$4=$A28,Вводные!$D$5*INDEX(Вводные!$G$13:$G$64,MATCH($A28,Вводные!$A$13:$A$64,0)),0))</f>
        <v>0.05</v>
      </c>
      <c r="FI28" s="32" t="n">
        <f aca="false">INDEX(Вводные!$D$13:$F$64,MATCH($A28,Вводные!$A$13:$A$64,0),MATCH(FI$3,Вводные!$D$11:$F$11,0))*(1+IF(FI$4=$A28,Вводные!$D$5*INDEX(Вводные!$G$13:$G$64,MATCH($A28,Вводные!$A$13:$A$64,0)),0))</f>
        <v>0.05</v>
      </c>
      <c r="FJ28" s="32" t="n">
        <f aca="false">INDEX(Вводные!$D$13:$F$64,MATCH($A28,Вводные!$A$13:$A$64,0),MATCH(FJ$3,Вводные!$D$11:$F$11,0))*(1+IF(FJ$4=$A28,Вводные!$D$5*INDEX(Вводные!$G$13:$G$64,MATCH($A28,Вводные!$A$13:$A$64,0)),0))</f>
        <v>0.05</v>
      </c>
      <c r="FK28" s="32" t="n">
        <f aca="false">INDEX(Вводные!$D$13:$F$64,MATCH($A28,Вводные!$A$13:$A$64,0),MATCH(FK$3,Вводные!$D$11:$F$11,0))*(1+IF(FK$4=$A28,Вводные!$D$5*INDEX(Вводные!$G$13:$G$64,MATCH($A28,Вводные!$A$13:$A$64,0)),0))</f>
        <v>0.05</v>
      </c>
      <c r="FL28" s="32" t="n">
        <f aca="false">INDEX(Вводные!$D$13:$F$64,MATCH($A28,Вводные!$A$13:$A$64,0),MATCH(FL$3,Вводные!$D$11:$F$11,0))*(1+IF(FL$4=$A28,Вводные!$D$5*INDEX(Вводные!$G$13:$G$64,MATCH($A28,Вводные!$A$13:$A$64,0)),0))</f>
        <v>0.05</v>
      </c>
      <c r="FM28" s="32" t="n">
        <f aca="false">INDEX(Вводные!$D$13:$F$64,MATCH($A28,Вводные!$A$13:$A$64,0),MATCH(FM$3,Вводные!$D$11:$F$11,0))*(1+IF(FM$4=$A28,Вводные!$D$5*INDEX(Вводные!$G$13:$G$64,MATCH($A28,Вводные!$A$13:$A$64,0)),0))</f>
        <v>0.05</v>
      </c>
      <c r="FN28" s="32" t="n">
        <f aca="false">INDEX(Вводные!$D$13:$F$64,MATCH($A28,Вводные!$A$13:$A$64,0),MATCH(FN$3,Вводные!$D$11:$F$11,0))*(1+IF(FN$4=$A28,Вводные!$D$5*INDEX(Вводные!$G$13:$G$64,MATCH($A28,Вводные!$A$13:$A$64,0)),0))</f>
        <v>0.05</v>
      </c>
      <c r="FO28" s="32" t="n">
        <f aca="false">INDEX(Вводные!$D$13:$F$64,MATCH($A28,Вводные!$A$13:$A$64,0),MATCH(FO$3,Вводные!$D$11:$F$11,0))*(1+IF(FO$4=$A28,Вводные!$D$5*INDEX(Вводные!$G$13:$G$64,MATCH($A28,Вводные!$A$13:$A$64,0)),0))</f>
        <v>0.05</v>
      </c>
      <c r="FP28" s="32" t="n">
        <f aca="false">INDEX(Вводные!$D$13:$F$64,MATCH($A28,Вводные!$A$13:$A$64,0),MATCH(FP$3,Вводные!$D$11:$F$11,0))*(1+IF(FP$4=$A28,Вводные!$D$5*INDEX(Вводные!$G$13:$G$64,MATCH($A28,Вводные!$A$13:$A$64,0)),0))</f>
        <v>0.05</v>
      </c>
      <c r="FQ28" s="32" t="n">
        <f aca="false">INDEX(Вводные!$D$13:$F$64,MATCH($A28,Вводные!$A$13:$A$64,0),MATCH(FQ$3,Вводные!$D$11:$F$11,0))*(1+IF(FQ$4=$A28,Вводные!$D$5*INDEX(Вводные!$G$13:$G$64,MATCH($A28,Вводные!$A$13:$A$64,0)),0))</f>
        <v>0.05</v>
      </c>
      <c r="FR28" s="32" t="n">
        <f aca="false">INDEX(Вводные!$D$13:$F$64,MATCH($A28,Вводные!$A$13:$A$64,0),MATCH(FR$3,Вводные!$D$11:$F$11,0))*(1+IF(FR$4=$A28,Вводные!$D$5*INDEX(Вводные!$G$13:$G$64,MATCH($A28,Вводные!$A$13:$A$64,0)),0))</f>
        <v>0.05</v>
      </c>
      <c r="FS28" s="32" t="n">
        <f aca="false">INDEX(Вводные!$D$13:$F$64,MATCH($A28,Вводные!$A$13:$A$64,0),MATCH(FS$3,Вводные!$D$11:$F$11,0))*(1+IF(FS$4=$A28,Вводные!$D$5*INDEX(Вводные!$G$13:$G$64,MATCH($A28,Вводные!$A$13:$A$64,0)),0))</f>
        <v>0.05</v>
      </c>
      <c r="FT28" s="32" t="n">
        <f aca="false">INDEX(Вводные!$D$13:$F$64,MATCH($A28,Вводные!$A$13:$A$64,0),MATCH(FT$3,Вводные!$D$11:$F$11,0))*(1+IF(FT$4=$A28,Вводные!$D$5*INDEX(Вводные!$G$13:$G$64,MATCH($A28,Вводные!$A$13:$A$64,0)),0))</f>
        <v>0.05</v>
      </c>
      <c r="FU28" s="32" t="n">
        <f aca="false">INDEX(Вводные!$D$13:$F$64,MATCH($A28,Вводные!$A$13:$A$64,0),MATCH(FU$3,Вводные!$D$11:$F$11,0))*(1+IF(FU$4=$A28,Вводные!$D$5*INDEX(Вводные!$G$13:$G$64,MATCH($A28,Вводные!$A$13:$A$64,0)),0))</f>
        <v>0.05</v>
      </c>
      <c r="FV28" s="32" t="n">
        <f aca="false">INDEX(Вводные!$D$13:$F$64,MATCH($A28,Вводные!$A$13:$A$64,0),MATCH(FV$3,Вводные!$D$11:$F$11,0))*(1+IF(FV$4=$A28,Вводные!$D$5*INDEX(Вводные!$G$13:$G$64,MATCH($A28,Вводные!$A$13:$A$64,0)),0))</f>
        <v>0.1</v>
      </c>
      <c r="FW28" s="32" t="n">
        <f aca="false">INDEX(Вводные!$D$13:$F$64,MATCH($A28,Вводные!$A$13:$A$64,0),MATCH(FW$3,Вводные!$D$11:$F$11,0))*(1+IF(FW$4=$A28,Вводные!$D$5*INDEX(Вводные!$G$13:$G$64,MATCH($A28,Вводные!$A$13:$A$64,0)),0))</f>
        <v>0.1</v>
      </c>
      <c r="FX28" s="32" t="n">
        <f aca="false">INDEX(Вводные!$D$13:$F$64,MATCH($A28,Вводные!$A$13:$A$64,0),MATCH(FX$3,Вводные!$D$11:$F$11,0))*(1+IF(FX$4=$A28,Вводные!$D$5*INDEX(Вводные!$G$13:$G$64,MATCH($A28,Вводные!$A$13:$A$64,0)),0))</f>
        <v>0.1</v>
      </c>
      <c r="FY28" s="32" t="n">
        <f aca="false">INDEX(Вводные!$D$13:$F$64,MATCH($A28,Вводные!$A$13:$A$64,0),MATCH(FY$3,Вводные!$D$11:$F$11,0))*(1+IF(FY$4=$A28,Вводные!$D$5*INDEX(Вводные!$G$13:$G$64,MATCH($A28,Вводные!$A$13:$A$64,0)),0))</f>
        <v>0.1</v>
      </c>
      <c r="FZ28" s="32" t="n">
        <f aca="false">INDEX(Вводные!$D$13:$F$64,MATCH($A28,Вводные!$A$13:$A$64,0),MATCH(FZ$3,Вводные!$D$11:$F$11,0))*(1+IF(FZ$4=$A28,Вводные!$D$5*INDEX(Вводные!$G$13:$G$64,MATCH($A28,Вводные!$A$13:$A$64,0)),0))</f>
        <v>0.1</v>
      </c>
      <c r="GA28" s="32" t="n">
        <f aca="false">INDEX(Вводные!$D$13:$F$64,MATCH($A28,Вводные!$A$13:$A$64,0),MATCH(GA$3,Вводные!$D$11:$F$11,0))*(1+IF(GA$4=$A28,Вводные!$D$5*INDEX(Вводные!$G$13:$G$64,MATCH($A28,Вводные!$A$13:$A$64,0)),0))</f>
        <v>0.1</v>
      </c>
      <c r="GB28" s="32" t="n">
        <f aca="false">INDEX(Вводные!$D$13:$F$64,MATCH($A28,Вводные!$A$13:$A$64,0),MATCH(GB$3,Вводные!$D$11:$F$11,0))*(1+IF(GB$4=$A28,Вводные!$D$5*INDEX(Вводные!$G$13:$G$64,MATCH($A28,Вводные!$A$13:$A$64,0)),0))</f>
        <v>0.1</v>
      </c>
      <c r="GC28" s="32" t="n">
        <f aca="false">INDEX(Вводные!$D$13:$F$64,MATCH($A28,Вводные!$A$13:$A$64,0),MATCH(GC$3,Вводные!$D$11:$F$11,0))*(1+IF(GC$4=$A28,Вводные!$D$5*INDEX(Вводные!$G$13:$G$64,MATCH($A28,Вводные!$A$13:$A$64,0)),0))</f>
        <v>0.1</v>
      </c>
      <c r="GD28" s="32" t="n">
        <f aca="false">INDEX(Вводные!$D$13:$F$64,MATCH($A28,Вводные!$A$13:$A$64,0),MATCH(GD$3,Вводные!$D$11:$F$11,0))*(1+IF(GD$4=$A28,Вводные!$D$5*INDEX(Вводные!$G$13:$G$64,MATCH($A28,Вводные!$A$13:$A$64,0)),0))</f>
        <v>0.1</v>
      </c>
      <c r="GE28" s="32" t="n">
        <f aca="false">INDEX(Вводные!$D$13:$F$64,MATCH($A28,Вводные!$A$13:$A$64,0),MATCH(GE$3,Вводные!$D$11:$F$11,0))*(1+IF(GE$4=$A28,Вводные!$D$5*INDEX(Вводные!$G$13:$G$64,MATCH($A28,Вводные!$A$13:$A$64,0)),0))</f>
        <v>0.1</v>
      </c>
      <c r="GF28" s="32" t="n">
        <f aca="false">INDEX(Вводные!$D$13:$F$64,MATCH($A28,Вводные!$A$13:$A$64,0),MATCH(GF$3,Вводные!$D$11:$F$11,0))*(1+IF(GF$4=$A28,Вводные!$D$5*INDEX(Вводные!$G$13:$G$64,MATCH($A28,Вводные!$A$13:$A$64,0)),0))</f>
        <v>0.1</v>
      </c>
      <c r="GG28" s="32" t="n">
        <f aca="false">INDEX(Вводные!$D$13:$F$64,MATCH($A28,Вводные!$A$13:$A$64,0),MATCH(GG$3,Вводные!$D$11:$F$11,0))*(1+IF(GG$4=$A28,Вводные!$D$5*INDEX(Вводные!$G$13:$G$64,MATCH($A28,Вводные!$A$13:$A$64,0)),0))</f>
        <v>0.1</v>
      </c>
      <c r="GH28" s="32" t="n">
        <f aca="false">INDEX(Вводные!$D$13:$F$64,MATCH($A28,Вводные!$A$13:$A$64,0),MATCH(GH$3,Вводные!$D$11:$F$11,0))*(1+IF(GH$4=$A28,Вводные!$D$5*INDEX(Вводные!$G$13:$G$64,MATCH($A28,Вводные!$A$13:$A$64,0)),0))</f>
        <v>0.1</v>
      </c>
      <c r="GI28" s="32" t="n">
        <f aca="false">INDEX(Вводные!$D$13:$F$64,MATCH($A28,Вводные!$A$13:$A$64,0),MATCH(GI$3,Вводные!$D$11:$F$11,0))*(1+IF(GI$4=$A28,Вводные!$D$5*INDEX(Вводные!$G$13:$G$64,MATCH($A28,Вводные!$A$13:$A$64,0)),0))</f>
        <v>0.1</v>
      </c>
      <c r="GJ28" s="32" t="n">
        <f aca="false">INDEX(Вводные!$D$13:$F$64,MATCH($A28,Вводные!$A$13:$A$64,0),MATCH(GJ$3,Вводные!$D$11:$F$11,0))*(1+IF(GJ$4=$A28,Вводные!$D$5*INDEX(Вводные!$G$13:$G$64,MATCH($A28,Вводные!$A$13:$A$64,0)),0))</f>
        <v>0.101</v>
      </c>
      <c r="GK28" s="32" t="n">
        <f aca="false">INDEX(Вводные!$D$13:$F$64,MATCH($A28,Вводные!$A$13:$A$64,0),MATCH(GK$3,Вводные!$D$11:$F$11,0))*(1+IF(GK$4=$A28,Вводные!$D$5*INDEX(Вводные!$G$13:$G$64,MATCH($A28,Вводные!$A$13:$A$64,0)),0))</f>
        <v>0.1</v>
      </c>
      <c r="GL28" s="32" t="n">
        <f aca="false">INDEX(Вводные!$D$13:$F$64,MATCH($A28,Вводные!$A$13:$A$64,0),MATCH(GL$3,Вводные!$D$11:$F$11,0))*(1+IF(GL$4=$A28,Вводные!$D$5*INDEX(Вводные!$G$13:$G$64,MATCH($A28,Вводные!$A$13:$A$64,0)),0))</f>
        <v>0.1</v>
      </c>
      <c r="GM28" s="32" t="n">
        <f aca="false">INDEX(Вводные!$D$13:$F$64,MATCH($A28,Вводные!$A$13:$A$64,0),MATCH(GM$3,Вводные!$D$11:$F$11,0))*(1+IF(GM$4=$A28,Вводные!$D$5*INDEX(Вводные!$G$13:$G$64,MATCH($A28,Вводные!$A$13:$A$64,0)),0))</f>
        <v>0.1</v>
      </c>
      <c r="GN28" s="32" t="n">
        <f aca="false">INDEX(Вводные!$D$13:$F$64,MATCH($A28,Вводные!$A$13:$A$64,0),MATCH(GN$3,Вводные!$D$11:$F$11,0))*(1+IF(GN$4=$A28,Вводные!$D$5*INDEX(Вводные!$G$13:$G$64,MATCH($A28,Вводные!$A$13:$A$64,0)),0))</f>
        <v>0.1</v>
      </c>
      <c r="GO28" s="32" t="n">
        <f aca="false">INDEX(Вводные!$D$13:$F$64,MATCH($A28,Вводные!$A$13:$A$64,0),MATCH(GO$3,Вводные!$D$11:$F$11,0))*(1+IF(GO$4=$A28,Вводные!$D$5*INDEX(Вводные!$G$13:$G$64,MATCH($A28,Вводные!$A$13:$A$64,0)),0))</f>
        <v>0.1</v>
      </c>
      <c r="GP28" s="32" t="n">
        <f aca="false">INDEX(Вводные!$D$13:$F$64,MATCH($A28,Вводные!$A$13:$A$64,0),MATCH(GP$3,Вводные!$D$11:$F$11,0))*(1+IF(GP$4=$A28,Вводные!$D$5*INDEX(Вводные!$G$13:$G$64,MATCH($A28,Вводные!$A$13:$A$64,0)),0))</f>
        <v>0.1</v>
      </c>
      <c r="GQ28" s="32" t="n">
        <f aca="false">INDEX(Вводные!$D$13:$F$64,MATCH($A28,Вводные!$A$13:$A$64,0),MATCH(GQ$3,Вводные!$D$11:$F$11,0))*(1+IF(GQ$4=$A28,Вводные!$D$5*INDEX(Вводные!$G$13:$G$64,MATCH($A28,Вводные!$A$13:$A$64,0)),0))</f>
        <v>0.1</v>
      </c>
      <c r="GR28" s="32" t="n">
        <f aca="false">INDEX(Вводные!$D$13:$F$64,MATCH($A28,Вводные!$A$13:$A$64,0),MATCH(GR$3,Вводные!$D$11:$F$11,0))*(1+IF(GR$4=$A28,Вводные!$D$5*INDEX(Вводные!$G$13:$G$64,MATCH($A28,Вводные!$A$13:$A$64,0)),0))</f>
        <v>0.1</v>
      </c>
      <c r="GS28" s="32" t="n">
        <f aca="false">INDEX(Вводные!$D$13:$F$64,MATCH($A28,Вводные!$A$13:$A$64,0),MATCH(GS$3,Вводные!$D$11:$F$11,0))*(1+IF(GS$4=$A28,Вводные!$D$5*INDEX(Вводные!$G$13:$G$64,MATCH($A28,Вводные!$A$13:$A$64,0)),0))</f>
        <v>0.1</v>
      </c>
      <c r="GT28" s="32" t="n">
        <f aca="false">INDEX(Вводные!$D$13:$F$64,MATCH($A28,Вводные!$A$13:$A$64,0),MATCH(GT$3,Вводные!$D$11:$F$11,0))*(1+IF(GT$4=$A28,Вводные!$D$5*INDEX(Вводные!$G$13:$G$64,MATCH($A28,Вводные!$A$13:$A$64,0)),0))</f>
        <v>0.1</v>
      </c>
      <c r="GU28" s="32" t="n">
        <f aca="false">INDEX(Вводные!$D$13:$F$64,MATCH($A28,Вводные!$A$13:$A$64,0),MATCH(GU$3,Вводные!$D$11:$F$11,0))*(1+IF(GU$4=$A28,Вводные!$D$5*INDEX(Вводные!$G$13:$G$64,MATCH($A28,Вводные!$A$13:$A$64,0)),0))</f>
        <v>0.1</v>
      </c>
      <c r="GV28" s="32" t="n">
        <f aca="false">INDEX(Вводные!$D$13:$F$64,MATCH($A28,Вводные!$A$13:$A$64,0),MATCH(GV$3,Вводные!$D$11:$F$11,0))*(1+IF(GV$4=$A28,Вводные!$D$5*INDEX(Вводные!$G$13:$G$64,MATCH($A28,Вводные!$A$13:$A$64,0)),0))</f>
        <v>0.1</v>
      </c>
      <c r="GW28" s="32" t="n">
        <f aca="false">INDEX(Вводные!$D$13:$F$64,MATCH($A28,Вводные!$A$13:$A$64,0),MATCH(GW$3,Вводные!$D$11:$F$11,0))*(1+IF(GW$4=$A28,Вводные!$D$5*INDEX(Вводные!$G$13:$G$64,MATCH($A28,Вводные!$A$13:$A$64,0)),0))</f>
        <v>0.1</v>
      </c>
      <c r="GX28" s="32" t="n">
        <f aca="false">INDEX(Вводные!$D$13:$F$64,MATCH($A28,Вводные!$A$13:$A$64,0),MATCH(GX$3,Вводные!$D$11:$F$11,0))*(1+IF(GX$4=$A28,Вводные!$D$5*INDEX(Вводные!$G$13:$G$64,MATCH($A28,Вводные!$A$13:$A$64,0)),0))</f>
        <v>0.1</v>
      </c>
      <c r="GY28" s="32" t="n">
        <f aca="false">INDEX(Вводные!$D$13:$F$64,MATCH($A28,Вводные!$A$13:$A$64,0),MATCH(GY$3,Вводные!$D$11:$F$11,0))*(1+IF(GY$4=$A28,Вводные!$D$5*INDEX(Вводные!$G$13:$G$64,MATCH($A28,Вводные!$A$13:$A$64,0)),0))</f>
        <v>0.1</v>
      </c>
      <c r="GZ28" s="32" t="n">
        <f aca="false">INDEX(Вводные!$D$13:$F$64,MATCH($A28,Вводные!$A$13:$A$64,0),MATCH(GZ$3,Вводные!$D$11:$F$11,0))*(1+IF(GZ$4=$A28,Вводные!$D$5*INDEX(Вводные!$G$13:$G$64,MATCH($A28,Вводные!$A$13:$A$64,0)),0))</f>
        <v>0.1</v>
      </c>
      <c r="HA28" s="32" t="n">
        <f aca="false">INDEX(Вводные!$D$13:$F$64,MATCH($A28,Вводные!$A$13:$A$64,0),MATCH(HA$3,Вводные!$D$11:$F$11,0))*(1+IF(HA$4=$A28,Вводные!$D$5*INDEX(Вводные!$G$13:$G$64,MATCH($A28,Вводные!$A$13:$A$64,0)),0))</f>
        <v>0.1</v>
      </c>
      <c r="HB28" s="32" t="n">
        <f aca="false">INDEX(Вводные!$D$13:$F$64,MATCH($A28,Вводные!$A$13:$A$64,0),MATCH(HB$3,Вводные!$D$11:$F$11,0))*(1+IF(HB$4=$A28,Вводные!$D$5*INDEX(Вводные!$G$13:$G$64,MATCH($A28,Вводные!$A$13:$A$64,0)),0))</f>
        <v>0.1</v>
      </c>
      <c r="HC28" s="32" t="n">
        <f aca="false">INDEX(Вводные!$D$13:$F$64,MATCH($A28,Вводные!$A$13:$A$64,0),MATCH(HC$3,Вводные!$D$11:$F$11,0))*(1+IF(HC$4=$A28,Вводные!$D$5*INDEX(Вводные!$G$13:$G$64,MATCH($A28,Вводные!$A$13:$A$64,0)),0))</f>
        <v>0.1</v>
      </c>
      <c r="HD28" s="32" t="n">
        <f aca="false">INDEX(Вводные!$D$13:$F$64,MATCH($A28,Вводные!$A$13:$A$64,0),MATCH(HD$3,Вводные!$D$11:$F$11,0))*(1+IF(HD$4=$A28,Вводные!$D$5*INDEX(Вводные!$G$13:$G$64,MATCH($A28,Вводные!$A$13:$A$64,0)),0))</f>
        <v>0.1</v>
      </c>
      <c r="HE28" s="32" t="n">
        <f aca="false">INDEX(Вводные!$D$13:$F$64,MATCH($A28,Вводные!$A$13:$A$64,0),MATCH(HE$3,Вводные!$D$11:$F$11,0))*(1+IF(HE$4=$A28,Вводные!$D$5*INDEX(Вводные!$G$13:$G$64,MATCH($A28,Вводные!$A$13:$A$64,0)),0))</f>
        <v>0.1</v>
      </c>
      <c r="HF28" s="32" t="n">
        <f aca="false">INDEX(Вводные!$D$13:$F$64,MATCH($A28,Вводные!$A$13:$A$64,0),MATCH(HF$3,Вводные!$D$11:$F$11,0))*(1+IF(HF$4=$A28,Вводные!$D$5*INDEX(Вводные!$G$13:$G$64,MATCH($A28,Вводные!$A$13:$A$64,0)),0))</f>
        <v>0.1</v>
      </c>
      <c r="HG28" s="32" t="n">
        <f aca="false">INDEX(Вводные!$D$13:$F$64,MATCH($A28,Вводные!$A$13:$A$64,0),MATCH(HG$3,Вводные!$D$11:$F$11,0))*(1+IF(HG$4=$A28,Вводные!$D$5*INDEX(Вводные!$G$13:$G$64,MATCH($A28,Вводные!$A$13:$A$64,0)),0))</f>
        <v>0.1</v>
      </c>
      <c r="HH28" s="32" t="n">
        <f aca="false">INDEX(Вводные!$D$13:$F$64,MATCH($A28,Вводные!$A$13:$A$64,0),MATCH(HH$3,Вводные!$D$11:$F$11,0))*(1+IF(HH$4=$A28,Вводные!$D$5*INDEX(Вводные!$G$13:$G$64,MATCH($A28,Вводные!$A$13:$A$64,0)),0))</f>
        <v>0.1</v>
      </c>
      <c r="HI28" s="32" t="n">
        <f aca="false">INDEX(Вводные!$D$13:$F$64,MATCH($A28,Вводные!$A$13:$A$64,0),MATCH(HI$3,Вводные!$D$11:$F$11,0))*(1+IF(HI$4=$A28,Вводные!$D$5*INDEX(Вводные!$G$13:$G$64,MATCH($A28,Вводные!$A$13:$A$64,0)),0))</f>
        <v>0.1</v>
      </c>
      <c r="HJ28" s="32" t="n">
        <f aca="false">INDEX(Вводные!$D$13:$F$64,MATCH($A28,Вводные!$A$13:$A$64,0),MATCH(HJ$3,Вводные!$D$11:$F$11,0))*(1+IF(HJ$4=$A28,Вводные!$D$5*INDEX(Вводные!$G$13:$G$64,MATCH($A28,Вводные!$A$13:$A$64,0)),0))</f>
        <v>0.1</v>
      </c>
      <c r="HK28" s="32" t="n">
        <f aca="false">INDEX(Вводные!$D$13:$F$64,MATCH($A28,Вводные!$A$13:$A$64,0),MATCH(HK$3,Вводные!$D$11:$F$11,0))*(1+IF(HK$4=$A28,Вводные!$D$5*INDEX(Вводные!$G$13:$G$64,MATCH($A28,Вводные!$A$13:$A$64,0)),0))</f>
        <v>0.1</v>
      </c>
      <c r="HL28" s="32" t="n">
        <f aca="false">INDEX(Вводные!$D$13:$F$64,MATCH($A28,Вводные!$A$13:$A$64,0),MATCH(HL$3,Вводные!$D$11:$F$11,0))*(1+IF(HL$4=$A28,Вводные!$D$5*INDEX(Вводные!$G$13:$G$64,MATCH($A28,Вводные!$A$13:$A$64,0)),0))</f>
        <v>0.2</v>
      </c>
      <c r="HM28" s="32" t="n">
        <f aca="false">INDEX(Вводные!$D$13:$F$64,MATCH($A28,Вводные!$A$13:$A$64,0),MATCH(HM$3,Вводные!$D$11:$F$11,0))*(1+IF(HM$4=$A28,Вводные!$D$5*INDEX(Вводные!$G$13:$G$64,MATCH($A28,Вводные!$A$13:$A$64,0)),0))</f>
        <v>0.2</v>
      </c>
      <c r="HN28" s="32" t="n">
        <f aca="false">INDEX(Вводные!$D$13:$F$64,MATCH($A28,Вводные!$A$13:$A$64,0),MATCH(HN$3,Вводные!$D$11:$F$11,0))*(1+IF(HN$4=$A28,Вводные!$D$5*INDEX(Вводные!$G$13:$G$64,MATCH($A28,Вводные!$A$13:$A$64,0)),0))</f>
        <v>0.2</v>
      </c>
      <c r="HO28" s="32" t="n">
        <f aca="false">INDEX(Вводные!$D$13:$F$64,MATCH($A28,Вводные!$A$13:$A$64,0),MATCH(HO$3,Вводные!$D$11:$F$11,0))*(1+IF(HO$4=$A28,Вводные!$D$5*INDEX(Вводные!$G$13:$G$64,MATCH($A28,Вводные!$A$13:$A$64,0)),0))</f>
        <v>0.2</v>
      </c>
      <c r="HP28" s="32" t="n">
        <f aca="false">INDEX(Вводные!$D$13:$F$64,MATCH($A28,Вводные!$A$13:$A$64,0),MATCH(HP$3,Вводные!$D$11:$F$11,0))*(1+IF(HP$4=$A28,Вводные!$D$5*INDEX(Вводные!$G$13:$G$64,MATCH($A28,Вводные!$A$13:$A$64,0)),0))</f>
        <v>0.2</v>
      </c>
      <c r="HQ28" s="32" t="n">
        <f aca="false">INDEX(Вводные!$D$13:$F$64,MATCH($A28,Вводные!$A$13:$A$64,0),MATCH(HQ$3,Вводные!$D$11:$F$11,0))*(1+IF(HQ$4=$A28,Вводные!$D$5*INDEX(Вводные!$G$13:$G$64,MATCH($A28,Вводные!$A$13:$A$64,0)),0))</f>
        <v>0.2</v>
      </c>
      <c r="HR28" s="32" t="n">
        <f aca="false">INDEX(Вводные!$D$13:$F$64,MATCH($A28,Вводные!$A$13:$A$64,0),MATCH(HR$3,Вводные!$D$11:$F$11,0))*(1+IF(HR$4=$A28,Вводные!$D$5*INDEX(Вводные!$G$13:$G$64,MATCH($A28,Вводные!$A$13:$A$64,0)),0))</f>
        <v>0.2</v>
      </c>
      <c r="HS28" s="32" t="n">
        <f aca="false">INDEX(Вводные!$D$13:$F$64,MATCH($A28,Вводные!$A$13:$A$64,0),MATCH(HS$3,Вводные!$D$11:$F$11,0))*(1+IF(HS$4=$A28,Вводные!$D$5*INDEX(Вводные!$G$13:$G$64,MATCH($A28,Вводные!$A$13:$A$64,0)),0))</f>
        <v>0.2</v>
      </c>
      <c r="HT28" s="32" t="n">
        <f aca="false">INDEX(Вводные!$D$13:$F$64,MATCH($A28,Вводные!$A$13:$A$64,0),MATCH(HT$3,Вводные!$D$11:$F$11,0))*(1+IF(HT$4=$A28,Вводные!$D$5*INDEX(Вводные!$G$13:$G$64,MATCH($A28,Вводные!$A$13:$A$64,0)),0))</f>
        <v>0.2</v>
      </c>
      <c r="HU28" s="32" t="n">
        <f aca="false">INDEX(Вводные!$D$13:$F$64,MATCH($A28,Вводные!$A$13:$A$64,0),MATCH(HU$3,Вводные!$D$11:$F$11,0))*(1+IF(HU$4=$A28,Вводные!$D$5*INDEX(Вводные!$G$13:$G$64,MATCH($A28,Вводные!$A$13:$A$64,0)),0))</f>
        <v>0.2</v>
      </c>
      <c r="HV28" s="32" t="n">
        <f aca="false">INDEX(Вводные!$D$13:$F$64,MATCH($A28,Вводные!$A$13:$A$64,0),MATCH(HV$3,Вводные!$D$11:$F$11,0))*(1+IF(HV$4=$A28,Вводные!$D$5*INDEX(Вводные!$G$13:$G$64,MATCH($A28,Вводные!$A$13:$A$64,0)),0))</f>
        <v>0.2</v>
      </c>
      <c r="HW28" s="32" t="n">
        <f aca="false">INDEX(Вводные!$D$13:$F$64,MATCH($A28,Вводные!$A$13:$A$64,0),MATCH(HW$3,Вводные!$D$11:$F$11,0))*(1+IF(HW$4=$A28,Вводные!$D$5*INDEX(Вводные!$G$13:$G$64,MATCH($A28,Вводные!$A$13:$A$64,0)),0))</f>
        <v>0.2</v>
      </c>
      <c r="HX28" s="32" t="n">
        <f aca="false">INDEX(Вводные!$D$13:$F$64,MATCH($A28,Вводные!$A$13:$A$64,0),MATCH(HX$3,Вводные!$D$11:$F$11,0))*(1+IF(HX$4=$A28,Вводные!$D$5*INDEX(Вводные!$G$13:$G$64,MATCH($A28,Вводные!$A$13:$A$64,0)),0))</f>
        <v>0.2</v>
      </c>
      <c r="HY28" s="32" t="n">
        <f aca="false">INDEX(Вводные!$D$13:$F$64,MATCH($A28,Вводные!$A$13:$A$64,0),MATCH(HY$3,Вводные!$D$11:$F$11,0))*(1+IF(HY$4=$A28,Вводные!$D$5*INDEX(Вводные!$G$13:$G$64,MATCH($A28,Вводные!$A$13:$A$64,0)),0))</f>
        <v>0.2</v>
      </c>
      <c r="HZ28" s="32" t="n">
        <f aca="false">INDEX(Вводные!$D$13:$F$64,MATCH($A28,Вводные!$A$13:$A$64,0),MATCH(HZ$3,Вводные!$D$11:$F$11,0))*(1+IF(HZ$4=$A28,Вводные!$D$5*INDEX(Вводные!$G$13:$G$64,MATCH($A28,Вводные!$A$13:$A$64,0)),0))</f>
        <v>0.202</v>
      </c>
      <c r="IA28" s="32" t="n">
        <f aca="false">INDEX(Вводные!$D$13:$F$64,MATCH($A28,Вводные!$A$13:$A$64,0),MATCH(IA$3,Вводные!$D$11:$F$11,0))*(1+IF(IA$4=$A28,Вводные!$D$5*INDEX(Вводные!$G$13:$G$64,MATCH($A28,Вводные!$A$13:$A$64,0)),0))</f>
        <v>0.2</v>
      </c>
      <c r="IB28" s="32" t="n">
        <f aca="false">INDEX(Вводные!$D$13:$F$64,MATCH($A28,Вводные!$A$13:$A$64,0),MATCH(IB$3,Вводные!$D$11:$F$11,0))*(1+IF(IB$4=$A28,Вводные!$D$5*INDEX(Вводные!$G$13:$G$64,MATCH($A28,Вводные!$A$13:$A$64,0)),0))</f>
        <v>0.2</v>
      </c>
      <c r="IC28" s="32" t="n">
        <f aca="false">INDEX(Вводные!$D$13:$F$64,MATCH($A28,Вводные!$A$13:$A$64,0),MATCH(IC$3,Вводные!$D$11:$F$11,0))*(1+IF(IC$4=$A28,Вводные!$D$5*INDEX(Вводные!$G$13:$G$64,MATCH($A28,Вводные!$A$13:$A$64,0)),0))</f>
        <v>0.2</v>
      </c>
      <c r="ID28" s="32" t="n">
        <f aca="false">INDEX(Вводные!$D$13:$F$64,MATCH($A28,Вводные!$A$13:$A$64,0),MATCH(ID$3,Вводные!$D$11:$F$11,0))*(1+IF(ID$4=$A28,Вводные!$D$5*INDEX(Вводные!$G$13:$G$64,MATCH($A28,Вводные!$A$13:$A$64,0)),0))</f>
        <v>0.2</v>
      </c>
      <c r="IE28" s="32" t="n">
        <f aca="false">INDEX(Вводные!$D$13:$F$64,MATCH($A28,Вводные!$A$13:$A$64,0),MATCH(IE$3,Вводные!$D$11:$F$11,0))*(1+IF(IE$4=$A28,Вводные!$D$5*INDEX(Вводные!$G$13:$G$64,MATCH($A28,Вводные!$A$13:$A$64,0)),0))</f>
        <v>0.2</v>
      </c>
      <c r="IF28" s="32" t="n">
        <f aca="false">INDEX(Вводные!$D$13:$F$64,MATCH($A28,Вводные!$A$13:$A$64,0),MATCH(IF$3,Вводные!$D$11:$F$11,0))*(1+IF(IF$4=$A28,Вводные!$D$5*INDEX(Вводные!$G$13:$G$64,MATCH($A28,Вводные!$A$13:$A$64,0)),0))</f>
        <v>0.2</v>
      </c>
      <c r="IG28" s="32" t="n">
        <f aca="false">INDEX(Вводные!$D$13:$F$64,MATCH($A28,Вводные!$A$13:$A$64,0),MATCH(IG$3,Вводные!$D$11:$F$11,0))*(1+IF(IG$4=$A28,Вводные!$D$5*INDEX(Вводные!$G$13:$G$64,MATCH($A28,Вводные!$A$13:$A$64,0)),0))</f>
        <v>0.2</v>
      </c>
      <c r="IH28" s="32" t="n">
        <f aca="false">INDEX(Вводные!$D$13:$F$64,MATCH($A28,Вводные!$A$13:$A$64,0),MATCH(IH$3,Вводные!$D$11:$F$11,0))*(1+IF(IH$4=$A28,Вводные!$D$5*INDEX(Вводные!$G$13:$G$64,MATCH($A28,Вводные!$A$13:$A$64,0)),0))</f>
        <v>0.2</v>
      </c>
      <c r="II28" s="32" t="n">
        <f aca="false">INDEX(Вводные!$D$13:$F$64,MATCH($A28,Вводные!$A$13:$A$64,0),MATCH(II$3,Вводные!$D$11:$F$11,0))*(1+IF(II$4=$A28,Вводные!$D$5*INDEX(Вводные!$G$13:$G$64,MATCH($A28,Вводные!$A$13:$A$64,0)),0))</f>
        <v>0.2</v>
      </c>
      <c r="IJ28" s="32" t="n">
        <f aca="false">INDEX(Вводные!$D$13:$F$64,MATCH($A28,Вводные!$A$13:$A$64,0),MATCH(IJ$3,Вводные!$D$11:$F$11,0))*(1+IF(IJ$4=$A28,Вводные!$D$5*INDEX(Вводные!$G$13:$G$64,MATCH($A28,Вводные!$A$13:$A$64,0)),0))</f>
        <v>0.2</v>
      </c>
      <c r="IK28" s="32" t="n">
        <f aca="false">INDEX(Вводные!$D$13:$F$64,MATCH($A28,Вводные!$A$13:$A$64,0),MATCH(IK$3,Вводные!$D$11:$F$11,0))*(1+IF(IK$4=$A28,Вводные!$D$5*INDEX(Вводные!$G$13:$G$64,MATCH($A28,Вводные!$A$13:$A$64,0)),0))</f>
        <v>0.2</v>
      </c>
      <c r="IL28" s="32" t="n">
        <f aca="false">INDEX(Вводные!$D$13:$F$64,MATCH($A28,Вводные!$A$13:$A$64,0),MATCH(IL$3,Вводные!$D$11:$F$11,0))*(1+IF(IL$4=$A28,Вводные!$D$5*INDEX(Вводные!$G$13:$G$64,MATCH($A28,Вводные!$A$13:$A$64,0)),0))</f>
        <v>0.2</v>
      </c>
      <c r="IM28" s="32" t="n">
        <f aca="false">INDEX(Вводные!$D$13:$F$64,MATCH($A28,Вводные!$A$13:$A$64,0),MATCH(IM$3,Вводные!$D$11:$F$11,0))*(1+IF(IM$4=$A28,Вводные!$D$5*INDEX(Вводные!$G$13:$G$64,MATCH($A28,Вводные!$A$13:$A$64,0)),0))</f>
        <v>0.2</v>
      </c>
      <c r="IN28" s="32" t="n">
        <f aca="false">INDEX(Вводные!$D$13:$F$64,MATCH($A28,Вводные!$A$13:$A$64,0),MATCH(IN$3,Вводные!$D$11:$F$11,0))*(1+IF(IN$4=$A28,Вводные!$D$5*INDEX(Вводные!$G$13:$G$64,MATCH($A28,Вводные!$A$13:$A$64,0)),0))</f>
        <v>0.2</v>
      </c>
      <c r="IO28" s="32" t="n">
        <f aca="false">INDEX(Вводные!$D$13:$F$64,MATCH($A28,Вводные!$A$13:$A$64,0),MATCH(IO$3,Вводные!$D$11:$F$11,0))*(1+IF(IO$4=$A28,Вводные!$D$5*INDEX(Вводные!$G$13:$G$64,MATCH($A28,Вводные!$A$13:$A$64,0)),0))</f>
        <v>0.2</v>
      </c>
      <c r="IP28" s="32" t="n">
        <f aca="false">INDEX(Вводные!$D$13:$F$64,MATCH($A28,Вводные!$A$13:$A$64,0),MATCH(IP$3,Вводные!$D$11:$F$11,0))*(1+IF(IP$4=$A28,Вводные!$D$5*INDEX(Вводные!$G$13:$G$64,MATCH($A28,Вводные!$A$13:$A$64,0)),0))</f>
        <v>0.2</v>
      </c>
      <c r="IQ28" s="32" t="n">
        <f aca="false">INDEX(Вводные!$D$13:$F$64,MATCH($A28,Вводные!$A$13:$A$64,0),MATCH(IQ$3,Вводные!$D$11:$F$11,0))*(1+IF(IQ$4=$A28,Вводные!$D$5*INDEX(Вводные!$G$13:$G$64,MATCH($A28,Вводные!$A$13:$A$64,0)),0))</f>
        <v>0.2</v>
      </c>
      <c r="IR28" s="32" t="n">
        <f aca="false">INDEX(Вводные!$D$13:$F$64,MATCH($A28,Вводные!$A$13:$A$64,0),MATCH(IR$3,Вводные!$D$11:$F$11,0))*(1+IF(IR$4=$A28,Вводные!$D$5*INDEX(Вводные!$G$13:$G$64,MATCH($A28,Вводные!$A$13:$A$64,0)),0))</f>
        <v>0.2</v>
      </c>
      <c r="IS28" s="32" t="n">
        <f aca="false">INDEX(Вводные!$D$13:$F$64,MATCH($A28,Вводные!$A$13:$A$64,0),MATCH(IS$3,Вводные!$D$11:$F$11,0))*(1+IF(IS$4=$A28,Вводные!$D$5*INDEX(Вводные!$G$13:$G$64,MATCH($A28,Вводные!$A$13:$A$64,0)),0))</f>
        <v>0.2</v>
      </c>
      <c r="IT28" s="32" t="n">
        <f aca="false">INDEX(Вводные!$D$13:$F$64,MATCH($A28,Вводные!$A$13:$A$64,0),MATCH(IT$3,Вводные!$D$11:$F$11,0))*(1+IF(IT$4=$A28,Вводные!$D$5*INDEX(Вводные!$G$13:$G$64,MATCH($A28,Вводные!$A$13:$A$64,0)),0))</f>
        <v>0.2</v>
      </c>
      <c r="IU28" s="32" t="n">
        <f aca="false">INDEX(Вводные!$D$13:$F$64,MATCH($A28,Вводные!$A$13:$A$64,0),MATCH(IU$3,Вводные!$D$11:$F$11,0))*(1+IF(IU$4=$A28,Вводные!$D$5*INDEX(Вводные!$G$13:$G$64,MATCH($A28,Вводные!$A$13:$A$64,0)),0))</f>
        <v>0.2</v>
      </c>
      <c r="IV28" s="32" t="n">
        <f aca="false">INDEX(Вводные!$D$13:$F$64,MATCH($A28,Вводные!$A$13:$A$64,0),MATCH(IV$3,Вводные!$D$11:$F$11,0))*(1+IF(IV$4=$A28,Вводные!$D$5*INDEX(Вводные!$G$13:$G$64,MATCH($A28,Вводные!$A$13:$A$64,0)),0))</f>
        <v>0.2</v>
      </c>
      <c r="IW28" s="32" t="n">
        <f aca="false">INDEX(Вводные!$D$13:$F$64,MATCH($A28,Вводные!$A$13:$A$64,0),MATCH(IW$3,Вводные!$D$11:$F$11,0))*(1+IF(IW$4=$A28,Вводные!$D$5*INDEX(Вводные!$G$13:$G$64,MATCH($A28,Вводные!$A$13:$A$64,0)),0))</f>
        <v>0.2</v>
      </c>
      <c r="IX28" s="32" t="n">
        <f aca="false">INDEX(Вводные!$D$13:$F$64,MATCH($A28,Вводные!$A$13:$A$64,0),MATCH(IX$3,Вводные!$D$11:$F$11,0))*(1+IF(IX$4=$A28,Вводные!$D$5*INDEX(Вводные!$G$13:$G$64,MATCH($A28,Вводные!$A$13:$A$64,0)),0))</f>
        <v>0.2</v>
      </c>
      <c r="IY28" s="32" t="n">
        <f aca="false">INDEX(Вводные!$D$13:$F$64,MATCH($A28,Вводные!$A$13:$A$64,0),MATCH(IY$3,Вводные!$D$11:$F$11,0))*(1+IF(IY$4=$A28,Вводные!$D$5*INDEX(Вводные!$G$13:$G$64,MATCH($A28,Вводные!$A$13:$A$64,0)),0))</f>
        <v>0.2</v>
      </c>
      <c r="IZ28" s="32" t="n">
        <f aca="false">INDEX(Вводные!$D$13:$F$64,MATCH($A28,Вводные!$A$13:$A$64,0),MATCH(IZ$3,Вводные!$D$11:$F$11,0))*(1+IF(IZ$4=$A28,Вводные!$D$5*INDEX(Вводные!$G$13:$G$64,MATCH($A28,Вводные!$A$13:$A$64,0)),0))</f>
        <v>0.2</v>
      </c>
      <c r="JA28" s="32" t="n">
        <f aca="false">INDEX(Вводные!$D$13:$F$64,MATCH($A28,Вводные!$A$13:$A$64,0),MATCH(JA$3,Вводные!$D$11:$F$11,0))*(1+IF(JA$4=$A28,Вводные!$D$5*INDEX(Вводные!$G$13:$G$64,MATCH($A28,Вводные!$A$13:$A$64,0)),0))</f>
        <v>0.2</v>
      </c>
    </row>
    <row r="29" customFormat="false" ht="15" hidden="false" customHeight="false" outlineLevel="0" collapsed="false">
      <c r="A29" s="13" t="s">
        <v>203</v>
      </c>
      <c r="B29" s="13" t="s">
        <v>204</v>
      </c>
      <c r="C29" s="13" t="s">
        <v>179</v>
      </c>
      <c r="D29" s="9" t="s">
        <v>36</v>
      </c>
      <c r="E29" s="14" t="n">
        <f aca="false">INDEX(Вводные!$D$13:$F$64,MATCH($A29,Вводные!$A$13:$A$64,0),MATCH(E$3,Вводные!$D$11:$F$11,0))*(1+IF(E$4=$A29,Вводные!$D$5*INDEX(Вводные!$G$13:$G$64,MATCH($A29,Вводные!$A$13:$A$64,0)),0))</f>
        <v>8000</v>
      </c>
      <c r="F29" s="14" t="n">
        <f aca="false">INDEX(Вводные!$D$13:$F$64,MATCH($A29,Вводные!$A$13:$A$64,0),MATCH(F$3,Вводные!$D$11:$F$11,0))*(1+IF(F$4=$A29,Вводные!$D$5*INDEX(Вводные!$G$13:$G$64,MATCH($A29,Вводные!$A$13:$A$64,0)),0))</f>
        <v>150000</v>
      </c>
      <c r="G29" s="14" t="n">
        <f aca="false">INDEX(Вводные!$D$13:$F$64,MATCH($A29,Вводные!$A$13:$A$64,0),MATCH(G$3,Вводные!$D$11:$F$11,0))*(1+IF(G$4=$A29,Вводные!$D$5*INDEX(Вводные!$G$13:$G$64,MATCH($A29,Вводные!$A$13:$A$64,0)),0))</f>
        <v>5000000</v>
      </c>
      <c r="H29" s="59"/>
      <c r="J29" s="14" t="n">
        <f aca="false">INDEX(Вводные!$D$13:$F$64,MATCH($A29,Вводные!$A$13:$A$64,0),MATCH(J$3,Вводные!$D$11:$F$11,0))*(1+IF(J$4=$A29,Вводные!$D$5*INDEX(Вводные!$G$13:$G$64,MATCH($A29,Вводные!$A$13:$A$64,0)),0))</f>
        <v>8000</v>
      </c>
      <c r="K29" s="14" t="n">
        <f aca="false">INDEX(Вводные!$D$13:$F$64,MATCH($A29,Вводные!$A$13:$A$64,0),MATCH(K$3,Вводные!$D$11:$F$11,0))*(1+IF(K$4=$A29,Вводные!$D$5*INDEX(Вводные!$G$13:$G$64,MATCH($A29,Вводные!$A$13:$A$64,0)),0))</f>
        <v>8000</v>
      </c>
      <c r="L29" s="14" t="n">
        <f aca="false">INDEX(Вводные!$D$13:$F$64,MATCH($A29,Вводные!$A$13:$A$64,0),MATCH(L$3,Вводные!$D$11:$F$11,0))*(1+IF(L$4=$A29,Вводные!$D$5*INDEX(Вводные!$G$13:$G$64,MATCH($A29,Вводные!$A$13:$A$64,0)),0))</f>
        <v>8000</v>
      </c>
      <c r="M29" s="14" t="n">
        <f aca="false">INDEX(Вводные!$D$13:$F$64,MATCH($A29,Вводные!$A$13:$A$64,0),MATCH(M$3,Вводные!$D$11:$F$11,0))*(1+IF(M$4=$A29,Вводные!$D$5*INDEX(Вводные!$G$13:$G$64,MATCH($A29,Вводные!$A$13:$A$64,0)),0))</f>
        <v>8000</v>
      </c>
      <c r="N29" s="14" t="n">
        <f aca="false">INDEX(Вводные!$D$13:$F$64,MATCH($A29,Вводные!$A$13:$A$64,0),MATCH(N$3,Вводные!$D$11:$F$11,0))*(1+IF(N$4=$A29,Вводные!$D$5*INDEX(Вводные!$G$13:$G$64,MATCH($A29,Вводные!$A$13:$A$64,0)),0))</f>
        <v>8000</v>
      </c>
      <c r="O29" s="14" t="n">
        <f aca="false">INDEX(Вводные!$D$13:$F$64,MATCH($A29,Вводные!$A$13:$A$64,0),MATCH(O$3,Вводные!$D$11:$F$11,0))*(1+IF(O$4=$A29,Вводные!$D$5*INDEX(Вводные!$G$13:$G$64,MATCH($A29,Вводные!$A$13:$A$64,0)),0))</f>
        <v>8000</v>
      </c>
      <c r="P29" s="14" t="n">
        <f aca="false">INDEX(Вводные!$D$13:$F$64,MATCH($A29,Вводные!$A$13:$A$64,0),MATCH(P$3,Вводные!$D$11:$F$11,0))*(1+IF(P$4=$A29,Вводные!$D$5*INDEX(Вводные!$G$13:$G$64,MATCH($A29,Вводные!$A$13:$A$64,0)),0))</f>
        <v>8000</v>
      </c>
      <c r="Q29" s="14" t="n">
        <f aca="false">INDEX(Вводные!$D$13:$F$64,MATCH($A29,Вводные!$A$13:$A$64,0),MATCH(Q$3,Вводные!$D$11:$F$11,0))*(1+IF(Q$4=$A29,Вводные!$D$5*INDEX(Вводные!$G$13:$G$64,MATCH($A29,Вводные!$A$13:$A$64,0)),0))</f>
        <v>8000</v>
      </c>
      <c r="R29" s="14" t="n">
        <f aca="false">INDEX(Вводные!$D$13:$F$64,MATCH($A29,Вводные!$A$13:$A$64,0),MATCH(R$3,Вводные!$D$11:$F$11,0))*(1+IF(R$4=$A29,Вводные!$D$5*INDEX(Вводные!$G$13:$G$64,MATCH($A29,Вводные!$A$13:$A$64,0)),0))</f>
        <v>8000</v>
      </c>
      <c r="S29" s="14" t="n">
        <f aca="false">INDEX(Вводные!$D$13:$F$64,MATCH($A29,Вводные!$A$13:$A$64,0),MATCH(S$3,Вводные!$D$11:$F$11,0))*(1+IF(S$4=$A29,Вводные!$D$5*INDEX(Вводные!$G$13:$G$64,MATCH($A29,Вводные!$A$13:$A$64,0)),0))</f>
        <v>8000</v>
      </c>
      <c r="T29" s="14" t="n">
        <f aca="false">INDEX(Вводные!$D$13:$F$64,MATCH($A29,Вводные!$A$13:$A$64,0),MATCH(T$3,Вводные!$D$11:$F$11,0))*(1+IF(T$4=$A29,Вводные!$D$5*INDEX(Вводные!$G$13:$G$64,MATCH($A29,Вводные!$A$13:$A$64,0)),0))</f>
        <v>8000</v>
      </c>
      <c r="U29" s="14" t="n">
        <f aca="false">INDEX(Вводные!$D$13:$F$64,MATCH($A29,Вводные!$A$13:$A$64,0),MATCH(U$3,Вводные!$D$11:$F$11,0))*(1+IF(U$4=$A29,Вводные!$D$5*INDEX(Вводные!$G$13:$G$64,MATCH($A29,Вводные!$A$13:$A$64,0)),0))</f>
        <v>8000</v>
      </c>
      <c r="V29" s="14" t="n">
        <f aca="false">INDEX(Вводные!$D$13:$F$64,MATCH($A29,Вводные!$A$13:$A$64,0),MATCH(V$3,Вводные!$D$11:$F$11,0))*(1+IF(V$4=$A29,Вводные!$D$5*INDEX(Вводные!$G$13:$G$64,MATCH($A29,Вводные!$A$13:$A$64,0)),0))</f>
        <v>8000</v>
      </c>
      <c r="W29" s="14" t="n">
        <f aca="false">INDEX(Вводные!$D$13:$F$64,MATCH($A29,Вводные!$A$13:$A$64,0),MATCH(W$3,Вводные!$D$11:$F$11,0))*(1+IF(W$4=$A29,Вводные!$D$5*INDEX(Вводные!$G$13:$G$64,MATCH($A29,Вводные!$A$13:$A$64,0)),0))</f>
        <v>8000</v>
      </c>
      <c r="X29" s="14" t="n">
        <f aca="false">INDEX(Вводные!$D$13:$F$64,MATCH($A29,Вводные!$A$13:$A$64,0),MATCH(X$3,Вводные!$D$11:$F$11,0))*(1+IF(X$4=$A29,Вводные!$D$5*INDEX(Вводные!$G$13:$G$64,MATCH($A29,Вводные!$A$13:$A$64,0)),0))</f>
        <v>8000</v>
      </c>
      <c r="Y29" s="14" t="n">
        <f aca="false">INDEX(Вводные!$D$13:$F$64,MATCH($A29,Вводные!$A$13:$A$64,0),MATCH(Y$3,Вводные!$D$11:$F$11,0))*(1+IF(Y$4=$A29,Вводные!$D$5*INDEX(Вводные!$G$13:$G$64,MATCH($A29,Вводные!$A$13:$A$64,0)),0))</f>
        <v>8080</v>
      </c>
      <c r="Z29" s="14" t="n">
        <f aca="false">INDEX(Вводные!$D$13:$F$64,MATCH($A29,Вводные!$A$13:$A$64,0),MATCH(Z$3,Вводные!$D$11:$F$11,0))*(1+IF(Z$4=$A29,Вводные!$D$5*INDEX(Вводные!$G$13:$G$64,MATCH($A29,Вводные!$A$13:$A$64,0)),0))</f>
        <v>8000</v>
      </c>
      <c r="AA29" s="14" t="n">
        <f aca="false">INDEX(Вводные!$D$13:$F$64,MATCH($A29,Вводные!$A$13:$A$64,0),MATCH(AA$3,Вводные!$D$11:$F$11,0))*(1+IF(AA$4=$A29,Вводные!$D$5*INDEX(Вводные!$G$13:$G$64,MATCH($A29,Вводные!$A$13:$A$64,0)),0))</f>
        <v>8000</v>
      </c>
      <c r="AB29" s="14" t="n">
        <f aca="false">INDEX(Вводные!$D$13:$F$64,MATCH($A29,Вводные!$A$13:$A$64,0),MATCH(AB$3,Вводные!$D$11:$F$11,0))*(1+IF(AB$4=$A29,Вводные!$D$5*INDEX(Вводные!$G$13:$G$64,MATCH($A29,Вводные!$A$13:$A$64,0)),0))</f>
        <v>8000</v>
      </c>
      <c r="AC29" s="14" t="n">
        <f aca="false">INDEX(Вводные!$D$13:$F$64,MATCH($A29,Вводные!$A$13:$A$64,0),MATCH(AC$3,Вводные!$D$11:$F$11,0))*(1+IF(AC$4=$A29,Вводные!$D$5*INDEX(Вводные!$G$13:$G$64,MATCH($A29,Вводные!$A$13:$A$64,0)),0))</f>
        <v>8000</v>
      </c>
      <c r="AD29" s="14" t="n">
        <f aca="false">INDEX(Вводные!$D$13:$F$64,MATCH($A29,Вводные!$A$13:$A$64,0),MATCH(AD$3,Вводные!$D$11:$F$11,0))*(1+IF(AD$4=$A29,Вводные!$D$5*INDEX(Вводные!$G$13:$G$64,MATCH($A29,Вводные!$A$13:$A$64,0)),0))</f>
        <v>8000</v>
      </c>
      <c r="AE29" s="14" t="n">
        <f aca="false">INDEX(Вводные!$D$13:$F$64,MATCH($A29,Вводные!$A$13:$A$64,0),MATCH(AE$3,Вводные!$D$11:$F$11,0))*(1+IF(AE$4=$A29,Вводные!$D$5*INDEX(Вводные!$G$13:$G$64,MATCH($A29,Вводные!$A$13:$A$64,0)),0))</f>
        <v>8000</v>
      </c>
      <c r="AF29" s="14" t="n">
        <f aca="false">INDEX(Вводные!$D$13:$F$64,MATCH($A29,Вводные!$A$13:$A$64,0),MATCH(AF$3,Вводные!$D$11:$F$11,0))*(1+IF(AF$4=$A29,Вводные!$D$5*INDEX(Вводные!$G$13:$G$64,MATCH($A29,Вводные!$A$13:$A$64,0)),0))</f>
        <v>8000</v>
      </c>
      <c r="AG29" s="14" t="n">
        <f aca="false">INDEX(Вводные!$D$13:$F$64,MATCH($A29,Вводные!$A$13:$A$64,0),MATCH(AG$3,Вводные!$D$11:$F$11,0))*(1+IF(AG$4=$A29,Вводные!$D$5*INDEX(Вводные!$G$13:$G$64,MATCH($A29,Вводные!$A$13:$A$64,0)),0))</f>
        <v>8000</v>
      </c>
      <c r="AH29" s="14" t="n">
        <f aca="false">INDEX(Вводные!$D$13:$F$64,MATCH($A29,Вводные!$A$13:$A$64,0),MATCH(AH$3,Вводные!$D$11:$F$11,0))*(1+IF(AH$4=$A29,Вводные!$D$5*INDEX(Вводные!$G$13:$G$64,MATCH($A29,Вводные!$A$13:$A$64,0)),0))</f>
        <v>8000</v>
      </c>
      <c r="AI29" s="14" t="n">
        <f aca="false">INDEX(Вводные!$D$13:$F$64,MATCH($A29,Вводные!$A$13:$A$64,0),MATCH(AI$3,Вводные!$D$11:$F$11,0))*(1+IF(AI$4=$A29,Вводные!$D$5*INDEX(Вводные!$G$13:$G$64,MATCH($A29,Вводные!$A$13:$A$64,0)),0))</f>
        <v>8000</v>
      </c>
      <c r="AJ29" s="14" t="n">
        <f aca="false">INDEX(Вводные!$D$13:$F$64,MATCH($A29,Вводные!$A$13:$A$64,0),MATCH(AJ$3,Вводные!$D$11:$F$11,0))*(1+IF(AJ$4=$A29,Вводные!$D$5*INDEX(Вводные!$G$13:$G$64,MATCH($A29,Вводные!$A$13:$A$64,0)),0))</f>
        <v>8000</v>
      </c>
      <c r="AK29" s="14" t="n">
        <f aca="false">INDEX(Вводные!$D$13:$F$64,MATCH($A29,Вводные!$A$13:$A$64,0),MATCH(AK$3,Вводные!$D$11:$F$11,0))*(1+IF(AK$4=$A29,Вводные!$D$5*INDEX(Вводные!$G$13:$G$64,MATCH($A29,Вводные!$A$13:$A$64,0)),0))</f>
        <v>8000</v>
      </c>
      <c r="AL29" s="14" t="n">
        <f aca="false">INDEX(Вводные!$D$13:$F$64,MATCH($A29,Вводные!$A$13:$A$64,0),MATCH(AL$3,Вводные!$D$11:$F$11,0))*(1+IF(AL$4=$A29,Вводные!$D$5*INDEX(Вводные!$G$13:$G$64,MATCH($A29,Вводные!$A$13:$A$64,0)),0))</f>
        <v>8000</v>
      </c>
      <c r="AM29" s="14" t="n">
        <f aca="false">INDEX(Вводные!$D$13:$F$64,MATCH($A29,Вводные!$A$13:$A$64,0),MATCH(AM$3,Вводные!$D$11:$F$11,0))*(1+IF(AM$4=$A29,Вводные!$D$5*INDEX(Вводные!$G$13:$G$64,MATCH($A29,Вводные!$A$13:$A$64,0)),0))</f>
        <v>8000</v>
      </c>
      <c r="AN29" s="14" t="n">
        <f aca="false">INDEX(Вводные!$D$13:$F$64,MATCH($A29,Вводные!$A$13:$A$64,0),MATCH(AN$3,Вводные!$D$11:$F$11,0))*(1+IF(AN$4=$A29,Вводные!$D$5*INDEX(Вводные!$G$13:$G$64,MATCH($A29,Вводные!$A$13:$A$64,0)),0))</f>
        <v>8000</v>
      </c>
      <c r="AO29" s="14" t="n">
        <f aca="false">INDEX(Вводные!$D$13:$F$64,MATCH($A29,Вводные!$A$13:$A$64,0),MATCH(AO$3,Вводные!$D$11:$F$11,0))*(1+IF(AO$4=$A29,Вводные!$D$5*INDEX(Вводные!$G$13:$G$64,MATCH($A29,Вводные!$A$13:$A$64,0)),0))</f>
        <v>8000</v>
      </c>
      <c r="AP29" s="14" t="n">
        <f aca="false">INDEX(Вводные!$D$13:$F$64,MATCH($A29,Вводные!$A$13:$A$64,0),MATCH(AP$3,Вводные!$D$11:$F$11,0))*(1+IF(AP$4=$A29,Вводные!$D$5*INDEX(Вводные!$G$13:$G$64,MATCH($A29,Вводные!$A$13:$A$64,0)),0))</f>
        <v>8000</v>
      </c>
      <c r="AQ29" s="14" t="n">
        <f aca="false">INDEX(Вводные!$D$13:$F$64,MATCH($A29,Вводные!$A$13:$A$64,0),MATCH(AQ$3,Вводные!$D$11:$F$11,0))*(1+IF(AQ$4=$A29,Вводные!$D$5*INDEX(Вводные!$G$13:$G$64,MATCH($A29,Вводные!$A$13:$A$64,0)),0))</f>
        <v>8000</v>
      </c>
      <c r="AR29" s="14" t="n">
        <f aca="false">INDEX(Вводные!$D$13:$F$64,MATCH($A29,Вводные!$A$13:$A$64,0),MATCH(AR$3,Вводные!$D$11:$F$11,0))*(1+IF(AR$4=$A29,Вводные!$D$5*INDEX(Вводные!$G$13:$G$64,MATCH($A29,Вводные!$A$13:$A$64,0)),0))</f>
        <v>8000</v>
      </c>
      <c r="AS29" s="14" t="n">
        <f aca="false">INDEX(Вводные!$D$13:$F$64,MATCH($A29,Вводные!$A$13:$A$64,0),MATCH(AS$3,Вводные!$D$11:$F$11,0))*(1+IF(AS$4=$A29,Вводные!$D$5*INDEX(Вводные!$G$13:$G$64,MATCH($A29,Вводные!$A$13:$A$64,0)),0))</f>
        <v>8000</v>
      </c>
      <c r="AT29" s="14" t="n">
        <f aca="false">INDEX(Вводные!$D$13:$F$64,MATCH($A29,Вводные!$A$13:$A$64,0),MATCH(AT$3,Вводные!$D$11:$F$11,0))*(1+IF(AT$4=$A29,Вводные!$D$5*INDEX(Вводные!$G$13:$G$64,MATCH($A29,Вводные!$A$13:$A$64,0)),0))</f>
        <v>8000</v>
      </c>
      <c r="AU29" s="14" t="n">
        <f aca="false">INDEX(Вводные!$D$13:$F$64,MATCH($A29,Вводные!$A$13:$A$64,0),MATCH(AU$3,Вводные!$D$11:$F$11,0))*(1+IF(AU$4=$A29,Вводные!$D$5*INDEX(Вводные!$G$13:$G$64,MATCH($A29,Вводные!$A$13:$A$64,0)),0))</f>
        <v>8000</v>
      </c>
      <c r="AV29" s="14" t="n">
        <f aca="false">INDEX(Вводные!$D$13:$F$64,MATCH($A29,Вводные!$A$13:$A$64,0),MATCH(AV$3,Вводные!$D$11:$F$11,0))*(1+IF(AV$4=$A29,Вводные!$D$5*INDEX(Вводные!$G$13:$G$64,MATCH($A29,Вводные!$A$13:$A$64,0)),0))</f>
        <v>8000</v>
      </c>
      <c r="AW29" s="14" t="n">
        <f aca="false">INDEX(Вводные!$D$13:$F$64,MATCH($A29,Вводные!$A$13:$A$64,0),MATCH(AW$3,Вводные!$D$11:$F$11,0))*(1+IF(AW$4=$A29,Вводные!$D$5*INDEX(Вводные!$G$13:$G$64,MATCH($A29,Вводные!$A$13:$A$64,0)),0))</f>
        <v>8000</v>
      </c>
      <c r="AX29" s="14" t="n">
        <f aca="false">INDEX(Вводные!$D$13:$F$64,MATCH($A29,Вводные!$A$13:$A$64,0),MATCH(AX$3,Вводные!$D$11:$F$11,0))*(1+IF(AX$4=$A29,Вводные!$D$5*INDEX(Вводные!$G$13:$G$64,MATCH($A29,Вводные!$A$13:$A$64,0)),0))</f>
        <v>8000</v>
      </c>
      <c r="AY29" s="14" t="n">
        <f aca="false">INDEX(Вводные!$D$13:$F$64,MATCH($A29,Вводные!$A$13:$A$64,0),MATCH(AY$3,Вводные!$D$11:$F$11,0))*(1+IF(AY$4=$A29,Вводные!$D$5*INDEX(Вводные!$G$13:$G$64,MATCH($A29,Вводные!$A$13:$A$64,0)),0))</f>
        <v>8000</v>
      </c>
      <c r="AZ29" s="14" t="n">
        <f aca="false">INDEX(Вводные!$D$13:$F$64,MATCH($A29,Вводные!$A$13:$A$64,0),MATCH(AZ$3,Вводные!$D$11:$F$11,0))*(1+IF(AZ$4=$A29,Вводные!$D$5*INDEX(Вводные!$G$13:$G$64,MATCH($A29,Вводные!$A$13:$A$64,0)),0))</f>
        <v>150000</v>
      </c>
      <c r="BA29" s="14" t="n">
        <f aca="false">INDEX(Вводные!$D$13:$F$64,MATCH($A29,Вводные!$A$13:$A$64,0),MATCH(BA$3,Вводные!$D$11:$F$11,0))*(1+IF(BA$4=$A29,Вводные!$D$5*INDEX(Вводные!$G$13:$G$64,MATCH($A29,Вводные!$A$13:$A$64,0)),0))</f>
        <v>150000</v>
      </c>
      <c r="BB29" s="14" t="n">
        <f aca="false">INDEX(Вводные!$D$13:$F$64,MATCH($A29,Вводные!$A$13:$A$64,0),MATCH(BB$3,Вводные!$D$11:$F$11,0))*(1+IF(BB$4=$A29,Вводные!$D$5*INDEX(Вводные!$G$13:$G$64,MATCH($A29,Вводные!$A$13:$A$64,0)),0))</f>
        <v>150000</v>
      </c>
      <c r="BC29" s="14" t="n">
        <f aca="false">INDEX(Вводные!$D$13:$F$64,MATCH($A29,Вводные!$A$13:$A$64,0),MATCH(BC$3,Вводные!$D$11:$F$11,0))*(1+IF(BC$4=$A29,Вводные!$D$5*INDEX(Вводные!$G$13:$G$64,MATCH($A29,Вводные!$A$13:$A$64,0)),0))</f>
        <v>150000</v>
      </c>
      <c r="BD29" s="14" t="n">
        <f aca="false">INDEX(Вводные!$D$13:$F$64,MATCH($A29,Вводные!$A$13:$A$64,0),MATCH(BD$3,Вводные!$D$11:$F$11,0))*(1+IF(BD$4=$A29,Вводные!$D$5*INDEX(Вводные!$G$13:$G$64,MATCH($A29,Вводные!$A$13:$A$64,0)),0))</f>
        <v>150000</v>
      </c>
      <c r="BE29" s="14" t="n">
        <f aca="false">INDEX(Вводные!$D$13:$F$64,MATCH($A29,Вводные!$A$13:$A$64,0),MATCH(BE$3,Вводные!$D$11:$F$11,0))*(1+IF(BE$4=$A29,Вводные!$D$5*INDEX(Вводные!$G$13:$G$64,MATCH($A29,Вводные!$A$13:$A$64,0)),0))</f>
        <v>150000</v>
      </c>
      <c r="BF29" s="14" t="n">
        <f aca="false">INDEX(Вводные!$D$13:$F$64,MATCH($A29,Вводные!$A$13:$A$64,0),MATCH(BF$3,Вводные!$D$11:$F$11,0))*(1+IF(BF$4=$A29,Вводные!$D$5*INDEX(Вводные!$G$13:$G$64,MATCH($A29,Вводные!$A$13:$A$64,0)),0))</f>
        <v>150000</v>
      </c>
      <c r="BG29" s="14" t="n">
        <f aca="false">INDEX(Вводные!$D$13:$F$64,MATCH($A29,Вводные!$A$13:$A$64,0),MATCH(BG$3,Вводные!$D$11:$F$11,0))*(1+IF(BG$4=$A29,Вводные!$D$5*INDEX(Вводные!$G$13:$G$64,MATCH($A29,Вводные!$A$13:$A$64,0)),0))</f>
        <v>150000</v>
      </c>
      <c r="BH29" s="14" t="n">
        <f aca="false">INDEX(Вводные!$D$13:$F$64,MATCH($A29,Вводные!$A$13:$A$64,0),MATCH(BH$3,Вводные!$D$11:$F$11,0))*(1+IF(BH$4=$A29,Вводные!$D$5*INDEX(Вводные!$G$13:$G$64,MATCH($A29,Вводные!$A$13:$A$64,0)),0))</f>
        <v>150000</v>
      </c>
      <c r="BI29" s="14" t="n">
        <f aca="false">INDEX(Вводные!$D$13:$F$64,MATCH($A29,Вводные!$A$13:$A$64,0),MATCH(BI$3,Вводные!$D$11:$F$11,0))*(1+IF(BI$4=$A29,Вводные!$D$5*INDEX(Вводные!$G$13:$G$64,MATCH($A29,Вводные!$A$13:$A$64,0)),0))</f>
        <v>150000</v>
      </c>
      <c r="BJ29" s="14" t="n">
        <f aca="false">INDEX(Вводные!$D$13:$F$64,MATCH($A29,Вводные!$A$13:$A$64,0),MATCH(BJ$3,Вводные!$D$11:$F$11,0))*(1+IF(BJ$4=$A29,Вводные!$D$5*INDEX(Вводные!$G$13:$G$64,MATCH($A29,Вводные!$A$13:$A$64,0)),0))</f>
        <v>150000</v>
      </c>
      <c r="BK29" s="14" t="n">
        <f aca="false">INDEX(Вводные!$D$13:$F$64,MATCH($A29,Вводные!$A$13:$A$64,0),MATCH(BK$3,Вводные!$D$11:$F$11,0))*(1+IF(BK$4=$A29,Вводные!$D$5*INDEX(Вводные!$G$13:$G$64,MATCH($A29,Вводные!$A$13:$A$64,0)),0))</f>
        <v>150000</v>
      </c>
      <c r="BL29" s="14" t="n">
        <f aca="false">INDEX(Вводные!$D$13:$F$64,MATCH($A29,Вводные!$A$13:$A$64,0),MATCH(BL$3,Вводные!$D$11:$F$11,0))*(1+IF(BL$4=$A29,Вводные!$D$5*INDEX(Вводные!$G$13:$G$64,MATCH($A29,Вводные!$A$13:$A$64,0)),0))</f>
        <v>150000</v>
      </c>
      <c r="BM29" s="14" t="n">
        <f aca="false">INDEX(Вводные!$D$13:$F$64,MATCH($A29,Вводные!$A$13:$A$64,0),MATCH(BM$3,Вводные!$D$11:$F$11,0))*(1+IF(BM$4=$A29,Вводные!$D$5*INDEX(Вводные!$G$13:$G$64,MATCH($A29,Вводные!$A$13:$A$64,0)),0))</f>
        <v>150000</v>
      </c>
      <c r="BN29" s="14" t="n">
        <f aca="false">INDEX(Вводные!$D$13:$F$64,MATCH($A29,Вводные!$A$13:$A$64,0),MATCH(BN$3,Вводные!$D$11:$F$11,0))*(1+IF(BN$4=$A29,Вводные!$D$5*INDEX(Вводные!$G$13:$G$64,MATCH($A29,Вводные!$A$13:$A$64,0)),0))</f>
        <v>150000</v>
      </c>
      <c r="BO29" s="14" t="n">
        <f aca="false">INDEX(Вводные!$D$13:$F$64,MATCH($A29,Вводные!$A$13:$A$64,0),MATCH(BO$3,Вводные!$D$11:$F$11,0))*(1+IF(BO$4=$A29,Вводные!$D$5*INDEX(Вводные!$G$13:$G$64,MATCH($A29,Вводные!$A$13:$A$64,0)),0))</f>
        <v>151500</v>
      </c>
      <c r="BP29" s="14" t="n">
        <f aca="false">INDEX(Вводные!$D$13:$F$64,MATCH($A29,Вводные!$A$13:$A$64,0),MATCH(BP$3,Вводные!$D$11:$F$11,0))*(1+IF(BP$4=$A29,Вводные!$D$5*INDEX(Вводные!$G$13:$G$64,MATCH($A29,Вводные!$A$13:$A$64,0)),0))</f>
        <v>150000</v>
      </c>
      <c r="BQ29" s="14" t="n">
        <f aca="false">INDEX(Вводные!$D$13:$F$64,MATCH($A29,Вводные!$A$13:$A$64,0),MATCH(BQ$3,Вводные!$D$11:$F$11,0))*(1+IF(BQ$4=$A29,Вводные!$D$5*INDEX(Вводные!$G$13:$G$64,MATCH($A29,Вводные!$A$13:$A$64,0)),0))</f>
        <v>150000</v>
      </c>
      <c r="BR29" s="14" t="n">
        <f aca="false">INDEX(Вводные!$D$13:$F$64,MATCH($A29,Вводные!$A$13:$A$64,0),MATCH(BR$3,Вводные!$D$11:$F$11,0))*(1+IF(BR$4=$A29,Вводные!$D$5*INDEX(Вводные!$G$13:$G$64,MATCH($A29,Вводные!$A$13:$A$64,0)),0))</f>
        <v>150000</v>
      </c>
      <c r="BS29" s="14" t="n">
        <f aca="false">INDEX(Вводные!$D$13:$F$64,MATCH($A29,Вводные!$A$13:$A$64,0),MATCH(BS$3,Вводные!$D$11:$F$11,0))*(1+IF(BS$4=$A29,Вводные!$D$5*INDEX(Вводные!$G$13:$G$64,MATCH($A29,Вводные!$A$13:$A$64,0)),0))</f>
        <v>150000</v>
      </c>
      <c r="BT29" s="14" t="n">
        <f aca="false">INDEX(Вводные!$D$13:$F$64,MATCH($A29,Вводные!$A$13:$A$64,0),MATCH(BT$3,Вводные!$D$11:$F$11,0))*(1+IF(BT$4=$A29,Вводные!$D$5*INDEX(Вводные!$G$13:$G$64,MATCH($A29,Вводные!$A$13:$A$64,0)),0))</f>
        <v>150000</v>
      </c>
      <c r="BU29" s="14" t="n">
        <f aca="false">INDEX(Вводные!$D$13:$F$64,MATCH($A29,Вводные!$A$13:$A$64,0),MATCH(BU$3,Вводные!$D$11:$F$11,0))*(1+IF(BU$4=$A29,Вводные!$D$5*INDEX(Вводные!$G$13:$G$64,MATCH($A29,Вводные!$A$13:$A$64,0)),0))</f>
        <v>150000</v>
      </c>
      <c r="BV29" s="14" t="n">
        <f aca="false">INDEX(Вводные!$D$13:$F$64,MATCH($A29,Вводные!$A$13:$A$64,0),MATCH(BV$3,Вводные!$D$11:$F$11,0))*(1+IF(BV$4=$A29,Вводные!$D$5*INDEX(Вводные!$G$13:$G$64,MATCH($A29,Вводные!$A$13:$A$64,0)),0))</f>
        <v>150000</v>
      </c>
      <c r="BW29" s="14" t="n">
        <f aca="false">INDEX(Вводные!$D$13:$F$64,MATCH($A29,Вводные!$A$13:$A$64,0),MATCH(BW$3,Вводные!$D$11:$F$11,0))*(1+IF(BW$4=$A29,Вводные!$D$5*INDEX(Вводные!$G$13:$G$64,MATCH($A29,Вводные!$A$13:$A$64,0)),0))</f>
        <v>150000</v>
      </c>
      <c r="BX29" s="14" t="n">
        <f aca="false">INDEX(Вводные!$D$13:$F$64,MATCH($A29,Вводные!$A$13:$A$64,0),MATCH(BX$3,Вводные!$D$11:$F$11,0))*(1+IF(BX$4=$A29,Вводные!$D$5*INDEX(Вводные!$G$13:$G$64,MATCH($A29,Вводные!$A$13:$A$64,0)),0))</f>
        <v>150000</v>
      </c>
      <c r="BY29" s="14" t="n">
        <f aca="false">INDEX(Вводные!$D$13:$F$64,MATCH($A29,Вводные!$A$13:$A$64,0),MATCH(BY$3,Вводные!$D$11:$F$11,0))*(1+IF(BY$4=$A29,Вводные!$D$5*INDEX(Вводные!$G$13:$G$64,MATCH($A29,Вводные!$A$13:$A$64,0)),0))</f>
        <v>150000</v>
      </c>
      <c r="BZ29" s="14" t="n">
        <f aca="false">INDEX(Вводные!$D$13:$F$64,MATCH($A29,Вводные!$A$13:$A$64,0),MATCH(BZ$3,Вводные!$D$11:$F$11,0))*(1+IF(BZ$4=$A29,Вводные!$D$5*INDEX(Вводные!$G$13:$G$64,MATCH($A29,Вводные!$A$13:$A$64,0)),0))</f>
        <v>150000</v>
      </c>
      <c r="CA29" s="14" t="n">
        <f aca="false">INDEX(Вводные!$D$13:$F$64,MATCH($A29,Вводные!$A$13:$A$64,0),MATCH(CA$3,Вводные!$D$11:$F$11,0))*(1+IF(CA$4=$A29,Вводные!$D$5*INDEX(Вводные!$G$13:$G$64,MATCH($A29,Вводные!$A$13:$A$64,0)),0))</f>
        <v>150000</v>
      </c>
      <c r="CB29" s="14" t="n">
        <f aca="false">INDEX(Вводные!$D$13:$F$64,MATCH($A29,Вводные!$A$13:$A$64,0),MATCH(CB$3,Вводные!$D$11:$F$11,0))*(1+IF(CB$4=$A29,Вводные!$D$5*INDEX(Вводные!$G$13:$G$64,MATCH($A29,Вводные!$A$13:$A$64,0)),0))</f>
        <v>150000</v>
      </c>
      <c r="CC29" s="14" t="n">
        <f aca="false">INDEX(Вводные!$D$13:$F$64,MATCH($A29,Вводные!$A$13:$A$64,0),MATCH(CC$3,Вводные!$D$11:$F$11,0))*(1+IF(CC$4=$A29,Вводные!$D$5*INDEX(Вводные!$G$13:$G$64,MATCH($A29,Вводные!$A$13:$A$64,0)),0))</f>
        <v>150000</v>
      </c>
      <c r="CD29" s="14" t="n">
        <f aca="false">INDEX(Вводные!$D$13:$F$64,MATCH($A29,Вводные!$A$13:$A$64,0),MATCH(CD$3,Вводные!$D$11:$F$11,0))*(1+IF(CD$4=$A29,Вводные!$D$5*INDEX(Вводные!$G$13:$G$64,MATCH($A29,Вводные!$A$13:$A$64,0)),0))</f>
        <v>150000</v>
      </c>
      <c r="CE29" s="14" t="n">
        <f aca="false">INDEX(Вводные!$D$13:$F$64,MATCH($A29,Вводные!$A$13:$A$64,0),MATCH(CE$3,Вводные!$D$11:$F$11,0))*(1+IF(CE$4=$A29,Вводные!$D$5*INDEX(Вводные!$G$13:$G$64,MATCH($A29,Вводные!$A$13:$A$64,0)),0))</f>
        <v>150000</v>
      </c>
      <c r="CF29" s="14" t="n">
        <f aca="false">INDEX(Вводные!$D$13:$F$64,MATCH($A29,Вводные!$A$13:$A$64,0),MATCH(CF$3,Вводные!$D$11:$F$11,0))*(1+IF(CF$4=$A29,Вводные!$D$5*INDEX(Вводные!$G$13:$G$64,MATCH($A29,Вводные!$A$13:$A$64,0)),0))</f>
        <v>150000</v>
      </c>
      <c r="CG29" s="14" t="n">
        <f aca="false">INDEX(Вводные!$D$13:$F$64,MATCH($A29,Вводные!$A$13:$A$64,0),MATCH(CG$3,Вводные!$D$11:$F$11,0))*(1+IF(CG$4=$A29,Вводные!$D$5*INDEX(Вводные!$G$13:$G$64,MATCH($A29,Вводные!$A$13:$A$64,0)),0))</f>
        <v>150000</v>
      </c>
      <c r="CH29" s="14" t="n">
        <f aca="false">INDEX(Вводные!$D$13:$F$64,MATCH($A29,Вводные!$A$13:$A$64,0),MATCH(CH$3,Вводные!$D$11:$F$11,0))*(1+IF(CH$4=$A29,Вводные!$D$5*INDEX(Вводные!$G$13:$G$64,MATCH($A29,Вводные!$A$13:$A$64,0)),0))</f>
        <v>150000</v>
      </c>
      <c r="CI29" s="14" t="n">
        <f aca="false">INDEX(Вводные!$D$13:$F$64,MATCH($A29,Вводные!$A$13:$A$64,0),MATCH(CI$3,Вводные!$D$11:$F$11,0))*(1+IF(CI$4=$A29,Вводные!$D$5*INDEX(Вводные!$G$13:$G$64,MATCH($A29,Вводные!$A$13:$A$64,0)),0))</f>
        <v>150000</v>
      </c>
      <c r="CJ29" s="14" t="n">
        <f aca="false">INDEX(Вводные!$D$13:$F$64,MATCH($A29,Вводные!$A$13:$A$64,0),MATCH(CJ$3,Вводные!$D$11:$F$11,0))*(1+IF(CJ$4=$A29,Вводные!$D$5*INDEX(Вводные!$G$13:$G$64,MATCH($A29,Вводные!$A$13:$A$64,0)),0))</f>
        <v>150000</v>
      </c>
      <c r="CK29" s="14" t="n">
        <f aca="false">INDEX(Вводные!$D$13:$F$64,MATCH($A29,Вводные!$A$13:$A$64,0),MATCH(CK$3,Вводные!$D$11:$F$11,0))*(1+IF(CK$4=$A29,Вводные!$D$5*INDEX(Вводные!$G$13:$G$64,MATCH($A29,Вводные!$A$13:$A$64,0)),0))</f>
        <v>150000</v>
      </c>
      <c r="CL29" s="14" t="n">
        <f aca="false">INDEX(Вводные!$D$13:$F$64,MATCH($A29,Вводные!$A$13:$A$64,0),MATCH(CL$3,Вводные!$D$11:$F$11,0))*(1+IF(CL$4=$A29,Вводные!$D$5*INDEX(Вводные!$G$13:$G$64,MATCH($A29,Вводные!$A$13:$A$64,0)),0))</f>
        <v>150000</v>
      </c>
      <c r="CM29" s="14" t="n">
        <f aca="false">INDEX(Вводные!$D$13:$F$64,MATCH($A29,Вводные!$A$13:$A$64,0),MATCH(CM$3,Вводные!$D$11:$F$11,0))*(1+IF(CM$4=$A29,Вводные!$D$5*INDEX(Вводные!$G$13:$G$64,MATCH($A29,Вводные!$A$13:$A$64,0)),0))</f>
        <v>150000</v>
      </c>
      <c r="CN29" s="14" t="n">
        <f aca="false">INDEX(Вводные!$D$13:$F$64,MATCH($A29,Вводные!$A$13:$A$64,0),MATCH(CN$3,Вводные!$D$11:$F$11,0))*(1+IF(CN$4=$A29,Вводные!$D$5*INDEX(Вводные!$G$13:$G$64,MATCH($A29,Вводные!$A$13:$A$64,0)),0))</f>
        <v>150000</v>
      </c>
      <c r="CO29" s="14" t="n">
        <f aca="false">INDEX(Вводные!$D$13:$F$64,MATCH($A29,Вводные!$A$13:$A$64,0),MATCH(CO$3,Вводные!$D$11:$F$11,0))*(1+IF(CO$4=$A29,Вводные!$D$5*INDEX(Вводные!$G$13:$G$64,MATCH($A29,Вводные!$A$13:$A$64,0)),0))</f>
        <v>150000</v>
      </c>
      <c r="CP29" s="14" t="n">
        <f aca="false">INDEX(Вводные!$D$13:$F$64,MATCH($A29,Вводные!$A$13:$A$64,0),MATCH(CP$3,Вводные!$D$11:$F$11,0))*(1+IF(CP$4=$A29,Вводные!$D$5*INDEX(Вводные!$G$13:$G$64,MATCH($A29,Вводные!$A$13:$A$64,0)),0))</f>
        <v>5000000</v>
      </c>
      <c r="CQ29" s="14" t="n">
        <f aca="false">INDEX(Вводные!$D$13:$F$64,MATCH($A29,Вводные!$A$13:$A$64,0),MATCH(CQ$3,Вводные!$D$11:$F$11,0))*(1+IF(CQ$4=$A29,Вводные!$D$5*INDEX(Вводные!$G$13:$G$64,MATCH($A29,Вводные!$A$13:$A$64,0)),0))</f>
        <v>5000000</v>
      </c>
      <c r="CR29" s="14" t="n">
        <f aca="false">INDEX(Вводные!$D$13:$F$64,MATCH($A29,Вводные!$A$13:$A$64,0),MATCH(CR$3,Вводные!$D$11:$F$11,0))*(1+IF(CR$4=$A29,Вводные!$D$5*INDEX(Вводные!$G$13:$G$64,MATCH($A29,Вводные!$A$13:$A$64,0)),0))</f>
        <v>5000000</v>
      </c>
      <c r="CS29" s="14" t="n">
        <f aca="false">INDEX(Вводные!$D$13:$F$64,MATCH($A29,Вводные!$A$13:$A$64,0),MATCH(CS$3,Вводные!$D$11:$F$11,0))*(1+IF(CS$4=$A29,Вводные!$D$5*INDEX(Вводные!$G$13:$G$64,MATCH($A29,Вводные!$A$13:$A$64,0)),0))</f>
        <v>5000000</v>
      </c>
      <c r="CT29" s="14" t="n">
        <f aca="false">INDEX(Вводные!$D$13:$F$64,MATCH($A29,Вводные!$A$13:$A$64,0),MATCH(CT$3,Вводные!$D$11:$F$11,0))*(1+IF(CT$4=$A29,Вводные!$D$5*INDEX(Вводные!$G$13:$G$64,MATCH($A29,Вводные!$A$13:$A$64,0)),0))</f>
        <v>5000000</v>
      </c>
      <c r="CU29" s="14" t="n">
        <f aca="false">INDEX(Вводные!$D$13:$F$64,MATCH($A29,Вводные!$A$13:$A$64,0),MATCH(CU$3,Вводные!$D$11:$F$11,0))*(1+IF(CU$4=$A29,Вводные!$D$5*INDEX(Вводные!$G$13:$G$64,MATCH($A29,Вводные!$A$13:$A$64,0)),0))</f>
        <v>5000000</v>
      </c>
      <c r="CV29" s="14" t="n">
        <f aca="false">INDEX(Вводные!$D$13:$F$64,MATCH($A29,Вводные!$A$13:$A$64,0),MATCH(CV$3,Вводные!$D$11:$F$11,0))*(1+IF(CV$4=$A29,Вводные!$D$5*INDEX(Вводные!$G$13:$G$64,MATCH($A29,Вводные!$A$13:$A$64,0)),0))</f>
        <v>5000000</v>
      </c>
      <c r="CW29" s="14" t="n">
        <f aca="false">INDEX(Вводные!$D$13:$F$64,MATCH($A29,Вводные!$A$13:$A$64,0),MATCH(CW$3,Вводные!$D$11:$F$11,0))*(1+IF(CW$4=$A29,Вводные!$D$5*INDEX(Вводные!$G$13:$G$64,MATCH($A29,Вводные!$A$13:$A$64,0)),0))</f>
        <v>5000000</v>
      </c>
      <c r="CX29" s="14" t="n">
        <f aca="false">INDEX(Вводные!$D$13:$F$64,MATCH($A29,Вводные!$A$13:$A$64,0),MATCH(CX$3,Вводные!$D$11:$F$11,0))*(1+IF(CX$4=$A29,Вводные!$D$5*INDEX(Вводные!$G$13:$G$64,MATCH($A29,Вводные!$A$13:$A$64,0)),0))</f>
        <v>5000000</v>
      </c>
      <c r="CY29" s="14" t="n">
        <f aca="false">INDEX(Вводные!$D$13:$F$64,MATCH($A29,Вводные!$A$13:$A$64,0),MATCH(CY$3,Вводные!$D$11:$F$11,0))*(1+IF(CY$4=$A29,Вводные!$D$5*INDEX(Вводные!$G$13:$G$64,MATCH($A29,Вводные!$A$13:$A$64,0)),0))</f>
        <v>5000000</v>
      </c>
      <c r="CZ29" s="14" t="n">
        <f aca="false">INDEX(Вводные!$D$13:$F$64,MATCH($A29,Вводные!$A$13:$A$64,0),MATCH(CZ$3,Вводные!$D$11:$F$11,0))*(1+IF(CZ$4=$A29,Вводные!$D$5*INDEX(Вводные!$G$13:$G$64,MATCH($A29,Вводные!$A$13:$A$64,0)),0))</f>
        <v>5000000</v>
      </c>
      <c r="DA29" s="14" t="n">
        <f aca="false">INDEX(Вводные!$D$13:$F$64,MATCH($A29,Вводные!$A$13:$A$64,0),MATCH(DA$3,Вводные!$D$11:$F$11,0))*(1+IF(DA$4=$A29,Вводные!$D$5*INDEX(Вводные!$G$13:$G$64,MATCH($A29,Вводные!$A$13:$A$64,0)),0))</f>
        <v>5000000</v>
      </c>
      <c r="DB29" s="14" t="n">
        <f aca="false">INDEX(Вводные!$D$13:$F$64,MATCH($A29,Вводные!$A$13:$A$64,0),MATCH(DB$3,Вводные!$D$11:$F$11,0))*(1+IF(DB$4=$A29,Вводные!$D$5*INDEX(Вводные!$G$13:$G$64,MATCH($A29,Вводные!$A$13:$A$64,0)),0))</f>
        <v>5000000</v>
      </c>
      <c r="DC29" s="14" t="n">
        <f aca="false">INDEX(Вводные!$D$13:$F$64,MATCH($A29,Вводные!$A$13:$A$64,0),MATCH(DC$3,Вводные!$D$11:$F$11,0))*(1+IF(DC$4=$A29,Вводные!$D$5*INDEX(Вводные!$G$13:$G$64,MATCH($A29,Вводные!$A$13:$A$64,0)),0))</f>
        <v>5000000</v>
      </c>
      <c r="DD29" s="14" t="n">
        <f aca="false">INDEX(Вводные!$D$13:$F$64,MATCH($A29,Вводные!$A$13:$A$64,0),MATCH(DD$3,Вводные!$D$11:$F$11,0))*(1+IF(DD$4=$A29,Вводные!$D$5*INDEX(Вводные!$G$13:$G$64,MATCH($A29,Вводные!$A$13:$A$64,0)),0))</f>
        <v>5000000</v>
      </c>
      <c r="DE29" s="14" t="n">
        <f aca="false">INDEX(Вводные!$D$13:$F$64,MATCH($A29,Вводные!$A$13:$A$64,0),MATCH(DE$3,Вводные!$D$11:$F$11,0))*(1+IF(DE$4=$A29,Вводные!$D$5*INDEX(Вводные!$G$13:$G$64,MATCH($A29,Вводные!$A$13:$A$64,0)),0))</f>
        <v>5050000</v>
      </c>
      <c r="DF29" s="14" t="n">
        <f aca="false">INDEX(Вводные!$D$13:$F$64,MATCH($A29,Вводные!$A$13:$A$64,0),MATCH(DF$3,Вводные!$D$11:$F$11,0))*(1+IF(DF$4=$A29,Вводные!$D$5*INDEX(Вводные!$G$13:$G$64,MATCH($A29,Вводные!$A$13:$A$64,0)),0))</f>
        <v>5000000</v>
      </c>
      <c r="DG29" s="14" t="n">
        <f aca="false">INDEX(Вводные!$D$13:$F$64,MATCH($A29,Вводные!$A$13:$A$64,0),MATCH(DG$3,Вводные!$D$11:$F$11,0))*(1+IF(DG$4=$A29,Вводные!$D$5*INDEX(Вводные!$G$13:$G$64,MATCH($A29,Вводные!$A$13:$A$64,0)),0))</f>
        <v>5000000</v>
      </c>
      <c r="DH29" s="14" t="n">
        <f aca="false">INDEX(Вводные!$D$13:$F$64,MATCH($A29,Вводные!$A$13:$A$64,0),MATCH(DH$3,Вводные!$D$11:$F$11,0))*(1+IF(DH$4=$A29,Вводные!$D$5*INDEX(Вводные!$G$13:$G$64,MATCH($A29,Вводные!$A$13:$A$64,0)),0))</f>
        <v>5000000</v>
      </c>
      <c r="DI29" s="14" t="n">
        <f aca="false">INDEX(Вводные!$D$13:$F$64,MATCH($A29,Вводные!$A$13:$A$64,0),MATCH(DI$3,Вводные!$D$11:$F$11,0))*(1+IF(DI$4=$A29,Вводные!$D$5*INDEX(Вводные!$G$13:$G$64,MATCH($A29,Вводные!$A$13:$A$64,0)),0))</f>
        <v>5000000</v>
      </c>
      <c r="DJ29" s="14" t="n">
        <f aca="false">INDEX(Вводные!$D$13:$F$64,MATCH($A29,Вводные!$A$13:$A$64,0),MATCH(DJ$3,Вводные!$D$11:$F$11,0))*(1+IF(DJ$4=$A29,Вводные!$D$5*INDEX(Вводные!$G$13:$G$64,MATCH($A29,Вводные!$A$13:$A$64,0)),0))</f>
        <v>5000000</v>
      </c>
      <c r="DK29" s="14" t="n">
        <f aca="false">INDEX(Вводные!$D$13:$F$64,MATCH($A29,Вводные!$A$13:$A$64,0),MATCH(DK$3,Вводные!$D$11:$F$11,0))*(1+IF(DK$4=$A29,Вводные!$D$5*INDEX(Вводные!$G$13:$G$64,MATCH($A29,Вводные!$A$13:$A$64,0)),0))</f>
        <v>5000000</v>
      </c>
      <c r="DL29" s="14" t="n">
        <f aca="false">INDEX(Вводные!$D$13:$F$64,MATCH($A29,Вводные!$A$13:$A$64,0),MATCH(DL$3,Вводные!$D$11:$F$11,0))*(1+IF(DL$4=$A29,Вводные!$D$5*INDEX(Вводные!$G$13:$G$64,MATCH($A29,Вводные!$A$13:$A$64,0)),0))</f>
        <v>5000000</v>
      </c>
      <c r="DM29" s="14" t="n">
        <f aca="false">INDEX(Вводные!$D$13:$F$64,MATCH($A29,Вводные!$A$13:$A$64,0),MATCH(DM$3,Вводные!$D$11:$F$11,0))*(1+IF(DM$4=$A29,Вводные!$D$5*INDEX(Вводные!$G$13:$G$64,MATCH($A29,Вводные!$A$13:$A$64,0)),0))</f>
        <v>5000000</v>
      </c>
      <c r="DN29" s="14" t="n">
        <f aca="false">INDEX(Вводные!$D$13:$F$64,MATCH($A29,Вводные!$A$13:$A$64,0),MATCH(DN$3,Вводные!$D$11:$F$11,0))*(1+IF(DN$4=$A29,Вводные!$D$5*INDEX(Вводные!$G$13:$G$64,MATCH($A29,Вводные!$A$13:$A$64,0)),0))</f>
        <v>5000000</v>
      </c>
      <c r="DO29" s="14" t="n">
        <f aca="false">INDEX(Вводные!$D$13:$F$64,MATCH($A29,Вводные!$A$13:$A$64,0),MATCH(DO$3,Вводные!$D$11:$F$11,0))*(1+IF(DO$4=$A29,Вводные!$D$5*INDEX(Вводные!$G$13:$G$64,MATCH($A29,Вводные!$A$13:$A$64,0)),0))</f>
        <v>5000000</v>
      </c>
      <c r="DP29" s="14" t="n">
        <f aca="false">INDEX(Вводные!$D$13:$F$64,MATCH($A29,Вводные!$A$13:$A$64,0),MATCH(DP$3,Вводные!$D$11:$F$11,0))*(1+IF(DP$4=$A29,Вводные!$D$5*INDEX(Вводные!$G$13:$G$64,MATCH($A29,Вводные!$A$13:$A$64,0)),0))</f>
        <v>5000000</v>
      </c>
      <c r="DQ29" s="14" t="n">
        <f aca="false">INDEX(Вводные!$D$13:$F$64,MATCH($A29,Вводные!$A$13:$A$64,0),MATCH(DQ$3,Вводные!$D$11:$F$11,0))*(1+IF(DQ$4=$A29,Вводные!$D$5*INDEX(Вводные!$G$13:$G$64,MATCH($A29,Вводные!$A$13:$A$64,0)),0))</f>
        <v>5000000</v>
      </c>
      <c r="DR29" s="14" t="n">
        <f aca="false">INDEX(Вводные!$D$13:$F$64,MATCH($A29,Вводные!$A$13:$A$64,0),MATCH(DR$3,Вводные!$D$11:$F$11,0))*(1+IF(DR$4=$A29,Вводные!$D$5*INDEX(Вводные!$G$13:$G$64,MATCH($A29,Вводные!$A$13:$A$64,0)),0))</f>
        <v>5000000</v>
      </c>
      <c r="DS29" s="14" t="n">
        <f aca="false">INDEX(Вводные!$D$13:$F$64,MATCH($A29,Вводные!$A$13:$A$64,0),MATCH(DS$3,Вводные!$D$11:$F$11,0))*(1+IF(DS$4=$A29,Вводные!$D$5*INDEX(Вводные!$G$13:$G$64,MATCH($A29,Вводные!$A$13:$A$64,0)),0))</f>
        <v>5000000</v>
      </c>
      <c r="DT29" s="14" t="n">
        <f aca="false">INDEX(Вводные!$D$13:$F$64,MATCH($A29,Вводные!$A$13:$A$64,0),MATCH(DT$3,Вводные!$D$11:$F$11,0))*(1+IF(DT$4=$A29,Вводные!$D$5*INDEX(Вводные!$G$13:$G$64,MATCH($A29,Вводные!$A$13:$A$64,0)),0))</f>
        <v>5000000</v>
      </c>
      <c r="DU29" s="14" t="n">
        <f aca="false">INDEX(Вводные!$D$13:$F$64,MATCH($A29,Вводные!$A$13:$A$64,0),MATCH(DU$3,Вводные!$D$11:$F$11,0))*(1+IF(DU$4=$A29,Вводные!$D$5*INDEX(Вводные!$G$13:$G$64,MATCH($A29,Вводные!$A$13:$A$64,0)),0))</f>
        <v>5000000</v>
      </c>
      <c r="DV29" s="14" t="n">
        <f aca="false">INDEX(Вводные!$D$13:$F$64,MATCH($A29,Вводные!$A$13:$A$64,0),MATCH(DV$3,Вводные!$D$11:$F$11,0))*(1+IF(DV$4=$A29,Вводные!$D$5*INDEX(Вводные!$G$13:$G$64,MATCH($A29,Вводные!$A$13:$A$64,0)),0))</f>
        <v>5000000</v>
      </c>
      <c r="DW29" s="14" t="n">
        <f aca="false">INDEX(Вводные!$D$13:$F$64,MATCH($A29,Вводные!$A$13:$A$64,0),MATCH(DW$3,Вводные!$D$11:$F$11,0))*(1+IF(DW$4=$A29,Вводные!$D$5*INDEX(Вводные!$G$13:$G$64,MATCH($A29,Вводные!$A$13:$A$64,0)),0))</f>
        <v>5000000</v>
      </c>
      <c r="DX29" s="14" t="n">
        <f aca="false">INDEX(Вводные!$D$13:$F$64,MATCH($A29,Вводные!$A$13:$A$64,0),MATCH(DX$3,Вводные!$D$11:$F$11,0))*(1+IF(DX$4=$A29,Вводные!$D$5*INDEX(Вводные!$G$13:$G$64,MATCH($A29,Вводные!$A$13:$A$64,0)),0))</f>
        <v>5000000</v>
      </c>
      <c r="DY29" s="14" t="n">
        <f aca="false">INDEX(Вводные!$D$13:$F$64,MATCH($A29,Вводные!$A$13:$A$64,0),MATCH(DY$3,Вводные!$D$11:$F$11,0))*(1+IF(DY$4=$A29,Вводные!$D$5*INDEX(Вводные!$G$13:$G$64,MATCH($A29,Вводные!$A$13:$A$64,0)),0))</f>
        <v>5000000</v>
      </c>
      <c r="DZ29" s="14" t="n">
        <f aca="false">INDEX(Вводные!$D$13:$F$64,MATCH($A29,Вводные!$A$13:$A$64,0),MATCH(DZ$3,Вводные!$D$11:$F$11,0))*(1+IF(DZ$4=$A29,Вводные!$D$5*INDEX(Вводные!$G$13:$G$64,MATCH($A29,Вводные!$A$13:$A$64,0)),0))</f>
        <v>5000000</v>
      </c>
      <c r="EA29" s="14" t="n">
        <f aca="false">INDEX(Вводные!$D$13:$F$64,MATCH($A29,Вводные!$A$13:$A$64,0),MATCH(EA$3,Вводные!$D$11:$F$11,0))*(1+IF(EA$4=$A29,Вводные!$D$5*INDEX(Вводные!$G$13:$G$64,MATCH($A29,Вводные!$A$13:$A$64,0)),0))</f>
        <v>5000000</v>
      </c>
      <c r="EB29" s="14" t="n">
        <f aca="false">INDEX(Вводные!$D$13:$F$64,MATCH($A29,Вводные!$A$13:$A$64,0),MATCH(EB$3,Вводные!$D$11:$F$11,0))*(1+IF(EB$4=$A29,Вводные!$D$5*INDEX(Вводные!$G$13:$G$64,MATCH($A29,Вводные!$A$13:$A$64,0)),0))</f>
        <v>5000000</v>
      </c>
      <c r="EC29" s="14" t="n">
        <f aca="false">INDEX(Вводные!$D$13:$F$64,MATCH($A29,Вводные!$A$13:$A$64,0),MATCH(EC$3,Вводные!$D$11:$F$11,0))*(1+IF(EC$4=$A29,Вводные!$D$5*INDEX(Вводные!$G$13:$G$64,MATCH($A29,Вводные!$A$13:$A$64,0)),0))</f>
        <v>5000000</v>
      </c>
      <c r="ED29" s="14" t="n">
        <f aca="false">INDEX(Вводные!$D$13:$F$64,MATCH($A29,Вводные!$A$13:$A$64,0),MATCH(ED$3,Вводные!$D$11:$F$11,0))*(1+IF(ED$4=$A29,Вводные!$D$5*INDEX(Вводные!$G$13:$G$64,MATCH($A29,Вводные!$A$13:$A$64,0)),0))</f>
        <v>5000000</v>
      </c>
      <c r="EE29" s="14" t="n">
        <f aca="false">INDEX(Вводные!$D$13:$F$64,MATCH($A29,Вводные!$A$13:$A$64,0),MATCH(EE$3,Вводные!$D$11:$F$11,0))*(1+IF(EE$4=$A29,Вводные!$D$5*INDEX(Вводные!$G$13:$G$64,MATCH($A29,Вводные!$A$13:$A$64,0)),0))</f>
        <v>5000000</v>
      </c>
      <c r="EF29" s="14" t="n">
        <f aca="false">INDEX(Вводные!$D$13:$F$64,MATCH($A29,Вводные!$A$13:$A$64,0),MATCH(EF$3,Вводные!$D$11:$F$11,0))*(1+IF(EF$4=$A29,Вводные!$D$5*INDEX(Вводные!$G$13:$G$64,MATCH($A29,Вводные!$A$13:$A$64,0)),0))</f>
        <v>8000</v>
      </c>
      <c r="EG29" s="14" t="n">
        <f aca="false">INDEX(Вводные!$D$13:$F$64,MATCH($A29,Вводные!$A$13:$A$64,0),MATCH(EG$3,Вводные!$D$11:$F$11,0))*(1+IF(EG$4=$A29,Вводные!$D$5*INDEX(Вводные!$G$13:$G$64,MATCH($A29,Вводные!$A$13:$A$64,0)),0))</f>
        <v>8000</v>
      </c>
      <c r="EH29" s="14" t="n">
        <f aca="false">INDEX(Вводные!$D$13:$F$64,MATCH($A29,Вводные!$A$13:$A$64,0),MATCH(EH$3,Вводные!$D$11:$F$11,0))*(1+IF(EH$4=$A29,Вводные!$D$5*INDEX(Вводные!$G$13:$G$64,MATCH($A29,Вводные!$A$13:$A$64,0)),0))</f>
        <v>8000</v>
      </c>
      <c r="EI29" s="14" t="n">
        <f aca="false">INDEX(Вводные!$D$13:$F$64,MATCH($A29,Вводные!$A$13:$A$64,0),MATCH(EI$3,Вводные!$D$11:$F$11,0))*(1+IF(EI$4=$A29,Вводные!$D$5*INDEX(Вводные!$G$13:$G$64,MATCH($A29,Вводные!$A$13:$A$64,0)),0))</f>
        <v>8000</v>
      </c>
      <c r="EJ29" s="14" t="n">
        <f aca="false">INDEX(Вводные!$D$13:$F$64,MATCH($A29,Вводные!$A$13:$A$64,0),MATCH(EJ$3,Вводные!$D$11:$F$11,0))*(1+IF(EJ$4=$A29,Вводные!$D$5*INDEX(Вводные!$G$13:$G$64,MATCH($A29,Вводные!$A$13:$A$64,0)),0))</f>
        <v>8000</v>
      </c>
      <c r="EK29" s="14" t="n">
        <f aca="false">INDEX(Вводные!$D$13:$F$64,MATCH($A29,Вводные!$A$13:$A$64,0),MATCH(EK$3,Вводные!$D$11:$F$11,0))*(1+IF(EK$4=$A29,Вводные!$D$5*INDEX(Вводные!$G$13:$G$64,MATCH($A29,Вводные!$A$13:$A$64,0)),0))</f>
        <v>8000</v>
      </c>
      <c r="EL29" s="14" t="n">
        <f aca="false">INDEX(Вводные!$D$13:$F$64,MATCH($A29,Вводные!$A$13:$A$64,0),MATCH(EL$3,Вводные!$D$11:$F$11,0))*(1+IF(EL$4=$A29,Вводные!$D$5*INDEX(Вводные!$G$13:$G$64,MATCH($A29,Вводные!$A$13:$A$64,0)),0))</f>
        <v>8000</v>
      </c>
      <c r="EM29" s="14" t="n">
        <f aca="false">INDEX(Вводные!$D$13:$F$64,MATCH($A29,Вводные!$A$13:$A$64,0),MATCH(EM$3,Вводные!$D$11:$F$11,0))*(1+IF(EM$4=$A29,Вводные!$D$5*INDEX(Вводные!$G$13:$G$64,MATCH($A29,Вводные!$A$13:$A$64,0)),0))</f>
        <v>8000</v>
      </c>
      <c r="EN29" s="14" t="n">
        <f aca="false">INDEX(Вводные!$D$13:$F$64,MATCH($A29,Вводные!$A$13:$A$64,0),MATCH(EN$3,Вводные!$D$11:$F$11,0))*(1+IF(EN$4=$A29,Вводные!$D$5*INDEX(Вводные!$G$13:$G$64,MATCH($A29,Вводные!$A$13:$A$64,0)),0))</f>
        <v>8000</v>
      </c>
      <c r="EO29" s="14" t="n">
        <f aca="false">INDEX(Вводные!$D$13:$F$64,MATCH($A29,Вводные!$A$13:$A$64,0),MATCH(EO$3,Вводные!$D$11:$F$11,0))*(1+IF(EO$4=$A29,Вводные!$D$5*INDEX(Вводные!$G$13:$G$64,MATCH($A29,Вводные!$A$13:$A$64,0)),0))</f>
        <v>8000</v>
      </c>
      <c r="EP29" s="14" t="n">
        <f aca="false">INDEX(Вводные!$D$13:$F$64,MATCH($A29,Вводные!$A$13:$A$64,0),MATCH(EP$3,Вводные!$D$11:$F$11,0))*(1+IF(EP$4=$A29,Вводные!$D$5*INDEX(Вводные!$G$13:$G$64,MATCH($A29,Вводные!$A$13:$A$64,0)),0))</f>
        <v>8000</v>
      </c>
      <c r="EQ29" s="14" t="n">
        <f aca="false">INDEX(Вводные!$D$13:$F$64,MATCH($A29,Вводные!$A$13:$A$64,0),MATCH(EQ$3,Вводные!$D$11:$F$11,0))*(1+IF(EQ$4=$A29,Вводные!$D$5*INDEX(Вводные!$G$13:$G$64,MATCH($A29,Вводные!$A$13:$A$64,0)),0))</f>
        <v>8000</v>
      </c>
      <c r="ER29" s="14" t="n">
        <f aca="false">INDEX(Вводные!$D$13:$F$64,MATCH($A29,Вводные!$A$13:$A$64,0),MATCH(ER$3,Вводные!$D$11:$F$11,0))*(1+IF(ER$4=$A29,Вводные!$D$5*INDEX(Вводные!$G$13:$G$64,MATCH($A29,Вводные!$A$13:$A$64,0)),0))</f>
        <v>8000</v>
      </c>
      <c r="ES29" s="14" t="n">
        <f aca="false">INDEX(Вводные!$D$13:$F$64,MATCH($A29,Вводные!$A$13:$A$64,0),MATCH(ES$3,Вводные!$D$11:$F$11,0))*(1+IF(ES$4=$A29,Вводные!$D$5*INDEX(Вводные!$G$13:$G$64,MATCH($A29,Вводные!$A$13:$A$64,0)),0))</f>
        <v>8000</v>
      </c>
      <c r="ET29" s="14" t="n">
        <f aca="false">INDEX(Вводные!$D$13:$F$64,MATCH($A29,Вводные!$A$13:$A$64,0),MATCH(ET$3,Вводные!$D$11:$F$11,0))*(1+IF(ET$4=$A29,Вводные!$D$5*INDEX(Вводные!$G$13:$G$64,MATCH($A29,Вводные!$A$13:$A$64,0)),0))</f>
        <v>8000</v>
      </c>
      <c r="EU29" s="14" t="n">
        <f aca="false">INDEX(Вводные!$D$13:$F$64,MATCH($A29,Вводные!$A$13:$A$64,0),MATCH(EU$3,Вводные!$D$11:$F$11,0))*(1+IF(EU$4=$A29,Вводные!$D$5*INDEX(Вводные!$G$13:$G$64,MATCH($A29,Вводные!$A$13:$A$64,0)),0))</f>
        <v>8080</v>
      </c>
      <c r="EV29" s="14" t="n">
        <f aca="false">INDEX(Вводные!$D$13:$F$64,MATCH($A29,Вводные!$A$13:$A$64,0),MATCH(EV$3,Вводные!$D$11:$F$11,0))*(1+IF(EV$4=$A29,Вводные!$D$5*INDEX(Вводные!$G$13:$G$64,MATCH($A29,Вводные!$A$13:$A$64,0)),0))</f>
        <v>8000</v>
      </c>
      <c r="EW29" s="14" t="n">
        <f aca="false">INDEX(Вводные!$D$13:$F$64,MATCH($A29,Вводные!$A$13:$A$64,0),MATCH(EW$3,Вводные!$D$11:$F$11,0))*(1+IF(EW$4=$A29,Вводные!$D$5*INDEX(Вводные!$G$13:$G$64,MATCH($A29,Вводные!$A$13:$A$64,0)),0))</f>
        <v>8000</v>
      </c>
      <c r="EX29" s="14" t="n">
        <f aca="false">INDEX(Вводные!$D$13:$F$64,MATCH($A29,Вводные!$A$13:$A$64,0),MATCH(EX$3,Вводные!$D$11:$F$11,0))*(1+IF(EX$4=$A29,Вводные!$D$5*INDEX(Вводные!$G$13:$G$64,MATCH($A29,Вводные!$A$13:$A$64,0)),0))</f>
        <v>8000</v>
      </c>
      <c r="EY29" s="14" t="n">
        <f aca="false">INDEX(Вводные!$D$13:$F$64,MATCH($A29,Вводные!$A$13:$A$64,0),MATCH(EY$3,Вводные!$D$11:$F$11,0))*(1+IF(EY$4=$A29,Вводные!$D$5*INDEX(Вводные!$G$13:$G$64,MATCH($A29,Вводные!$A$13:$A$64,0)),0))</f>
        <v>8000</v>
      </c>
      <c r="EZ29" s="14" t="n">
        <f aca="false">INDEX(Вводные!$D$13:$F$64,MATCH($A29,Вводные!$A$13:$A$64,0),MATCH(EZ$3,Вводные!$D$11:$F$11,0))*(1+IF(EZ$4=$A29,Вводные!$D$5*INDEX(Вводные!$G$13:$G$64,MATCH($A29,Вводные!$A$13:$A$64,0)),0))</f>
        <v>8000</v>
      </c>
      <c r="FA29" s="14" t="n">
        <f aca="false">INDEX(Вводные!$D$13:$F$64,MATCH($A29,Вводные!$A$13:$A$64,0),MATCH(FA$3,Вводные!$D$11:$F$11,0))*(1+IF(FA$4=$A29,Вводные!$D$5*INDEX(Вводные!$G$13:$G$64,MATCH($A29,Вводные!$A$13:$A$64,0)),0))</f>
        <v>8000</v>
      </c>
      <c r="FB29" s="14" t="n">
        <f aca="false">INDEX(Вводные!$D$13:$F$64,MATCH($A29,Вводные!$A$13:$A$64,0),MATCH(FB$3,Вводные!$D$11:$F$11,0))*(1+IF(FB$4=$A29,Вводные!$D$5*INDEX(Вводные!$G$13:$G$64,MATCH($A29,Вводные!$A$13:$A$64,0)),0))</f>
        <v>8000</v>
      </c>
      <c r="FC29" s="14" t="n">
        <f aca="false">INDEX(Вводные!$D$13:$F$64,MATCH($A29,Вводные!$A$13:$A$64,0),MATCH(FC$3,Вводные!$D$11:$F$11,0))*(1+IF(FC$4=$A29,Вводные!$D$5*INDEX(Вводные!$G$13:$G$64,MATCH($A29,Вводные!$A$13:$A$64,0)),0))</f>
        <v>8000</v>
      </c>
      <c r="FD29" s="14" t="n">
        <f aca="false">INDEX(Вводные!$D$13:$F$64,MATCH($A29,Вводные!$A$13:$A$64,0),MATCH(FD$3,Вводные!$D$11:$F$11,0))*(1+IF(FD$4=$A29,Вводные!$D$5*INDEX(Вводные!$G$13:$G$64,MATCH($A29,Вводные!$A$13:$A$64,0)),0))</f>
        <v>8000</v>
      </c>
      <c r="FE29" s="14" t="n">
        <f aca="false">INDEX(Вводные!$D$13:$F$64,MATCH($A29,Вводные!$A$13:$A$64,0),MATCH(FE$3,Вводные!$D$11:$F$11,0))*(1+IF(FE$4=$A29,Вводные!$D$5*INDEX(Вводные!$G$13:$G$64,MATCH($A29,Вводные!$A$13:$A$64,0)),0))</f>
        <v>8000</v>
      </c>
      <c r="FF29" s="14" t="n">
        <f aca="false">INDEX(Вводные!$D$13:$F$64,MATCH($A29,Вводные!$A$13:$A$64,0),MATCH(FF$3,Вводные!$D$11:$F$11,0))*(1+IF(FF$4=$A29,Вводные!$D$5*INDEX(Вводные!$G$13:$G$64,MATCH($A29,Вводные!$A$13:$A$64,0)),0))</f>
        <v>8000</v>
      </c>
      <c r="FG29" s="14" t="n">
        <f aca="false">INDEX(Вводные!$D$13:$F$64,MATCH($A29,Вводные!$A$13:$A$64,0),MATCH(FG$3,Вводные!$D$11:$F$11,0))*(1+IF(FG$4=$A29,Вводные!$D$5*INDEX(Вводные!$G$13:$G$64,MATCH($A29,Вводные!$A$13:$A$64,0)),0))</f>
        <v>8000</v>
      </c>
      <c r="FH29" s="14" t="n">
        <f aca="false">INDEX(Вводные!$D$13:$F$64,MATCH($A29,Вводные!$A$13:$A$64,0),MATCH(FH$3,Вводные!$D$11:$F$11,0))*(1+IF(FH$4=$A29,Вводные!$D$5*INDEX(Вводные!$G$13:$G$64,MATCH($A29,Вводные!$A$13:$A$64,0)),0))</f>
        <v>8000</v>
      </c>
      <c r="FI29" s="14" t="n">
        <f aca="false">INDEX(Вводные!$D$13:$F$64,MATCH($A29,Вводные!$A$13:$A$64,0),MATCH(FI$3,Вводные!$D$11:$F$11,0))*(1+IF(FI$4=$A29,Вводные!$D$5*INDEX(Вводные!$G$13:$G$64,MATCH($A29,Вводные!$A$13:$A$64,0)),0))</f>
        <v>8000</v>
      </c>
      <c r="FJ29" s="14" t="n">
        <f aca="false">INDEX(Вводные!$D$13:$F$64,MATCH($A29,Вводные!$A$13:$A$64,0),MATCH(FJ$3,Вводные!$D$11:$F$11,0))*(1+IF(FJ$4=$A29,Вводные!$D$5*INDEX(Вводные!$G$13:$G$64,MATCH($A29,Вводные!$A$13:$A$64,0)),0))</f>
        <v>8000</v>
      </c>
      <c r="FK29" s="14" t="n">
        <f aca="false">INDEX(Вводные!$D$13:$F$64,MATCH($A29,Вводные!$A$13:$A$64,0),MATCH(FK$3,Вводные!$D$11:$F$11,0))*(1+IF(FK$4=$A29,Вводные!$D$5*INDEX(Вводные!$G$13:$G$64,MATCH($A29,Вводные!$A$13:$A$64,0)),0))</f>
        <v>8000</v>
      </c>
      <c r="FL29" s="14" t="n">
        <f aca="false">INDEX(Вводные!$D$13:$F$64,MATCH($A29,Вводные!$A$13:$A$64,0),MATCH(FL$3,Вводные!$D$11:$F$11,0))*(1+IF(FL$4=$A29,Вводные!$D$5*INDEX(Вводные!$G$13:$G$64,MATCH($A29,Вводные!$A$13:$A$64,0)),0))</f>
        <v>8000</v>
      </c>
      <c r="FM29" s="14" t="n">
        <f aca="false">INDEX(Вводные!$D$13:$F$64,MATCH($A29,Вводные!$A$13:$A$64,0),MATCH(FM$3,Вводные!$D$11:$F$11,0))*(1+IF(FM$4=$A29,Вводные!$D$5*INDEX(Вводные!$G$13:$G$64,MATCH($A29,Вводные!$A$13:$A$64,0)),0))</f>
        <v>8000</v>
      </c>
      <c r="FN29" s="14" t="n">
        <f aca="false">INDEX(Вводные!$D$13:$F$64,MATCH($A29,Вводные!$A$13:$A$64,0),MATCH(FN$3,Вводные!$D$11:$F$11,0))*(1+IF(FN$4=$A29,Вводные!$D$5*INDEX(Вводные!$G$13:$G$64,MATCH($A29,Вводные!$A$13:$A$64,0)),0))</f>
        <v>8000</v>
      </c>
      <c r="FO29" s="14" t="n">
        <f aca="false">INDEX(Вводные!$D$13:$F$64,MATCH($A29,Вводные!$A$13:$A$64,0),MATCH(FO$3,Вводные!$D$11:$F$11,0))*(1+IF(FO$4=$A29,Вводные!$D$5*INDEX(Вводные!$G$13:$G$64,MATCH($A29,Вводные!$A$13:$A$64,0)),0))</f>
        <v>8000</v>
      </c>
      <c r="FP29" s="14" t="n">
        <f aca="false">INDEX(Вводные!$D$13:$F$64,MATCH($A29,Вводные!$A$13:$A$64,0),MATCH(FP$3,Вводные!$D$11:$F$11,0))*(1+IF(FP$4=$A29,Вводные!$D$5*INDEX(Вводные!$G$13:$G$64,MATCH($A29,Вводные!$A$13:$A$64,0)),0))</f>
        <v>8000</v>
      </c>
      <c r="FQ29" s="14" t="n">
        <f aca="false">INDEX(Вводные!$D$13:$F$64,MATCH($A29,Вводные!$A$13:$A$64,0),MATCH(FQ$3,Вводные!$D$11:$F$11,0))*(1+IF(FQ$4=$A29,Вводные!$D$5*INDEX(Вводные!$G$13:$G$64,MATCH($A29,Вводные!$A$13:$A$64,0)),0))</f>
        <v>8000</v>
      </c>
      <c r="FR29" s="14" t="n">
        <f aca="false">INDEX(Вводные!$D$13:$F$64,MATCH($A29,Вводные!$A$13:$A$64,0),MATCH(FR$3,Вводные!$D$11:$F$11,0))*(1+IF(FR$4=$A29,Вводные!$D$5*INDEX(Вводные!$G$13:$G$64,MATCH($A29,Вводные!$A$13:$A$64,0)),0))</f>
        <v>8000</v>
      </c>
      <c r="FS29" s="14" t="n">
        <f aca="false">INDEX(Вводные!$D$13:$F$64,MATCH($A29,Вводные!$A$13:$A$64,0),MATCH(FS$3,Вводные!$D$11:$F$11,0))*(1+IF(FS$4=$A29,Вводные!$D$5*INDEX(Вводные!$G$13:$G$64,MATCH($A29,Вводные!$A$13:$A$64,0)),0))</f>
        <v>8000</v>
      </c>
      <c r="FT29" s="14" t="n">
        <f aca="false">INDEX(Вводные!$D$13:$F$64,MATCH($A29,Вводные!$A$13:$A$64,0),MATCH(FT$3,Вводные!$D$11:$F$11,0))*(1+IF(FT$4=$A29,Вводные!$D$5*INDEX(Вводные!$G$13:$G$64,MATCH($A29,Вводные!$A$13:$A$64,0)),0))</f>
        <v>8000</v>
      </c>
      <c r="FU29" s="14" t="n">
        <f aca="false">INDEX(Вводные!$D$13:$F$64,MATCH($A29,Вводные!$A$13:$A$64,0),MATCH(FU$3,Вводные!$D$11:$F$11,0))*(1+IF(FU$4=$A29,Вводные!$D$5*INDEX(Вводные!$G$13:$G$64,MATCH($A29,Вводные!$A$13:$A$64,0)),0))</f>
        <v>8000</v>
      </c>
      <c r="FV29" s="14" t="n">
        <f aca="false">INDEX(Вводные!$D$13:$F$64,MATCH($A29,Вводные!$A$13:$A$64,0),MATCH(FV$3,Вводные!$D$11:$F$11,0))*(1+IF(FV$4=$A29,Вводные!$D$5*INDEX(Вводные!$G$13:$G$64,MATCH($A29,Вводные!$A$13:$A$64,0)),0))</f>
        <v>150000</v>
      </c>
      <c r="FW29" s="14" t="n">
        <f aca="false">INDEX(Вводные!$D$13:$F$64,MATCH($A29,Вводные!$A$13:$A$64,0),MATCH(FW$3,Вводные!$D$11:$F$11,0))*(1+IF(FW$4=$A29,Вводные!$D$5*INDEX(Вводные!$G$13:$G$64,MATCH($A29,Вводные!$A$13:$A$64,0)),0))</f>
        <v>150000</v>
      </c>
      <c r="FX29" s="14" t="n">
        <f aca="false">INDEX(Вводные!$D$13:$F$64,MATCH($A29,Вводные!$A$13:$A$64,0),MATCH(FX$3,Вводные!$D$11:$F$11,0))*(1+IF(FX$4=$A29,Вводные!$D$5*INDEX(Вводные!$G$13:$G$64,MATCH($A29,Вводные!$A$13:$A$64,0)),0))</f>
        <v>150000</v>
      </c>
      <c r="FY29" s="14" t="n">
        <f aca="false">INDEX(Вводные!$D$13:$F$64,MATCH($A29,Вводные!$A$13:$A$64,0),MATCH(FY$3,Вводные!$D$11:$F$11,0))*(1+IF(FY$4=$A29,Вводные!$D$5*INDEX(Вводные!$G$13:$G$64,MATCH($A29,Вводные!$A$13:$A$64,0)),0))</f>
        <v>150000</v>
      </c>
      <c r="FZ29" s="14" t="n">
        <f aca="false">INDEX(Вводные!$D$13:$F$64,MATCH($A29,Вводные!$A$13:$A$64,0),MATCH(FZ$3,Вводные!$D$11:$F$11,0))*(1+IF(FZ$4=$A29,Вводные!$D$5*INDEX(Вводные!$G$13:$G$64,MATCH($A29,Вводные!$A$13:$A$64,0)),0))</f>
        <v>150000</v>
      </c>
      <c r="GA29" s="14" t="n">
        <f aca="false">INDEX(Вводные!$D$13:$F$64,MATCH($A29,Вводные!$A$13:$A$64,0),MATCH(GA$3,Вводные!$D$11:$F$11,0))*(1+IF(GA$4=$A29,Вводные!$D$5*INDEX(Вводные!$G$13:$G$64,MATCH($A29,Вводные!$A$13:$A$64,0)),0))</f>
        <v>150000</v>
      </c>
      <c r="GB29" s="14" t="n">
        <f aca="false">INDEX(Вводные!$D$13:$F$64,MATCH($A29,Вводные!$A$13:$A$64,0),MATCH(GB$3,Вводные!$D$11:$F$11,0))*(1+IF(GB$4=$A29,Вводные!$D$5*INDEX(Вводные!$G$13:$G$64,MATCH($A29,Вводные!$A$13:$A$64,0)),0))</f>
        <v>150000</v>
      </c>
      <c r="GC29" s="14" t="n">
        <f aca="false">INDEX(Вводные!$D$13:$F$64,MATCH($A29,Вводные!$A$13:$A$64,0),MATCH(GC$3,Вводные!$D$11:$F$11,0))*(1+IF(GC$4=$A29,Вводные!$D$5*INDEX(Вводные!$G$13:$G$64,MATCH($A29,Вводные!$A$13:$A$64,0)),0))</f>
        <v>150000</v>
      </c>
      <c r="GD29" s="14" t="n">
        <f aca="false">INDEX(Вводные!$D$13:$F$64,MATCH($A29,Вводные!$A$13:$A$64,0),MATCH(GD$3,Вводные!$D$11:$F$11,0))*(1+IF(GD$4=$A29,Вводные!$D$5*INDEX(Вводные!$G$13:$G$64,MATCH($A29,Вводные!$A$13:$A$64,0)),0))</f>
        <v>150000</v>
      </c>
      <c r="GE29" s="14" t="n">
        <f aca="false">INDEX(Вводные!$D$13:$F$64,MATCH($A29,Вводные!$A$13:$A$64,0),MATCH(GE$3,Вводные!$D$11:$F$11,0))*(1+IF(GE$4=$A29,Вводные!$D$5*INDEX(Вводные!$G$13:$G$64,MATCH($A29,Вводные!$A$13:$A$64,0)),0))</f>
        <v>150000</v>
      </c>
      <c r="GF29" s="14" t="n">
        <f aca="false">INDEX(Вводные!$D$13:$F$64,MATCH($A29,Вводные!$A$13:$A$64,0),MATCH(GF$3,Вводные!$D$11:$F$11,0))*(1+IF(GF$4=$A29,Вводные!$D$5*INDEX(Вводные!$G$13:$G$64,MATCH($A29,Вводные!$A$13:$A$64,0)),0))</f>
        <v>150000</v>
      </c>
      <c r="GG29" s="14" t="n">
        <f aca="false">INDEX(Вводные!$D$13:$F$64,MATCH($A29,Вводные!$A$13:$A$64,0),MATCH(GG$3,Вводные!$D$11:$F$11,0))*(1+IF(GG$4=$A29,Вводные!$D$5*INDEX(Вводные!$G$13:$G$64,MATCH($A29,Вводные!$A$13:$A$64,0)),0))</f>
        <v>150000</v>
      </c>
      <c r="GH29" s="14" t="n">
        <f aca="false">INDEX(Вводные!$D$13:$F$64,MATCH($A29,Вводные!$A$13:$A$64,0),MATCH(GH$3,Вводные!$D$11:$F$11,0))*(1+IF(GH$4=$A29,Вводные!$D$5*INDEX(Вводные!$G$13:$G$64,MATCH($A29,Вводные!$A$13:$A$64,0)),0))</f>
        <v>150000</v>
      </c>
      <c r="GI29" s="14" t="n">
        <f aca="false">INDEX(Вводные!$D$13:$F$64,MATCH($A29,Вводные!$A$13:$A$64,0),MATCH(GI$3,Вводные!$D$11:$F$11,0))*(1+IF(GI$4=$A29,Вводные!$D$5*INDEX(Вводные!$G$13:$G$64,MATCH($A29,Вводные!$A$13:$A$64,0)),0))</f>
        <v>150000</v>
      </c>
      <c r="GJ29" s="14" t="n">
        <f aca="false">INDEX(Вводные!$D$13:$F$64,MATCH($A29,Вводные!$A$13:$A$64,0),MATCH(GJ$3,Вводные!$D$11:$F$11,0))*(1+IF(GJ$4=$A29,Вводные!$D$5*INDEX(Вводные!$G$13:$G$64,MATCH($A29,Вводные!$A$13:$A$64,0)),0))</f>
        <v>150000</v>
      </c>
      <c r="GK29" s="14" t="n">
        <f aca="false">INDEX(Вводные!$D$13:$F$64,MATCH($A29,Вводные!$A$13:$A$64,0),MATCH(GK$3,Вводные!$D$11:$F$11,0))*(1+IF(GK$4=$A29,Вводные!$D$5*INDEX(Вводные!$G$13:$G$64,MATCH($A29,Вводные!$A$13:$A$64,0)),0))</f>
        <v>151500</v>
      </c>
      <c r="GL29" s="14" t="n">
        <f aca="false">INDEX(Вводные!$D$13:$F$64,MATCH($A29,Вводные!$A$13:$A$64,0),MATCH(GL$3,Вводные!$D$11:$F$11,0))*(1+IF(GL$4=$A29,Вводные!$D$5*INDEX(Вводные!$G$13:$G$64,MATCH($A29,Вводные!$A$13:$A$64,0)),0))</f>
        <v>150000</v>
      </c>
      <c r="GM29" s="14" t="n">
        <f aca="false">INDEX(Вводные!$D$13:$F$64,MATCH($A29,Вводные!$A$13:$A$64,0),MATCH(GM$3,Вводные!$D$11:$F$11,0))*(1+IF(GM$4=$A29,Вводные!$D$5*INDEX(Вводные!$G$13:$G$64,MATCH($A29,Вводные!$A$13:$A$64,0)),0))</f>
        <v>150000</v>
      </c>
      <c r="GN29" s="14" t="n">
        <f aca="false">INDEX(Вводные!$D$13:$F$64,MATCH($A29,Вводные!$A$13:$A$64,0),MATCH(GN$3,Вводные!$D$11:$F$11,0))*(1+IF(GN$4=$A29,Вводные!$D$5*INDEX(Вводные!$G$13:$G$64,MATCH($A29,Вводные!$A$13:$A$64,0)),0))</f>
        <v>150000</v>
      </c>
      <c r="GO29" s="14" t="n">
        <f aca="false">INDEX(Вводные!$D$13:$F$64,MATCH($A29,Вводные!$A$13:$A$64,0),MATCH(GO$3,Вводные!$D$11:$F$11,0))*(1+IF(GO$4=$A29,Вводные!$D$5*INDEX(Вводные!$G$13:$G$64,MATCH($A29,Вводные!$A$13:$A$64,0)),0))</f>
        <v>150000</v>
      </c>
      <c r="GP29" s="14" t="n">
        <f aca="false">INDEX(Вводные!$D$13:$F$64,MATCH($A29,Вводные!$A$13:$A$64,0),MATCH(GP$3,Вводные!$D$11:$F$11,0))*(1+IF(GP$4=$A29,Вводные!$D$5*INDEX(Вводные!$G$13:$G$64,MATCH($A29,Вводные!$A$13:$A$64,0)),0))</f>
        <v>150000</v>
      </c>
      <c r="GQ29" s="14" t="n">
        <f aca="false">INDEX(Вводные!$D$13:$F$64,MATCH($A29,Вводные!$A$13:$A$64,0),MATCH(GQ$3,Вводные!$D$11:$F$11,0))*(1+IF(GQ$4=$A29,Вводные!$D$5*INDEX(Вводные!$G$13:$G$64,MATCH($A29,Вводные!$A$13:$A$64,0)),0))</f>
        <v>150000</v>
      </c>
      <c r="GR29" s="14" t="n">
        <f aca="false">INDEX(Вводные!$D$13:$F$64,MATCH($A29,Вводные!$A$13:$A$64,0),MATCH(GR$3,Вводные!$D$11:$F$11,0))*(1+IF(GR$4=$A29,Вводные!$D$5*INDEX(Вводные!$G$13:$G$64,MATCH($A29,Вводные!$A$13:$A$64,0)),0))</f>
        <v>150000</v>
      </c>
      <c r="GS29" s="14" t="n">
        <f aca="false">INDEX(Вводные!$D$13:$F$64,MATCH($A29,Вводные!$A$13:$A$64,0),MATCH(GS$3,Вводные!$D$11:$F$11,0))*(1+IF(GS$4=$A29,Вводные!$D$5*INDEX(Вводные!$G$13:$G$64,MATCH($A29,Вводные!$A$13:$A$64,0)),0))</f>
        <v>150000</v>
      </c>
      <c r="GT29" s="14" t="n">
        <f aca="false">INDEX(Вводные!$D$13:$F$64,MATCH($A29,Вводные!$A$13:$A$64,0),MATCH(GT$3,Вводные!$D$11:$F$11,0))*(1+IF(GT$4=$A29,Вводные!$D$5*INDEX(Вводные!$G$13:$G$64,MATCH($A29,Вводные!$A$13:$A$64,0)),0))</f>
        <v>150000</v>
      </c>
      <c r="GU29" s="14" t="n">
        <f aca="false">INDEX(Вводные!$D$13:$F$64,MATCH($A29,Вводные!$A$13:$A$64,0),MATCH(GU$3,Вводные!$D$11:$F$11,0))*(1+IF(GU$4=$A29,Вводные!$D$5*INDEX(Вводные!$G$13:$G$64,MATCH($A29,Вводные!$A$13:$A$64,0)),0))</f>
        <v>150000</v>
      </c>
      <c r="GV29" s="14" t="n">
        <f aca="false">INDEX(Вводные!$D$13:$F$64,MATCH($A29,Вводные!$A$13:$A$64,0),MATCH(GV$3,Вводные!$D$11:$F$11,0))*(1+IF(GV$4=$A29,Вводные!$D$5*INDEX(Вводные!$G$13:$G$64,MATCH($A29,Вводные!$A$13:$A$64,0)),0))</f>
        <v>150000</v>
      </c>
      <c r="GW29" s="14" t="n">
        <f aca="false">INDEX(Вводные!$D$13:$F$64,MATCH($A29,Вводные!$A$13:$A$64,0),MATCH(GW$3,Вводные!$D$11:$F$11,0))*(1+IF(GW$4=$A29,Вводные!$D$5*INDEX(Вводные!$G$13:$G$64,MATCH($A29,Вводные!$A$13:$A$64,0)),0))</f>
        <v>150000</v>
      </c>
      <c r="GX29" s="14" t="n">
        <f aca="false">INDEX(Вводные!$D$13:$F$64,MATCH($A29,Вводные!$A$13:$A$64,0),MATCH(GX$3,Вводные!$D$11:$F$11,0))*(1+IF(GX$4=$A29,Вводные!$D$5*INDEX(Вводные!$G$13:$G$64,MATCH($A29,Вводные!$A$13:$A$64,0)),0))</f>
        <v>150000</v>
      </c>
      <c r="GY29" s="14" t="n">
        <f aca="false">INDEX(Вводные!$D$13:$F$64,MATCH($A29,Вводные!$A$13:$A$64,0),MATCH(GY$3,Вводные!$D$11:$F$11,0))*(1+IF(GY$4=$A29,Вводные!$D$5*INDEX(Вводные!$G$13:$G$64,MATCH($A29,Вводные!$A$13:$A$64,0)),0))</f>
        <v>150000</v>
      </c>
      <c r="GZ29" s="14" t="n">
        <f aca="false">INDEX(Вводные!$D$13:$F$64,MATCH($A29,Вводные!$A$13:$A$64,0),MATCH(GZ$3,Вводные!$D$11:$F$11,0))*(1+IF(GZ$4=$A29,Вводные!$D$5*INDEX(Вводные!$G$13:$G$64,MATCH($A29,Вводные!$A$13:$A$64,0)),0))</f>
        <v>150000</v>
      </c>
      <c r="HA29" s="14" t="n">
        <f aca="false">INDEX(Вводные!$D$13:$F$64,MATCH($A29,Вводные!$A$13:$A$64,0),MATCH(HA$3,Вводные!$D$11:$F$11,0))*(1+IF(HA$4=$A29,Вводные!$D$5*INDEX(Вводные!$G$13:$G$64,MATCH($A29,Вводные!$A$13:$A$64,0)),0))</f>
        <v>150000</v>
      </c>
      <c r="HB29" s="14" t="n">
        <f aca="false">INDEX(Вводные!$D$13:$F$64,MATCH($A29,Вводные!$A$13:$A$64,0),MATCH(HB$3,Вводные!$D$11:$F$11,0))*(1+IF(HB$4=$A29,Вводные!$D$5*INDEX(Вводные!$G$13:$G$64,MATCH($A29,Вводные!$A$13:$A$64,0)),0))</f>
        <v>150000</v>
      </c>
      <c r="HC29" s="14" t="n">
        <f aca="false">INDEX(Вводные!$D$13:$F$64,MATCH($A29,Вводные!$A$13:$A$64,0),MATCH(HC$3,Вводные!$D$11:$F$11,0))*(1+IF(HC$4=$A29,Вводные!$D$5*INDEX(Вводные!$G$13:$G$64,MATCH($A29,Вводные!$A$13:$A$64,0)),0))</f>
        <v>150000</v>
      </c>
      <c r="HD29" s="14" t="n">
        <f aca="false">INDEX(Вводные!$D$13:$F$64,MATCH($A29,Вводные!$A$13:$A$64,0),MATCH(HD$3,Вводные!$D$11:$F$11,0))*(1+IF(HD$4=$A29,Вводные!$D$5*INDEX(Вводные!$G$13:$G$64,MATCH($A29,Вводные!$A$13:$A$64,0)),0))</f>
        <v>150000</v>
      </c>
      <c r="HE29" s="14" t="n">
        <f aca="false">INDEX(Вводные!$D$13:$F$64,MATCH($A29,Вводные!$A$13:$A$64,0),MATCH(HE$3,Вводные!$D$11:$F$11,0))*(1+IF(HE$4=$A29,Вводные!$D$5*INDEX(Вводные!$G$13:$G$64,MATCH($A29,Вводные!$A$13:$A$64,0)),0))</f>
        <v>150000</v>
      </c>
      <c r="HF29" s="14" t="n">
        <f aca="false">INDEX(Вводные!$D$13:$F$64,MATCH($A29,Вводные!$A$13:$A$64,0),MATCH(HF$3,Вводные!$D$11:$F$11,0))*(1+IF(HF$4=$A29,Вводные!$D$5*INDEX(Вводные!$G$13:$G$64,MATCH($A29,Вводные!$A$13:$A$64,0)),0))</f>
        <v>150000</v>
      </c>
      <c r="HG29" s="14" t="n">
        <f aca="false">INDEX(Вводные!$D$13:$F$64,MATCH($A29,Вводные!$A$13:$A$64,0),MATCH(HG$3,Вводные!$D$11:$F$11,0))*(1+IF(HG$4=$A29,Вводные!$D$5*INDEX(Вводные!$G$13:$G$64,MATCH($A29,Вводные!$A$13:$A$64,0)),0))</f>
        <v>150000</v>
      </c>
      <c r="HH29" s="14" t="n">
        <f aca="false">INDEX(Вводные!$D$13:$F$64,MATCH($A29,Вводные!$A$13:$A$64,0),MATCH(HH$3,Вводные!$D$11:$F$11,0))*(1+IF(HH$4=$A29,Вводные!$D$5*INDEX(Вводные!$G$13:$G$64,MATCH($A29,Вводные!$A$13:$A$64,0)),0))</f>
        <v>150000</v>
      </c>
      <c r="HI29" s="14" t="n">
        <f aca="false">INDEX(Вводные!$D$13:$F$64,MATCH($A29,Вводные!$A$13:$A$64,0),MATCH(HI$3,Вводные!$D$11:$F$11,0))*(1+IF(HI$4=$A29,Вводные!$D$5*INDEX(Вводные!$G$13:$G$64,MATCH($A29,Вводные!$A$13:$A$64,0)),0))</f>
        <v>150000</v>
      </c>
      <c r="HJ29" s="14" t="n">
        <f aca="false">INDEX(Вводные!$D$13:$F$64,MATCH($A29,Вводные!$A$13:$A$64,0),MATCH(HJ$3,Вводные!$D$11:$F$11,0))*(1+IF(HJ$4=$A29,Вводные!$D$5*INDEX(Вводные!$G$13:$G$64,MATCH($A29,Вводные!$A$13:$A$64,0)),0))</f>
        <v>150000</v>
      </c>
      <c r="HK29" s="14" t="n">
        <f aca="false">INDEX(Вводные!$D$13:$F$64,MATCH($A29,Вводные!$A$13:$A$64,0),MATCH(HK$3,Вводные!$D$11:$F$11,0))*(1+IF(HK$4=$A29,Вводные!$D$5*INDEX(Вводные!$G$13:$G$64,MATCH($A29,Вводные!$A$13:$A$64,0)),0))</f>
        <v>150000</v>
      </c>
      <c r="HL29" s="14" t="n">
        <f aca="false">INDEX(Вводные!$D$13:$F$64,MATCH($A29,Вводные!$A$13:$A$64,0),MATCH(HL$3,Вводные!$D$11:$F$11,0))*(1+IF(HL$4=$A29,Вводные!$D$5*INDEX(Вводные!$G$13:$G$64,MATCH($A29,Вводные!$A$13:$A$64,0)),0))</f>
        <v>5000000</v>
      </c>
      <c r="HM29" s="14" t="n">
        <f aca="false">INDEX(Вводные!$D$13:$F$64,MATCH($A29,Вводные!$A$13:$A$64,0),MATCH(HM$3,Вводные!$D$11:$F$11,0))*(1+IF(HM$4=$A29,Вводные!$D$5*INDEX(Вводные!$G$13:$G$64,MATCH($A29,Вводные!$A$13:$A$64,0)),0))</f>
        <v>5000000</v>
      </c>
      <c r="HN29" s="14" t="n">
        <f aca="false">INDEX(Вводные!$D$13:$F$64,MATCH($A29,Вводные!$A$13:$A$64,0),MATCH(HN$3,Вводные!$D$11:$F$11,0))*(1+IF(HN$4=$A29,Вводные!$D$5*INDEX(Вводные!$G$13:$G$64,MATCH($A29,Вводные!$A$13:$A$64,0)),0))</f>
        <v>5000000</v>
      </c>
      <c r="HO29" s="14" t="n">
        <f aca="false">INDEX(Вводные!$D$13:$F$64,MATCH($A29,Вводные!$A$13:$A$64,0),MATCH(HO$3,Вводные!$D$11:$F$11,0))*(1+IF(HO$4=$A29,Вводные!$D$5*INDEX(Вводные!$G$13:$G$64,MATCH($A29,Вводные!$A$13:$A$64,0)),0))</f>
        <v>5000000</v>
      </c>
      <c r="HP29" s="14" t="n">
        <f aca="false">INDEX(Вводные!$D$13:$F$64,MATCH($A29,Вводные!$A$13:$A$64,0),MATCH(HP$3,Вводные!$D$11:$F$11,0))*(1+IF(HP$4=$A29,Вводные!$D$5*INDEX(Вводные!$G$13:$G$64,MATCH($A29,Вводные!$A$13:$A$64,0)),0))</f>
        <v>5000000</v>
      </c>
      <c r="HQ29" s="14" t="n">
        <f aca="false">INDEX(Вводные!$D$13:$F$64,MATCH($A29,Вводные!$A$13:$A$64,0),MATCH(HQ$3,Вводные!$D$11:$F$11,0))*(1+IF(HQ$4=$A29,Вводные!$D$5*INDEX(Вводные!$G$13:$G$64,MATCH($A29,Вводные!$A$13:$A$64,0)),0))</f>
        <v>5000000</v>
      </c>
      <c r="HR29" s="14" t="n">
        <f aca="false">INDEX(Вводные!$D$13:$F$64,MATCH($A29,Вводные!$A$13:$A$64,0),MATCH(HR$3,Вводные!$D$11:$F$11,0))*(1+IF(HR$4=$A29,Вводные!$D$5*INDEX(Вводные!$G$13:$G$64,MATCH($A29,Вводные!$A$13:$A$64,0)),0))</f>
        <v>5000000</v>
      </c>
      <c r="HS29" s="14" t="n">
        <f aca="false">INDEX(Вводные!$D$13:$F$64,MATCH($A29,Вводные!$A$13:$A$64,0),MATCH(HS$3,Вводные!$D$11:$F$11,0))*(1+IF(HS$4=$A29,Вводные!$D$5*INDEX(Вводные!$G$13:$G$64,MATCH($A29,Вводные!$A$13:$A$64,0)),0))</f>
        <v>5000000</v>
      </c>
      <c r="HT29" s="14" t="n">
        <f aca="false">INDEX(Вводные!$D$13:$F$64,MATCH($A29,Вводные!$A$13:$A$64,0),MATCH(HT$3,Вводные!$D$11:$F$11,0))*(1+IF(HT$4=$A29,Вводные!$D$5*INDEX(Вводные!$G$13:$G$64,MATCH($A29,Вводные!$A$13:$A$64,0)),0))</f>
        <v>5000000</v>
      </c>
      <c r="HU29" s="14" t="n">
        <f aca="false">INDEX(Вводные!$D$13:$F$64,MATCH($A29,Вводные!$A$13:$A$64,0),MATCH(HU$3,Вводные!$D$11:$F$11,0))*(1+IF(HU$4=$A29,Вводные!$D$5*INDEX(Вводные!$G$13:$G$64,MATCH($A29,Вводные!$A$13:$A$64,0)),0))</f>
        <v>5000000</v>
      </c>
      <c r="HV29" s="14" t="n">
        <f aca="false">INDEX(Вводные!$D$13:$F$64,MATCH($A29,Вводные!$A$13:$A$64,0),MATCH(HV$3,Вводные!$D$11:$F$11,0))*(1+IF(HV$4=$A29,Вводные!$D$5*INDEX(Вводные!$G$13:$G$64,MATCH($A29,Вводные!$A$13:$A$64,0)),0))</f>
        <v>5000000</v>
      </c>
      <c r="HW29" s="14" t="n">
        <f aca="false">INDEX(Вводные!$D$13:$F$64,MATCH($A29,Вводные!$A$13:$A$64,0),MATCH(HW$3,Вводные!$D$11:$F$11,0))*(1+IF(HW$4=$A29,Вводные!$D$5*INDEX(Вводные!$G$13:$G$64,MATCH($A29,Вводные!$A$13:$A$64,0)),0))</f>
        <v>5000000</v>
      </c>
      <c r="HX29" s="14" t="n">
        <f aca="false">INDEX(Вводные!$D$13:$F$64,MATCH($A29,Вводные!$A$13:$A$64,0),MATCH(HX$3,Вводные!$D$11:$F$11,0))*(1+IF(HX$4=$A29,Вводные!$D$5*INDEX(Вводные!$G$13:$G$64,MATCH($A29,Вводные!$A$13:$A$64,0)),0))</f>
        <v>5000000</v>
      </c>
      <c r="HY29" s="14" t="n">
        <f aca="false">INDEX(Вводные!$D$13:$F$64,MATCH($A29,Вводные!$A$13:$A$64,0),MATCH(HY$3,Вводные!$D$11:$F$11,0))*(1+IF(HY$4=$A29,Вводные!$D$5*INDEX(Вводные!$G$13:$G$64,MATCH($A29,Вводные!$A$13:$A$64,0)),0))</f>
        <v>5000000</v>
      </c>
      <c r="HZ29" s="14" t="n">
        <f aca="false">INDEX(Вводные!$D$13:$F$64,MATCH($A29,Вводные!$A$13:$A$64,0),MATCH(HZ$3,Вводные!$D$11:$F$11,0))*(1+IF(HZ$4=$A29,Вводные!$D$5*INDEX(Вводные!$G$13:$G$64,MATCH($A29,Вводные!$A$13:$A$64,0)),0))</f>
        <v>5000000</v>
      </c>
      <c r="IA29" s="14" t="n">
        <f aca="false">INDEX(Вводные!$D$13:$F$64,MATCH($A29,Вводные!$A$13:$A$64,0),MATCH(IA$3,Вводные!$D$11:$F$11,0))*(1+IF(IA$4=$A29,Вводные!$D$5*INDEX(Вводные!$G$13:$G$64,MATCH($A29,Вводные!$A$13:$A$64,0)),0))</f>
        <v>5050000</v>
      </c>
      <c r="IB29" s="14" t="n">
        <f aca="false">INDEX(Вводные!$D$13:$F$64,MATCH($A29,Вводные!$A$13:$A$64,0),MATCH(IB$3,Вводные!$D$11:$F$11,0))*(1+IF(IB$4=$A29,Вводные!$D$5*INDEX(Вводные!$G$13:$G$64,MATCH($A29,Вводные!$A$13:$A$64,0)),0))</f>
        <v>5000000</v>
      </c>
      <c r="IC29" s="14" t="n">
        <f aca="false">INDEX(Вводные!$D$13:$F$64,MATCH($A29,Вводные!$A$13:$A$64,0),MATCH(IC$3,Вводные!$D$11:$F$11,0))*(1+IF(IC$4=$A29,Вводные!$D$5*INDEX(Вводные!$G$13:$G$64,MATCH($A29,Вводные!$A$13:$A$64,0)),0))</f>
        <v>5000000</v>
      </c>
      <c r="ID29" s="14" t="n">
        <f aca="false">INDEX(Вводные!$D$13:$F$64,MATCH($A29,Вводные!$A$13:$A$64,0),MATCH(ID$3,Вводные!$D$11:$F$11,0))*(1+IF(ID$4=$A29,Вводные!$D$5*INDEX(Вводные!$G$13:$G$64,MATCH($A29,Вводные!$A$13:$A$64,0)),0))</f>
        <v>5000000</v>
      </c>
      <c r="IE29" s="14" t="n">
        <f aca="false">INDEX(Вводные!$D$13:$F$64,MATCH($A29,Вводные!$A$13:$A$64,0),MATCH(IE$3,Вводные!$D$11:$F$11,0))*(1+IF(IE$4=$A29,Вводные!$D$5*INDEX(Вводные!$G$13:$G$64,MATCH($A29,Вводные!$A$13:$A$64,0)),0))</f>
        <v>5000000</v>
      </c>
      <c r="IF29" s="14" t="n">
        <f aca="false">INDEX(Вводные!$D$13:$F$64,MATCH($A29,Вводные!$A$13:$A$64,0),MATCH(IF$3,Вводные!$D$11:$F$11,0))*(1+IF(IF$4=$A29,Вводные!$D$5*INDEX(Вводные!$G$13:$G$64,MATCH($A29,Вводные!$A$13:$A$64,0)),0))</f>
        <v>5000000</v>
      </c>
      <c r="IG29" s="14" t="n">
        <f aca="false">INDEX(Вводные!$D$13:$F$64,MATCH($A29,Вводные!$A$13:$A$64,0),MATCH(IG$3,Вводные!$D$11:$F$11,0))*(1+IF(IG$4=$A29,Вводные!$D$5*INDEX(Вводные!$G$13:$G$64,MATCH($A29,Вводные!$A$13:$A$64,0)),0))</f>
        <v>5000000</v>
      </c>
      <c r="IH29" s="14" t="n">
        <f aca="false">INDEX(Вводные!$D$13:$F$64,MATCH($A29,Вводные!$A$13:$A$64,0),MATCH(IH$3,Вводные!$D$11:$F$11,0))*(1+IF(IH$4=$A29,Вводные!$D$5*INDEX(Вводные!$G$13:$G$64,MATCH($A29,Вводные!$A$13:$A$64,0)),0))</f>
        <v>5000000</v>
      </c>
      <c r="II29" s="14" t="n">
        <f aca="false">INDEX(Вводные!$D$13:$F$64,MATCH($A29,Вводные!$A$13:$A$64,0),MATCH(II$3,Вводные!$D$11:$F$11,0))*(1+IF(II$4=$A29,Вводные!$D$5*INDEX(Вводные!$G$13:$G$64,MATCH($A29,Вводные!$A$13:$A$64,0)),0))</f>
        <v>5000000</v>
      </c>
      <c r="IJ29" s="14" t="n">
        <f aca="false">INDEX(Вводные!$D$13:$F$64,MATCH($A29,Вводные!$A$13:$A$64,0),MATCH(IJ$3,Вводные!$D$11:$F$11,0))*(1+IF(IJ$4=$A29,Вводные!$D$5*INDEX(Вводные!$G$13:$G$64,MATCH($A29,Вводные!$A$13:$A$64,0)),0))</f>
        <v>5000000</v>
      </c>
      <c r="IK29" s="14" t="n">
        <f aca="false">INDEX(Вводные!$D$13:$F$64,MATCH($A29,Вводные!$A$13:$A$64,0),MATCH(IK$3,Вводные!$D$11:$F$11,0))*(1+IF(IK$4=$A29,Вводные!$D$5*INDEX(Вводные!$G$13:$G$64,MATCH($A29,Вводные!$A$13:$A$64,0)),0))</f>
        <v>5000000</v>
      </c>
      <c r="IL29" s="14" t="n">
        <f aca="false">INDEX(Вводные!$D$13:$F$64,MATCH($A29,Вводные!$A$13:$A$64,0),MATCH(IL$3,Вводные!$D$11:$F$11,0))*(1+IF(IL$4=$A29,Вводные!$D$5*INDEX(Вводные!$G$13:$G$64,MATCH($A29,Вводные!$A$13:$A$64,0)),0))</f>
        <v>5000000</v>
      </c>
      <c r="IM29" s="14" t="n">
        <f aca="false">INDEX(Вводные!$D$13:$F$64,MATCH($A29,Вводные!$A$13:$A$64,0),MATCH(IM$3,Вводные!$D$11:$F$11,0))*(1+IF(IM$4=$A29,Вводные!$D$5*INDEX(Вводные!$G$13:$G$64,MATCH($A29,Вводные!$A$13:$A$64,0)),0))</f>
        <v>5000000</v>
      </c>
      <c r="IN29" s="14" t="n">
        <f aca="false">INDEX(Вводные!$D$13:$F$64,MATCH($A29,Вводные!$A$13:$A$64,0),MATCH(IN$3,Вводные!$D$11:$F$11,0))*(1+IF(IN$4=$A29,Вводные!$D$5*INDEX(Вводные!$G$13:$G$64,MATCH($A29,Вводные!$A$13:$A$64,0)),0))</f>
        <v>5000000</v>
      </c>
      <c r="IO29" s="14" t="n">
        <f aca="false">INDEX(Вводные!$D$13:$F$64,MATCH($A29,Вводные!$A$13:$A$64,0),MATCH(IO$3,Вводные!$D$11:$F$11,0))*(1+IF(IO$4=$A29,Вводные!$D$5*INDEX(Вводные!$G$13:$G$64,MATCH($A29,Вводные!$A$13:$A$64,0)),0))</f>
        <v>5000000</v>
      </c>
      <c r="IP29" s="14" t="n">
        <f aca="false">INDEX(Вводные!$D$13:$F$64,MATCH($A29,Вводные!$A$13:$A$64,0),MATCH(IP$3,Вводные!$D$11:$F$11,0))*(1+IF(IP$4=$A29,Вводные!$D$5*INDEX(Вводные!$G$13:$G$64,MATCH($A29,Вводные!$A$13:$A$64,0)),0))</f>
        <v>5000000</v>
      </c>
      <c r="IQ29" s="14" t="n">
        <f aca="false">INDEX(Вводные!$D$13:$F$64,MATCH($A29,Вводные!$A$13:$A$64,0),MATCH(IQ$3,Вводные!$D$11:$F$11,0))*(1+IF(IQ$4=$A29,Вводные!$D$5*INDEX(Вводные!$G$13:$G$64,MATCH($A29,Вводные!$A$13:$A$64,0)),0))</f>
        <v>5000000</v>
      </c>
      <c r="IR29" s="14" t="n">
        <f aca="false">INDEX(Вводные!$D$13:$F$64,MATCH($A29,Вводные!$A$13:$A$64,0),MATCH(IR$3,Вводные!$D$11:$F$11,0))*(1+IF(IR$4=$A29,Вводные!$D$5*INDEX(Вводные!$G$13:$G$64,MATCH($A29,Вводные!$A$13:$A$64,0)),0))</f>
        <v>5000000</v>
      </c>
      <c r="IS29" s="14" t="n">
        <f aca="false">INDEX(Вводные!$D$13:$F$64,MATCH($A29,Вводные!$A$13:$A$64,0),MATCH(IS$3,Вводные!$D$11:$F$11,0))*(1+IF(IS$4=$A29,Вводные!$D$5*INDEX(Вводные!$G$13:$G$64,MATCH($A29,Вводные!$A$13:$A$64,0)),0))</f>
        <v>5000000</v>
      </c>
      <c r="IT29" s="14" t="n">
        <f aca="false">INDEX(Вводные!$D$13:$F$64,MATCH($A29,Вводные!$A$13:$A$64,0),MATCH(IT$3,Вводные!$D$11:$F$11,0))*(1+IF(IT$4=$A29,Вводные!$D$5*INDEX(Вводные!$G$13:$G$64,MATCH($A29,Вводные!$A$13:$A$64,0)),0))</f>
        <v>5000000</v>
      </c>
      <c r="IU29" s="14" t="n">
        <f aca="false">INDEX(Вводные!$D$13:$F$64,MATCH($A29,Вводные!$A$13:$A$64,0),MATCH(IU$3,Вводные!$D$11:$F$11,0))*(1+IF(IU$4=$A29,Вводные!$D$5*INDEX(Вводные!$G$13:$G$64,MATCH($A29,Вводные!$A$13:$A$64,0)),0))</f>
        <v>5000000</v>
      </c>
      <c r="IV29" s="14" t="n">
        <f aca="false">INDEX(Вводные!$D$13:$F$64,MATCH($A29,Вводные!$A$13:$A$64,0),MATCH(IV$3,Вводные!$D$11:$F$11,0))*(1+IF(IV$4=$A29,Вводные!$D$5*INDEX(Вводные!$G$13:$G$64,MATCH($A29,Вводные!$A$13:$A$64,0)),0))</f>
        <v>5000000</v>
      </c>
      <c r="IW29" s="14" t="n">
        <f aca="false">INDEX(Вводные!$D$13:$F$64,MATCH($A29,Вводные!$A$13:$A$64,0),MATCH(IW$3,Вводные!$D$11:$F$11,0))*(1+IF(IW$4=$A29,Вводные!$D$5*INDEX(Вводные!$G$13:$G$64,MATCH($A29,Вводные!$A$13:$A$64,0)),0))</f>
        <v>5000000</v>
      </c>
      <c r="IX29" s="14" t="n">
        <f aca="false">INDEX(Вводные!$D$13:$F$64,MATCH($A29,Вводные!$A$13:$A$64,0),MATCH(IX$3,Вводные!$D$11:$F$11,0))*(1+IF(IX$4=$A29,Вводные!$D$5*INDEX(Вводные!$G$13:$G$64,MATCH($A29,Вводные!$A$13:$A$64,0)),0))</f>
        <v>5000000</v>
      </c>
      <c r="IY29" s="14" t="n">
        <f aca="false">INDEX(Вводные!$D$13:$F$64,MATCH($A29,Вводные!$A$13:$A$64,0),MATCH(IY$3,Вводные!$D$11:$F$11,0))*(1+IF(IY$4=$A29,Вводные!$D$5*INDEX(Вводные!$G$13:$G$64,MATCH($A29,Вводные!$A$13:$A$64,0)),0))</f>
        <v>5000000</v>
      </c>
      <c r="IZ29" s="14" t="n">
        <f aca="false">INDEX(Вводные!$D$13:$F$64,MATCH($A29,Вводные!$A$13:$A$64,0),MATCH(IZ$3,Вводные!$D$11:$F$11,0))*(1+IF(IZ$4=$A29,Вводные!$D$5*INDEX(Вводные!$G$13:$G$64,MATCH($A29,Вводные!$A$13:$A$64,0)),0))</f>
        <v>5000000</v>
      </c>
      <c r="JA29" s="14" t="n">
        <f aca="false">INDEX(Вводные!$D$13:$F$64,MATCH($A29,Вводные!$A$13:$A$64,0),MATCH(JA$3,Вводные!$D$11:$F$11,0))*(1+IF(JA$4=$A29,Вводные!$D$5*INDEX(Вводные!$G$13:$G$64,MATCH($A29,Вводные!$A$13:$A$64,0)),0))</f>
        <v>5000000</v>
      </c>
    </row>
    <row r="30" customFormat="false" ht="15" hidden="false" customHeight="false" outlineLevel="0" collapsed="false">
      <c r="A30" s="2" t="s">
        <v>144</v>
      </c>
      <c r="B30" s="13" t="s">
        <v>145</v>
      </c>
      <c r="C30" s="13" t="s">
        <v>179</v>
      </c>
      <c r="D30" s="9" t="s">
        <v>200</v>
      </c>
      <c r="E30" s="59" t="n">
        <f aca="false">E16*E28*E29</f>
        <v>202850000</v>
      </c>
      <c r="F30" s="59" t="n">
        <f aca="false">F16*F28*F29</f>
        <v>226650000</v>
      </c>
      <c r="G30" s="59" t="n">
        <f aca="false">G16*G28*G29</f>
        <v>402000000</v>
      </c>
      <c r="H30" s="59" t="n">
        <f aca="false">SUM(E30:G30)</f>
        <v>831500000</v>
      </c>
      <c r="J30" s="59" t="n">
        <f aca="false">J16*J28*J29</f>
        <v>202850000</v>
      </c>
      <c r="K30" s="59" t="n">
        <f aca="false">K16*K28*K29</f>
        <v>202998500</v>
      </c>
      <c r="L30" s="59" t="n">
        <f aca="false">L16*L28*L29</f>
        <v>202998500</v>
      </c>
      <c r="M30" s="59" t="n">
        <f aca="false">M16*M28*M29</f>
        <v>202998500</v>
      </c>
      <c r="N30" s="59" t="n">
        <f aca="false">N16*N28*N29</f>
        <v>202970000</v>
      </c>
      <c r="O30" s="59" t="n">
        <f aca="false">O16*O28*O29</f>
        <v>202850000</v>
      </c>
      <c r="P30" s="59" t="n">
        <f aca="false">P16*P28*P29</f>
        <v>202850000</v>
      </c>
      <c r="Q30" s="59" t="n">
        <f aca="false">Q16*Q28*Q29</f>
        <v>202850000</v>
      </c>
      <c r="R30" s="59" t="n">
        <f aca="false">R16*R28*R29</f>
        <v>202850000</v>
      </c>
      <c r="S30" s="59" t="n">
        <f aca="false">S16*S28*S29</f>
        <v>202850000</v>
      </c>
      <c r="T30" s="59" t="n">
        <f aca="false">T16*T28*T29</f>
        <v>202850000</v>
      </c>
      <c r="U30" s="59" t="n">
        <f aca="false">U16*U28*U29</f>
        <v>202850000</v>
      </c>
      <c r="V30" s="59" t="n">
        <f aca="false">V16*V28*V29</f>
        <v>202850000</v>
      </c>
      <c r="W30" s="59" t="n">
        <f aca="false">W16*W28*W29</f>
        <v>202850000</v>
      </c>
      <c r="X30" s="59" t="n">
        <f aca="false">X16*X28*X29</f>
        <v>204878500</v>
      </c>
      <c r="Y30" s="59" t="n">
        <f aca="false">Y16*Y28*Y29</f>
        <v>204878500</v>
      </c>
      <c r="Z30" s="59" t="n">
        <f aca="false">Z16*Z28*Z29</f>
        <v>202850000</v>
      </c>
      <c r="AA30" s="59" t="n">
        <f aca="false">AA16*AA28*AA29</f>
        <v>202850000</v>
      </c>
      <c r="AB30" s="59" t="n">
        <f aca="false">AB16*AB28*AB29</f>
        <v>202850000</v>
      </c>
      <c r="AC30" s="59" t="n">
        <f aca="false">AC16*AC28*AC29</f>
        <v>202850000</v>
      </c>
      <c r="AD30" s="59" t="n">
        <f aca="false">AD16*AD28*AD29</f>
        <v>202850000</v>
      </c>
      <c r="AE30" s="59" t="n">
        <f aca="false">AE16*AE28*AE29</f>
        <v>202850000</v>
      </c>
      <c r="AF30" s="59" t="n">
        <f aca="false">AF16*AF28*AF29</f>
        <v>202850000</v>
      </c>
      <c r="AG30" s="59" t="n">
        <f aca="false">AG16*AG28*AG29</f>
        <v>202850000</v>
      </c>
      <c r="AH30" s="59" t="n">
        <f aca="false">AH16*AH28*AH29</f>
        <v>202850000</v>
      </c>
      <c r="AI30" s="59" t="n">
        <f aca="false">AI16*AI28*AI29</f>
        <v>202850000</v>
      </c>
      <c r="AJ30" s="59" t="n">
        <f aca="false">AJ16*AJ28*AJ29</f>
        <v>202850000</v>
      </c>
      <c r="AK30" s="59" t="n">
        <f aca="false">AK16*AK28*AK29</f>
        <v>202850000</v>
      </c>
      <c r="AL30" s="59" t="n">
        <f aca="false">AL16*AL28*AL29</f>
        <v>202850000</v>
      </c>
      <c r="AM30" s="59" t="n">
        <f aca="false">AM16*AM28*AM29</f>
        <v>202850000</v>
      </c>
      <c r="AN30" s="59" t="n">
        <f aca="false">AN16*AN28*AN29</f>
        <v>202850000</v>
      </c>
      <c r="AO30" s="59" t="n">
        <f aca="false">AO16*AO28*AO29</f>
        <v>202850000</v>
      </c>
      <c r="AP30" s="59" t="n">
        <f aca="false">AP16*AP28*AP29</f>
        <v>202850000</v>
      </c>
      <c r="AQ30" s="59" t="n">
        <f aca="false">AQ16*AQ28*AQ29</f>
        <v>202850000</v>
      </c>
      <c r="AR30" s="59" t="n">
        <f aca="false">AR16*AR28*AR29</f>
        <v>202850000</v>
      </c>
      <c r="AS30" s="59" t="n">
        <f aca="false">AS16*AS28*AS29</f>
        <v>202850000</v>
      </c>
      <c r="AT30" s="59" t="n">
        <f aca="false">AT16*AT28*AT29</f>
        <v>202850000</v>
      </c>
      <c r="AU30" s="59" t="n">
        <f aca="false">AU16*AU28*AU29</f>
        <v>202850000</v>
      </c>
      <c r="AV30" s="59" t="n">
        <f aca="false">AV16*AV28*AV29</f>
        <v>202850000</v>
      </c>
      <c r="AW30" s="59" t="n">
        <f aca="false">AW16*AW28*AW29</f>
        <v>202850000</v>
      </c>
      <c r="AX30" s="59" t="n">
        <f aca="false">AX16*AX28*AX29</f>
        <v>202850000</v>
      </c>
      <c r="AY30" s="59" t="n">
        <f aca="false">AY16*AY28*AY29</f>
        <v>202850000</v>
      </c>
      <c r="AZ30" s="59" t="n">
        <f aca="false">AZ16*AZ28*AZ29</f>
        <v>226650000</v>
      </c>
      <c r="BA30" s="59" t="n">
        <f aca="false">BA16*BA28*BA29</f>
        <v>226734000</v>
      </c>
      <c r="BB30" s="59" t="n">
        <f aca="false">BB16*BB28*BB29</f>
        <v>226734000</v>
      </c>
      <c r="BC30" s="59" t="n">
        <f aca="false">BC16*BC28*BC29</f>
        <v>226734000</v>
      </c>
      <c r="BD30" s="59" t="n">
        <f aca="false">BD16*BD28*BD29</f>
        <v>226717500</v>
      </c>
      <c r="BE30" s="59" t="n">
        <f aca="false">BE16*BE28*BE29</f>
        <v>226650000</v>
      </c>
      <c r="BF30" s="59" t="n">
        <f aca="false">BF16*BF28*BF29</f>
        <v>226650000</v>
      </c>
      <c r="BG30" s="59" t="n">
        <f aca="false">BG16*BG28*BG29</f>
        <v>226650000</v>
      </c>
      <c r="BH30" s="59" t="n">
        <f aca="false">BH16*BH28*BH29</f>
        <v>226650000</v>
      </c>
      <c r="BI30" s="59" t="n">
        <f aca="false">BI16*BI28*BI29</f>
        <v>226650000</v>
      </c>
      <c r="BJ30" s="59" t="n">
        <f aca="false">BJ16*BJ28*BJ29</f>
        <v>226650000</v>
      </c>
      <c r="BK30" s="59" t="n">
        <f aca="false">BK16*BK28*BK29</f>
        <v>226650000</v>
      </c>
      <c r="BL30" s="59" t="n">
        <f aca="false">BL16*BL28*BL29</f>
        <v>226650000</v>
      </c>
      <c r="BM30" s="59" t="n">
        <f aca="false">BM16*BM28*BM29</f>
        <v>226650000</v>
      </c>
      <c r="BN30" s="59" t="n">
        <f aca="false">BN16*BN28*BN29</f>
        <v>228916500</v>
      </c>
      <c r="BO30" s="59" t="n">
        <f aca="false">BO16*BO28*BO29</f>
        <v>228916500</v>
      </c>
      <c r="BP30" s="59" t="n">
        <f aca="false">BP16*BP28*BP29</f>
        <v>226650000</v>
      </c>
      <c r="BQ30" s="59" t="n">
        <f aca="false">BQ16*BQ28*BQ29</f>
        <v>226650000</v>
      </c>
      <c r="BR30" s="59" t="n">
        <f aca="false">BR16*BR28*BR29</f>
        <v>226650000</v>
      </c>
      <c r="BS30" s="59" t="n">
        <f aca="false">BS16*BS28*BS29</f>
        <v>226650000</v>
      </c>
      <c r="BT30" s="59" t="n">
        <f aca="false">BT16*BT28*BT29</f>
        <v>226650000</v>
      </c>
      <c r="BU30" s="59" t="n">
        <f aca="false">BU16*BU28*BU29</f>
        <v>226650000</v>
      </c>
      <c r="BV30" s="59" t="n">
        <f aca="false">BV16*BV28*BV29</f>
        <v>226650000</v>
      </c>
      <c r="BW30" s="59" t="n">
        <f aca="false">BW16*BW28*BW29</f>
        <v>226650000</v>
      </c>
      <c r="BX30" s="59" t="n">
        <f aca="false">BX16*BX28*BX29</f>
        <v>226650000</v>
      </c>
      <c r="BY30" s="59" t="n">
        <f aca="false">BY16*BY28*BY29</f>
        <v>226650000</v>
      </c>
      <c r="BZ30" s="59" t="n">
        <f aca="false">BZ16*BZ28*BZ29</f>
        <v>226650000</v>
      </c>
      <c r="CA30" s="59" t="n">
        <f aca="false">CA16*CA28*CA29</f>
        <v>226650000</v>
      </c>
      <c r="CB30" s="59" t="n">
        <f aca="false">CB16*CB28*CB29</f>
        <v>226650000</v>
      </c>
      <c r="CC30" s="59" t="n">
        <f aca="false">CC16*CC28*CC29</f>
        <v>226650000</v>
      </c>
      <c r="CD30" s="59" t="n">
        <f aca="false">CD16*CD28*CD29</f>
        <v>226650000</v>
      </c>
      <c r="CE30" s="59" t="n">
        <f aca="false">CE16*CE28*CE29</f>
        <v>226650000</v>
      </c>
      <c r="CF30" s="59" t="n">
        <f aca="false">CF16*CF28*CF29</f>
        <v>226650000</v>
      </c>
      <c r="CG30" s="59" t="n">
        <f aca="false">CG16*CG28*CG29</f>
        <v>226650000</v>
      </c>
      <c r="CH30" s="59" t="n">
        <f aca="false">CH16*CH28*CH29</f>
        <v>226650000</v>
      </c>
      <c r="CI30" s="59" t="n">
        <f aca="false">CI16*CI28*CI29</f>
        <v>226650000</v>
      </c>
      <c r="CJ30" s="59" t="n">
        <f aca="false">CJ16*CJ28*CJ29</f>
        <v>226650000</v>
      </c>
      <c r="CK30" s="59" t="n">
        <f aca="false">CK16*CK28*CK29</f>
        <v>226650000</v>
      </c>
      <c r="CL30" s="59" t="n">
        <f aca="false">CL16*CL28*CL29</f>
        <v>226650000</v>
      </c>
      <c r="CM30" s="59" t="n">
        <f aca="false">CM16*CM28*CM29</f>
        <v>226650000</v>
      </c>
      <c r="CN30" s="59" t="n">
        <f aca="false">CN16*CN28*CN29</f>
        <v>226650000</v>
      </c>
      <c r="CO30" s="59" t="n">
        <f aca="false">CO16*CO28*CO29</f>
        <v>226650000</v>
      </c>
      <c r="CP30" s="59" t="n">
        <f aca="false">CP16*CP28*CP29</f>
        <v>402000000</v>
      </c>
      <c r="CQ30" s="59" t="n">
        <f aca="false">CQ16*CQ28*CQ29</f>
        <v>402180000</v>
      </c>
      <c r="CR30" s="59" t="n">
        <f aca="false">CR16*CR28*CR29</f>
        <v>402180000</v>
      </c>
      <c r="CS30" s="59" t="n">
        <f aca="false">CS16*CS28*CS29</f>
        <v>402180000</v>
      </c>
      <c r="CT30" s="59" t="n">
        <f aca="false">CT16*CT28*CT29</f>
        <v>402160000</v>
      </c>
      <c r="CU30" s="59" t="n">
        <f aca="false">CU16*CU28*CU29</f>
        <v>402000000</v>
      </c>
      <c r="CV30" s="59" t="n">
        <f aca="false">CV16*CV28*CV29</f>
        <v>402000000</v>
      </c>
      <c r="CW30" s="59" t="n">
        <f aca="false">CW16*CW28*CW29</f>
        <v>402000000</v>
      </c>
      <c r="CX30" s="59" t="n">
        <f aca="false">CX16*CX28*CX29</f>
        <v>402000000</v>
      </c>
      <c r="CY30" s="59" t="n">
        <f aca="false">CY16*CY28*CY29</f>
        <v>402000000</v>
      </c>
      <c r="CZ30" s="59" t="n">
        <f aca="false">CZ16*CZ28*CZ29</f>
        <v>402000000</v>
      </c>
      <c r="DA30" s="59" t="n">
        <f aca="false">DA16*DA28*DA29</f>
        <v>402000000</v>
      </c>
      <c r="DB30" s="59" t="n">
        <f aca="false">DB16*DB28*DB29</f>
        <v>402000000</v>
      </c>
      <c r="DC30" s="59" t="n">
        <f aca="false">DC16*DC28*DC29</f>
        <v>402000000</v>
      </c>
      <c r="DD30" s="59" t="n">
        <f aca="false">DD16*DD28*DD29</f>
        <v>406020000</v>
      </c>
      <c r="DE30" s="59" t="n">
        <f aca="false">DE16*DE28*DE29</f>
        <v>406020000</v>
      </c>
      <c r="DF30" s="59" t="n">
        <f aca="false">DF16*DF28*DF29</f>
        <v>402000000</v>
      </c>
      <c r="DG30" s="59" t="n">
        <f aca="false">DG16*DG28*DG29</f>
        <v>402000000</v>
      </c>
      <c r="DH30" s="59" t="n">
        <f aca="false">DH16*DH28*DH29</f>
        <v>402000000</v>
      </c>
      <c r="DI30" s="59" t="n">
        <f aca="false">DI16*DI28*DI29</f>
        <v>402000000</v>
      </c>
      <c r="DJ30" s="59" t="n">
        <f aca="false">DJ16*DJ28*DJ29</f>
        <v>402000000</v>
      </c>
      <c r="DK30" s="59" t="n">
        <f aca="false">DK16*DK28*DK29</f>
        <v>402000000</v>
      </c>
      <c r="DL30" s="59" t="n">
        <f aca="false">DL16*DL28*DL29</f>
        <v>402000000</v>
      </c>
      <c r="DM30" s="59" t="n">
        <f aca="false">DM16*DM28*DM29</f>
        <v>402000000</v>
      </c>
      <c r="DN30" s="59" t="n">
        <f aca="false">DN16*DN28*DN29</f>
        <v>402000000</v>
      </c>
      <c r="DO30" s="59" t="n">
        <f aca="false">DO16*DO28*DO29</f>
        <v>402000000</v>
      </c>
      <c r="DP30" s="59" t="n">
        <f aca="false">DP16*DP28*DP29</f>
        <v>402000000</v>
      </c>
      <c r="DQ30" s="59" t="n">
        <f aca="false">DQ16*DQ28*DQ29</f>
        <v>402000000</v>
      </c>
      <c r="DR30" s="59" t="n">
        <f aca="false">DR16*DR28*DR29</f>
        <v>402000000</v>
      </c>
      <c r="DS30" s="59" t="n">
        <f aca="false">DS16*DS28*DS29</f>
        <v>402000000</v>
      </c>
      <c r="DT30" s="59" t="n">
        <f aca="false">DT16*DT28*DT29</f>
        <v>402000000</v>
      </c>
      <c r="DU30" s="59" t="n">
        <f aca="false">DU16*DU28*DU29</f>
        <v>402000000</v>
      </c>
      <c r="DV30" s="59" t="n">
        <f aca="false">DV16*DV28*DV29</f>
        <v>402000000</v>
      </c>
      <c r="DW30" s="59" t="n">
        <f aca="false">DW16*DW28*DW29</f>
        <v>402000000</v>
      </c>
      <c r="DX30" s="59" t="n">
        <f aca="false">DX16*DX28*DX29</f>
        <v>402000000</v>
      </c>
      <c r="DY30" s="59" t="n">
        <f aca="false">DY16*DY28*DY29</f>
        <v>402000000</v>
      </c>
      <c r="DZ30" s="59" t="n">
        <f aca="false">DZ16*DZ28*DZ29</f>
        <v>402000000</v>
      </c>
      <c r="EA30" s="59" t="n">
        <f aca="false">EA16*EA28*EA29</f>
        <v>402000000</v>
      </c>
      <c r="EB30" s="59" t="n">
        <f aca="false">EB16*EB28*EB29</f>
        <v>402000000</v>
      </c>
      <c r="EC30" s="59" t="n">
        <f aca="false">EC16*EC28*EC29</f>
        <v>402000000</v>
      </c>
      <c r="ED30" s="59" t="n">
        <f aca="false">ED16*ED28*ED29</f>
        <v>402000000</v>
      </c>
      <c r="EE30" s="59" t="n">
        <f aca="false">EE16*EE28*EE29</f>
        <v>402000000</v>
      </c>
      <c r="EF30" s="59" t="n">
        <f aca="false">EF16*EF28*EF29</f>
        <v>247500000</v>
      </c>
      <c r="EG30" s="59" t="n">
        <f aca="false">EG16*EG28*EG29</f>
        <v>249975000</v>
      </c>
      <c r="EH30" s="59" t="n">
        <f aca="false">EH16*EH28*EH29</f>
        <v>249975000</v>
      </c>
      <c r="EI30" s="59" t="n">
        <f aca="false">EI16*EI28*EI29</f>
        <v>249975000</v>
      </c>
      <c r="EJ30" s="59" t="n">
        <f aca="false">EJ16*EJ28*EJ29</f>
        <v>250000000</v>
      </c>
      <c r="EK30" s="59" t="n">
        <f aca="false">EK16*EK28*EK29</f>
        <v>247500000</v>
      </c>
      <c r="EL30" s="59" t="n">
        <f aca="false">EL16*EL28*EL29</f>
        <v>247500000</v>
      </c>
      <c r="EM30" s="59" t="n">
        <f aca="false">EM16*EM28*EM29</f>
        <v>247500000</v>
      </c>
      <c r="EN30" s="59" t="n">
        <f aca="false">EN16*EN28*EN29</f>
        <v>247500000</v>
      </c>
      <c r="EO30" s="59" t="n">
        <f aca="false">EO16*EO28*EO29</f>
        <v>247500000</v>
      </c>
      <c r="EP30" s="59" t="n">
        <f aca="false">EP16*EP28*EP29</f>
        <v>247500000</v>
      </c>
      <c r="EQ30" s="59" t="n">
        <f aca="false">EQ16*EQ28*EQ29</f>
        <v>247500000</v>
      </c>
      <c r="ER30" s="59" t="n">
        <f aca="false">ER16*ER28*ER29</f>
        <v>247500000</v>
      </c>
      <c r="ES30" s="59" t="n">
        <f aca="false">ES16*ES28*ES29</f>
        <v>247500000</v>
      </c>
      <c r="ET30" s="59" t="n">
        <f aca="false">ET16*ET28*ET29</f>
        <v>249975000</v>
      </c>
      <c r="EU30" s="59" t="n">
        <f aca="false">EU16*EU28*EU29</f>
        <v>249975000</v>
      </c>
      <c r="EV30" s="59" t="n">
        <f aca="false">EV16*EV28*EV29</f>
        <v>247500000</v>
      </c>
      <c r="EW30" s="59" t="n">
        <f aca="false">EW16*EW28*EW29</f>
        <v>247500000</v>
      </c>
      <c r="EX30" s="59" t="n">
        <f aca="false">EX16*EX28*EX29</f>
        <v>247500000</v>
      </c>
      <c r="EY30" s="59" t="n">
        <f aca="false">EY16*EY28*EY29</f>
        <v>247500000</v>
      </c>
      <c r="EZ30" s="59" t="n">
        <f aca="false">EZ16*EZ28*EZ29</f>
        <v>247500000</v>
      </c>
      <c r="FA30" s="59" t="n">
        <f aca="false">FA16*FA28*FA29</f>
        <v>247500000</v>
      </c>
      <c r="FB30" s="59" t="n">
        <f aca="false">FB16*FB28*FB29</f>
        <v>247500000</v>
      </c>
      <c r="FC30" s="59" t="n">
        <f aca="false">FC16*FC28*FC29</f>
        <v>247500000</v>
      </c>
      <c r="FD30" s="59" t="n">
        <f aca="false">FD16*FD28*FD29</f>
        <v>247500000</v>
      </c>
      <c r="FE30" s="59" t="n">
        <f aca="false">FE16*FE28*FE29</f>
        <v>247500000</v>
      </c>
      <c r="FF30" s="59" t="n">
        <f aca="false">FF16*FF28*FF29</f>
        <v>247500000</v>
      </c>
      <c r="FG30" s="59" t="n">
        <f aca="false">FG16*FG28*FG29</f>
        <v>247500000</v>
      </c>
      <c r="FH30" s="59" t="n">
        <f aca="false">FH16*FH28*FH29</f>
        <v>247500000</v>
      </c>
      <c r="FI30" s="59" t="n">
        <f aca="false">FI16*FI28*FI29</f>
        <v>247500000</v>
      </c>
      <c r="FJ30" s="59" t="n">
        <f aca="false">FJ16*FJ28*FJ29</f>
        <v>247500000</v>
      </c>
      <c r="FK30" s="59" t="n">
        <f aca="false">FK16*FK28*FK29</f>
        <v>247500000</v>
      </c>
      <c r="FL30" s="59" t="n">
        <f aca="false">FL16*FL28*FL29</f>
        <v>247500000</v>
      </c>
      <c r="FM30" s="59" t="n">
        <f aca="false">FM16*FM28*FM29</f>
        <v>247500000</v>
      </c>
      <c r="FN30" s="59" t="n">
        <f aca="false">FN16*FN28*FN29</f>
        <v>247500000</v>
      </c>
      <c r="FO30" s="59" t="n">
        <f aca="false">FO16*FO28*FO29</f>
        <v>247500000</v>
      </c>
      <c r="FP30" s="59" t="n">
        <f aca="false">FP16*FP28*FP29</f>
        <v>247500000</v>
      </c>
      <c r="FQ30" s="59" t="n">
        <f aca="false">FQ16*FQ28*FQ29</f>
        <v>247500000</v>
      </c>
      <c r="FR30" s="59" t="n">
        <f aca="false">FR16*FR28*FR29</f>
        <v>247500000</v>
      </c>
      <c r="FS30" s="59" t="n">
        <f aca="false">FS16*FS28*FS29</f>
        <v>247500000</v>
      </c>
      <c r="FT30" s="59" t="n">
        <f aca="false">FT16*FT28*FT29</f>
        <v>247500000</v>
      </c>
      <c r="FU30" s="59" t="n">
        <f aca="false">FU16*FU28*FU29</f>
        <v>247500000</v>
      </c>
      <c r="FV30" s="59" t="n">
        <f aca="false">FV16*FV28*FV29</f>
        <v>280000000</v>
      </c>
      <c r="FW30" s="59" t="n">
        <f aca="false">FW16*FW28*FW29</f>
        <v>282800000</v>
      </c>
      <c r="FX30" s="59" t="n">
        <f aca="false">FX16*FX28*FX29</f>
        <v>282800000</v>
      </c>
      <c r="FY30" s="59" t="n">
        <f aca="false">FY16*FY28*FY29</f>
        <v>282800000</v>
      </c>
      <c r="FZ30" s="59" t="n">
        <f aca="false">FZ16*FZ28*FZ29</f>
        <v>282828282.828283</v>
      </c>
      <c r="GA30" s="59" t="n">
        <f aca="false">GA16*GA28*GA29</f>
        <v>280000000</v>
      </c>
      <c r="GB30" s="59" t="n">
        <f aca="false">GB16*GB28*GB29</f>
        <v>280000000</v>
      </c>
      <c r="GC30" s="59" t="n">
        <f aca="false">GC16*GC28*GC29</f>
        <v>280000000</v>
      </c>
      <c r="GD30" s="59" t="n">
        <f aca="false">GD16*GD28*GD29</f>
        <v>280000000</v>
      </c>
      <c r="GE30" s="59" t="n">
        <f aca="false">GE16*GE28*GE29</f>
        <v>280000000</v>
      </c>
      <c r="GF30" s="59" t="n">
        <f aca="false">GF16*GF28*GF29</f>
        <v>280000000</v>
      </c>
      <c r="GG30" s="59" t="n">
        <f aca="false">GG16*GG28*GG29</f>
        <v>280000000</v>
      </c>
      <c r="GH30" s="59" t="n">
        <f aca="false">GH16*GH28*GH29</f>
        <v>280000000</v>
      </c>
      <c r="GI30" s="59" t="n">
        <f aca="false">GI16*GI28*GI29</f>
        <v>280000000</v>
      </c>
      <c r="GJ30" s="59" t="n">
        <f aca="false">GJ16*GJ28*GJ29</f>
        <v>282800000</v>
      </c>
      <c r="GK30" s="59" t="n">
        <f aca="false">GK16*GK28*GK29</f>
        <v>282800000</v>
      </c>
      <c r="GL30" s="59" t="n">
        <f aca="false">GL16*GL28*GL29</f>
        <v>280000000</v>
      </c>
      <c r="GM30" s="59" t="n">
        <f aca="false">GM16*GM28*GM29</f>
        <v>280000000</v>
      </c>
      <c r="GN30" s="59" t="n">
        <f aca="false">GN16*GN28*GN29</f>
        <v>280000000</v>
      </c>
      <c r="GO30" s="59" t="n">
        <f aca="false">GO16*GO28*GO29</f>
        <v>280000000</v>
      </c>
      <c r="GP30" s="59" t="n">
        <f aca="false">GP16*GP28*GP29</f>
        <v>280000000</v>
      </c>
      <c r="GQ30" s="59" t="n">
        <f aca="false">GQ16*GQ28*GQ29</f>
        <v>280000000</v>
      </c>
      <c r="GR30" s="59" t="n">
        <f aca="false">GR16*GR28*GR29</f>
        <v>280000000</v>
      </c>
      <c r="GS30" s="59" t="n">
        <f aca="false">GS16*GS28*GS29</f>
        <v>280000000</v>
      </c>
      <c r="GT30" s="59" t="n">
        <f aca="false">GT16*GT28*GT29</f>
        <v>280000000</v>
      </c>
      <c r="GU30" s="59" t="n">
        <f aca="false">GU16*GU28*GU29</f>
        <v>280000000</v>
      </c>
      <c r="GV30" s="59" t="n">
        <f aca="false">GV16*GV28*GV29</f>
        <v>280000000</v>
      </c>
      <c r="GW30" s="59" t="n">
        <f aca="false">GW16*GW28*GW29</f>
        <v>280000000</v>
      </c>
      <c r="GX30" s="59" t="n">
        <f aca="false">GX16*GX28*GX29</f>
        <v>280000000</v>
      </c>
      <c r="GY30" s="59" t="n">
        <f aca="false">GY16*GY28*GY29</f>
        <v>280000000</v>
      </c>
      <c r="GZ30" s="59" t="n">
        <f aca="false">GZ16*GZ28*GZ29</f>
        <v>280000000</v>
      </c>
      <c r="HA30" s="59" t="n">
        <f aca="false">HA16*HA28*HA29</f>
        <v>280000000</v>
      </c>
      <c r="HB30" s="59" t="n">
        <f aca="false">HB16*HB28*HB29</f>
        <v>280000000</v>
      </c>
      <c r="HC30" s="59" t="n">
        <f aca="false">HC16*HC28*HC29</f>
        <v>280000000</v>
      </c>
      <c r="HD30" s="59" t="n">
        <f aca="false">HD16*HD28*HD29</f>
        <v>280000000</v>
      </c>
      <c r="HE30" s="59" t="n">
        <f aca="false">HE16*HE28*HE29</f>
        <v>280000000</v>
      </c>
      <c r="HF30" s="59" t="n">
        <f aca="false">HF16*HF28*HF29</f>
        <v>280000000</v>
      </c>
      <c r="HG30" s="59" t="n">
        <f aca="false">HG16*HG28*HG29</f>
        <v>280000000</v>
      </c>
      <c r="HH30" s="59" t="n">
        <f aca="false">HH16*HH28*HH29</f>
        <v>280000000</v>
      </c>
      <c r="HI30" s="59" t="n">
        <f aca="false">HI16*HI28*HI29</f>
        <v>280000000</v>
      </c>
      <c r="HJ30" s="59" t="n">
        <f aca="false">HJ16*HJ28*HJ29</f>
        <v>280000000</v>
      </c>
      <c r="HK30" s="59" t="n">
        <f aca="false">HK16*HK28*HK29</f>
        <v>280000000</v>
      </c>
      <c r="HL30" s="59" t="n">
        <f aca="false">HL16*HL28*HL29</f>
        <v>450000000</v>
      </c>
      <c r="HM30" s="59" t="n">
        <f aca="false">HM16*HM28*HM29</f>
        <v>454500000</v>
      </c>
      <c r="HN30" s="59" t="n">
        <f aca="false">HN16*HN28*HN29</f>
        <v>454500000</v>
      </c>
      <c r="HO30" s="59" t="n">
        <f aca="false">HO16*HO28*HO29</f>
        <v>454500000</v>
      </c>
      <c r="HP30" s="59" t="n">
        <f aca="false">HP16*HP28*HP29</f>
        <v>454545454.545455</v>
      </c>
      <c r="HQ30" s="59" t="n">
        <f aca="false">HQ16*HQ28*HQ29</f>
        <v>450000000</v>
      </c>
      <c r="HR30" s="59" t="n">
        <f aca="false">HR16*HR28*HR29</f>
        <v>450000000</v>
      </c>
      <c r="HS30" s="59" t="n">
        <f aca="false">HS16*HS28*HS29</f>
        <v>450000000</v>
      </c>
      <c r="HT30" s="59" t="n">
        <f aca="false">HT16*HT28*HT29</f>
        <v>450000000</v>
      </c>
      <c r="HU30" s="59" t="n">
        <f aca="false">HU16*HU28*HU29</f>
        <v>450000000</v>
      </c>
      <c r="HV30" s="59" t="n">
        <f aca="false">HV16*HV28*HV29</f>
        <v>450000000</v>
      </c>
      <c r="HW30" s="59" t="n">
        <f aca="false">HW16*HW28*HW29</f>
        <v>450000000</v>
      </c>
      <c r="HX30" s="59" t="n">
        <f aca="false">HX16*HX28*HX29</f>
        <v>450000000</v>
      </c>
      <c r="HY30" s="59" t="n">
        <f aca="false">HY16*HY28*HY29</f>
        <v>450000000</v>
      </c>
      <c r="HZ30" s="59" t="n">
        <f aca="false">HZ16*HZ28*HZ29</f>
        <v>454500000</v>
      </c>
      <c r="IA30" s="59" t="n">
        <f aca="false">IA16*IA28*IA29</f>
        <v>454500000</v>
      </c>
      <c r="IB30" s="59" t="n">
        <f aca="false">IB16*IB28*IB29</f>
        <v>450000000</v>
      </c>
      <c r="IC30" s="59" t="n">
        <f aca="false">IC16*IC28*IC29</f>
        <v>450000000</v>
      </c>
      <c r="ID30" s="59" t="n">
        <f aca="false">ID16*ID28*ID29</f>
        <v>450000000</v>
      </c>
      <c r="IE30" s="59" t="n">
        <f aca="false">IE16*IE28*IE29</f>
        <v>450000000</v>
      </c>
      <c r="IF30" s="59" t="n">
        <f aca="false">IF16*IF28*IF29</f>
        <v>450000000</v>
      </c>
      <c r="IG30" s="59" t="n">
        <f aca="false">IG16*IG28*IG29</f>
        <v>450000000</v>
      </c>
      <c r="IH30" s="59" t="n">
        <f aca="false">IH16*IH28*IH29</f>
        <v>450000000</v>
      </c>
      <c r="II30" s="59" t="n">
        <f aca="false">II16*II28*II29</f>
        <v>450000000</v>
      </c>
      <c r="IJ30" s="59" t="n">
        <f aca="false">IJ16*IJ28*IJ29</f>
        <v>450000000</v>
      </c>
      <c r="IK30" s="59" t="n">
        <f aca="false">IK16*IK28*IK29</f>
        <v>450000000</v>
      </c>
      <c r="IL30" s="59" t="n">
        <f aca="false">IL16*IL28*IL29</f>
        <v>450000000</v>
      </c>
      <c r="IM30" s="59" t="n">
        <f aca="false">IM16*IM28*IM29</f>
        <v>450000000</v>
      </c>
      <c r="IN30" s="59" t="n">
        <f aca="false">IN16*IN28*IN29</f>
        <v>450000000</v>
      </c>
      <c r="IO30" s="59" t="n">
        <f aca="false">IO16*IO28*IO29</f>
        <v>450000000</v>
      </c>
      <c r="IP30" s="59" t="n">
        <f aca="false">IP16*IP28*IP29</f>
        <v>450000000</v>
      </c>
      <c r="IQ30" s="59" t="n">
        <f aca="false">IQ16*IQ28*IQ29</f>
        <v>450000000</v>
      </c>
      <c r="IR30" s="59" t="n">
        <f aca="false">IR16*IR28*IR29</f>
        <v>450000000</v>
      </c>
      <c r="IS30" s="59" t="n">
        <f aca="false">IS16*IS28*IS29</f>
        <v>450000000</v>
      </c>
      <c r="IT30" s="59" t="n">
        <f aca="false">IT16*IT28*IT29</f>
        <v>450000000</v>
      </c>
      <c r="IU30" s="59" t="n">
        <f aca="false">IU16*IU28*IU29</f>
        <v>450000000</v>
      </c>
      <c r="IV30" s="59" t="n">
        <f aca="false">IV16*IV28*IV29</f>
        <v>450000000</v>
      </c>
      <c r="IW30" s="59" t="n">
        <f aca="false">IW16*IW28*IW29</f>
        <v>450000000</v>
      </c>
      <c r="IX30" s="59" t="n">
        <f aca="false">IX16*IX28*IX29</f>
        <v>450000000</v>
      </c>
      <c r="IY30" s="59" t="n">
        <f aca="false">IY16*IY28*IY29</f>
        <v>450000000</v>
      </c>
      <c r="IZ30" s="59" t="n">
        <f aca="false">IZ16*IZ28*IZ29</f>
        <v>450000000</v>
      </c>
      <c r="JA30" s="59" t="n">
        <f aca="false">JA16*JA28*JA29</f>
        <v>450000000</v>
      </c>
    </row>
    <row r="31" customFormat="false" ht="15" hidden="false" customHeight="false" outlineLevel="0" collapsed="false">
      <c r="A31" s="13" t="s">
        <v>205</v>
      </c>
      <c r="B31" s="13" t="s">
        <v>206</v>
      </c>
      <c r="C31" s="13" t="s">
        <v>194</v>
      </c>
      <c r="D31" s="9" t="s">
        <v>36</v>
      </c>
      <c r="E31" s="32" t="n">
        <f aca="false">INDEX(Вводные!$D$13:$F$64,MATCH($A31,Вводные!$A$13:$A$64,0),MATCH(E$3,Вводные!$D$11:$F$11,0))*(1+IF(E$4=$A31,Вводные!$D$5*INDEX(Вводные!$G$13:$G$64,MATCH($A31,Вводные!$A$13:$A$64,0)),0))</f>
        <v>0.12</v>
      </c>
      <c r="F31" s="32" t="n">
        <f aca="false">INDEX(Вводные!$D$13:$F$64,MATCH($A31,Вводные!$A$13:$A$64,0),MATCH(F$3,Вводные!$D$11:$F$11,0))*(1+IF(F$4=$A31,Вводные!$D$5*INDEX(Вводные!$G$13:$G$64,MATCH($A31,Вводные!$A$13:$A$64,0)),0))</f>
        <v>0.1</v>
      </c>
      <c r="G31" s="32" t="n">
        <f aca="false">INDEX(Вводные!$D$13:$F$64,MATCH($A31,Вводные!$A$13:$A$64,0),MATCH(G$3,Вводные!$D$11:$F$11,0))*(1+IF(G$4=$A31,Вводные!$D$5*INDEX(Вводные!$G$13:$G$64,MATCH($A31,Вводные!$A$13:$A$64,0)),0))</f>
        <v>0.08</v>
      </c>
      <c r="H31" s="60"/>
      <c r="J31" s="32" t="n">
        <f aca="false">INDEX(Вводные!$D$13:$F$64,MATCH($A31,Вводные!$A$13:$A$64,0),MATCH(J$3,Вводные!$D$11:$F$11,0))*(1+IF(J$4=$A31,Вводные!$D$5*INDEX(Вводные!$G$13:$G$64,MATCH($A31,Вводные!$A$13:$A$64,0)),0))</f>
        <v>0.12</v>
      </c>
      <c r="K31" s="32" t="n">
        <f aca="false">INDEX(Вводные!$D$13:$F$64,MATCH($A31,Вводные!$A$13:$A$64,0),MATCH(K$3,Вводные!$D$11:$F$11,0))*(1+IF(K$4=$A31,Вводные!$D$5*INDEX(Вводные!$G$13:$G$64,MATCH($A31,Вводные!$A$13:$A$64,0)),0))</f>
        <v>0.12</v>
      </c>
      <c r="L31" s="32" t="n">
        <f aca="false">INDEX(Вводные!$D$13:$F$64,MATCH($A31,Вводные!$A$13:$A$64,0),MATCH(L$3,Вводные!$D$11:$F$11,0))*(1+IF(L$4=$A31,Вводные!$D$5*INDEX(Вводные!$G$13:$G$64,MATCH($A31,Вводные!$A$13:$A$64,0)),0))</f>
        <v>0.12</v>
      </c>
      <c r="M31" s="32" t="n">
        <f aca="false">INDEX(Вводные!$D$13:$F$64,MATCH($A31,Вводные!$A$13:$A$64,0),MATCH(M$3,Вводные!$D$11:$F$11,0))*(1+IF(M$4=$A31,Вводные!$D$5*INDEX(Вводные!$G$13:$G$64,MATCH($A31,Вводные!$A$13:$A$64,0)),0))</f>
        <v>0.12</v>
      </c>
      <c r="N31" s="32" t="n">
        <f aca="false">INDEX(Вводные!$D$13:$F$64,MATCH($A31,Вводные!$A$13:$A$64,0),MATCH(N$3,Вводные!$D$11:$F$11,0))*(1+IF(N$4=$A31,Вводные!$D$5*INDEX(Вводные!$G$13:$G$64,MATCH($A31,Вводные!$A$13:$A$64,0)),0))</f>
        <v>0.12</v>
      </c>
      <c r="O31" s="32" t="n">
        <f aca="false">INDEX(Вводные!$D$13:$F$64,MATCH($A31,Вводные!$A$13:$A$64,0),MATCH(O$3,Вводные!$D$11:$F$11,0))*(1+IF(O$4=$A31,Вводные!$D$5*INDEX(Вводные!$G$13:$G$64,MATCH($A31,Вводные!$A$13:$A$64,0)),0))</f>
        <v>0.12</v>
      </c>
      <c r="P31" s="32" t="n">
        <f aca="false">INDEX(Вводные!$D$13:$F$64,MATCH($A31,Вводные!$A$13:$A$64,0),MATCH(P$3,Вводные!$D$11:$F$11,0))*(1+IF(P$4=$A31,Вводные!$D$5*INDEX(Вводные!$G$13:$G$64,MATCH($A31,Вводные!$A$13:$A$64,0)),0))</f>
        <v>0.12</v>
      </c>
      <c r="Q31" s="32" t="n">
        <f aca="false">INDEX(Вводные!$D$13:$F$64,MATCH($A31,Вводные!$A$13:$A$64,0),MATCH(Q$3,Вводные!$D$11:$F$11,0))*(1+IF(Q$4=$A31,Вводные!$D$5*INDEX(Вводные!$G$13:$G$64,MATCH($A31,Вводные!$A$13:$A$64,0)),0))</f>
        <v>0.12</v>
      </c>
      <c r="R31" s="32" t="n">
        <f aca="false">INDEX(Вводные!$D$13:$F$64,MATCH($A31,Вводные!$A$13:$A$64,0),MATCH(R$3,Вводные!$D$11:$F$11,0))*(1+IF(R$4=$A31,Вводные!$D$5*INDEX(Вводные!$G$13:$G$64,MATCH($A31,Вводные!$A$13:$A$64,0)),0))</f>
        <v>0.12</v>
      </c>
      <c r="S31" s="32" t="n">
        <f aca="false">INDEX(Вводные!$D$13:$F$64,MATCH($A31,Вводные!$A$13:$A$64,0),MATCH(S$3,Вводные!$D$11:$F$11,0))*(1+IF(S$4=$A31,Вводные!$D$5*INDEX(Вводные!$G$13:$G$64,MATCH($A31,Вводные!$A$13:$A$64,0)),0))</f>
        <v>0.12</v>
      </c>
      <c r="T31" s="32" t="n">
        <f aca="false">INDEX(Вводные!$D$13:$F$64,MATCH($A31,Вводные!$A$13:$A$64,0),MATCH(T$3,Вводные!$D$11:$F$11,0))*(1+IF(T$4=$A31,Вводные!$D$5*INDEX(Вводные!$G$13:$G$64,MATCH($A31,Вводные!$A$13:$A$64,0)),0))</f>
        <v>0.12</v>
      </c>
      <c r="U31" s="32" t="n">
        <f aca="false">INDEX(Вводные!$D$13:$F$64,MATCH($A31,Вводные!$A$13:$A$64,0),MATCH(U$3,Вводные!$D$11:$F$11,0))*(1+IF(U$4=$A31,Вводные!$D$5*INDEX(Вводные!$G$13:$G$64,MATCH($A31,Вводные!$A$13:$A$64,0)),0))</f>
        <v>0.12</v>
      </c>
      <c r="V31" s="32" t="n">
        <f aca="false">INDEX(Вводные!$D$13:$F$64,MATCH($A31,Вводные!$A$13:$A$64,0),MATCH(V$3,Вводные!$D$11:$F$11,0))*(1+IF(V$4=$A31,Вводные!$D$5*INDEX(Вводные!$G$13:$G$64,MATCH($A31,Вводные!$A$13:$A$64,0)),0))</f>
        <v>0.12</v>
      </c>
      <c r="W31" s="32" t="n">
        <f aca="false">INDEX(Вводные!$D$13:$F$64,MATCH($A31,Вводные!$A$13:$A$64,0),MATCH(W$3,Вводные!$D$11:$F$11,0))*(1+IF(W$4=$A31,Вводные!$D$5*INDEX(Вводные!$G$13:$G$64,MATCH($A31,Вводные!$A$13:$A$64,0)),0))</f>
        <v>0.12</v>
      </c>
      <c r="X31" s="32" t="n">
        <f aca="false">INDEX(Вводные!$D$13:$F$64,MATCH($A31,Вводные!$A$13:$A$64,0),MATCH(X$3,Вводные!$D$11:$F$11,0))*(1+IF(X$4=$A31,Вводные!$D$5*INDEX(Вводные!$G$13:$G$64,MATCH($A31,Вводные!$A$13:$A$64,0)),0))</f>
        <v>0.12</v>
      </c>
      <c r="Y31" s="32" t="n">
        <f aca="false">INDEX(Вводные!$D$13:$F$64,MATCH($A31,Вводные!$A$13:$A$64,0),MATCH(Y$3,Вводные!$D$11:$F$11,0))*(1+IF(Y$4=$A31,Вводные!$D$5*INDEX(Вводные!$G$13:$G$64,MATCH($A31,Вводные!$A$13:$A$64,0)),0))</f>
        <v>0.12</v>
      </c>
      <c r="Z31" s="32" t="n">
        <f aca="false">INDEX(Вводные!$D$13:$F$64,MATCH($A31,Вводные!$A$13:$A$64,0),MATCH(Z$3,Вводные!$D$11:$F$11,0))*(1+IF(Z$4=$A31,Вводные!$D$5*INDEX(Вводные!$G$13:$G$64,MATCH($A31,Вводные!$A$13:$A$64,0)),0))</f>
        <v>0.1212</v>
      </c>
      <c r="AA31" s="32" t="n">
        <f aca="false">INDEX(Вводные!$D$13:$F$64,MATCH($A31,Вводные!$A$13:$A$64,0),MATCH(AA$3,Вводные!$D$11:$F$11,0))*(1+IF(AA$4=$A31,Вводные!$D$5*INDEX(Вводные!$G$13:$G$64,MATCH($A31,Вводные!$A$13:$A$64,0)),0))</f>
        <v>0.12</v>
      </c>
      <c r="AB31" s="32" t="n">
        <f aca="false">INDEX(Вводные!$D$13:$F$64,MATCH($A31,Вводные!$A$13:$A$64,0),MATCH(AB$3,Вводные!$D$11:$F$11,0))*(1+IF(AB$4=$A31,Вводные!$D$5*INDEX(Вводные!$G$13:$G$64,MATCH($A31,Вводные!$A$13:$A$64,0)),0))</f>
        <v>0.12</v>
      </c>
      <c r="AC31" s="32" t="n">
        <f aca="false">INDEX(Вводные!$D$13:$F$64,MATCH($A31,Вводные!$A$13:$A$64,0),MATCH(AC$3,Вводные!$D$11:$F$11,0))*(1+IF(AC$4=$A31,Вводные!$D$5*INDEX(Вводные!$G$13:$G$64,MATCH($A31,Вводные!$A$13:$A$64,0)),0))</f>
        <v>0.12</v>
      </c>
      <c r="AD31" s="32" t="n">
        <f aca="false">INDEX(Вводные!$D$13:$F$64,MATCH($A31,Вводные!$A$13:$A$64,0),MATCH(AD$3,Вводные!$D$11:$F$11,0))*(1+IF(AD$4=$A31,Вводные!$D$5*INDEX(Вводные!$G$13:$G$64,MATCH($A31,Вводные!$A$13:$A$64,0)),0))</f>
        <v>0.12</v>
      </c>
      <c r="AE31" s="32" t="n">
        <f aca="false">INDEX(Вводные!$D$13:$F$64,MATCH($A31,Вводные!$A$13:$A$64,0),MATCH(AE$3,Вводные!$D$11:$F$11,0))*(1+IF(AE$4=$A31,Вводные!$D$5*INDEX(Вводные!$G$13:$G$64,MATCH($A31,Вводные!$A$13:$A$64,0)),0))</f>
        <v>0.12</v>
      </c>
      <c r="AF31" s="32" t="n">
        <f aca="false">INDEX(Вводные!$D$13:$F$64,MATCH($A31,Вводные!$A$13:$A$64,0),MATCH(AF$3,Вводные!$D$11:$F$11,0))*(1+IF(AF$4=$A31,Вводные!$D$5*INDEX(Вводные!$G$13:$G$64,MATCH($A31,Вводные!$A$13:$A$64,0)),0))</f>
        <v>0.12</v>
      </c>
      <c r="AG31" s="32" t="n">
        <f aca="false">INDEX(Вводные!$D$13:$F$64,MATCH($A31,Вводные!$A$13:$A$64,0),MATCH(AG$3,Вводные!$D$11:$F$11,0))*(1+IF(AG$4=$A31,Вводные!$D$5*INDEX(Вводные!$G$13:$G$64,MATCH($A31,Вводные!$A$13:$A$64,0)),0))</f>
        <v>0.12</v>
      </c>
      <c r="AH31" s="32" t="n">
        <f aca="false">INDEX(Вводные!$D$13:$F$64,MATCH($A31,Вводные!$A$13:$A$64,0),MATCH(AH$3,Вводные!$D$11:$F$11,0))*(1+IF(AH$4=$A31,Вводные!$D$5*INDEX(Вводные!$G$13:$G$64,MATCH($A31,Вводные!$A$13:$A$64,0)),0))</f>
        <v>0.12</v>
      </c>
      <c r="AI31" s="32" t="n">
        <f aca="false">INDEX(Вводные!$D$13:$F$64,MATCH($A31,Вводные!$A$13:$A$64,0),MATCH(AI$3,Вводные!$D$11:$F$11,0))*(1+IF(AI$4=$A31,Вводные!$D$5*INDEX(Вводные!$G$13:$G$64,MATCH($A31,Вводные!$A$13:$A$64,0)),0))</f>
        <v>0.12</v>
      </c>
      <c r="AJ31" s="32" t="n">
        <f aca="false">INDEX(Вводные!$D$13:$F$64,MATCH($A31,Вводные!$A$13:$A$64,0),MATCH(AJ$3,Вводные!$D$11:$F$11,0))*(1+IF(AJ$4=$A31,Вводные!$D$5*INDEX(Вводные!$G$13:$G$64,MATCH($A31,Вводные!$A$13:$A$64,0)),0))</f>
        <v>0.12</v>
      </c>
      <c r="AK31" s="32" t="n">
        <f aca="false">INDEX(Вводные!$D$13:$F$64,MATCH($A31,Вводные!$A$13:$A$64,0),MATCH(AK$3,Вводные!$D$11:$F$11,0))*(1+IF(AK$4=$A31,Вводные!$D$5*INDEX(Вводные!$G$13:$G$64,MATCH($A31,Вводные!$A$13:$A$64,0)),0))</f>
        <v>0.12</v>
      </c>
      <c r="AL31" s="32" t="n">
        <f aca="false">INDEX(Вводные!$D$13:$F$64,MATCH($A31,Вводные!$A$13:$A$64,0),MATCH(AL$3,Вводные!$D$11:$F$11,0))*(1+IF(AL$4=$A31,Вводные!$D$5*INDEX(Вводные!$G$13:$G$64,MATCH($A31,Вводные!$A$13:$A$64,0)),0))</f>
        <v>0.12</v>
      </c>
      <c r="AM31" s="32" t="n">
        <f aca="false">INDEX(Вводные!$D$13:$F$64,MATCH($A31,Вводные!$A$13:$A$64,0),MATCH(AM$3,Вводные!$D$11:$F$11,0))*(1+IF(AM$4=$A31,Вводные!$D$5*INDEX(Вводные!$G$13:$G$64,MATCH($A31,Вводные!$A$13:$A$64,0)),0))</f>
        <v>0.12</v>
      </c>
      <c r="AN31" s="32" t="n">
        <f aca="false">INDEX(Вводные!$D$13:$F$64,MATCH($A31,Вводные!$A$13:$A$64,0),MATCH(AN$3,Вводные!$D$11:$F$11,0))*(1+IF(AN$4=$A31,Вводные!$D$5*INDEX(Вводные!$G$13:$G$64,MATCH($A31,Вводные!$A$13:$A$64,0)),0))</f>
        <v>0.12</v>
      </c>
      <c r="AO31" s="32" t="n">
        <f aca="false">INDEX(Вводные!$D$13:$F$64,MATCH($A31,Вводные!$A$13:$A$64,0),MATCH(AO$3,Вводные!$D$11:$F$11,0))*(1+IF(AO$4=$A31,Вводные!$D$5*INDEX(Вводные!$G$13:$G$64,MATCH($A31,Вводные!$A$13:$A$64,0)),0))</f>
        <v>0.12</v>
      </c>
      <c r="AP31" s="32" t="n">
        <f aca="false">INDEX(Вводные!$D$13:$F$64,MATCH($A31,Вводные!$A$13:$A$64,0),MATCH(AP$3,Вводные!$D$11:$F$11,0))*(1+IF(AP$4=$A31,Вводные!$D$5*INDEX(Вводные!$G$13:$G$64,MATCH($A31,Вводные!$A$13:$A$64,0)),0))</f>
        <v>0.12</v>
      </c>
      <c r="AQ31" s="32" t="n">
        <f aca="false">INDEX(Вводные!$D$13:$F$64,MATCH($A31,Вводные!$A$13:$A$64,0),MATCH(AQ$3,Вводные!$D$11:$F$11,0))*(1+IF(AQ$4=$A31,Вводные!$D$5*INDEX(Вводные!$G$13:$G$64,MATCH($A31,Вводные!$A$13:$A$64,0)),0))</f>
        <v>0.12</v>
      </c>
      <c r="AR31" s="32" t="n">
        <f aca="false">INDEX(Вводные!$D$13:$F$64,MATCH($A31,Вводные!$A$13:$A$64,0),MATCH(AR$3,Вводные!$D$11:$F$11,0))*(1+IF(AR$4=$A31,Вводные!$D$5*INDEX(Вводные!$G$13:$G$64,MATCH($A31,Вводные!$A$13:$A$64,0)),0))</f>
        <v>0.12</v>
      </c>
      <c r="AS31" s="32" t="n">
        <f aca="false">INDEX(Вводные!$D$13:$F$64,MATCH($A31,Вводные!$A$13:$A$64,0),MATCH(AS$3,Вводные!$D$11:$F$11,0))*(1+IF(AS$4=$A31,Вводные!$D$5*INDEX(Вводные!$G$13:$G$64,MATCH($A31,Вводные!$A$13:$A$64,0)),0))</f>
        <v>0.12</v>
      </c>
      <c r="AT31" s="32" t="n">
        <f aca="false">INDEX(Вводные!$D$13:$F$64,MATCH($A31,Вводные!$A$13:$A$64,0),MATCH(AT$3,Вводные!$D$11:$F$11,0))*(1+IF(AT$4=$A31,Вводные!$D$5*INDEX(Вводные!$G$13:$G$64,MATCH($A31,Вводные!$A$13:$A$64,0)),0))</f>
        <v>0.12</v>
      </c>
      <c r="AU31" s="32" t="n">
        <f aca="false">INDEX(Вводные!$D$13:$F$64,MATCH($A31,Вводные!$A$13:$A$64,0),MATCH(AU$3,Вводные!$D$11:$F$11,0))*(1+IF(AU$4=$A31,Вводные!$D$5*INDEX(Вводные!$G$13:$G$64,MATCH($A31,Вводные!$A$13:$A$64,0)),0))</f>
        <v>0.12</v>
      </c>
      <c r="AV31" s="32" t="n">
        <f aca="false">INDEX(Вводные!$D$13:$F$64,MATCH($A31,Вводные!$A$13:$A$64,0),MATCH(AV$3,Вводные!$D$11:$F$11,0))*(1+IF(AV$4=$A31,Вводные!$D$5*INDEX(Вводные!$G$13:$G$64,MATCH($A31,Вводные!$A$13:$A$64,0)),0))</f>
        <v>0.12</v>
      </c>
      <c r="AW31" s="32" t="n">
        <f aca="false">INDEX(Вводные!$D$13:$F$64,MATCH($A31,Вводные!$A$13:$A$64,0),MATCH(AW$3,Вводные!$D$11:$F$11,0))*(1+IF(AW$4=$A31,Вводные!$D$5*INDEX(Вводные!$G$13:$G$64,MATCH($A31,Вводные!$A$13:$A$64,0)),0))</f>
        <v>0.12</v>
      </c>
      <c r="AX31" s="32" t="n">
        <f aca="false">INDEX(Вводные!$D$13:$F$64,MATCH($A31,Вводные!$A$13:$A$64,0),MATCH(AX$3,Вводные!$D$11:$F$11,0))*(1+IF(AX$4=$A31,Вводные!$D$5*INDEX(Вводные!$G$13:$G$64,MATCH($A31,Вводные!$A$13:$A$64,0)),0))</f>
        <v>0.12</v>
      </c>
      <c r="AY31" s="32" t="n">
        <f aca="false">INDEX(Вводные!$D$13:$F$64,MATCH($A31,Вводные!$A$13:$A$64,0),MATCH(AY$3,Вводные!$D$11:$F$11,0))*(1+IF(AY$4=$A31,Вводные!$D$5*INDEX(Вводные!$G$13:$G$64,MATCH($A31,Вводные!$A$13:$A$64,0)),0))</f>
        <v>0.12</v>
      </c>
      <c r="AZ31" s="32" t="n">
        <f aca="false">INDEX(Вводные!$D$13:$F$64,MATCH($A31,Вводные!$A$13:$A$64,0),MATCH(AZ$3,Вводные!$D$11:$F$11,0))*(1+IF(AZ$4=$A31,Вводные!$D$5*INDEX(Вводные!$G$13:$G$64,MATCH($A31,Вводные!$A$13:$A$64,0)),0))</f>
        <v>0.1</v>
      </c>
      <c r="BA31" s="32" t="n">
        <f aca="false">INDEX(Вводные!$D$13:$F$64,MATCH($A31,Вводные!$A$13:$A$64,0),MATCH(BA$3,Вводные!$D$11:$F$11,0))*(1+IF(BA$4=$A31,Вводные!$D$5*INDEX(Вводные!$G$13:$G$64,MATCH($A31,Вводные!$A$13:$A$64,0)),0))</f>
        <v>0.1</v>
      </c>
      <c r="BB31" s="32" t="n">
        <f aca="false">INDEX(Вводные!$D$13:$F$64,MATCH($A31,Вводные!$A$13:$A$64,0),MATCH(BB$3,Вводные!$D$11:$F$11,0))*(1+IF(BB$4=$A31,Вводные!$D$5*INDEX(Вводные!$G$13:$G$64,MATCH($A31,Вводные!$A$13:$A$64,0)),0))</f>
        <v>0.1</v>
      </c>
      <c r="BC31" s="32" t="n">
        <f aca="false">INDEX(Вводные!$D$13:$F$64,MATCH($A31,Вводные!$A$13:$A$64,0),MATCH(BC$3,Вводные!$D$11:$F$11,0))*(1+IF(BC$4=$A31,Вводные!$D$5*INDEX(Вводные!$G$13:$G$64,MATCH($A31,Вводные!$A$13:$A$64,0)),0))</f>
        <v>0.1</v>
      </c>
      <c r="BD31" s="32" t="n">
        <f aca="false">INDEX(Вводные!$D$13:$F$64,MATCH($A31,Вводные!$A$13:$A$64,0),MATCH(BD$3,Вводные!$D$11:$F$11,0))*(1+IF(BD$4=$A31,Вводные!$D$5*INDEX(Вводные!$G$13:$G$64,MATCH($A31,Вводные!$A$13:$A$64,0)),0))</f>
        <v>0.1</v>
      </c>
      <c r="BE31" s="32" t="n">
        <f aca="false">INDEX(Вводные!$D$13:$F$64,MATCH($A31,Вводные!$A$13:$A$64,0),MATCH(BE$3,Вводные!$D$11:$F$11,0))*(1+IF(BE$4=$A31,Вводные!$D$5*INDEX(Вводные!$G$13:$G$64,MATCH($A31,Вводные!$A$13:$A$64,0)),0))</f>
        <v>0.1</v>
      </c>
      <c r="BF31" s="32" t="n">
        <f aca="false">INDEX(Вводные!$D$13:$F$64,MATCH($A31,Вводные!$A$13:$A$64,0),MATCH(BF$3,Вводные!$D$11:$F$11,0))*(1+IF(BF$4=$A31,Вводные!$D$5*INDEX(Вводные!$G$13:$G$64,MATCH($A31,Вводные!$A$13:$A$64,0)),0))</f>
        <v>0.1</v>
      </c>
      <c r="BG31" s="32" t="n">
        <f aca="false">INDEX(Вводные!$D$13:$F$64,MATCH($A31,Вводные!$A$13:$A$64,0),MATCH(BG$3,Вводные!$D$11:$F$11,0))*(1+IF(BG$4=$A31,Вводные!$D$5*INDEX(Вводные!$G$13:$G$64,MATCH($A31,Вводные!$A$13:$A$64,0)),0))</f>
        <v>0.1</v>
      </c>
      <c r="BH31" s="32" t="n">
        <f aca="false">INDEX(Вводные!$D$13:$F$64,MATCH($A31,Вводные!$A$13:$A$64,0),MATCH(BH$3,Вводные!$D$11:$F$11,0))*(1+IF(BH$4=$A31,Вводные!$D$5*INDEX(Вводные!$G$13:$G$64,MATCH($A31,Вводные!$A$13:$A$64,0)),0))</f>
        <v>0.1</v>
      </c>
      <c r="BI31" s="32" t="n">
        <f aca="false">INDEX(Вводные!$D$13:$F$64,MATCH($A31,Вводные!$A$13:$A$64,0),MATCH(BI$3,Вводные!$D$11:$F$11,0))*(1+IF(BI$4=$A31,Вводные!$D$5*INDEX(Вводные!$G$13:$G$64,MATCH($A31,Вводные!$A$13:$A$64,0)),0))</f>
        <v>0.1</v>
      </c>
      <c r="BJ31" s="32" t="n">
        <f aca="false">INDEX(Вводные!$D$13:$F$64,MATCH($A31,Вводные!$A$13:$A$64,0),MATCH(BJ$3,Вводные!$D$11:$F$11,0))*(1+IF(BJ$4=$A31,Вводные!$D$5*INDEX(Вводные!$G$13:$G$64,MATCH($A31,Вводные!$A$13:$A$64,0)),0))</f>
        <v>0.1</v>
      </c>
      <c r="BK31" s="32" t="n">
        <f aca="false">INDEX(Вводные!$D$13:$F$64,MATCH($A31,Вводные!$A$13:$A$64,0),MATCH(BK$3,Вводные!$D$11:$F$11,0))*(1+IF(BK$4=$A31,Вводные!$D$5*INDEX(Вводные!$G$13:$G$64,MATCH($A31,Вводные!$A$13:$A$64,0)),0))</f>
        <v>0.1</v>
      </c>
      <c r="BL31" s="32" t="n">
        <f aca="false">INDEX(Вводные!$D$13:$F$64,MATCH($A31,Вводные!$A$13:$A$64,0),MATCH(BL$3,Вводные!$D$11:$F$11,0))*(1+IF(BL$4=$A31,Вводные!$D$5*INDEX(Вводные!$G$13:$G$64,MATCH($A31,Вводные!$A$13:$A$64,0)),0))</f>
        <v>0.1</v>
      </c>
      <c r="BM31" s="32" t="n">
        <f aca="false">INDEX(Вводные!$D$13:$F$64,MATCH($A31,Вводные!$A$13:$A$64,0),MATCH(BM$3,Вводные!$D$11:$F$11,0))*(1+IF(BM$4=$A31,Вводные!$D$5*INDEX(Вводные!$G$13:$G$64,MATCH($A31,Вводные!$A$13:$A$64,0)),0))</f>
        <v>0.1</v>
      </c>
      <c r="BN31" s="32" t="n">
        <f aca="false">INDEX(Вводные!$D$13:$F$64,MATCH($A31,Вводные!$A$13:$A$64,0),MATCH(BN$3,Вводные!$D$11:$F$11,0))*(1+IF(BN$4=$A31,Вводные!$D$5*INDEX(Вводные!$G$13:$G$64,MATCH($A31,Вводные!$A$13:$A$64,0)),0))</f>
        <v>0.1</v>
      </c>
      <c r="BO31" s="32" t="n">
        <f aca="false">INDEX(Вводные!$D$13:$F$64,MATCH($A31,Вводные!$A$13:$A$64,0),MATCH(BO$3,Вводные!$D$11:$F$11,0))*(1+IF(BO$4=$A31,Вводные!$D$5*INDEX(Вводные!$G$13:$G$64,MATCH($A31,Вводные!$A$13:$A$64,0)),0))</f>
        <v>0.1</v>
      </c>
      <c r="BP31" s="32" t="n">
        <f aca="false">INDEX(Вводные!$D$13:$F$64,MATCH($A31,Вводные!$A$13:$A$64,0),MATCH(BP$3,Вводные!$D$11:$F$11,0))*(1+IF(BP$4=$A31,Вводные!$D$5*INDEX(Вводные!$G$13:$G$64,MATCH($A31,Вводные!$A$13:$A$64,0)),0))</f>
        <v>0.101</v>
      </c>
      <c r="BQ31" s="32" t="n">
        <f aca="false">INDEX(Вводные!$D$13:$F$64,MATCH($A31,Вводные!$A$13:$A$64,0),MATCH(BQ$3,Вводные!$D$11:$F$11,0))*(1+IF(BQ$4=$A31,Вводные!$D$5*INDEX(Вводные!$G$13:$G$64,MATCH($A31,Вводные!$A$13:$A$64,0)),0))</f>
        <v>0.1</v>
      </c>
      <c r="BR31" s="32" t="n">
        <f aca="false">INDEX(Вводные!$D$13:$F$64,MATCH($A31,Вводные!$A$13:$A$64,0),MATCH(BR$3,Вводные!$D$11:$F$11,0))*(1+IF(BR$4=$A31,Вводные!$D$5*INDEX(Вводные!$G$13:$G$64,MATCH($A31,Вводные!$A$13:$A$64,0)),0))</f>
        <v>0.1</v>
      </c>
      <c r="BS31" s="32" t="n">
        <f aca="false">INDEX(Вводные!$D$13:$F$64,MATCH($A31,Вводные!$A$13:$A$64,0),MATCH(BS$3,Вводные!$D$11:$F$11,0))*(1+IF(BS$4=$A31,Вводные!$D$5*INDEX(Вводные!$G$13:$G$64,MATCH($A31,Вводные!$A$13:$A$64,0)),0))</f>
        <v>0.1</v>
      </c>
      <c r="BT31" s="32" t="n">
        <f aca="false">INDEX(Вводные!$D$13:$F$64,MATCH($A31,Вводные!$A$13:$A$64,0),MATCH(BT$3,Вводные!$D$11:$F$11,0))*(1+IF(BT$4=$A31,Вводные!$D$5*INDEX(Вводные!$G$13:$G$64,MATCH($A31,Вводные!$A$13:$A$64,0)),0))</f>
        <v>0.1</v>
      </c>
      <c r="BU31" s="32" t="n">
        <f aca="false">INDEX(Вводные!$D$13:$F$64,MATCH($A31,Вводные!$A$13:$A$64,0),MATCH(BU$3,Вводные!$D$11:$F$11,0))*(1+IF(BU$4=$A31,Вводные!$D$5*INDEX(Вводные!$G$13:$G$64,MATCH($A31,Вводные!$A$13:$A$64,0)),0))</f>
        <v>0.1</v>
      </c>
      <c r="BV31" s="32" t="n">
        <f aca="false">INDEX(Вводные!$D$13:$F$64,MATCH($A31,Вводные!$A$13:$A$64,0),MATCH(BV$3,Вводные!$D$11:$F$11,0))*(1+IF(BV$4=$A31,Вводные!$D$5*INDEX(Вводные!$G$13:$G$64,MATCH($A31,Вводные!$A$13:$A$64,0)),0))</f>
        <v>0.1</v>
      </c>
      <c r="BW31" s="32" t="n">
        <f aca="false">INDEX(Вводные!$D$13:$F$64,MATCH($A31,Вводные!$A$13:$A$64,0),MATCH(BW$3,Вводные!$D$11:$F$11,0))*(1+IF(BW$4=$A31,Вводные!$D$5*INDEX(Вводные!$G$13:$G$64,MATCH($A31,Вводные!$A$13:$A$64,0)),0))</f>
        <v>0.1</v>
      </c>
      <c r="BX31" s="32" t="n">
        <f aca="false">INDEX(Вводные!$D$13:$F$64,MATCH($A31,Вводные!$A$13:$A$64,0),MATCH(BX$3,Вводные!$D$11:$F$11,0))*(1+IF(BX$4=$A31,Вводные!$D$5*INDEX(Вводные!$G$13:$G$64,MATCH($A31,Вводные!$A$13:$A$64,0)),0))</f>
        <v>0.1</v>
      </c>
      <c r="BY31" s="32" t="n">
        <f aca="false">INDEX(Вводные!$D$13:$F$64,MATCH($A31,Вводные!$A$13:$A$64,0),MATCH(BY$3,Вводные!$D$11:$F$11,0))*(1+IF(BY$4=$A31,Вводные!$D$5*INDEX(Вводные!$G$13:$G$64,MATCH($A31,Вводные!$A$13:$A$64,0)),0))</f>
        <v>0.1</v>
      </c>
      <c r="BZ31" s="32" t="n">
        <f aca="false">INDEX(Вводные!$D$13:$F$64,MATCH($A31,Вводные!$A$13:$A$64,0),MATCH(BZ$3,Вводные!$D$11:$F$11,0))*(1+IF(BZ$4=$A31,Вводные!$D$5*INDEX(Вводные!$G$13:$G$64,MATCH($A31,Вводные!$A$13:$A$64,0)),0))</f>
        <v>0.1</v>
      </c>
      <c r="CA31" s="32" t="n">
        <f aca="false">INDEX(Вводные!$D$13:$F$64,MATCH($A31,Вводные!$A$13:$A$64,0),MATCH(CA$3,Вводные!$D$11:$F$11,0))*(1+IF(CA$4=$A31,Вводные!$D$5*INDEX(Вводные!$G$13:$G$64,MATCH($A31,Вводные!$A$13:$A$64,0)),0))</f>
        <v>0.1</v>
      </c>
      <c r="CB31" s="32" t="n">
        <f aca="false">INDEX(Вводные!$D$13:$F$64,MATCH($A31,Вводные!$A$13:$A$64,0),MATCH(CB$3,Вводные!$D$11:$F$11,0))*(1+IF(CB$4=$A31,Вводные!$D$5*INDEX(Вводные!$G$13:$G$64,MATCH($A31,Вводные!$A$13:$A$64,0)),0))</f>
        <v>0.1</v>
      </c>
      <c r="CC31" s="32" t="n">
        <f aca="false">INDEX(Вводные!$D$13:$F$64,MATCH($A31,Вводные!$A$13:$A$64,0),MATCH(CC$3,Вводные!$D$11:$F$11,0))*(1+IF(CC$4=$A31,Вводные!$D$5*INDEX(Вводные!$G$13:$G$64,MATCH($A31,Вводные!$A$13:$A$64,0)),0))</f>
        <v>0.1</v>
      </c>
      <c r="CD31" s="32" t="n">
        <f aca="false">INDEX(Вводные!$D$13:$F$64,MATCH($A31,Вводные!$A$13:$A$64,0),MATCH(CD$3,Вводные!$D$11:$F$11,0))*(1+IF(CD$4=$A31,Вводные!$D$5*INDEX(Вводные!$G$13:$G$64,MATCH($A31,Вводные!$A$13:$A$64,0)),0))</f>
        <v>0.1</v>
      </c>
      <c r="CE31" s="32" t="n">
        <f aca="false">INDEX(Вводные!$D$13:$F$64,MATCH($A31,Вводные!$A$13:$A$64,0),MATCH(CE$3,Вводные!$D$11:$F$11,0))*(1+IF(CE$4=$A31,Вводные!$D$5*INDEX(Вводные!$G$13:$G$64,MATCH($A31,Вводные!$A$13:$A$64,0)),0))</f>
        <v>0.1</v>
      </c>
      <c r="CF31" s="32" t="n">
        <f aca="false">INDEX(Вводные!$D$13:$F$64,MATCH($A31,Вводные!$A$13:$A$64,0),MATCH(CF$3,Вводные!$D$11:$F$11,0))*(1+IF(CF$4=$A31,Вводные!$D$5*INDEX(Вводные!$G$13:$G$64,MATCH($A31,Вводные!$A$13:$A$64,0)),0))</f>
        <v>0.1</v>
      </c>
      <c r="CG31" s="32" t="n">
        <f aca="false">INDEX(Вводные!$D$13:$F$64,MATCH($A31,Вводные!$A$13:$A$64,0),MATCH(CG$3,Вводные!$D$11:$F$11,0))*(1+IF(CG$4=$A31,Вводные!$D$5*INDEX(Вводные!$G$13:$G$64,MATCH($A31,Вводные!$A$13:$A$64,0)),0))</f>
        <v>0.1</v>
      </c>
      <c r="CH31" s="32" t="n">
        <f aca="false">INDEX(Вводные!$D$13:$F$64,MATCH($A31,Вводные!$A$13:$A$64,0),MATCH(CH$3,Вводные!$D$11:$F$11,0))*(1+IF(CH$4=$A31,Вводные!$D$5*INDEX(Вводные!$G$13:$G$64,MATCH($A31,Вводные!$A$13:$A$64,0)),0))</f>
        <v>0.1</v>
      </c>
      <c r="CI31" s="32" t="n">
        <f aca="false">INDEX(Вводные!$D$13:$F$64,MATCH($A31,Вводные!$A$13:$A$64,0),MATCH(CI$3,Вводные!$D$11:$F$11,0))*(1+IF(CI$4=$A31,Вводные!$D$5*INDEX(Вводные!$G$13:$G$64,MATCH($A31,Вводные!$A$13:$A$64,0)),0))</f>
        <v>0.1</v>
      </c>
      <c r="CJ31" s="32" t="n">
        <f aca="false">INDEX(Вводные!$D$13:$F$64,MATCH($A31,Вводные!$A$13:$A$64,0),MATCH(CJ$3,Вводные!$D$11:$F$11,0))*(1+IF(CJ$4=$A31,Вводные!$D$5*INDEX(Вводные!$G$13:$G$64,MATCH($A31,Вводные!$A$13:$A$64,0)),0))</f>
        <v>0.1</v>
      </c>
      <c r="CK31" s="32" t="n">
        <f aca="false">INDEX(Вводные!$D$13:$F$64,MATCH($A31,Вводные!$A$13:$A$64,0),MATCH(CK$3,Вводные!$D$11:$F$11,0))*(1+IF(CK$4=$A31,Вводные!$D$5*INDEX(Вводные!$G$13:$G$64,MATCH($A31,Вводные!$A$13:$A$64,0)),0))</f>
        <v>0.1</v>
      </c>
      <c r="CL31" s="32" t="n">
        <f aca="false">INDEX(Вводные!$D$13:$F$64,MATCH($A31,Вводные!$A$13:$A$64,0),MATCH(CL$3,Вводные!$D$11:$F$11,0))*(1+IF(CL$4=$A31,Вводные!$D$5*INDEX(Вводные!$G$13:$G$64,MATCH($A31,Вводные!$A$13:$A$64,0)),0))</f>
        <v>0.1</v>
      </c>
      <c r="CM31" s="32" t="n">
        <f aca="false">INDEX(Вводные!$D$13:$F$64,MATCH($A31,Вводные!$A$13:$A$64,0),MATCH(CM$3,Вводные!$D$11:$F$11,0))*(1+IF(CM$4=$A31,Вводные!$D$5*INDEX(Вводные!$G$13:$G$64,MATCH($A31,Вводные!$A$13:$A$64,0)),0))</f>
        <v>0.1</v>
      </c>
      <c r="CN31" s="32" t="n">
        <f aca="false">INDEX(Вводные!$D$13:$F$64,MATCH($A31,Вводные!$A$13:$A$64,0),MATCH(CN$3,Вводные!$D$11:$F$11,0))*(1+IF(CN$4=$A31,Вводные!$D$5*INDEX(Вводные!$G$13:$G$64,MATCH($A31,Вводные!$A$13:$A$64,0)),0))</f>
        <v>0.1</v>
      </c>
      <c r="CO31" s="32" t="n">
        <f aca="false">INDEX(Вводные!$D$13:$F$64,MATCH($A31,Вводные!$A$13:$A$64,0),MATCH(CO$3,Вводные!$D$11:$F$11,0))*(1+IF(CO$4=$A31,Вводные!$D$5*INDEX(Вводные!$G$13:$G$64,MATCH($A31,Вводные!$A$13:$A$64,0)),0))</f>
        <v>0.1</v>
      </c>
      <c r="CP31" s="32" t="n">
        <f aca="false">INDEX(Вводные!$D$13:$F$64,MATCH($A31,Вводные!$A$13:$A$64,0),MATCH(CP$3,Вводные!$D$11:$F$11,0))*(1+IF(CP$4=$A31,Вводные!$D$5*INDEX(Вводные!$G$13:$G$64,MATCH($A31,Вводные!$A$13:$A$64,0)),0))</f>
        <v>0.08</v>
      </c>
      <c r="CQ31" s="32" t="n">
        <f aca="false">INDEX(Вводные!$D$13:$F$64,MATCH($A31,Вводные!$A$13:$A$64,0),MATCH(CQ$3,Вводные!$D$11:$F$11,0))*(1+IF(CQ$4=$A31,Вводные!$D$5*INDEX(Вводные!$G$13:$G$64,MATCH($A31,Вводные!$A$13:$A$64,0)),0))</f>
        <v>0.08</v>
      </c>
      <c r="CR31" s="32" t="n">
        <f aca="false">INDEX(Вводные!$D$13:$F$64,MATCH($A31,Вводные!$A$13:$A$64,0),MATCH(CR$3,Вводные!$D$11:$F$11,0))*(1+IF(CR$4=$A31,Вводные!$D$5*INDEX(Вводные!$G$13:$G$64,MATCH($A31,Вводные!$A$13:$A$64,0)),0))</f>
        <v>0.08</v>
      </c>
      <c r="CS31" s="32" t="n">
        <f aca="false">INDEX(Вводные!$D$13:$F$64,MATCH($A31,Вводные!$A$13:$A$64,0),MATCH(CS$3,Вводные!$D$11:$F$11,0))*(1+IF(CS$4=$A31,Вводные!$D$5*INDEX(Вводные!$G$13:$G$64,MATCH($A31,Вводные!$A$13:$A$64,0)),0))</f>
        <v>0.08</v>
      </c>
      <c r="CT31" s="32" t="n">
        <f aca="false">INDEX(Вводные!$D$13:$F$64,MATCH($A31,Вводные!$A$13:$A$64,0),MATCH(CT$3,Вводные!$D$11:$F$11,0))*(1+IF(CT$4=$A31,Вводные!$D$5*INDEX(Вводные!$G$13:$G$64,MATCH($A31,Вводные!$A$13:$A$64,0)),0))</f>
        <v>0.08</v>
      </c>
      <c r="CU31" s="32" t="n">
        <f aca="false">INDEX(Вводные!$D$13:$F$64,MATCH($A31,Вводные!$A$13:$A$64,0),MATCH(CU$3,Вводные!$D$11:$F$11,0))*(1+IF(CU$4=$A31,Вводные!$D$5*INDEX(Вводные!$G$13:$G$64,MATCH($A31,Вводные!$A$13:$A$64,0)),0))</f>
        <v>0.08</v>
      </c>
      <c r="CV31" s="32" t="n">
        <f aca="false">INDEX(Вводные!$D$13:$F$64,MATCH($A31,Вводные!$A$13:$A$64,0),MATCH(CV$3,Вводные!$D$11:$F$11,0))*(1+IF(CV$4=$A31,Вводные!$D$5*INDEX(Вводные!$G$13:$G$64,MATCH($A31,Вводные!$A$13:$A$64,0)),0))</f>
        <v>0.08</v>
      </c>
      <c r="CW31" s="32" t="n">
        <f aca="false">INDEX(Вводные!$D$13:$F$64,MATCH($A31,Вводные!$A$13:$A$64,0),MATCH(CW$3,Вводные!$D$11:$F$11,0))*(1+IF(CW$4=$A31,Вводные!$D$5*INDEX(Вводные!$G$13:$G$64,MATCH($A31,Вводные!$A$13:$A$64,0)),0))</f>
        <v>0.08</v>
      </c>
      <c r="CX31" s="32" t="n">
        <f aca="false">INDEX(Вводные!$D$13:$F$64,MATCH($A31,Вводные!$A$13:$A$64,0),MATCH(CX$3,Вводные!$D$11:$F$11,0))*(1+IF(CX$4=$A31,Вводные!$D$5*INDEX(Вводные!$G$13:$G$64,MATCH($A31,Вводные!$A$13:$A$64,0)),0))</f>
        <v>0.08</v>
      </c>
      <c r="CY31" s="32" t="n">
        <f aca="false">INDEX(Вводные!$D$13:$F$64,MATCH($A31,Вводные!$A$13:$A$64,0),MATCH(CY$3,Вводные!$D$11:$F$11,0))*(1+IF(CY$4=$A31,Вводные!$D$5*INDEX(Вводные!$G$13:$G$64,MATCH($A31,Вводные!$A$13:$A$64,0)),0))</f>
        <v>0.08</v>
      </c>
      <c r="CZ31" s="32" t="n">
        <f aca="false">INDEX(Вводные!$D$13:$F$64,MATCH($A31,Вводные!$A$13:$A$64,0),MATCH(CZ$3,Вводные!$D$11:$F$11,0))*(1+IF(CZ$4=$A31,Вводные!$D$5*INDEX(Вводные!$G$13:$G$64,MATCH($A31,Вводные!$A$13:$A$64,0)),0))</f>
        <v>0.08</v>
      </c>
      <c r="DA31" s="32" t="n">
        <f aca="false">INDEX(Вводные!$D$13:$F$64,MATCH($A31,Вводные!$A$13:$A$64,0),MATCH(DA$3,Вводные!$D$11:$F$11,0))*(1+IF(DA$4=$A31,Вводные!$D$5*INDEX(Вводные!$G$13:$G$64,MATCH($A31,Вводные!$A$13:$A$64,0)),0))</f>
        <v>0.08</v>
      </c>
      <c r="DB31" s="32" t="n">
        <f aca="false">INDEX(Вводные!$D$13:$F$64,MATCH($A31,Вводные!$A$13:$A$64,0),MATCH(DB$3,Вводные!$D$11:$F$11,0))*(1+IF(DB$4=$A31,Вводные!$D$5*INDEX(Вводные!$G$13:$G$64,MATCH($A31,Вводные!$A$13:$A$64,0)),0))</f>
        <v>0.08</v>
      </c>
      <c r="DC31" s="32" t="n">
        <f aca="false">INDEX(Вводные!$D$13:$F$64,MATCH($A31,Вводные!$A$13:$A$64,0),MATCH(DC$3,Вводные!$D$11:$F$11,0))*(1+IF(DC$4=$A31,Вводные!$D$5*INDEX(Вводные!$G$13:$G$64,MATCH($A31,Вводные!$A$13:$A$64,0)),0))</f>
        <v>0.08</v>
      </c>
      <c r="DD31" s="32" t="n">
        <f aca="false">INDEX(Вводные!$D$13:$F$64,MATCH($A31,Вводные!$A$13:$A$64,0),MATCH(DD$3,Вводные!$D$11:$F$11,0))*(1+IF(DD$4=$A31,Вводные!$D$5*INDEX(Вводные!$G$13:$G$64,MATCH($A31,Вводные!$A$13:$A$64,0)),0))</f>
        <v>0.08</v>
      </c>
      <c r="DE31" s="32" t="n">
        <f aca="false">INDEX(Вводные!$D$13:$F$64,MATCH($A31,Вводные!$A$13:$A$64,0),MATCH(DE$3,Вводные!$D$11:$F$11,0))*(1+IF(DE$4=$A31,Вводные!$D$5*INDEX(Вводные!$G$13:$G$64,MATCH($A31,Вводные!$A$13:$A$64,0)),0))</f>
        <v>0.08</v>
      </c>
      <c r="DF31" s="32" t="n">
        <f aca="false">INDEX(Вводные!$D$13:$F$64,MATCH($A31,Вводные!$A$13:$A$64,0),MATCH(DF$3,Вводные!$D$11:$F$11,0))*(1+IF(DF$4=$A31,Вводные!$D$5*INDEX(Вводные!$G$13:$G$64,MATCH($A31,Вводные!$A$13:$A$64,0)),0))</f>
        <v>0.0808</v>
      </c>
      <c r="DG31" s="32" t="n">
        <f aca="false">INDEX(Вводные!$D$13:$F$64,MATCH($A31,Вводные!$A$13:$A$64,0),MATCH(DG$3,Вводные!$D$11:$F$11,0))*(1+IF(DG$4=$A31,Вводные!$D$5*INDEX(Вводные!$G$13:$G$64,MATCH($A31,Вводные!$A$13:$A$64,0)),0))</f>
        <v>0.08</v>
      </c>
      <c r="DH31" s="32" t="n">
        <f aca="false">INDEX(Вводные!$D$13:$F$64,MATCH($A31,Вводные!$A$13:$A$64,0),MATCH(DH$3,Вводные!$D$11:$F$11,0))*(1+IF(DH$4=$A31,Вводные!$D$5*INDEX(Вводные!$G$13:$G$64,MATCH($A31,Вводные!$A$13:$A$64,0)),0))</f>
        <v>0.08</v>
      </c>
      <c r="DI31" s="32" t="n">
        <f aca="false">INDEX(Вводные!$D$13:$F$64,MATCH($A31,Вводные!$A$13:$A$64,0),MATCH(DI$3,Вводные!$D$11:$F$11,0))*(1+IF(DI$4=$A31,Вводные!$D$5*INDEX(Вводные!$G$13:$G$64,MATCH($A31,Вводные!$A$13:$A$64,0)),0))</f>
        <v>0.08</v>
      </c>
      <c r="DJ31" s="32" t="n">
        <f aca="false">INDEX(Вводные!$D$13:$F$64,MATCH($A31,Вводные!$A$13:$A$64,0),MATCH(DJ$3,Вводные!$D$11:$F$11,0))*(1+IF(DJ$4=$A31,Вводные!$D$5*INDEX(Вводные!$G$13:$G$64,MATCH($A31,Вводные!$A$13:$A$64,0)),0))</f>
        <v>0.08</v>
      </c>
      <c r="DK31" s="32" t="n">
        <f aca="false">INDEX(Вводные!$D$13:$F$64,MATCH($A31,Вводные!$A$13:$A$64,0),MATCH(DK$3,Вводные!$D$11:$F$11,0))*(1+IF(DK$4=$A31,Вводные!$D$5*INDEX(Вводные!$G$13:$G$64,MATCH($A31,Вводные!$A$13:$A$64,0)),0))</f>
        <v>0.08</v>
      </c>
      <c r="DL31" s="32" t="n">
        <f aca="false">INDEX(Вводные!$D$13:$F$64,MATCH($A31,Вводные!$A$13:$A$64,0),MATCH(DL$3,Вводные!$D$11:$F$11,0))*(1+IF(DL$4=$A31,Вводные!$D$5*INDEX(Вводные!$G$13:$G$64,MATCH($A31,Вводные!$A$13:$A$64,0)),0))</f>
        <v>0.08</v>
      </c>
      <c r="DM31" s="32" t="n">
        <f aca="false">INDEX(Вводные!$D$13:$F$64,MATCH($A31,Вводные!$A$13:$A$64,0),MATCH(DM$3,Вводные!$D$11:$F$11,0))*(1+IF(DM$4=$A31,Вводные!$D$5*INDEX(Вводные!$G$13:$G$64,MATCH($A31,Вводные!$A$13:$A$64,0)),0))</f>
        <v>0.08</v>
      </c>
      <c r="DN31" s="32" t="n">
        <f aca="false">INDEX(Вводные!$D$13:$F$64,MATCH($A31,Вводные!$A$13:$A$64,0),MATCH(DN$3,Вводные!$D$11:$F$11,0))*(1+IF(DN$4=$A31,Вводные!$D$5*INDEX(Вводные!$G$13:$G$64,MATCH($A31,Вводные!$A$13:$A$64,0)),0))</f>
        <v>0.08</v>
      </c>
      <c r="DO31" s="32" t="n">
        <f aca="false">INDEX(Вводные!$D$13:$F$64,MATCH($A31,Вводные!$A$13:$A$64,0),MATCH(DO$3,Вводные!$D$11:$F$11,0))*(1+IF(DO$4=$A31,Вводные!$D$5*INDEX(Вводные!$G$13:$G$64,MATCH($A31,Вводные!$A$13:$A$64,0)),0))</f>
        <v>0.08</v>
      </c>
      <c r="DP31" s="32" t="n">
        <f aca="false">INDEX(Вводные!$D$13:$F$64,MATCH($A31,Вводные!$A$13:$A$64,0),MATCH(DP$3,Вводные!$D$11:$F$11,0))*(1+IF(DP$4=$A31,Вводные!$D$5*INDEX(Вводные!$G$13:$G$64,MATCH($A31,Вводные!$A$13:$A$64,0)),0))</f>
        <v>0.08</v>
      </c>
      <c r="DQ31" s="32" t="n">
        <f aca="false">INDEX(Вводные!$D$13:$F$64,MATCH($A31,Вводные!$A$13:$A$64,0),MATCH(DQ$3,Вводные!$D$11:$F$11,0))*(1+IF(DQ$4=$A31,Вводные!$D$5*INDEX(Вводные!$G$13:$G$64,MATCH($A31,Вводные!$A$13:$A$64,0)),0))</f>
        <v>0.08</v>
      </c>
      <c r="DR31" s="32" t="n">
        <f aca="false">INDEX(Вводные!$D$13:$F$64,MATCH($A31,Вводные!$A$13:$A$64,0),MATCH(DR$3,Вводные!$D$11:$F$11,0))*(1+IF(DR$4=$A31,Вводные!$D$5*INDEX(Вводные!$G$13:$G$64,MATCH($A31,Вводные!$A$13:$A$64,0)),0))</f>
        <v>0.08</v>
      </c>
      <c r="DS31" s="32" t="n">
        <f aca="false">INDEX(Вводные!$D$13:$F$64,MATCH($A31,Вводные!$A$13:$A$64,0),MATCH(DS$3,Вводные!$D$11:$F$11,0))*(1+IF(DS$4=$A31,Вводные!$D$5*INDEX(Вводные!$G$13:$G$64,MATCH($A31,Вводные!$A$13:$A$64,0)),0))</f>
        <v>0.08</v>
      </c>
      <c r="DT31" s="32" t="n">
        <f aca="false">INDEX(Вводные!$D$13:$F$64,MATCH($A31,Вводные!$A$13:$A$64,0),MATCH(DT$3,Вводные!$D$11:$F$11,0))*(1+IF(DT$4=$A31,Вводные!$D$5*INDEX(Вводные!$G$13:$G$64,MATCH($A31,Вводные!$A$13:$A$64,0)),0))</f>
        <v>0.08</v>
      </c>
      <c r="DU31" s="32" t="n">
        <f aca="false">INDEX(Вводные!$D$13:$F$64,MATCH($A31,Вводные!$A$13:$A$64,0),MATCH(DU$3,Вводные!$D$11:$F$11,0))*(1+IF(DU$4=$A31,Вводные!$D$5*INDEX(Вводные!$G$13:$G$64,MATCH($A31,Вводные!$A$13:$A$64,0)),0))</f>
        <v>0.08</v>
      </c>
      <c r="DV31" s="32" t="n">
        <f aca="false">INDEX(Вводные!$D$13:$F$64,MATCH($A31,Вводные!$A$13:$A$64,0),MATCH(DV$3,Вводные!$D$11:$F$11,0))*(1+IF(DV$4=$A31,Вводные!$D$5*INDEX(Вводные!$G$13:$G$64,MATCH($A31,Вводные!$A$13:$A$64,0)),0))</f>
        <v>0.08</v>
      </c>
      <c r="DW31" s="32" t="n">
        <f aca="false">INDEX(Вводные!$D$13:$F$64,MATCH($A31,Вводные!$A$13:$A$64,0),MATCH(DW$3,Вводные!$D$11:$F$11,0))*(1+IF(DW$4=$A31,Вводные!$D$5*INDEX(Вводные!$G$13:$G$64,MATCH($A31,Вводные!$A$13:$A$64,0)),0))</f>
        <v>0.08</v>
      </c>
      <c r="DX31" s="32" t="n">
        <f aca="false">INDEX(Вводные!$D$13:$F$64,MATCH($A31,Вводные!$A$13:$A$64,0),MATCH(DX$3,Вводные!$D$11:$F$11,0))*(1+IF(DX$4=$A31,Вводные!$D$5*INDEX(Вводные!$G$13:$G$64,MATCH($A31,Вводные!$A$13:$A$64,0)),0))</f>
        <v>0.08</v>
      </c>
      <c r="DY31" s="32" t="n">
        <f aca="false">INDEX(Вводные!$D$13:$F$64,MATCH($A31,Вводные!$A$13:$A$64,0),MATCH(DY$3,Вводные!$D$11:$F$11,0))*(1+IF(DY$4=$A31,Вводные!$D$5*INDEX(Вводные!$G$13:$G$64,MATCH($A31,Вводные!$A$13:$A$64,0)),0))</f>
        <v>0.08</v>
      </c>
      <c r="DZ31" s="32" t="n">
        <f aca="false">INDEX(Вводные!$D$13:$F$64,MATCH($A31,Вводные!$A$13:$A$64,0),MATCH(DZ$3,Вводные!$D$11:$F$11,0))*(1+IF(DZ$4=$A31,Вводные!$D$5*INDEX(Вводные!$G$13:$G$64,MATCH($A31,Вводные!$A$13:$A$64,0)),0))</f>
        <v>0.08</v>
      </c>
      <c r="EA31" s="32" t="n">
        <f aca="false">INDEX(Вводные!$D$13:$F$64,MATCH($A31,Вводные!$A$13:$A$64,0),MATCH(EA$3,Вводные!$D$11:$F$11,0))*(1+IF(EA$4=$A31,Вводные!$D$5*INDEX(Вводные!$G$13:$G$64,MATCH($A31,Вводные!$A$13:$A$64,0)),0))</f>
        <v>0.08</v>
      </c>
      <c r="EB31" s="32" t="n">
        <f aca="false">INDEX(Вводные!$D$13:$F$64,MATCH($A31,Вводные!$A$13:$A$64,0),MATCH(EB$3,Вводные!$D$11:$F$11,0))*(1+IF(EB$4=$A31,Вводные!$D$5*INDEX(Вводные!$G$13:$G$64,MATCH($A31,Вводные!$A$13:$A$64,0)),0))</f>
        <v>0.08</v>
      </c>
      <c r="EC31" s="32" t="n">
        <f aca="false">INDEX(Вводные!$D$13:$F$64,MATCH($A31,Вводные!$A$13:$A$64,0),MATCH(EC$3,Вводные!$D$11:$F$11,0))*(1+IF(EC$4=$A31,Вводные!$D$5*INDEX(Вводные!$G$13:$G$64,MATCH($A31,Вводные!$A$13:$A$64,0)),0))</f>
        <v>0.08</v>
      </c>
      <c r="ED31" s="32" t="n">
        <f aca="false">INDEX(Вводные!$D$13:$F$64,MATCH($A31,Вводные!$A$13:$A$64,0),MATCH(ED$3,Вводные!$D$11:$F$11,0))*(1+IF(ED$4=$A31,Вводные!$D$5*INDEX(Вводные!$G$13:$G$64,MATCH($A31,Вводные!$A$13:$A$64,0)),0))</f>
        <v>0.08</v>
      </c>
      <c r="EE31" s="32" t="n">
        <f aca="false">INDEX(Вводные!$D$13:$F$64,MATCH($A31,Вводные!$A$13:$A$64,0),MATCH(EE$3,Вводные!$D$11:$F$11,0))*(1+IF(EE$4=$A31,Вводные!$D$5*INDEX(Вводные!$G$13:$G$64,MATCH($A31,Вводные!$A$13:$A$64,0)),0))</f>
        <v>0.08</v>
      </c>
      <c r="EF31" s="32" t="n">
        <f aca="false">INDEX(Вводные!$D$13:$F$64,MATCH($A31,Вводные!$A$13:$A$64,0),MATCH(EF$3,Вводные!$D$11:$F$11,0))*(1+IF(EF$4=$A31,Вводные!$D$5*INDEX(Вводные!$G$13:$G$64,MATCH($A31,Вводные!$A$13:$A$64,0)),0))</f>
        <v>0.12</v>
      </c>
      <c r="EG31" s="32" t="n">
        <f aca="false">INDEX(Вводные!$D$13:$F$64,MATCH($A31,Вводные!$A$13:$A$64,0),MATCH(EG$3,Вводные!$D$11:$F$11,0))*(1+IF(EG$4=$A31,Вводные!$D$5*INDEX(Вводные!$G$13:$G$64,MATCH($A31,Вводные!$A$13:$A$64,0)),0))</f>
        <v>0.12</v>
      </c>
      <c r="EH31" s="32" t="n">
        <f aca="false">INDEX(Вводные!$D$13:$F$64,MATCH($A31,Вводные!$A$13:$A$64,0),MATCH(EH$3,Вводные!$D$11:$F$11,0))*(1+IF(EH$4=$A31,Вводные!$D$5*INDEX(Вводные!$G$13:$G$64,MATCH($A31,Вводные!$A$13:$A$64,0)),0))</f>
        <v>0.12</v>
      </c>
      <c r="EI31" s="32" t="n">
        <f aca="false">INDEX(Вводные!$D$13:$F$64,MATCH($A31,Вводные!$A$13:$A$64,0),MATCH(EI$3,Вводные!$D$11:$F$11,0))*(1+IF(EI$4=$A31,Вводные!$D$5*INDEX(Вводные!$G$13:$G$64,MATCH($A31,Вводные!$A$13:$A$64,0)),0))</f>
        <v>0.12</v>
      </c>
      <c r="EJ31" s="32" t="n">
        <f aca="false">INDEX(Вводные!$D$13:$F$64,MATCH($A31,Вводные!$A$13:$A$64,0),MATCH(EJ$3,Вводные!$D$11:$F$11,0))*(1+IF(EJ$4=$A31,Вводные!$D$5*INDEX(Вводные!$G$13:$G$64,MATCH($A31,Вводные!$A$13:$A$64,0)),0))</f>
        <v>0.12</v>
      </c>
      <c r="EK31" s="32" t="n">
        <f aca="false">INDEX(Вводные!$D$13:$F$64,MATCH($A31,Вводные!$A$13:$A$64,0),MATCH(EK$3,Вводные!$D$11:$F$11,0))*(1+IF(EK$4=$A31,Вводные!$D$5*INDEX(Вводные!$G$13:$G$64,MATCH($A31,Вводные!$A$13:$A$64,0)),0))</f>
        <v>0.12</v>
      </c>
      <c r="EL31" s="32" t="n">
        <f aca="false">INDEX(Вводные!$D$13:$F$64,MATCH($A31,Вводные!$A$13:$A$64,0),MATCH(EL$3,Вводные!$D$11:$F$11,0))*(1+IF(EL$4=$A31,Вводные!$D$5*INDEX(Вводные!$G$13:$G$64,MATCH($A31,Вводные!$A$13:$A$64,0)),0))</f>
        <v>0.12</v>
      </c>
      <c r="EM31" s="32" t="n">
        <f aca="false">INDEX(Вводные!$D$13:$F$64,MATCH($A31,Вводные!$A$13:$A$64,0),MATCH(EM$3,Вводные!$D$11:$F$11,0))*(1+IF(EM$4=$A31,Вводные!$D$5*INDEX(Вводные!$G$13:$G$64,MATCH($A31,Вводные!$A$13:$A$64,0)),0))</f>
        <v>0.12</v>
      </c>
      <c r="EN31" s="32" t="n">
        <f aca="false">INDEX(Вводные!$D$13:$F$64,MATCH($A31,Вводные!$A$13:$A$64,0),MATCH(EN$3,Вводные!$D$11:$F$11,0))*(1+IF(EN$4=$A31,Вводные!$D$5*INDEX(Вводные!$G$13:$G$64,MATCH($A31,Вводные!$A$13:$A$64,0)),0))</f>
        <v>0.12</v>
      </c>
      <c r="EO31" s="32" t="n">
        <f aca="false">INDEX(Вводные!$D$13:$F$64,MATCH($A31,Вводные!$A$13:$A$64,0),MATCH(EO$3,Вводные!$D$11:$F$11,0))*(1+IF(EO$4=$A31,Вводные!$D$5*INDEX(Вводные!$G$13:$G$64,MATCH($A31,Вводные!$A$13:$A$64,0)),0))</f>
        <v>0.12</v>
      </c>
      <c r="EP31" s="32" t="n">
        <f aca="false">INDEX(Вводные!$D$13:$F$64,MATCH($A31,Вводные!$A$13:$A$64,0),MATCH(EP$3,Вводные!$D$11:$F$11,0))*(1+IF(EP$4=$A31,Вводные!$D$5*INDEX(Вводные!$G$13:$G$64,MATCH($A31,Вводные!$A$13:$A$64,0)),0))</f>
        <v>0.12</v>
      </c>
      <c r="EQ31" s="32" t="n">
        <f aca="false">INDEX(Вводные!$D$13:$F$64,MATCH($A31,Вводные!$A$13:$A$64,0),MATCH(EQ$3,Вводные!$D$11:$F$11,0))*(1+IF(EQ$4=$A31,Вводные!$D$5*INDEX(Вводные!$G$13:$G$64,MATCH($A31,Вводные!$A$13:$A$64,0)),0))</f>
        <v>0.12</v>
      </c>
      <c r="ER31" s="32" t="n">
        <f aca="false">INDEX(Вводные!$D$13:$F$64,MATCH($A31,Вводные!$A$13:$A$64,0),MATCH(ER$3,Вводные!$D$11:$F$11,0))*(1+IF(ER$4=$A31,Вводные!$D$5*INDEX(Вводные!$G$13:$G$64,MATCH($A31,Вводные!$A$13:$A$64,0)),0))</f>
        <v>0.12</v>
      </c>
      <c r="ES31" s="32" t="n">
        <f aca="false">INDEX(Вводные!$D$13:$F$64,MATCH($A31,Вводные!$A$13:$A$64,0),MATCH(ES$3,Вводные!$D$11:$F$11,0))*(1+IF(ES$4=$A31,Вводные!$D$5*INDEX(Вводные!$G$13:$G$64,MATCH($A31,Вводные!$A$13:$A$64,0)),0))</f>
        <v>0.12</v>
      </c>
      <c r="ET31" s="32" t="n">
        <f aca="false">INDEX(Вводные!$D$13:$F$64,MATCH($A31,Вводные!$A$13:$A$64,0),MATCH(ET$3,Вводные!$D$11:$F$11,0))*(1+IF(ET$4=$A31,Вводные!$D$5*INDEX(Вводные!$G$13:$G$64,MATCH($A31,Вводные!$A$13:$A$64,0)),0))</f>
        <v>0.12</v>
      </c>
      <c r="EU31" s="32" t="n">
        <f aca="false">INDEX(Вводные!$D$13:$F$64,MATCH($A31,Вводные!$A$13:$A$64,0),MATCH(EU$3,Вводные!$D$11:$F$11,0))*(1+IF(EU$4=$A31,Вводные!$D$5*INDEX(Вводные!$G$13:$G$64,MATCH($A31,Вводные!$A$13:$A$64,0)),0))</f>
        <v>0.12</v>
      </c>
      <c r="EV31" s="32" t="n">
        <f aca="false">INDEX(Вводные!$D$13:$F$64,MATCH($A31,Вводные!$A$13:$A$64,0),MATCH(EV$3,Вводные!$D$11:$F$11,0))*(1+IF(EV$4=$A31,Вводные!$D$5*INDEX(Вводные!$G$13:$G$64,MATCH($A31,Вводные!$A$13:$A$64,0)),0))</f>
        <v>0.1212</v>
      </c>
      <c r="EW31" s="32" t="n">
        <f aca="false">INDEX(Вводные!$D$13:$F$64,MATCH($A31,Вводные!$A$13:$A$64,0),MATCH(EW$3,Вводные!$D$11:$F$11,0))*(1+IF(EW$4=$A31,Вводные!$D$5*INDEX(Вводные!$G$13:$G$64,MATCH($A31,Вводные!$A$13:$A$64,0)),0))</f>
        <v>0.12</v>
      </c>
      <c r="EX31" s="32" t="n">
        <f aca="false">INDEX(Вводные!$D$13:$F$64,MATCH($A31,Вводные!$A$13:$A$64,0),MATCH(EX$3,Вводные!$D$11:$F$11,0))*(1+IF(EX$4=$A31,Вводные!$D$5*INDEX(Вводные!$G$13:$G$64,MATCH($A31,Вводные!$A$13:$A$64,0)),0))</f>
        <v>0.12</v>
      </c>
      <c r="EY31" s="32" t="n">
        <f aca="false">INDEX(Вводные!$D$13:$F$64,MATCH($A31,Вводные!$A$13:$A$64,0),MATCH(EY$3,Вводные!$D$11:$F$11,0))*(1+IF(EY$4=$A31,Вводные!$D$5*INDEX(Вводные!$G$13:$G$64,MATCH($A31,Вводные!$A$13:$A$64,0)),0))</f>
        <v>0.12</v>
      </c>
      <c r="EZ31" s="32" t="n">
        <f aca="false">INDEX(Вводные!$D$13:$F$64,MATCH($A31,Вводные!$A$13:$A$64,0),MATCH(EZ$3,Вводные!$D$11:$F$11,0))*(1+IF(EZ$4=$A31,Вводные!$D$5*INDEX(Вводные!$G$13:$G$64,MATCH($A31,Вводные!$A$13:$A$64,0)),0))</f>
        <v>0.12</v>
      </c>
      <c r="FA31" s="32" t="n">
        <f aca="false">INDEX(Вводные!$D$13:$F$64,MATCH($A31,Вводные!$A$13:$A$64,0),MATCH(FA$3,Вводные!$D$11:$F$11,0))*(1+IF(FA$4=$A31,Вводные!$D$5*INDEX(Вводные!$G$13:$G$64,MATCH($A31,Вводные!$A$13:$A$64,0)),0))</f>
        <v>0.12</v>
      </c>
      <c r="FB31" s="32" t="n">
        <f aca="false">INDEX(Вводные!$D$13:$F$64,MATCH($A31,Вводные!$A$13:$A$64,0),MATCH(FB$3,Вводные!$D$11:$F$11,0))*(1+IF(FB$4=$A31,Вводные!$D$5*INDEX(Вводные!$G$13:$G$64,MATCH($A31,Вводные!$A$13:$A$64,0)),0))</f>
        <v>0.12</v>
      </c>
      <c r="FC31" s="32" t="n">
        <f aca="false">INDEX(Вводные!$D$13:$F$64,MATCH($A31,Вводные!$A$13:$A$64,0),MATCH(FC$3,Вводные!$D$11:$F$11,0))*(1+IF(FC$4=$A31,Вводные!$D$5*INDEX(Вводные!$G$13:$G$64,MATCH($A31,Вводные!$A$13:$A$64,0)),0))</f>
        <v>0.12</v>
      </c>
      <c r="FD31" s="32" t="n">
        <f aca="false">INDEX(Вводные!$D$13:$F$64,MATCH($A31,Вводные!$A$13:$A$64,0),MATCH(FD$3,Вводные!$D$11:$F$11,0))*(1+IF(FD$4=$A31,Вводные!$D$5*INDEX(Вводные!$G$13:$G$64,MATCH($A31,Вводные!$A$13:$A$64,0)),0))</f>
        <v>0.12</v>
      </c>
      <c r="FE31" s="32" t="n">
        <f aca="false">INDEX(Вводные!$D$13:$F$64,MATCH($A31,Вводные!$A$13:$A$64,0),MATCH(FE$3,Вводные!$D$11:$F$11,0))*(1+IF(FE$4=$A31,Вводные!$D$5*INDEX(Вводные!$G$13:$G$64,MATCH($A31,Вводные!$A$13:$A$64,0)),0))</f>
        <v>0.12</v>
      </c>
      <c r="FF31" s="32" t="n">
        <f aca="false">INDEX(Вводные!$D$13:$F$64,MATCH($A31,Вводные!$A$13:$A$64,0),MATCH(FF$3,Вводные!$D$11:$F$11,0))*(1+IF(FF$4=$A31,Вводные!$D$5*INDEX(Вводные!$G$13:$G$64,MATCH($A31,Вводные!$A$13:$A$64,0)),0))</f>
        <v>0.12</v>
      </c>
      <c r="FG31" s="32" t="n">
        <f aca="false">INDEX(Вводные!$D$13:$F$64,MATCH($A31,Вводные!$A$13:$A$64,0),MATCH(FG$3,Вводные!$D$11:$F$11,0))*(1+IF(FG$4=$A31,Вводные!$D$5*INDEX(Вводные!$G$13:$G$64,MATCH($A31,Вводные!$A$13:$A$64,0)),0))</f>
        <v>0.12</v>
      </c>
      <c r="FH31" s="32" t="n">
        <f aca="false">INDEX(Вводные!$D$13:$F$64,MATCH($A31,Вводные!$A$13:$A$64,0),MATCH(FH$3,Вводные!$D$11:$F$11,0))*(1+IF(FH$4=$A31,Вводные!$D$5*INDEX(Вводные!$G$13:$G$64,MATCH($A31,Вводные!$A$13:$A$64,0)),0))</f>
        <v>0.12</v>
      </c>
      <c r="FI31" s="32" t="n">
        <f aca="false">INDEX(Вводные!$D$13:$F$64,MATCH($A31,Вводные!$A$13:$A$64,0),MATCH(FI$3,Вводные!$D$11:$F$11,0))*(1+IF(FI$4=$A31,Вводные!$D$5*INDEX(Вводные!$G$13:$G$64,MATCH($A31,Вводные!$A$13:$A$64,0)),0))</f>
        <v>0.12</v>
      </c>
      <c r="FJ31" s="32" t="n">
        <f aca="false">INDEX(Вводные!$D$13:$F$64,MATCH($A31,Вводные!$A$13:$A$64,0),MATCH(FJ$3,Вводные!$D$11:$F$11,0))*(1+IF(FJ$4=$A31,Вводные!$D$5*INDEX(Вводные!$G$13:$G$64,MATCH($A31,Вводные!$A$13:$A$64,0)),0))</f>
        <v>0.12</v>
      </c>
      <c r="FK31" s="32" t="n">
        <f aca="false">INDEX(Вводные!$D$13:$F$64,MATCH($A31,Вводные!$A$13:$A$64,0),MATCH(FK$3,Вводные!$D$11:$F$11,0))*(1+IF(FK$4=$A31,Вводные!$D$5*INDEX(Вводные!$G$13:$G$64,MATCH($A31,Вводные!$A$13:$A$64,0)),0))</f>
        <v>0.12</v>
      </c>
      <c r="FL31" s="32" t="n">
        <f aca="false">INDEX(Вводные!$D$13:$F$64,MATCH($A31,Вводные!$A$13:$A$64,0),MATCH(FL$3,Вводные!$D$11:$F$11,0))*(1+IF(FL$4=$A31,Вводные!$D$5*INDEX(Вводные!$G$13:$G$64,MATCH($A31,Вводные!$A$13:$A$64,0)),0))</f>
        <v>0.12</v>
      </c>
      <c r="FM31" s="32" t="n">
        <f aca="false">INDEX(Вводные!$D$13:$F$64,MATCH($A31,Вводные!$A$13:$A$64,0),MATCH(FM$3,Вводные!$D$11:$F$11,0))*(1+IF(FM$4=$A31,Вводные!$D$5*INDEX(Вводные!$G$13:$G$64,MATCH($A31,Вводные!$A$13:$A$64,0)),0))</f>
        <v>0.12</v>
      </c>
      <c r="FN31" s="32" t="n">
        <f aca="false">INDEX(Вводные!$D$13:$F$64,MATCH($A31,Вводные!$A$13:$A$64,0),MATCH(FN$3,Вводные!$D$11:$F$11,0))*(1+IF(FN$4=$A31,Вводные!$D$5*INDEX(Вводные!$G$13:$G$64,MATCH($A31,Вводные!$A$13:$A$64,0)),0))</f>
        <v>0.12</v>
      </c>
      <c r="FO31" s="32" t="n">
        <f aca="false">INDEX(Вводные!$D$13:$F$64,MATCH($A31,Вводные!$A$13:$A$64,0),MATCH(FO$3,Вводные!$D$11:$F$11,0))*(1+IF(FO$4=$A31,Вводные!$D$5*INDEX(Вводные!$G$13:$G$64,MATCH($A31,Вводные!$A$13:$A$64,0)),0))</f>
        <v>0.12</v>
      </c>
      <c r="FP31" s="32" t="n">
        <f aca="false">INDEX(Вводные!$D$13:$F$64,MATCH($A31,Вводные!$A$13:$A$64,0),MATCH(FP$3,Вводные!$D$11:$F$11,0))*(1+IF(FP$4=$A31,Вводные!$D$5*INDEX(Вводные!$G$13:$G$64,MATCH($A31,Вводные!$A$13:$A$64,0)),0))</f>
        <v>0.12</v>
      </c>
      <c r="FQ31" s="32" t="n">
        <f aca="false">INDEX(Вводные!$D$13:$F$64,MATCH($A31,Вводные!$A$13:$A$64,0),MATCH(FQ$3,Вводные!$D$11:$F$11,0))*(1+IF(FQ$4=$A31,Вводные!$D$5*INDEX(Вводные!$G$13:$G$64,MATCH($A31,Вводные!$A$13:$A$64,0)),0))</f>
        <v>0.12</v>
      </c>
      <c r="FR31" s="32" t="n">
        <f aca="false">INDEX(Вводные!$D$13:$F$64,MATCH($A31,Вводные!$A$13:$A$64,0),MATCH(FR$3,Вводные!$D$11:$F$11,0))*(1+IF(FR$4=$A31,Вводные!$D$5*INDEX(Вводные!$G$13:$G$64,MATCH($A31,Вводные!$A$13:$A$64,0)),0))</f>
        <v>0.12</v>
      </c>
      <c r="FS31" s="32" t="n">
        <f aca="false">INDEX(Вводные!$D$13:$F$64,MATCH($A31,Вводные!$A$13:$A$64,0),MATCH(FS$3,Вводные!$D$11:$F$11,0))*(1+IF(FS$4=$A31,Вводные!$D$5*INDEX(Вводные!$G$13:$G$64,MATCH($A31,Вводные!$A$13:$A$64,0)),0))</f>
        <v>0.12</v>
      </c>
      <c r="FT31" s="32" t="n">
        <f aca="false">INDEX(Вводные!$D$13:$F$64,MATCH($A31,Вводные!$A$13:$A$64,0),MATCH(FT$3,Вводные!$D$11:$F$11,0))*(1+IF(FT$4=$A31,Вводные!$D$5*INDEX(Вводные!$G$13:$G$64,MATCH($A31,Вводные!$A$13:$A$64,0)),0))</f>
        <v>0.12</v>
      </c>
      <c r="FU31" s="32" t="n">
        <f aca="false">INDEX(Вводные!$D$13:$F$64,MATCH($A31,Вводные!$A$13:$A$64,0),MATCH(FU$3,Вводные!$D$11:$F$11,0))*(1+IF(FU$4=$A31,Вводные!$D$5*INDEX(Вводные!$G$13:$G$64,MATCH($A31,Вводные!$A$13:$A$64,0)),0))</f>
        <v>0.12</v>
      </c>
      <c r="FV31" s="32" t="n">
        <f aca="false">INDEX(Вводные!$D$13:$F$64,MATCH($A31,Вводные!$A$13:$A$64,0),MATCH(FV$3,Вводные!$D$11:$F$11,0))*(1+IF(FV$4=$A31,Вводные!$D$5*INDEX(Вводные!$G$13:$G$64,MATCH($A31,Вводные!$A$13:$A$64,0)),0))</f>
        <v>0.1</v>
      </c>
      <c r="FW31" s="32" t="n">
        <f aca="false">INDEX(Вводные!$D$13:$F$64,MATCH($A31,Вводные!$A$13:$A$64,0),MATCH(FW$3,Вводные!$D$11:$F$11,0))*(1+IF(FW$4=$A31,Вводные!$D$5*INDEX(Вводные!$G$13:$G$64,MATCH($A31,Вводные!$A$13:$A$64,0)),0))</f>
        <v>0.1</v>
      </c>
      <c r="FX31" s="32" t="n">
        <f aca="false">INDEX(Вводные!$D$13:$F$64,MATCH($A31,Вводные!$A$13:$A$64,0),MATCH(FX$3,Вводные!$D$11:$F$11,0))*(1+IF(FX$4=$A31,Вводные!$D$5*INDEX(Вводные!$G$13:$G$64,MATCH($A31,Вводные!$A$13:$A$64,0)),0))</f>
        <v>0.1</v>
      </c>
      <c r="FY31" s="32" t="n">
        <f aca="false">INDEX(Вводные!$D$13:$F$64,MATCH($A31,Вводные!$A$13:$A$64,0),MATCH(FY$3,Вводные!$D$11:$F$11,0))*(1+IF(FY$4=$A31,Вводные!$D$5*INDEX(Вводные!$G$13:$G$64,MATCH($A31,Вводные!$A$13:$A$64,0)),0))</f>
        <v>0.1</v>
      </c>
      <c r="FZ31" s="32" t="n">
        <f aca="false">INDEX(Вводные!$D$13:$F$64,MATCH($A31,Вводные!$A$13:$A$64,0),MATCH(FZ$3,Вводные!$D$11:$F$11,0))*(1+IF(FZ$4=$A31,Вводные!$D$5*INDEX(Вводные!$G$13:$G$64,MATCH($A31,Вводные!$A$13:$A$64,0)),0))</f>
        <v>0.1</v>
      </c>
      <c r="GA31" s="32" t="n">
        <f aca="false">INDEX(Вводные!$D$13:$F$64,MATCH($A31,Вводные!$A$13:$A$64,0),MATCH(GA$3,Вводные!$D$11:$F$11,0))*(1+IF(GA$4=$A31,Вводные!$D$5*INDEX(Вводные!$G$13:$G$64,MATCH($A31,Вводные!$A$13:$A$64,0)),0))</f>
        <v>0.1</v>
      </c>
      <c r="GB31" s="32" t="n">
        <f aca="false">INDEX(Вводные!$D$13:$F$64,MATCH($A31,Вводные!$A$13:$A$64,0),MATCH(GB$3,Вводные!$D$11:$F$11,0))*(1+IF(GB$4=$A31,Вводные!$D$5*INDEX(Вводные!$G$13:$G$64,MATCH($A31,Вводные!$A$13:$A$64,0)),0))</f>
        <v>0.1</v>
      </c>
      <c r="GC31" s="32" t="n">
        <f aca="false">INDEX(Вводные!$D$13:$F$64,MATCH($A31,Вводные!$A$13:$A$64,0),MATCH(GC$3,Вводные!$D$11:$F$11,0))*(1+IF(GC$4=$A31,Вводные!$D$5*INDEX(Вводные!$G$13:$G$64,MATCH($A31,Вводные!$A$13:$A$64,0)),0))</f>
        <v>0.1</v>
      </c>
      <c r="GD31" s="32" t="n">
        <f aca="false">INDEX(Вводные!$D$13:$F$64,MATCH($A31,Вводные!$A$13:$A$64,0),MATCH(GD$3,Вводные!$D$11:$F$11,0))*(1+IF(GD$4=$A31,Вводные!$D$5*INDEX(Вводные!$G$13:$G$64,MATCH($A31,Вводные!$A$13:$A$64,0)),0))</f>
        <v>0.1</v>
      </c>
      <c r="GE31" s="32" t="n">
        <f aca="false">INDEX(Вводные!$D$13:$F$64,MATCH($A31,Вводные!$A$13:$A$64,0),MATCH(GE$3,Вводные!$D$11:$F$11,0))*(1+IF(GE$4=$A31,Вводные!$D$5*INDEX(Вводные!$G$13:$G$64,MATCH($A31,Вводные!$A$13:$A$64,0)),0))</f>
        <v>0.1</v>
      </c>
      <c r="GF31" s="32" t="n">
        <f aca="false">INDEX(Вводные!$D$13:$F$64,MATCH($A31,Вводные!$A$13:$A$64,0),MATCH(GF$3,Вводные!$D$11:$F$11,0))*(1+IF(GF$4=$A31,Вводные!$D$5*INDEX(Вводные!$G$13:$G$64,MATCH($A31,Вводные!$A$13:$A$64,0)),0))</f>
        <v>0.1</v>
      </c>
      <c r="GG31" s="32" t="n">
        <f aca="false">INDEX(Вводные!$D$13:$F$64,MATCH($A31,Вводные!$A$13:$A$64,0),MATCH(GG$3,Вводные!$D$11:$F$11,0))*(1+IF(GG$4=$A31,Вводные!$D$5*INDEX(Вводные!$G$13:$G$64,MATCH($A31,Вводные!$A$13:$A$64,0)),0))</f>
        <v>0.1</v>
      </c>
      <c r="GH31" s="32" t="n">
        <f aca="false">INDEX(Вводные!$D$13:$F$64,MATCH($A31,Вводные!$A$13:$A$64,0),MATCH(GH$3,Вводные!$D$11:$F$11,0))*(1+IF(GH$4=$A31,Вводные!$D$5*INDEX(Вводные!$G$13:$G$64,MATCH($A31,Вводные!$A$13:$A$64,0)),0))</f>
        <v>0.1</v>
      </c>
      <c r="GI31" s="32" t="n">
        <f aca="false">INDEX(Вводные!$D$13:$F$64,MATCH($A31,Вводные!$A$13:$A$64,0),MATCH(GI$3,Вводные!$D$11:$F$11,0))*(1+IF(GI$4=$A31,Вводные!$D$5*INDEX(Вводные!$G$13:$G$64,MATCH($A31,Вводные!$A$13:$A$64,0)),0))</f>
        <v>0.1</v>
      </c>
      <c r="GJ31" s="32" t="n">
        <f aca="false">INDEX(Вводные!$D$13:$F$64,MATCH($A31,Вводные!$A$13:$A$64,0),MATCH(GJ$3,Вводные!$D$11:$F$11,0))*(1+IF(GJ$4=$A31,Вводные!$D$5*INDEX(Вводные!$G$13:$G$64,MATCH($A31,Вводные!$A$13:$A$64,0)),0))</f>
        <v>0.1</v>
      </c>
      <c r="GK31" s="32" t="n">
        <f aca="false">INDEX(Вводные!$D$13:$F$64,MATCH($A31,Вводные!$A$13:$A$64,0),MATCH(GK$3,Вводные!$D$11:$F$11,0))*(1+IF(GK$4=$A31,Вводные!$D$5*INDEX(Вводные!$G$13:$G$64,MATCH($A31,Вводные!$A$13:$A$64,0)),0))</f>
        <v>0.1</v>
      </c>
      <c r="GL31" s="32" t="n">
        <f aca="false">INDEX(Вводные!$D$13:$F$64,MATCH($A31,Вводные!$A$13:$A$64,0),MATCH(GL$3,Вводные!$D$11:$F$11,0))*(1+IF(GL$4=$A31,Вводные!$D$5*INDEX(Вводные!$G$13:$G$64,MATCH($A31,Вводные!$A$13:$A$64,0)),0))</f>
        <v>0.101</v>
      </c>
      <c r="GM31" s="32" t="n">
        <f aca="false">INDEX(Вводные!$D$13:$F$64,MATCH($A31,Вводные!$A$13:$A$64,0),MATCH(GM$3,Вводные!$D$11:$F$11,0))*(1+IF(GM$4=$A31,Вводные!$D$5*INDEX(Вводные!$G$13:$G$64,MATCH($A31,Вводные!$A$13:$A$64,0)),0))</f>
        <v>0.1</v>
      </c>
      <c r="GN31" s="32" t="n">
        <f aca="false">INDEX(Вводные!$D$13:$F$64,MATCH($A31,Вводные!$A$13:$A$64,0),MATCH(GN$3,Вводные!$D$11:$F$11,0))*(1+IF(GN$4=$A31,Вводные!$D$5*INDEX(Вводные!$G$13:$G$64,MATCH($A31,Вводные!$A$13:$A$64,0)),0))</f>
        <v>0.1</v>
      </c>
      <c r="GO31" s="32" t="n">
        <f aca="false">INDEX(Вводные!$D$13:$F$64,MATCH($A31,Вводные!$A$13:$A$64,0),MATCH(GO$3,Вводные!$D$11:$F$11,0))*(1+IF(GO$4=$A31,Вводные!$D$5*INDEX(Вводные!$G$13:$G$64,MATCH($A31,Вводные!$A$13:$A$64,0)),0))</f>
        <v>0.1</v>
      </c>
      <c r="GP31" s="32" t="n">
        <f aca="false">INDEX(Вводные!$D$13:$F$64,MATCH($A31,Вводные!$A$13:$A$64,0),MATCH(GP$3,Вводные!$D$11:$F$11,0))*(1+IF(GP$4=$A31,Вводные!$D$5*INDEX(Вводные!$G$13:$G$64,MATCH($A31,Вводные!$A$13:$A$64,0)),0))</f>
        <v>0.1</v>
      </c>
      <c r="GQ31" s="32" t="n">
        <f aca="false">INDEX(Вводные!$D$13:$F$64,MATCH($A31,Вводные!$A$13:$A$64,0),MATCH(GQ$3,Вводные!$D$11:$F$11,0))*(1+IF(GQ$4=$A31,Вводные!$D$5*INDEX(Вводные!$G$13:$G$64,MATCH($A31,Вводные!$A$13:$A$64,0)),0))</f>
        <v>0.1</v>
      </c>
      <c r="GR31" s="32" t="n">
        <f aca="false">INDEX(Вводные!$D$13:$F$64,MATCH($A31,Вводные!$A$13:$A$64,0),MATCH(GR$3,Вводные!$D$11:$F$11,0))*(1+IF(GR$4=$A31,Вводные!$D$5*INDEX(Вводные!$G$13:$G$64,MATCH($A31,Вводные!$A$13:$A$64,0)),0))</f>
        <v>0.1</v>
      </c>
      <c r="GS31" s="32" t="n">
        <f aca="false">INDEX(Вводные!$D$13:$F$64,MATCH($A31,Вводные!$A$13:$A$64,0),MATCH(GS$3,Вводные!$D$11:$F$11,0))*(1+IF(GS$4=$A31,Вводные!$D$5*INDEX(Вводные!$G$13:$G$64,MATCH($A31,Вводные!$A$13:$A$64,0)),0))</f>
        <v>0.1</v>
      </c>
      <c r="GT31" s="32" t="n">
        <f aca="false">INDEX(Вводные!$D$13:$F$64,MATCH($A31,Вводные!$A$13:$A$64,0),MATCH(GT$3,Вводные!$D$11:$F$11,0))*(1+IF(GT$4=$A31,Вводные!$D$5*INDEX(Вводные!$G$13:$G$64,MATCH($A31,Вводные!$A$13:$A$64,0)),0))</f>
        <v>0.1</v>
      </c>
      <c r="GU31" s="32" t="n">
        <f aca="false">INDEX(Вводные!$D$13:$F$64,MATCH($A31,Вводные!$A$13:$A$64,0),MATCH(GU$3,Вводные!$D$11:$F$11,0))*(1+IF(GU$4=$A31,Вводные!$D$5*INDEX(Вводные!$G$13:$G$64,MATCH($A31,Вводные!$A$13:$A$64,0)),0))</f>
        <v>0.1</v>
      </c>
      <c r="GV31" s="32" t="n">
        <f aca="false">INDEX(Вводные!$D$13:$F$64,MATCH($A31,Вводные!$A$13:$A$64,0),MATCH(GV$3,Вводные!$D$11:$F$11,0))*(1+IF(GV$4=$A31,Вводные!$D$5*INDEX(Вводные!$G$13:$G$64,MATCH($A31,Вводные!$A$13:$A$64,0)),0))</f>
        <v>0.1</v>
      </c>
      <c r="GW31" s="32" t="n">
        <f aca="false">INDEX(Вводные!$D$13:$F$64,MATCH($A31,Вводные!$A$13:$A$64,0),MATCH(GW$3,Вводные!$D$11:$F$11,0))*(1+IF(GW$4=$A31,Вводные!$D$5*INDEX(Вводные!$G$13:$G$64,MATCH($A31,Вводные!$A$13:$A$64,0)),0))</f>
        <v>0.1</v>
      </c>
      <c r="GX31" s="32" t="n">
        <f aca="false">INDEX(Вводные!$D$13:$F$64,MATCH($A31,Вводные!$A$13:$A$64,0),MATCH(GX$3,Вводные!$D$11:$F$11,0))*(1+IF(GX$4=$A31,Вводные!$D$5*INDEX(Вводные!$G$13:$G$64,MATCH($A31,Вводные!$A$13:$A$64,0)),0))</f>
        <v>0.1</v>
      </c>
      <c r="GY31" s="32" t="n">
        <f aca="false">INDEX(Вводные!$D$13:$F$64,MATCH($A31,Вводные!$A$13:$A$64,0),MATCH(GY$3,Вводные!$D$11:$F$11,0))*(1+IF(GY$4=$A31,Вводные!$D$5*INDEX(Вводные!$G$13:$G$64,MATCH($A31,Вводные!$A$13:$A$64,0)),0))</f>
        <v>0.1</v>
      </c>
      <c r="GZ31" s="32" t="n">
        <f aca="false">INDEX(Вводные!$D$13:$F$64,MATCH($A31,Вводные!$A$13:$A$64,0),MATCH(GZ$3,Вводные!$D$11:$F$11,0))*(1+IF(GZ$4=$A31,Вводные!$D$5*INDEX(Вводные!$G$13:$G$64,MATCH($A31,Вводные!$A$13:$A$64,0)),0))</f>
        <v>0.1</v>
      </c>
      <c r="HA31" s="32" t="n">
        <f aca="false">INDEX(Вводные!$D$13:$F$64,MATCH($A31,Вводные!$A$13:$A$64,0),MATCH(HA$3,Вводные!$D$11:$F$11,0))*(1+IF(HA$4=$A31,Вводные!$D$5*INDEX(Вводные!$G$13:$G$64,MATCH($A31,Вводные!$A$13:$A$64,0)),0))</f>
        <v>0.1</v>
      </c>
      <c r="HB31" s="32" t="n">
        <f aca="false">INDEX(Вводные!$D$13:$F$64,MATCH($A31,Вводные!$A$13:$A$64,0),MATCH(HB$3,Вводные!$D$11:$F$11,0))*(1+IF(HB$4=$A31,Вводные!$D$5*INDEX(Вводные!$G$13:$G$64,MATCH($A31,Вводные!$A$13:$A$64,0)),0))</f>
        <v>0.1</v>
      </c>
      <c r="HC31" s="32" t="n">
        <f aca="false">INDEX(Вводные!$D$13:$F$64,MATCH($A31,Вводные!$A$13:$A$64,0),MATCH(HC$3,Вводные!$D$11:$F$11,0))*(1+IF(HC$4=$A31,Вводные!$D$5*INDEX(Вводные!$G$13:$G$64,MATCH($A31,Вводные!$A$13:$A$64,0)),0))</f>
        <v>0.1</v>
      </c>
      <c r="HD31" s="32" t="n">
        <f aca="false">INDEX(Вводные!$D$13:$F$64,MATCH($A31,Вводные!$A$13:$A$64,0),MATCH(HD$3,Вводные!$D$11:$F$11,0))*(1+IF(HD$4=$A31,Вводные!$D$5*INDEX(Вводные!$G$13:$G$64,MATCH($A31,Вводные!$A$13:$A$64,0)),0))</f>
        <v>0.1</v>
      </c>
      <c r="HE31" s="32" t="n">
        <f aca="false">INDEX(Вводные!$D$13:$F$64,MATCH($A31,Вводные!$A$13:$A$64,0),MATCH(HE$3,Вводные!$D$11:$F$11,0))*(1+IF(HE$4=$A31,Вводные!$D$5*INDEX(Вводные!$G$13:$G$64,MATCH($A31,Вводные!$A$13:$A$64,0)),0))</f>
        <v>0.1</v>
      </c>
      <c r="HF31" s="32" t="n">
        <f aca="false">INDEX(Вводные!$D$13:$F$64,MATCH($A31,Вводные!$A$13:$A$64,0),MATCH(HF$3,Вводные!$D$11:$F$11,0))*(1+IF(HF$4=$A31,Вводные!$D$5*INDEX(Вводные!$G$13:$G$64,MATCH($A31,Вводные!$A$13:$A$64,0)),0))</f>
        <v>0.1</v>
      </c>
      <c r="HG31" s="32" t="n">
        <f aca="false">INDEX(Вводные!$D$13:$F$64,MATCH($A31,Вводные!$A$13:$A$64,0),MATCH(HG$3,Вводные!$D$11:$F$11,0))*(1+IF(HG$4=$A31,Вводные!$D$5*INDEX(Вводные!$G$13:$G$64,MATCH($A31,Вводные!$A$13:$A$64,0)),0))</f>
        <v>0.1</v>
      </c>
      <c r="HH31" s="32" t="n">
        <f aca="false">INDEX(Вводные!$D$13:$F$64,MATCH($A31,Вводные!$A$13:$A$64,0),MATCH(HH$3,Вводные!$D$11:$F$11,0))*(1+IF(HH$4=$A31,Вводные!$D$5*INDEX(Вводные!$G$13:$G$64,MATCH($A31,Вводные!$A$13:$A$64,0)),0))</f>
        <v>0.1</v>
      </c>
      <c r="HI31" s="32" t="n">
        <f aca="false">INDEX(Вводные!$D$13:$F$64,MATCH($A31,Вводные!$A$13:$A$64,0),MATCH(HI$3,Вводные!$D$11:$F$11,0))*(1+IF(HI$4=$A31,Вводные!$D$5*INDEX(Вводные!$G$13:$G$64,MATCH($A31,Вводные!$A$13:$A$64,0)),0))</f>
        <v>0.1</v>
      </c>
      <c r="HJ31" s="32" t="n">
        <f aca="false">INDEX(Вводные!$D$13:$F$64,MATCH($A31,Вводные!$A$13:$A$64,0),MATCH(HJ$3,Вводные!$D$11:$F$11,0))*(1+IF(HJ$4=$A31,Вводные!$D$5*INDEX(Вводные!$G$13:$G$64,MATCH($A31,Вводные!$A$13:$A$64,0)),0))</f>
        <v>0.1</v>
      </c>
      <c r="HK31" s="32" t="n">
        <f aca="false">INDEX(Вводные!$D$13:$F$64,MATCH($A31,Вводные!$A$13:$A$64,0),MATCH(HK$3,Вводные!$D$11:$F$11,0))*(1+IF(HK$4=$A31,Вводные!$D$5*INDEX(Вводные!$G$13:$G$64,MATCH($A31,Вводные!$A$13:$A$64,0)),0))</f>
        <v>0.1</v>
      </c>
      <c r="HL31" s="32" t="n">
        <f aca="false">INDEX(Вводные!$D$13:$F$64,MATCH($A31,Вводные!$A$13:$A$64,0),MATCH(HL$3,Вводные!$D$11:$F$11,0))*(1+IF(HL$4=$A31,Вводные!$D$5*INDEX(Вводные!$G$13:$G$64,MATCH($A31,Вводные!$A$13:$A$64,0)),0))</f>
        <v>0.08</v>
      </c>
      <c r="HM31" s="32" t="n">
        <f aca="false">INDEX(Вводные!$D$13:$F$64,MATCH($A31,Вводные!$A$13:$A$64,0),MATCH(HM$3,Вводные!$D$11:$F$11,0))*(1+IF(HM$4=$A31,Вводные!$D$5*INDEX(Вводные!$G$13:$G$64,MATCH($A31,Вводные!$A$13:$A$64,0)),0))</f>
        <v>0.08</v>
      </c>
      <c r="HN31" s="32" t="n">
        <f aca="false">INDEX(Вводные!$D$13:$F$64,MATCH($A31,Вводные!$A$13:$A$64,0),MATCH(HN$3,Вводные!$D$11:$F$11,0))*(1+IF(HN$4=$A31,Вводные!$D$5*INDEX(Вводные!$G$13:$G$64,MATCH($A31,Вводные!$A$13:$A$64,0)),0))</f>
        <v>0.08</v>
      </c>
      <c r="HO31" s="32" t="n">
        <f aca="false">INDEX(Вводные!$D$13:$F$64,MATCH($A31,Вводные!$A$13:$A$64,0),MATCH(HO$3,Вводные!$D$11:$F$11,0))*(1+IF(HO$4=$A31,Вводные!$D$5*INDEX(Вводные!$G$13:$G$64,MATCH($A31,Вводные!$A$13:$A$64,0)),0))</f>
        <v>0.08</v>
      </c>
      <c r="HP31" s="32" t="n">
        <f aca="false">INDEX(Вводные!$D$13:$F$64,MATCH($A31,Вводные!$A$13:$A$64,0),MATCH(HP$3,Вводные!$D$11:$F$11,0))*(1+IF(HP$4=$A31,Вводные!$D$5*INDEX(Вводные!$G$13:$G$64,MATCH($A31,Вводные!$A$13:$A$64,0)),0))</f>
        <v>0.08</v>
      </c>
      <c r="HQ31" s="32" t="n">
        <f aca="false">INDEX(Вводные!$D$13:$F$64,MATCH($A31,Вводные!$A$13:$A$64,0),MATCH(HQ$3,Вводные!$D$11:$F$11,0))*(1+IF(HQ$4=$A31,Вводные!$D$5*INDEX(Вводные!$G$13:$G$64,MATCH($A31,Вводные!$A$13:$A$64,0)),0))</f>
        <v>0.08</v>
      </c>
      <c r="HR31" s="32" t="n">
        <f aca="false">INDEX(Вводные!$D$13:$F$64,MATCH($A31,Вводные!$A$13:$A$64,0),MATCH(HR$3,Вводные!$D$11:$F$11,0))*(1+IF(HR$4=$A31,Вводные!$D$5*INDEX(Вводные!$G$13:$G$64,MATCH($A31,Вводные!$A$13:$A$64,0)),0))</f>
        <v>0.08</v>
      </c>
      <c r="HS31" s="32" t="n">
        <f aca="false">INDEX(Вводные!$D$13:$F$64,MATCH($A31,Вводные!$A$13:$A$64,0),MATCH(HS$3,Вводные!$D$11:$F$11,0))*(1+IF(HS$4=$A31,Вводные!$D$5*INDEX(Вводные!$G$13:$G$64,MATCH($A31,Вводные!$A$13:$A$64,0)),0))</f>
        <v>0.08</v>
      </c>
      <c r="HT31" s="32" t="n">
        <f aca="false">INDEX(Вводные!$D$13:$F$64,MATCH($A31,Вводные!$A$13:$A$64,0),MATCH(HT$3,Вводные!$D$11:$F$11,0))*(1+IF(HT$4=$A31,Вводные!$D$5*INDEX(Вводные!$G$13:$G$64,MATCH($A31,Вводные!$A$13:$A$64,0)),0))</f>
        <v>0.08</v>
      </c>
      <c r="HU31" s="32" t="n">
        <f aca="false">INDEX(Вводные!$D$13:$F$64,MATCH($A31,Вводные!$A$13:$A$64,0),MATCH(HU$3,Вводные!$D$11:$F$11,0))*(1+IF(HU$4=$A31,Вводные!$D$5*INDEX(Вводные!$G$13:$G$64,MATCH($A31,Вводные!$A$13:$A$64,0)),0))</f>
        <v>0.08</v>
      </c>
      <c r="HV31" s="32" t="n">
        <f aca="false">INDEX(Вводные!$D$13:$F$64,MATCH($A31,Вводные!$A$13:$A$64,0),MATCH(HV$3,Вводные!$D$11:$F$11,0))*(1+IF(HV$4=$A31,Вводные!$D$5*INDEX(Вводные!$G$13:$G$64,MATCH($A31,Вводные!$A$13:$A$64,0)),0))</f>
        <v>0.08</v>
      </c>
      <c r="HW31" s="32" t="n">
        <f aca="false">INDEX(Вводные!$D$13:$F$64,MATCH($A31,Вводные!$A$13:$A$64,0),MATCH(HW$3,Вводные!$D$11:$F$11,0))*(1+IF(HW$4=$A31,Вводные!$D$5*INDEX(Вводные!$G$13:$G$64,MATCH($A31,Вводные!$A$13:$A$64,0)),0))</f>
        <v>0.08</v>
      </c>
      <c r="HX31" s="32" t="n">
        <f aca="false">INDEX(Вводные!$D$13:$F$64,MATCH($A31,Вводные!$A$13:$A$64,0),MATCH(HX$3,Вводные!$D$11:$F$11,0))*(1+IF(HX$4=$A31,Вводные!$D$5*INDEX(Вводные!$G$13:$G$64,MATCH($A31,Вводные!$A$13:$A$64,0)),0))</f>
        <v>0.08</v>
      </c>
      <c r="HY31" s="32" t="n">
        <f aca="false">INDEX(Вводные!$D$13:$F$64,MATCH($A31,Вводные!$A$13:$A$64,0),MATCH(HY$3,Вводные!$D$11:$F$11,0))*(1+IF(HY$4=$A31,Вводные!$D$5*INDEX(Вводные!$G$13:$G$64,MATCH($A31,Вводные!$A$13:$A$64,0)),0))</f>
        <v>0.08</v>
      </c>
      <c r="HZ31" s="32" t="n">
        <f aca="false">INDEX(Вводные!$D$13:$F$64,MATCH($A31,Вводные!$A$13:$A$64,0),MATCH(HZ$3,Вводные!$D$11:$F$11,0))*(1+IF(HZ$4=$A31,Вводные!$D$5*INDEX(Вводные!$G$13:$G$64,MATCH($A31,Вводные!$A$13:$A$64,0)),0))</f>
        <v>0.08</v>
      </c>
      <c r="IA31" s="32" t="n">
        <f aca="false">INDEX(Вводные!$D$13:$F$64,MATCH($A31,Вводные!$A$13:$A$64,0),MATCH(IA$3,Вводные!$D$11:$F$11,0))*(1+IF(IA$4=$A31,Вводные!$D$5*INDEX(Вводные!$G$13:$G$64,MATCH($A31,Вводные!$A$13:$A$64,0)),0))</f>
        <v>0.08</v>
      </c>
      <c r="IB31" s="32" t="n">
        <f aca="false">INDEX(Вводные!$D$13:$F$64,MATCH($A31,Вводные!$A$13:$A$64,0),MATCH(IB$3,Вводные!$D$11:$F$11,0))*(1+IF(IB$4=$A31,Вводные!$D$5*INDEX(Вводные!$G$13:$G$64,MATCH($A31,Вводные!$A$13:$A$64,0)),0))</f>
        <v>0.0808</v>
      </c>
      <c r="IC31" s="32" t="n">
        <f aca="false">INDEX(Вводные!$D$13:$F$64,MATCH($A31,Вводные!$A$13:$A$64,0),MATCH(IC$3,Вводные!$D$11:$F$11,0))*(1+IF(IC$4=$A31,Вводные!$D$5*INDEX(Вводные!$G$13:$G$64,MATCH($A31,Вводные!$A$13:$A$64,0)),0))</f>
        <v>0.08</v>
      </c>
      <c r="ID31" s="32" t="n">
        <f aca="false">INDEX(Вводные!$D$13:$F$64,MATCH($A31,Вводные!$A$13:$A$64,0),MATCH(ID$3,Вводные!$D$11:$F$11,0))*(1+IF(ID$4=$A31,Вводные!$D$5*INDEX(Вводные!$G$13:$G$64,MATCH($A31,Вводные!$A$13:$A$64,0)),0))</f>
        <v>0.08</v>
      </c>
      <c r="IE31" s="32" t="n">
        <f aca="false">INDEX(Вводные!$D$13:$F$64,MATCH($A31,Вводные!$A$13:$A$64,0),MATCH(IE$3,Вводные!$D$11:$F$11,0))*(1+IF(IE$4=$A31,Вводные!$D$5*INDEX(Вводные!$G$13:$G$64,MATCH($A31,Вводные!$A$13:$A$64,0)),0))</f>
        <v>0.08</v>
      </c>
      <c r="IF31" s="32" t="n">
        <f aca="false">INDEX(Вводные!$D$13:$F$64,MATCH($A31,Вводные!$A$13:$A$64,0),MATCH(IF$3,Вводные!$D$11:$F$11,0))*(1+IF(IF$4=$A31,Вводные!$D$5*INDEX(Вводные!$G$13:$G$64,MATCH($A31,Вводные!$A$13:$A$64,0)),0))</f>
        <v>0.08</v>
      </c>
      <c r="IG31" s="32" t="n">
        <f aca="false">INDEX(Вводные!$D$13:$F$64,MATCH($A31,Вводные!$A$13:$A$64,0),MATCH(IG$3,Вводные!$D$11:$F$11,0))*(1+IF(IG$4=$A31,Вводные!$D$5*INDEX(Вводные!$G$13:$G$64,MATCH($A31,Вводные!$A$13:$A$64,0)),0))</f>
        <v>0.08</v>
      </c>
      <c r="IH31" s="32" t="n">
        <f aca="false">INDEX(Вводные!$D$13:$F$64,MATCH($A31,Вводные!$A$13:$A$64,0),MATCH(IH$3,Вводные!$D$11:$F$11,0))*(1+IF(IH$4=$A31,Вводные!$D$5*INDEX(Вводные!$G$13:$G$64,MATCH($A31,Вводные!$A$13:$A$64,0)),0))</f>
        <v>0.08</v>
      </c>
      <c r="II31" s="32" t="n">
        <f aca="false">INDEX(Вводные!$D$13:$F$64,MATCH($A31,Вводные!$A$13:$A$64,0),MATCH(II$3,Вводные!$D$11:$F$11,0))*(1+IF(II$4=$A31,Вводные!$D$5*INDEX(Вводные!$G$13:$G$64,MATCH($A31,Вводные!$A$13:$A$64,0)),0))</f>
        <v>0.08</v>
      </c>
      <c r="IJ31" s="32" t="n">
        <f aca="false">INDEX(Вводные!$D$13:$F$64,MATCH($A31,Вводные!$A$13:$A$64,0),MATCH(IJ$3,Вводные!$D$11:$F$11,0))*(1+IF(IJ$4=$A31,Вводные!$D$5*INDEX(Вводные!$G$13:$G$64,MATCH($A31,Вводные!$A$13:$A$64,0)),0))</f>
        <v>0.08</v>
      </c>
      <c r="IK31" s="32" t="n">
        <f aca="false">INDEX(Вводные!$D$13:$F$64,MATCH($A31,Вводные!$A$13:$A$64,0),MATCH(IK$3,Вводные!$D$11:$F$11,0))*(1+IF(IK$4=$A31,Вводные!$D$5*INDEX(Вводные!$G$13:$G$64,MATCH($A31,Вводные!$A$13:$A$64,0)),0))</f>
        <v>0.08</v>
      </c>
      <c r="IL31" s="32" t="n">
        <f aca="false">INDEX(Вводные!$D$13:$F$64,MATCH($A31,Вводные!$A$13:$A$64,0),MATCH(IL$3,Вводные!$D$11:$F$11,0))*(1+IF(IL$4=$A31,Вводные!$D$5*INDEX(Вводные!$G$13:$G$64,MATCH($A31,Вводные!$A$13:$A$64,0)),0))</f>
        <v>0.08</v>
      </c>
      <c r="IM31" s="32" t="n">
        <f aca="false">INDEX(Вводные!$D$13:$F$64,MATCH($A31,Вводные!$A$13:$A$64,0),MATCH(IM$3,Вводные!$D$11:$F$11,0))*(1+IF(IM$4=$A31,Вводные!$D$5*INDEX(Вводные!$G$13:$G$64,MATCH($A31,Вводные!$A$13:$A$64,0)),0))</f>
        <v>0.08</v>
      </c>
      <c r="IN31" s="32" t="n">
        <f aca="false">INDEX(Вводные!$D$13:$F$64,MATCH($A31,Вводные!$A$13:$A$64,0),MATCH(IN$3,Вводные!$D$11:$F$11,0))*(1+IF(IN$4=$A31,Вводные!$D$5*INDEX(Вводные!$G$13:$G$64,MATCH($A31,Вводные!$A$13:$A$64,0)),0))</f>
        <v>0.08</v>
      </c>
      <c r="IO31" s="32" t="n">
        <f aca="false">INDEX(Вводные!$D$13:$F$64,MATCH($A31,Вводные!$A$13:$A$64,0),MATCH(IO$3,Вводные!$D$11:$F$11,0))*(1+IF(IO$4=$A31,Вводные!$D$5*INDEX(Вводные!$G$13:$G$64,MATCH($A31,Вводные!$A$13:$A$64,0)),0))</f>
        <v>0.08</v>
      </c>
      <c r="IP31" s="32" t="n">
        <f aca="false">INDEX(Вводные!$D$13:$F$64,MATCH($A31,Вводные!$A$13:$A$64,0),MATCH(IP$3,Вводные!$D$11:$F$11,0))*(1+IF(IP$4=$A31,Вводные!$D$5*INDEX(Вводные!$G$13:$G$64,MATCH($A31,Вводные!$A$13:$A$64,0)),0))</f>
        <v>0.08</v>
      </c>
      <c r="IQ31" s="32" t="n">
        <f aca="false">INDEX(Вводные!$D$13:$F$64,MATCH($A31,Вводные!$A$13:$A$64,0),MATCH(IQ$3,Вводные!$D$11:$F$11,0))*(1+IF(IQ$4=$A31,Вводные!$D$5*INDEX(Вводные!$G$13:$G$64,MATCH($A31,Вводные!$A$13:$A$64,0)),0))</f>
        <v>0.08</v>
      </c>
      <c r="IR31" s="32" t="n">
        <f aca="false">INDEX(Вводные!$D$13:$F$64,MATCH($A31,Вводные!$A$13:$A$64,0),MATCH(IR$3,Вводные!$D$11:$F$11,0))*(1+IF(IR$4=$A31,Вводные!$D$5*INDEX(Вводные!$G$13:$G$64,MATCH($A31,Вводные!$A$13:$A$64,0)),0))</f>
        <v>0.08</v>
      </c>
      <c r="IS31" s="32" t="n">
        <f aca="false">INDEX(Вводные!$D$13:$F$64,MATCH($A31,Вводные!$A$13:$A$64,0),MATCH(IS$3,Вводные!$D$11:$F$11,0))*(1+IF(IS$4=$A31,Вводные!$D$5*INDEX(Вводные!$G$13:$G$64,MATCH($A31,Вводные!$A$13:$A$64,0)),0))</f>
        <v>0.08</v>
      </c>
      <c r="IT31" s="32" t="n">
        <f aca="false">INDEX(Вводные!$D$13:$F$64,MATCH($A31,Вводные!$A$13:$A$64,0),MATCH(IT$3,Вводные!$D$11:$F$11,0))*(1+IF(IT$4=$A31,Вводные!$D$5*INDEX(Вводные!$G$13:$G$64,MATCH($A31,Вводные!$A$13:$A$64,0)),0))</f>
        <v>0.08</v>
      </c>
      <c r="IU31" s="32" t="n">
        <f aca="false">INDEX(Вводные!$D$13:$F$64,MATCH($A31,Вводные!$A$13:$A$64,0),MATCH(IU$3,Вводные!$D$11:$F$11,0))*(1+IF(IU$4=$A31,Вводные!$D$5*INDEX(Вводные!$G$13:$G$64,MATCH($A31,Вводные!$A$13:$A$64,0)),0))</f>
        <v>0.08</v>
      </c>
      <c r="IV31" s="32" t="n">
        <f aca="false">INDEX(Вводные!$D$13:$F$64,MATCH($A31,Вводные!$A$13:$A$64,0),MATCH(IV$3,Вводные!$D$11:$F$11,0))*(1+IF(IV$4=$A31,Вводные!$D$5*INDEX(Вводные!$G$13:$G$64,MATCH($A31,Вводные!$A$13:$A$64,0)),0))</f>
        <v>0.08</v>
      </c>
      <c r="IW31" s="32" t="n">
        <f aca="false">INDEX(Вводные!$D$13:$F$64,MATCH($A31,Вводные!$A$13:$A$64,0),MATCH(IW$3,Вводные!$D$11:$F$11,0))*(1+IF(IW$4=$A31,Вводные!$D$5*INDEX(Вводные!$G$13:$G$64,MATCH($A31,Вводные!$A$13:$A$64,0)),0))</f>
        <v>0.08</v>
      </c>
      <c r="IX31" s="32" t="n">
        <f aca="false">INDEX(Вводные!$D$13:$F$64,MATCH($A31,Вводные!$A$13:$A$64,0),MATCH(IX$3,Вводные!$D$11:$F$11,0))*(1+IF(IX$4=$A31,Вводные!$D$5*INDEX(Вводные!$G$13:$G$64,MATCH($A31,Вводные!$A$13:$A$64,0)),0))</f>
        <v>0.08</v>
      </c>
      <c r="IY31" s="32" t="n">
        <f aca="false">INDEX(Вводные!$D$13:$F$64,MATCH($A31,Вводные!$A$13:$A$64,0),MATCH(IY$3,Вводные!$D$11:$F$11,0))*(1+IF(IY$4=$A31,Вводные!$D$5*INDEX(Вводные!$G$13:$G$64,MATCH($A31,Вводные!$A$13:$A$64,0)),0))</f>
        <v>0.08</v>
      </c>
      <c r="IZ31" s="32" t="n">
        <f aca="false">INDEX(Вводные!$D$13:$F$64,MATCH($A31,Вводные!$A$13:$A$64,0),MATCH(IZ$3,Вводные!$D$11:$F$11,0))*(1+IF(IZ$4=$A31,Вводные!$D$5*INDEX(Вводные!$G$13:$G$64,MATCH($A31,Вводные!$A$13:$A$64,0)),0))</f>
        <v>0.08</v>
      </c>
      <c r="JA31" s="32" t="n">
        <f aca="false">INDEX(Вводные!$D$13:$F$64,MATCH($A31,Вводные!$A$13:$A$64,0),MATCH(JA$3,Вводные!$D$11:$F$11,0))*(1+IF(JA$4=$A31,Вводные!$D$5*INDEX(Вводные!$G$13:$G$64,MATCH($A31,Вводные!$A$13:$A$64,0)),0))</f>
        <v>0.08</v>
      </c>
    </row>
    <row r="32" customFormat="false" ht="15" hidden="false" customHeight="false" outlineLevel="0" collapsed="false">
      <c r="A32" s="13" t="s">
        <v>207</v>
      </c>
      <c r="B32" s="13" t="s">
        <v>208</v>
      </c>
      <c r="C32" s="13" t="s">
        <v>194</v>
      </c>
      <c r="D32" s="9" t="s">
        <v>36</v>
      </c>
      <c r="E32" s="32" t="n">
        <f aca="false">INDEX(Вводные!$D$13:$F$64,MATCH($A32,Вводные!$A$13:$A$64,0),MATCH(E$3,Вводные!$D$11:$F$11,0))*(1+IF(E$4=$A32,Вводные!$D$5*INDEX(Вводные!$G$13:$G$64,MATCH($A32,Вводные!$A$13:$A$64,0)),0))</f>
        <v>0.07</v>
      </c>
      <c r="F32" s="32" t="n">
        <f aca="false">INDEX(Вводные!$D$13:$F$64,MATCH($A32,Вводные!$A$13:$A$64,0),MATCH(F$3,Вводные!$D$11:$F$11,0))*(1+IF(F$4=$A32,Вводные!$D$5*INDEX(Вводные!$G$13:$G$64,MATCH($A32,Вводные!$A$13:$A$64,0)),0))</f>
        <v>0.07</v>
      </c>
      <c r="G32" s="32" t="n">
        <f aca="false">INDEX(Вводные!$D$13:$F$64,MATCH($A32,Вводные!$A$13:$A$64,0),MATCH(G$3,Вводные!$D$11:$F$11,0))*(1+IF(G$4=$A32,Вводные!$D$5*INDEX(Вводные!$G$13:$G$64,MATCH($A32,Вводные!$A$13:$A$64,0)),0))</f>
        <v>0.065</v>
      </c>
      <c r="H32" s="60"/>
      <c r="J32" s="32" t="n">
        <f aca="false">INDEX(Вводные!$D$13:$F$64,MATCH($A32,Вводные!$A$13:$A$64,0),MATCH(J$3,Вводные!$D$11:$F$11,0))*(1+IF(J$4=$A32,Вводные!$D$5*INDEX(Вводные!$G$13:$G$64,MATCH($A32,Вводные!$A$13:$A$64,0)),0))</f>
        <v>0.07</v>
      </c>
      <c r="K32" s="32" t="n">
        <f aca="false">INDEX(Вводные!$D$13:$F$64,MATCH($A32,Вводные!$A$13:$A$64,0),MATCH(K$3,Вводные!$D$11:$F$11,0))*(1+IF(K$4=$A32,Вводные!$D$5*INDEX(Вводные!$G$13:$G$64,MATCH($A32,Вводные!$A$13:$A$64,0)),0))</f>
        <v>0.07</v>
      </c>
      <c r="L32" s="32" t="n">
        <f aca="false">INDEX(Вводные!$D$13:$F$64,MATCH($A32,Вводные!$A$13:$A$64,0),MATCH(L$3,Вводные!$D$11:$F$11,0))*(1+IF(L$4=$A32,Вводные!$D$5*INDEX(Вводные!$G$13:$G$64,MATCH($A32,Вводные!$A$13:$A$64,0)),0))</f>
        <v>0.07</v>
      </c>
      <c r="M32" s="32" t="n">
        <f aca="false">INDEX(Вводные!$D$13:$F$64,MATCH($A32,Вводные!$A$13:$A$64,0),MATCH(M$3,Вводные!$D$11:$F$11,0))*(1+IF(M$4=$A32,Вводные!$D$5*INDEX(Вводные!$G$13:$G$64,MATCH($A32,Вводные!$A$13:$A$64,0)),0))</f>
        <v>0.07</v>
      </c>
      <c r="N32" s="32" t="n">
        <f aca="false">INDEX(Вводные!$D$13:$F$64,MATCH($A32,Вводные!$A$13:$A$64,0),MATCH(N$3,Вводные!$D$11:$F$11,0))*(1+IF(N$4=$A32,Вводные!$D$5*INDEX(Вводные!$G$13:$G$64,MATCH($A32,Вводные!$A$13:$A$64,0)),0))</f>
        <v>0.07</v>
      </c>
      <c r="O32" s="32" t="n">
        <f aca="false">INDEX(Вводные!$D$13:$F$64,MATCH($A32,Вводные!$A$13:$A$64,0),MATCH(O$3,Вводные!$D$11:$F$11,0))*(1+IF(O$4=$A32,Вводные!$D$5*INDEX(Вводные!$G$13:$G$64,MATCH($A32,Вводные!$A$13:$A$64,0)),0))</f>
        <v>0.07</v>
      </c>
      <c r="P32" s="32" t="n">
        <f aca="false">INDEX(Вводные!$D$13:$F$64,MATCH($A32,Вводные!$A$13:$A$64,0),MATCH(P$3,Вводные!$D$11:$F$11,0))*(1+IF(P$4=$A32,Вводные!$D$5*INDEX(Вводные!$G$13:$G$64,MATCH($A32,Вводные!$A$13:$A$64,0)),0))</f>
        <v>0.07</v>
      </c>
      <c r="Q32" s="32" t="n">
        <f aca="false">INDEX(Вводные!$D$13:$F$64,MATCH($A32,Вводные!$A$13:$A$64,0),MATCH(Q$3,Вводные!$D$11:$F$11,0))*(1+IF(Q$4=$A32,Вводные!$D$5*INDEX(Вводные!$G$13:$G$64,MATCH($A32,Вводные!$A$13:$A$64,0)),0))</f>
        <v>0.07</v>
      </c>
      <c r="R32" s="32" t="n">
        <f aca="false">INDEX(Вводные!$D$13:$F$64,MATCH($A32,Вводные!$A$13:$A$64,0),MATCH(R$3,Вводные!$D$11:$F$11,0))*(1+IF(R$4=$A32,Вводные!$D$5*INDEX(Вводные!$G$13:$G$64,MATCH($A32,Вводные!$A$13:$A$64,0)),0))</f>
        <v>0.07</v>
      </c>
      <c r="S32" s="32" t="n">
        <f aca="false">INDEX(Вводные!$D$13:$F$64,MATCH($A32,Вводные!$A$13:$A$64,0),MATCH(S$3,Вводные!$D$11:$F$11,0))*(1+IF(S$4=$A32,Вводные!$D$5*INDEX(Вводные!$G$13:$G$64,MATCH($A32,Вводные!$A$13:$A$64,0)),0))</f>
        <v>0.07</v>
      </c>
      <c r="T32" s="32" t="n">
        <f aca="false">INDEX(Вводные!$D$13:$F$64,MATCH($A32,Вводные!$A$13:$A$64,0),MATCH(T$3,Вводные!$D$11:$F$11,0))*(1+IF(T$4=$A32,Вводные!$D$5*INDEX(Вводные!$G$13:$G$64,MATCH($A32,Вводные!$A$13:$A$64,0)),0))</f>
        <v>0.07</v>
      </c>
      <c r="U32" s="32" t="n">
        <f aca="false">INDEX(Вводные!$D$13:$F$64,MATCH($A32,Вводные!$A$13:$A$64,0),MATCH(U$3,Вводные!$D$11:$F$11,0))*(1+IF(U$4=$A32,Вводные!$D$5*INDEX(Вводные!$G$13:$G$64,MATCH($A32,Вводные!$A$13:$A$64,0)),0))</f>
        <v>0.07</v>
      </c>
      <c r="V32" s="32" t="n">
        <f aca="false">INDEX(Вводные!$D$13:$F$64,MATCH($A32,Вводные!$A$13:$A$64,0),MATCH(V$3,Вводные!$D$11:$F$11,0))*(1+IF(V$4=$A32,Вводные!$D$5*INDEX(Вводные!$G$13:$G$64,MATCH($A32,Вводные!$A$13:$A$64,0)),0))</f>
        <v>0.07</v>
      </c>
      <c r="W32" s="32" t="n">
        <f aca="false">INDEX(Вводные!$D$13:$F$64,MATCH($A32,Вводные!$A$13:$A$64,0),MATCH(W$3,Вводные!$D$11:$F$11,0))*(1+IF(W$4=$A32,Вводные!$D$5*INDEX(Вводные!$G$13:$G$64,MATCH($A32,Вводные!$A$13:$A$64,0)),0))</f>
        <v>0.07</v>
      </c>
      <c r="X32" s="32" t="n">
        <f aca="false">INDEX(Вводные!$D$13:$F$64,MATCH($A32,Вводные!$A$13:$A$64,0),MATCH(X$3,Вводные!$D$11:$F$11,0))*(1+IF(X$4=$A32,Вводные!$D$5*INDEX(Вводные!$G$13:$G$64,MATCH($A32,Вводные!$A$13:$A$64,0)),0))</f>
        <v>0.07</v>
      </c>
      <c r="Y32" s="32" t="n">
        <f aca="false">INDEX(Вводные!$D$13:$F$64,MATCH($A32,Вводные!$A$13:$A$64,0),MATCH(Y$3,Вводные!$D$11:$F$11,0))*(1+IF(Y$4=$A32,Вводные!$D$5*INDEX(Вводные!$G$13:$G$64,MATCH($A32,Вводные!$A$13:$A$64,0)),0))</f>
        <v>0.07</v>
      </c>
      <c r="Z32" s="32" t="n">
        <f aca="false">INDEX(Вводные!$D$13:$F$64,MATCH($A32,Вводные!$A$13:$A$64,0),MATCH(Z$3,Вводные!$D$11:$F$11,0))*(1+IF(Z$4=$A32,Вводные!$D$5*INDEX(Вводные!$G$13:$G$64,MATCH($A32,Вводные!$A$13:$A$64,0)),0))</f>
        <v>0.07</v>
      </c>
      <c r="AA32" s="32" t="n">
        <f aca="false">INDEX(Вводные!$D$13:$F$64,MATCH($A32,Вводные!$A$13:$A$64,0),MATCH(AA$3,Вводные!$D$11:$F$11,0))*(1+IF(AA$4=$A32,Вводные!$D$5*INDEX(Вводные!$G$13:$G$64,MATCH($A32,Вводные!$A$13:$A$64,0)),0))</f>
        <v>0.0693</v>
      </c>
      <c r="AB32" s="32" t="n">
        <f aca="false">INDEX(Вводные!$D$13:$F$64,MATCH($A32,Вводные!$A$13:$A$64,0),MATCH(AB$3,Вводные!$D$11:$F$11,0))*(1+IF(AB$4=$A32,Вводные!$D$5*INDEX(Вводные!$G$13:$G$64,MATCH($A32,Вводные!$A$13:$A$64,0)),0))</f>
        <v>0.07</v>
      </c>
      <c r="AC32" s="32" t="n">
        <f aca="false">INDEX(Вводные!$D$13:$F$64,MATCH($A32,Вводные!$A$13:$A$64,0),MATCH(AC$3,Вводные!$D$11:$F$11,0))*(1+IF(AC$4=$A32,Вводные!$D$5*INDEX(Вводные!$G$13:$G$64,MATCH($A32,Вводные!$A$13:$A$64,0)),0))</f>
        <v>0.07</v>
      </c>
      <c r="AD32" s="32" t="n">
        <f aca="false">INDEX(Вводные!$D$13:$F$64,MATCH($A32,Вводные!$A$13:$A$64,0),MATCH(AD$3,Вводные!$D$11:$F$11,0))*(1+IF(AD$4=$A32,Вводные!$D$5*INDEX(Вводные!$G$13:$G$64,MATCH($A32,Вводные!$A$13:$A$64,0)),0))</f>
        <v>0.07</v>
      </c>
      <c r="AE32" s="32" t="n">
        <f aca="false">INDEX(Вводные!$D$13:$F$64,MATCH($A32,Вводные!$A$13:$A$64,0),MATCH(AE$3,Вводные!$D$11:$F$11,0))*(1+IF(AE$4=$A32,Вводные!$D$5*INDEX(Вводные!$G$13:$G$64,MATCH($A32,Вводные!$A$13:$A$64,0)),0))</f>
        <v>0.07</v>
      </c>
      <c r="AF32" s="32" t="n">
        <f aca="false">INDEX(Вводные!$D$13:$F$64,MATCH($A32,Вводные!$A$13:$A$64,0),MATCH(AF$3,Вводные!$D$11:$F$11,0))*(1+IF(AF$4=$A32,Вводные!$D$5*INDEX(Вводные!$G$13:$G$64,MATCH($A32,Вводные!$A$13:$A$64,0)),0))</f>
        <v>0.07</v>
      </c>
      <c r="AG32" s="32" t="n">
        <f aca="false">INDEX(Вводные!$D$13:$F$64,MATCH($A32,Вводные!$A$13:$A$64,0),MATCH(AG$3,Вводные!$D$11:$F$11,0))*(1+IF(AG$4=$A32,Вводные!$D$5*INDEX(Вводные!$G$13:$G$64,MATCH($A32,Вводные!$A$13:$A$64,0)),0))</f>
        <v>0.07</v>
      </c>
      <c r="AH32" s="32" t="n">
        <f aca="false">INDEX(Вводные!$D$13:$F$64,MATCH($A32,Вводные!$A$13:$A$64,0),MATCH(AH$3,Вводные!$D$11:$F$11,0))*(1+IF(AH$4=$A32,Вводные!$D$5*INDEX(Вводные!$G$13:$G$64,MATCH($A32,Вводные!$A$13:$A$64,0)),0))</f>
        <v>0.07</v>
      </c>
      <c r="AI32" s="32" t="n">
        <f aca="false">INDEX(Вводные!$D$13:$F$64,MATCH($A32,Вводные!$A$13:$A$64,0),MATCH(AI$3,Вводные!$D$11:$F$11,0))*(1+IF(AI$4=$A32,Вводные!$D$5*INDEX(Вводные!$G$13:$G$64,MATCH($A32,Вводные!$A$13:$A$64,0)),0))</f>
        <v>0.07</v>
      </c>
      <c r="AJ32" s="32" t="n">
        <f aca="false">INDEX(Вводные!$D$13:$F$64,MATCH($A32,Вводные!$A$13:$A$64,0),MATCH(AJ$3,Вводные!$D$11:$F$11,0))*(1+IF(AJ$4=$A32,Вводные!$D$5*INDEX(Вводные!$G$13:$G$64,MATCH($A32,Вводные!$A$13:$A$64,0)),0))</f>
        <v>0.07</v>
      </c>
      <c r="AK32" s="32" t="n">
        <f aca="false">INDEX(Вводные!$D$13:$F$64,MATCH($A32,Вводные!$A$13:$A$64,0),MATCH(AK$3,Вводные!$D$11:$F$11,0))*(1+IF(AK$4=$A32,Вводные!$D$5*INDEX(Вводные!$G$13:$G$64,MATCH($A32,Вводные!$A$13:$A$64,0)),0))</f>
        <v>0.07</v>
      </c>
      <c r="AL32" s="32" t="n">
        <f aca="false">INDEX(Вводные!$D$13:$F$64,MATCH($A32,Вводные!$A$13:$A$64,0),MATCH(AL$3,Вводные!$D$11:$F$11,0))*(1+IF(AL$4=$A32,Вводные!$D$5*INDEX(Вводные!$G$13:$G$64,MATCH($A32,Вводные!$A$13:$A$64,0)),0))</f>
        <v>0.07</v>
      </c>
      <c r="AM32" s="32" t="n">
        <f aca="false">INDEX(Вводные!$D$13:$F$64,MATCH($A32,Вводные!$A$13:$A$64,0),MATCH(AM$3,Вводные!$D$11:$F$11,0))*(1+IF(AM$4=$A32,Вводные!$D$5*INDEX(Вводные!$G$13:$G$64,MATCH($A32,Вводные!$A$13:$A$64,0)),0))</f>
        <v>0.07</v>
      </c>
      <c r="AN32" s="32" t="n">
        <f aca="false">INDEX(Вводные!$D$13:$F$64,MATCH($A32,Вводные!$A$13:$A$64,0),MATCH(AN$3,Вводные!$D$11:$F$11,0))*(1+IF(AN$4=$A32,Вводные!$D$5*INDEX(Вводные!$G$13:$G$64,MATCH($A32,Вводные!$A$13:$A$64,0)),0))</f>
        <v>0.07</v>
      </c>
      <c r="AO32" s="32" t="n">
        <f aca="false">INDEX(Вводные!$D$13:$F$64,MATCH($A32,Вводные!$A$13:$A$64,0),MATCH(AO$3,Вводные!$D$11:$F$11,0))*(1+IF(AO$4=$A32,Вводные!$D$5*INDEX(Вводные!$G$13:$G$64,MATCH($A32,Вводные!$A$13:$A$64,0)),0))</f>
        <v>0.07</v>
      </c>
      <c r="AP32" s="32" t="n">
        <f aca="false">INDEX(Вводные!$D$13:$F$64,MATCH($A32,Вводные!$A$13:$A$64,0),MATCH(AP$3,Вводные!$D$11:$F$11,0))*(1+IF(AP$4=$A32,Вводные!$D$5*INDEX(Вводные!$G$13:$G$64,MATCH($A32,Вводные!$A$13:$A$64,0)),0))</f>
        <v>0.07</v>
      </c>
      <c r="AQ32" s="32" t="n">
        <f aca="false">INDEX(Вводные!$D$13:$F$64,MATCH($A32,Вводные!$A$13:$A$64,0),MATCH(AQ$3,Вводные!$D$11:$F$11,0))*(1+IF(AQ$4=$A32,Вводные!$D$5*INDEX(Вводные!$G$13:$G$64,MATCH($A32,Вводные!$A$13:$A$64,0)),0))</f>
        <v>0.07</v>
      </c>
      <c r="AR32" s="32" t="n">
        <f aca="false">INDEX(Вводные!$D$13:$F$64,MATCH($A32,Вводные!$A$13:$A$64,0),MATCH(AR$3,Вводные!$D$11:$F$11,0))*(1+IF(AR$4=$A32,Вводные!$D$5*INDEX(Вводные!$G$13:$G$64,MATCH($A32,Вводные!$A$13:$A$64,0)),0))</f>
        <v>0.07</v>
      </c>
      <c r="AS32" s="32" t="n">
        <f aca="false">INDEX(Вводные!$D$13:$F$64,MATCH($A32,Вводные!$A$13:$A$64,0),MATCH(AS$3,Вводные!$D$11:$F$11,0))*(1+IF(AS$4=$A32,Вводные!$D$5*INDEX(Вводные!$G$13:$G$64,MATCH($A32,Вводные!$A$13:$A$64,0)),0))</f>
        <v>0.07</v>
      </c>
      <c r="AT32" s="32" t="n">
        <f aca="false">INDEX(Вводные!$D$13:$F$64,MATCH($A32,Вводные!$A$13:$A$64,0),MATCH(AT$3,Вводные!$D$11:$F$11,0))*(1+IF(AT$4=$A32,Вводные!$D$5*INDEX(Вводные!$G$13:$G$64,MATCH($A32,Вводные!$A$13:$A$64,0)),0))</f>
        <v>0.07</v>
      </c>
      <c r="AU32" s="32" t="n">
        <f aca="false">INDEX(Вводные!$D$13:$F$64,MATCH($A32,Вводные!$A$13:$A$64,0),MATCH(AU$3,Вводные!$D$11:$F$11,0))*(1+IF(AU$4=$A32,Вводные!$D$5*INDEX(Вводные!$G$13:$G$64,MATCH($A32,Вводные!$A$13:$A$64,0)),0))</f>
        <v>0.07</v>
      </c>
      <c r="AV32" s="32" t="n">
        <f aca="false">INDEX(Вводные!$D$13:$F$64,MATCH($A32,Вводные!$A$13:$A$64,0),MATCH(AV$3,Вводные!$D$11:$F$11,0))*(1+IF(AV$4=$A32,Вводные!$D$5*INDEX(Вводные!$G$13:$G$64,MATCH($A32,Вводные!$A$13:$A$64,0)),0))</f>
        <v>0.07</v>
      </c>
      <c r="AW32" s="32" t="n">
        <f aca="false">INDEX(Вводные!$D$13:$F$64,MATCH($A32,Вводные!$A$13:$A$64,0),MATCH(AW$3,Вводные!$D$11:$F$11,0))*(1+IF(AW$4=$A32,Вводные!$D$5*INDEX(Вводные!$G$13:$G$64,MATCH($A32,Вводные!$A$13:$A$64,0)),0))</f>
        <v>0.07</v>
      </c>
      <c r="AX32" s="32" t="n">
        <f aca="false">INDEX(Вводные!$D$13:$F$64,MATCH($A32,Вводные!$A$13:$A$64,0),MATCH(AX$3,Вводные!$D$11:$F$11,0))*(1+IF(AX$4=$A32,Вводные!$D$5*INDEX(Вводные!$G$13:$G$64,MATCH($A32,Вводные!$A$13:$A$64,0)),0))</f>
        <v>0.07</v>
      </c>
      <c r="AY32" s="32" t="n">
        <f aca="false">INDEX(Вводные!$D$13:$F$64,MATCH($A32,Вводные!$A$13:$A$64,0),MATCH(AY$3,Вводные!$D$11:$F$11,0))*(1+IF(AY$4=$A32,Вводные!$D$5*INDEX(Вводные!$G$13:$G$64,MATCH($A32,Вводные!$A$13:$A$64,0)),0))</f>
        <v>0.07</v>
      </c>
      <c r="AZ32" s="32" t="n">
        <f aca="false">INDEX(Вводные!$D$13:$F$64,MATCH($A32,Вводные!$A$13:$A$64,0),MATCH(AZ$3,Вводные!$D$11:$F$11,0))*(1+IF(AZ$4=$A32,Вводные!$D$5*INDEX(Вводные!$G$13:$G$64,MATCH($A32,Вводные!$A$13:$A$64,0)),0))</f>
        <v>0.07</v>
      </c>
      <c r="BA32" s="32" t="n">
        <f aca="false">INDEX(Вводные!$D$13:$F$64,MATCH($A32,Вводные!$A$13:$A$64,0),MATCH(BA$3,Вводные!$D$11:$F$11,0))*(1+IF(BA$4=$A32,Вводные!$D$5*INDEX(Вводные!$G$13:$G$64,MATCH($A32,Вводные!$A$13:$A$64,0)),0))</f>
        <v>0.07</v>
      </c>
      <c r="BB32" s="32" t="n">
        <f aca="false">INDEX(Вводные!$D$13:$F$64,MATCH($A32,Вводные!$A$13:$A$64,0),MATCH(BB$3,Вводные!$D$11:$F$11,0))*(1+IF(BB$4=$A32,Вводные!$D$5*INDEX(Вводные!$G$13:$G$64,MATCH($A32,Вводные!$A$13:$A$64,0)),0))</f>
        <v>0.07</v>
      </c>
      <c r="BC32" s="32" t="n">
        <f aca="false">INDEX(Вводные!$D$13:$F$64,MATCH($A32,Вводные!$A$13:$A$64,0),MATCH(BC$3,Вводные!$D$11:$F$11,0))*(1+IF(BC$4=$A32,Вводные!$D$5*INDEX(Вводные!$G$13:$G$64,MATCH($A32,Вводные!$A$13:$A$64,0)),0))</f>
        <v>0.07</v>
      </c>
      <c r="BD32" s="32" t="n">
        <f aca="false">INDEX(Вводные!$D$13:$F$64,MATCH($A32,Вводные!$A$13:$A$64,0),MATCH(BD$3,Вводные!$D$11:$F$11,0))*(1+IF(BD$4=$A32,Вводные!$D$5*INDEX(Вводные!$G$13:$G$64,MATCH($A32,Вводные!$A$13:$A$64,0)),0))</f>
        <v>0.07</v>
      </c>
      <c r="BE32" s="32" t="n">
        <f aca="false">INDEX(Вводные!$D$13:$F$64,MATCH($A32,Вводные!$A$13:$A$64,0),MATCH(BE$3,Вводные!$D$11:$F$11,0))*(1+IF(BE$4=$A32,Вводные!$D$5*INDEX(Вводные!$G$13:$G$64,MATCH($A32,Вводные!$A$13:$A$64,0)),0))</f>
        <v>0.07</v>
      </c>
      <c r="BF32" s="32" t="n">
        <f aca="false">INDEX(Вводные!$D$13:$F$64,MATCH($A32,Вводные!$A$13:$A$64,0),MATCH(BF$3,Вводные!$D$11:$F$11,0))*(1+IF(BF$4=$A32,Вводные!$D$5*INDEX(Вводные!$G$13:$G$64,MATCH($A32,Вводные!$A$13:$A$64,0)),0))</f>
        <v>0.07</v>
      </c>
      <c r="BG32" s="32" t="n">
        <f aca="false">INDEX(Вводные!$D$13:$F$64,MATCH($A32,Вводные!$A$13:$A$64,0),MATCH(BG$3,Вводные!$D$11:$F$11,0))*(1+IF(BG$4=$A32,Вводные!$D$5*INDEX(Вводные!$G$13:$G$64,MATCH($A32,Вводные!$A$13:$A$64,0)),0))</f>
        <v>0.07</v>
      </c>
      <c r="BH32" s="32" t="n">
        <f aca="false">INDEX(Вводные!$D$13:$F$64,MATCH($A32,Вводные!$A$13:$A$64,0),MATCH(BH$3,Вводные!$D$11:$F$11,0))*(1+IF(BH$4=$A32,Вводные!$D$5*INDEX(Вводные!$G$13:$G$64,MATCH($A32,Вводные!$A$13:$A$64,0)),0))</f>
        <v>0.07</v>
      </c>
      <c r="BI32" s="32" t="n">
        <f aca="false">INDEX(Вводные!$D$13:$F$64,MATCH($A32,Вводные!$A$13:$A$64,0),MATCH(BI$3,Вводные!$D$11:$F$11,0))*(1+IF(BI$4=$A32,Вводные!$D$5*INDEX(Вводные!$G$13:$G$64,MATCH($A32,Вводные!$A$13:$A$64,0)),0))</f>
        <v>0.07</v>
      </c>
      <c r="BJ32" s="32" t="n">
        <f aca="false">INDEX(Вводные!$D$13:$F$64,MATCH($A32,Вводные!$A$13:$A$64,0),MATCH(BJ$3,Вводные!$D$11:$F$11,0))*(1+IF(BJ$4=$A32,Вводные!$D$5*INDEX(Вводные!$G$13:$G$64,MATCH($A32,Вводные!$A$13:$A$64,0)),0))</f>
        <v>0.07</v>
      </c>
      <c r="BK32" s="32" t="n">
        <f aca="false">INDEX(Вводные!$D$13:$F$64,MATCH($A32,Вводные!$A$13:$A$64,0),MATCH(BK$3,Вводные!$D$11:$F$11,0))*(1+IF(BK$4=$A32,Вводные!$D$5*INDEX(Вводные!$G$13:$G$64,MATCH($A32,Вводные!$A$13:$A$64,0)),0))</f>
        <v>0.07</v>
      </c>
      <c r="BL32" s="32" t="n">
        <f aca="false">INDEX(Вводные!$D$13:$F$64,MATCH($A32,Вводные!$A$13:$A$64,0),MATCH(BL$3,Вводные!$D$11:$F$11,0))*(1+IF(BL$4=$A32,Вводные!$D$5*INDEX(Вводные!$G$13:$G$64,MATCH($A32,Вводные!$A$13:$A$64,0)),0))</f>
        <v>0.07</v>
      </c>
      <c r="BM32" s="32" t="n">
        <f aca="false">INDEX(Вводные!$D$13:$F$64,MATCH($A32,Вводные!$A$13:$A$64,0),MATCH(BM$3,Вводные!$D$11:$F$11,0))*(1+IF(BM$4=$A32,Вводные!$D$5*INDEX(Вводные!$G$13:$G$64,MATCH($A32,Вводные!$A$13:$A$64,0)),0))</f>
        <v>0.07</v>
      </c>
      <c r="BN32" s="32" t="n">
        <f aca="false">INDEX(Вводные!$D$13:$F$64,MATCH($A32,Вводные!$A$13:$A$64,0),MATCH(BN$3,Вводные!$D$11:$F$11,0))*(1+IF(BN$4=$A32,Вводные!$D$5*INDEX(Вводные!$G$13:$G$64,MATCH($A32,Вводные!$A$13:$A$64,0)),0))</f>
        <v>0.07</v>
      </c>
      <c r="BO32" s="32" t="n">
        <f aca="false">INDEX(Вводные!$D$13:$F$64,MATCH($A32,Вводные!$A$13:$A$64,0),MATCH(BO$3,Вводные!$D$11:$F$11,0))*(1+IF(BO$4=$A32,Вводные!$D$5*INDEX(Вводные!$G$13:$G$64,MATCH($A32,Вводные!$A$13:$A$64,0)),0))</f>
        <v>0.07</v>
      </c>
      <c r="BP32" s="32" t="n">
        <f aca="false">INDEX(Вводные!$D$13:$F$64,MATCH($A32,Вводные!$A$13:$A$64,0),MATCH(BP$3,Вводные!$D$11:$F$11,0))*(1+IF(BP$4=$A32,Вводные!$D$5*INDEX(Вводные!$G$13:$G$64,MATCH($A32,Вводные!$A$13:$A$64,0)),0))</f>
        <v>0.07</v>
      </c>
      <c r="BQ32" s="32" t="n">
        <f aca="false">INDEX(Вводные!$D$13:$F$64,MATCH($A32,Вводные!$A$13:$A$64,0),MATCH(BQ$3,Вводные!$D$11:$F$11,0))*(1+IF(BQ$4=$A32,Вводные!$D$5*INDEX(Вводные!$G$13:$G$64,MATCH($A32,Вводные!$A$13:$A$64,0)),0))</f>
        <v>0.0693</v>
      </c>
      <c r="BR32" s="32" t="n">
        <f aca="false">INDEX(Вводные!$D$13:$F$64,MATCH($A32,Вводные!$A$13:$A$64,0),MATCH(BR$3,Вводные!$D$11:$F$11,0))*(1+IF(BR$4=$A32,Вводные!$D$5*INDEX(Вводные!$G$13:$G$64,MATCH($A32,Вводные!$A$13:$A$64,0)),0))</f>
        <v>0.07</v>
      </c>
      <c r="BS32" s="32" t="n">
        <f aca="false">INDEX(Вводные!$D$13:$F$64,MATCH($A32,Вводные!$A$13:$A$64,0),MATCH(BS$3,Вводные!$D$11:$F$11,0))*(1+IF(BS$4=$A32,Вводные!$D$5*INDEX(Вводные!$G$13:$G$64,MATCH($A32,Вводные!$A$13:$A$64,0)),0))</f>
        <v>0.07</v>
      </c>
      <c r="BT32" s="32" t="n">
        <f aca="false">INDEX(Вводные!$D$13:$F$64,MATCH($A32,Вводные!$A$13:$A$64,0),MATCH(BT$3,Вводные!$D$11:$F$11,0))*(1+IF(BT$4=$A32,Вводные!$D$5*INDEX(Вводные!$G$13:$G$64,MATCH($A32,Вводные!$A$13:$A$64,0)),0))</f>
        <v>0.07</v>
      </c>
      <c r="BU32" s="32" t="n">
        <f aca="false">INDEX(Вводные!$D$13:$F$64,MATCH($A32,Вводные!$A$13:$A$64,0),MATCH(BU$3,Вводные!$D$11:$F$11,0))*(1+IF(BU$4=$A32,Вводные!$D$5*INDEX(Вводные!$G$13:$G$64,MATCH($A32,Вводные!$A$13:$A$64,0)),0))</f>
        <v>0.07</v>
      </c>
      <c r="BV32" s="32" t="n">
        <f aca="false">INDEX(Вводные!$D$13:$F$64,MATCH($A32,Вводные!$A$13:$A$64,0),MATCH(BV$3,Вводные!$D$11:$F$11,0))*(1+IF(BV$4=$A32,Вводные!$D$5*INDEX(Вводные!$G$13:$G$64,MATCH($A32,Вводные!$A$13:$A$64,0)),0))</f>
        <v>0.07</v>
      </c>
      <c r="BW32" s="32" t="n">
        <f aca="false">INDEX(Вводные!$D$13:$F$64,MATCH($A32,Вводные!$A$13:$A$64,0),MATCH(BW$3,Вводные!$D$11:$F$11,0))*(1+IF(BW$4=$A32,Вводные!$D$5*INDEX(Вводные!$G$13:$G$64,MATCH($A32,Вводные!$A$13:$A$64,0)),0))</f>
        <v>0.07</v>
      </c>
      <c r="BX32" s="32" t="n">
        <f aca="false">INDEX(Вводные!$D$13:$F$64,MATCH($A32,Вводные!$A$13:$A$64,0),MATCH(BX$3,Вводные!$D$11:$F$11,0))*(1+IF(BX$4=$A32,Вводные!$D$5*INDEX(Вводные!$G$13:$G$64,MATCH($A32,Вводные!$A$13:$A$64,0)),0))</f>
        <v>0.07</v>
      </c>
      <c r="BY32" s="32" t="n">
        <f aca="false">INDEX(Вводные!$D$13:$F$64,MATCH($A32,Вводные!$A$13:$A$64,0),MATCH(BY$3,Вводные!$D$11:$F$11,0))*(1+IF(BY$4=$A32,Вводные!$D$5*INDEX(Вводные!$G$13:$G$64,MATCH($A32,Вводные!$A$13:$A$64,0)),0))</f>
        <v>0.07</v>
      </c>
      <c r="BZ32" s="32" t="n">
        <f aca="false">INDEX(Вводные!$D$13:$F$64,MATCH($A32,Вводные!$A$13:$A$64,0),MATCH(BZ$3,Вводные!$D$11:$F$11,0))*(1+IF(BZ$4=$A32,Вводные!$D$5*INDEX(Вводные!$G$13:$G$64,MATCH($A32,Вводные!$A$13:$A$64,0)),0))</f>
        <v>0.07</v>
      </c>
      <c r="CA32" s="32" t="n">
        <f aca="false">INDEX(Вводные!$D$13:$F$64,MATCH($A32,Вводные!$A$13:$A$64,0),MATCH(CA$3,Вводные!$D$11:$F$11,0))*(1+IF(CA$4=$A32,Вводные!$D$5*INDEX(Вводные!$G$13:$G$64,MATCH($A32,Вводные!$A$13:$A$64,0)),0))</f>
        <v>0.07</v>
      </c>
      <c r="CB32" s="32" t="n">
        <f aca="false">INDEX(Вводные!$D$13:$F$64,MATCH($A32,Вводные!$A$13:$A$64,0),MATCH(CB$3,Вводные!$D$11:$F$11,0))*(1+IF(CB$4=$A32,Вводные!$D$5*INDEX(Вводные!$G$13:$G$64,MATCH($A32,Вводные!$A$13:$A$64,0)),0))</f>
        <v>0.07</v>
      </c>
      <c r="CC32" s="32" t="n">
        <f aca="false">INDEX(Вводные!$D$13:$F$64,MATCH($A32,Вводные!$A$13:$A$64,0),MATCH(CC$3,Вводные!$D$11:$F$11,0))*(1+IF(CC$4=$A32,Вводные!$D$5*INDEX(Вводные!$G$13:$G$64,MATCH($A32,Вводные!$A$13:$A$64,0)),0))</f>
        <v>0.07</v>
      </c>
      <c r="CD32" s="32" t="n">
        <f aca="false">INDEX(Вводные!$D$13:$F$64,MATCH($A32,Вводные!$A$13:$A$64,0),MATCH(CD$3,Вводные!$D$11:$F$11,0))*(1+IF(CD$4=$A32,Вводные!$D$5*INDEX(Вводные!$G$13:$G$64,MATCH($A32,Вводные!$A$13:$A$64,0)),0))</f>
        <v>0.07</v>
      </c>
      <c r="CE32" s="32" t="n">
        <f aca="false">INDEX(Вводные!$D$13:$F$64,MATCH($A32,Вводные!$A$13:$A$64,0),MATCH(CE$3,Вводные!$D$11:$F$11,0))*(1+IF(CE$4=$A32,Вводные!$D$5*INDEX(Вводные!$G$13:$G$64,MATCH($A32,Вводные!$A$13:$A$64,0)),0))</f>
        <v>0.07</v>
      </c>
      <c r="CF32" s="32" t="n">
        <f aca="false">INDEX(Вводные!$D$13:$F$64,MATCH($A32,Вводные!$A$13:$A$64,0),MATCH(CF$3,Вводные!$D$11:$F$11,0))*(1+IF(CF$4=$A32,Вводные!$D$5*INDEX(Вводные!$G$13:$G$64,MATCH($A32,Вводные!$A$13:$A$64,0)),0))</f>
        <v>0.07</v>
      </c>
      <c r="CG32" s="32" t="n">
        <f aca="false">INDEX(Вводные!$D$13:$F$64,MATCH($A32,Вводные!$A$13:$A$64,0),MATCH(CG$3,Вводные!$D$11:$F$11,0))*(1+IF(CG$4=$A32,Вводные!$D$5*INDEX(Вводные!$G$13:$G$64,MATCH($A32,Вводные!$A$13:$A$64,0)),0))</f>
        <v>0.07</v>
      </c>
      <c r="CH32" s="32" t="n">
        <f aca="false">INDEX(Вводные!$D$13:$F$64,MATCH($A32,Вводные!$A$13:$A$64,0),MATCH(CH$3,Вводные!$D$11:$F$11,0))*(1+IF(CH$4=$A32,Вводные!$D$5*INDEX(Вводные!$G$13:$G$64,MATCH($A32,Вводные!$A$13:$A$64,0)),0))</f>
        <v>0.07</v>
      </c>
      <c r="CI32" s="32" t="n">
        <f aca="false">INDEX(Вводные!$D$13:$F$64,MATCH($A32,Вводные!$A$13:$A$64,0),MATCH(CI$3,Вводные!$D$11:$F$11,0))*(1+IF(CI$4=$A32,Вводные!$D$5*INDEX(Вводные!$G$13:$G$64,MATCH($A32,Вводные!$A$13:$A$64,0)),0))</f>
        <v>0.07</v>
      </c>
      <c r="CJ32" s="32" t="n">
        <f aca="false">INDEX(Вводные!$D$13:$F$64,MATCH($A32,Вводные!$A$13:$A$64,0),MATCH(CJ$3,Вводные!$D$11:$F$11,0))*(1+IF(CJ$4=$A32,Вводные!$D$5*INDEX(Вводные!$G$13:$G$64,MATCH($A32,Вводные!$A$13:$A$64,0)),0))</f>
        <v>0.07</v>
      </c>
      <c r="CK32" s="32" t="n">
        <f aca="false">INDEX(Вводные!$D$13:$F$64,MATCH($A32,Вводные!$A$13:$A$64,0),MATCH(CK$3,Вводные!$D$11:$F$11,0))*(1+IF(CK$4=$A32,Вводные!$D$5*INDEX(Вводные!$G$13:$G$64,MATCH($A32,Вводные!$A$13:$A$64,0)),0))</f>
        <v>0.07</v>
      </c>
      <c r="CL32" s="32" t="n">
        <f aca="false">INDEX(Вводные!$D$13:$F$64,MATCH($A32,Вводные!$A$13:$A$64,0),MATCH(CL$3,Вводные!$D$11:$F$11,0))*(1+IF(CL$4=$A32,Вводные!$D$5*INDEX(Вводные!$G$13:$G$64,MATCH($A32,Вводные!$A$13:$A$64,0)),0))</f>
        <v>0.07</v>
      </c>
      <c r="CM32" s="32" t="n">
        <f aca="false">INDEX(Вводные!$D$13:$F$64,MATCH($A32,Вводные!$A$13:$A$64,0),MATCH(CM$3,Вводные!$D$11:$F$11,0))*(1+IF(CM$4=$A32,Вводные!$D$5*INDEX(Вводные!$G$13:$G$64,MATCH($A32,Вводные!$A$13:$A$64,0)),0))</f>
        <v>0.07</v>
      </c>
      <c r="CN32" s="32" t="n">
        <f aca="false">INDEX(Вводные!$D$13:$F$64,MATCH($A32,Вводные!$A$13:$A$64,0),MATCH(CN$3,Вводные!$D$11:$F$11,0))*(1+IF(CN$4=$A32,Вводные!$D$5*INDEX(Вводные!$G$13:$G$64,MATCH($A32,Вводные!$A$13:$A$64,0)),0))</f>
        <v>0.07</v>
      </c>
      <c r="CO32" s="32" t="n">
        <f aca="false">INDEX(Вводные!$D$13:$F$64,MATCH($A32,Вводные!$A$13:$A$64,0),MATCH(CO$3,Вводные!$D$11:$F$11,0))*(1+IF(CO$4=$A32,Вводные!$D$5*INDEX(Вводные!$G$13:$G$64,MATCH($A32,Вводные!$A$13:$A$64,0)),0))</f>
        <v>0.07</v>
      </c>
      <c r="CP32" s="32" t="n">
        <f aca="false">INDEX(Вводные!$D$13:$F$64,MATCH($A32,Вводные!$A$13:$A$64,0),MATCH(CP$3,Вводные!$D$11:$F$11,0))*(1+IF(CP$4=$A32,Вводные!$D$5*INDEX(Вводные!$G$13:$G$64,MATCH($A32,Вводные!$A$13:$A$64,0)),0))</f>
        <v>0.065</v>
      </c>
      <c r="CQ32" s="32" t="n">
        <f aca="false">INDEX(Вводные!$D$13:$F$64,MATCH($A32,Вводные!$A$13:$A$64,0),MATCH(CQ$3,Вводные!$D$11:$F$11,0))*(1+IF(CQ$4=$A32,Вводные!$D$5*INDEX(Вводные!$G$13:$G$64,MATCH($A32,Вводные!$A$13:$A$64,0)),0))</f>
        <v>0.065</v>
      </c>
      <c r="CR32" s="32" t="n">
        <f aca="false">INDEX(Вводные!$D$13:$F$64,MATCH($A32,Вводные!$A$13:$A$64,0),MATCH(CR$3,Вводные!$D$11:$F$11,0))*(1+IF(CR$4=$A32,Вводные!$D$5*INDEX(Вводные!$G$13:$G$64,MATCH($A32,Вводные!$A$13:$A$64,0)),0))</f>
        <v>0.065</v>
      </c>
      <c r="CS32" s="32" t="n">
        <f aca="false">INDEX(Вводные!$D$13:$F$64,MATCH($A32,Вводные!$A$13:$A$64,0),MATCH(CS$3,Вводные!$D$11:$F$11,0))*(1+IF(CS$4=$A32,Вводные!$D$5*INDEX(Вводные!$G$13:$G$64,MATCH($A32,Вводные!$A$13:$A$64,0)),0))</f>
        <v>0.065</v>
      </c>
      <c r="CT32" s="32" t="n">
        <f aca="false">INDEX(Вводные!$D$13:$F$64,MATCH($A32,Вводные!$A$13:$A$64,0),MATCH(CT$3,Вводные!$D$11:$F$11,0))*(1+IF(CT$4=$A32,Вводные!$D$5*INDEX(Вводные!$G$13:$G$64,MATCH($A32,Вводные!$A$13:$A$64,0)),0))</f>
        <v>0.065</v>
      </c>
      <c r="CU32" s="32" t="n">
        <f aca="false">INDEX(Вводные!$D$13:$F$64,MATCH($A32,Вводные!$A$13:$A$64,0),MATCH(CU$3,Вводные!$D$11:$F$11,0))*(1+IF(CU$4=$A32,Вводные!$D$5*INDEX(Вводные!$G$13:$G$64,MATCH($A32,Вводные!$A$13:$A$64,0)),0))</f>
        <v>0.065</v>
      </c>
      <c r="CV32" s="32" t="n">
        <f aca="false">INDEX(Вводные!$D$13:$F$64,MATCH($A32,Вводные!$A$13:$A$64,0),MATCH(CV$3,Вводные!$D$11:$F$11,0))*(1+IF(CV$4=$A32,Вводные!$D$5*INDEX(Вводные!$G$13:$G$64,MATCH($A32,Вводные!$A$13:$A$64,0)),0))</f>
        <v>0.065</v>
      </c>
      <c r="CW32" s="32" t="n">
        <f aca="false">INDEX(Вводные!$D$13:$F$64,MATCH($A32,Вводные!$A$13:$A$64,0),MATCH(CW$3,Вводные!$D$11:$F$11,0))*(1+IF(CW$4=$A32,Вводные!$D$5*INDEX(Вводные!$G$13:$G$64,MATCH($A32,Вводные!$A$13:$A$64,0)),0))</f>
        <v>0.065</v>
      </c>
      <c r="CX32" s="32" t="n">
        <f aca="false">INDEX(Вводные!$D$13:$F$64,MATCH($A32,Вводные!$A$13:$A$64,0),MATCH(CX$3,Вводные!$D$11:$F$11,0))*(1+IF(CX$4=$A32,Вводные!$D$5*INDEX(Вводные!$G$13:$G$64,MATCH($A32,Вводные!$A$13:$A$64,0)),0))</f>
        <v>0.065</v>
      </c>
      <c r="CY32" s="32" t="n">
        <f aca="false">INDEX(Вводные!$D$13:$F$64,MATCH($A32,Вводные!$A$13:$A$64,0),MATCH(CY$3,Вводные!$D$11:$F$11,0))*(1+IF(CY$4=$A32,Вводные!$D$5*INDEX(Вводные!$G$13:$G$64,MATCH($A32,Вводные!$A$13:$A$64,0)),0))</f>
        <v>0.065</v>
      </c>
      <c r="CZ32" s="32" t="n">
        <f aca="false">INDEX(Вводные!$D$13:$F$64,MATCH($A32,Вводные!$A$13:$A$64,0),MATCH(CZ$3,Вводные!$D$11:$F$11,0))*(1+IF(CZ$4=$A32,Вводные!$D$5*INDEX(Вводные!$G$13:$G$64,MATCH($A32,Вводные!$A$13:$A$64,0)),0))</f>
        <v>0.065</v>
      </c>
      <c r="DA32" s="32" t="n">
        <f aca="false">INDEX(Вводные!$D$13:$F$64,MATCH($A32,Вводные!$A$13:$A$64,0),MATCH(DA$3,Вводные!$D$11:$F$11,0))*(1+IF(DA$4=$A32,Вводные!$D$5*INDEX(Вводные!$G$13:$G$64,MATCH($A32,Вводные!$A$13:$A$64,0)),0))</f>
        <v>0.065</v>
      </c>
      <c r="DB32" s="32" t="n">
        <f aca="false">INDEX(Вводные!$D$13:$F$64,MATCH($A32,Вводные!$A$13:$A$64,0),MATCH(DB$3,Вводные!$D$11:$F$11,0))*(1+IF(DB$4=$A32,Вводные!$D$5*INDEX(Вводные!$G$13:$G$64,MATCH($A32,Вводные!$A$13:$A$64,0)),0))</f>
        <v>0.065</v>
      </c>
      <c r="DC32" s="32" t="n">
        <f aca="false">INDEX(Вводные!$D$13:$F$64,MATCH($A32,Вводные!$A$13:$A$64,0),MATCH(DC$3,Вводные!$D$11:$F$11,0))*(1+IF(DC$4=$A32,Вводные!$D$5*INDEX(Вводные!$G$13:$G$64,MATCH($A32,Вводные!$A$13:$A$64,0)),0))</f>
        <v>0.065</v>
      </c>
      <c r="DD32" s="32" t="n">
        <f aca="false">INDEX(Вводные!$D$13:$F$64,MATCH($A32,Вводные!$A$13:$A$64,0),MATCH(DD$3,Вводные!$D$11:$F$11,0))*(1+IF(DD$4=$A32,Вводные!$D$5*INDEX(Вводные!$G$13:$G$64,MATCH($A32,Вводные!$A$13:$A$64,0)),0))</f>
        <v>0.065</v>
      </c>
      <c r="DE32" s="32" t="n">
        <f aca="false">INDEX(Вводные!$D$13:$F$64,MATCH($A32,Вводные!$A$13:$A$64,0),MATCH(DE$3,Вводные!$D$11:$F$11,0))*(1+IF(DE$4=$A32,Вводные!$D$5*INDEX(Вводные!$G$13:$G$64,MATCH($A32,Вводные!$A$13:$A$64,0)),0))</f>
        <v>0.065</v>
      </c>
      <c r="DF32" s="32" t="n">
        <f aca="false">INDEX(Вводные!$D$13:$F$64,MATCH($A32,Вводные!$A$13:$A$64,0),MATCH(DF$3,Вводные!$D$11:$F$11,0))*(1+IF(DF$4=$A32,Вводные!$D$5*INDEX(Вводные!$G$13:$G$64,MATCH($A32,Вводные!$A$13:$A$64,0)),0))</f>
        <v>0.065</v>
      </c>
      <c r="DG32" s="32" t="n">
        <f aca="false">INDEX(Вводные!$D$13:$F$64,MATCH($A32,Вводные!$A$13:$A$64,0),MATCH(DG$3,Вводные!$D$11:$F$11,0))*(1+IF(DG$4=$A32,Вводные!$D$5*INDEX(Вводные!$G$13:$G$64,MATCH($A32,Вводные!$A$13:$A$64,0)),0))</f>
        <v>0.06435</v>
      </c>
      <c r="DH32" s="32" t="n">
        <f aca="false">INDEX(Вводные!$D$13:$F$64,MATCH($A32,Вводные!$A$13:$A$64,0),MATCH(DH$3,Вводные!$D$11:$F$11,0))*(1+IF(DH$4=$A32,Вводные!$D$5*INDEX(Вводные!$G$13:$G$64,MATCH($A32,Вводные!$A$13:$A$64,0)),0))</f>
        <v>0.065</v>
      </c>
      <c r="DI32" s="32" t="n">
        <f aca="false">INDEX(Вводные!$D$13:$F$64,MATCH($A32,Вводные!$A$13:$A$64,0),MATCH(DI$3,Вводные!$D$11:$F$11,0))*(1+IF(DI$4=$A32,Вводные!$D$5*INDEX(Вводные!$G$13:$G$64,MATCH($A32,Вводные!$A$13:$A$64,0)),0))</f>
        <v>0.065</v>
      </c>
      <c r="DJ32" s="32" t="n">
        <f aca="false">INDEX(Вводные!$D$13:$F$64,MATCH($A32,Вводные!$A$13:$A$64,0),MATCH(DJ$3,Вводные!$D$11:$F$11,0))*(1+IF(DJ$4=$A32,Вводные!$D$5*INDEX(Вводные!$G$13:$G$64,MATCH($A32,Вводные!$A$13:$A$64,0)),0))</f>
        <v>0.065</v>
      </c>
      <c r="DK32" s="32" t="n">
        <f aca="false">INDEX(Вводные!$D$13:$F$64,MATCH($A32,Вводные!$A$13:$A$64,0),MATCH(DK$3,Вводные!$D$11:$F$11,0))*(1+IF(DK$4=$A32,Вводные!$D$5*INDEX(Вводные!$G$13:$G$64,MATCH($A32,Вводные!$A$13:$A$64,0)),0))</f>
        <v>0.065</v>
      </c>
      <c r="DL32" s="32" t="n">
        <f aca="false">INDEX(Вводные!$D$13:$F$64,MATCH($A32,Вводные!$A$13:$A$64,0),MATCH(DL$3,Вводные!$D$11:$F$11,0))*(1+IF(DL$4=$A32,Вводные!$D$5*INDEX(Вводные!$G$13:$G$64,MATCH($A32,Вводные!$A$13:$A$64,0)),0))</f>
        <v>0.065</v>
      </c>
      <c r="DM32" s="32" t="n">
        <f aca="false">INDEX(Вводные!$D$13:$F$64,MATCH($A32,Вводные!$A$13:$A$64,0),MATCH(DM$3,Вводные!$D$11:$F$11,0))*(1+IF(DM$4=$A32,Вводные!$D$5*INDEX(Вводные!$G$13:$G$64,MATCH($A32,Вводные!$A$13:$A$64,0)),0))</f>
        <v>0.065</v>
      </c>
      <c r="DN32" s="32" t="n">
        <f aca="false">INDEX(Вводные!$D$13:$F$64,MATCH($A32,Вводные!$A$13:$A$64,0),MATCH(DN$3,Вводные!$D$11:$F$11,0))*(1+IF(DN$4=$A32,Вводные!$D$5*INDEX(Вводные!$G$13:$G$64,MATCH($A32,Вводные!$A$13:$A$64,0)),0))</f>
        <v>0.065</v>
      </c>
      <c r="DO32" s="32" t="n">
        <f aca="false">INDEX(Вводные!$D$13:$F$64,MATCH($A32,Вводные!$A$13:$A$64,0),MATCH(DO$3,Вводные!$D$11:$F$11,0))*(1+IF(DO$4=$A32,Вводные!$D$5*INDEX(Вводные!$G$13:$G$64,MATCH($A32,Вводные!$A$13:$A$64,0)),0))</f>
        <v>0.065</v>
      </c>
      <c r="DP32" s="32" t="n">
        <f aca="false">INDEX(Вводные!$D$13:$F$64,MATCH($A32,Вводные!$A$13:$A$64,0),MATCH(DP$3,Вводные!$D$11:$F$11,0))*(1+IF(DP$4=$A32,Вводные!$D$5*INDEX(Вводные!$G$13:$G$64,MATCH($A32,Вводные!$A$13:$A$64,0)),0))</f>
        <v>0.065</v>
      </c>
      <c r="DQ32" s="32" t="n">
        <f aca="false">INDEX(Вводные!$D$13:$F$64,MATCH($A32,Вводные!$A$13:$A$64,0),MATCH(DQ$3,Вводные!$D$11:$F$11,0))*(1+IF(DQ$4=$A32,Вводные!$D$5*INDEX(Вводные!$G$13:$G$64,MATCH($A32,Вводные!$A$13:$A$64,0)),0))</f>
        <v>0.065</v>
      </c>
      <c r="DR32" s="32" t="n">
        <f aca="false">INDEX(Вводные!$D$13:$F$64,MATCH($A32,Вводные!$A$13:$A$64,0),MATCH(DR$3,Вводные!$D$11:$F$11,0))*(1+IF(DR$4=$A32,Вводные!$D$5*INDEX(Вводные!$G$13:$G$64,MATCH($A32,Вводные!$A$13:$A$64,0)),0))</f>
        <v>0.065</v>
      </c>
      <c r="DS32" s="32" t="n">
        <f aca="false">INDEX(Вводные!$D$13:$F$64,MATCH($A32,Вводные!$A$13:$A$64,0),MATCH(DS$3,Вводные!$D$11:$F$11,0))*(1+IF(DS$4=$A32,Вводные!$D$5*INDEX(Вводные!$G$13:$G$64,MATCH($A32,Вводные!$A$13:$A$64,0)),0))</f>
        <v>0.065</v>
      </c>
      <c r="DT32" s="32" t="n">
        <f aca="false">INDEX(Вводные!$D$13:$F$64,MATCH($A32,Вводные!$A$13:$A$64,0),MATCH(DT$3,Вводные!$D$11:$F$11,0))*(1+IF(DT$4=$A32,Вводные!$D$5*INDEX(Вводные!$G$13:$G$64,MATCH($A32,Вводные!$A$13:$A$64,0)),0))</f>
        <v>0.065</v>
      </c>
      <c r="DU32" s="32" t="n">
        <f aca="false">INDEX(Вводные!$D$13:$F$64,MATCH($A32,Вводные!$A$13:$A$64,0),MATCH(DU$3,Вводные!$D$11:$F$11,0))*(1+IF(DU$4=$A32,Вводные!$D$5*INDEX(Вводные!$G$13:$G$64,MATCH($A32,Вводные!$A$13:$A$64,0)),0))</f>
        <v>0.065</v>
      </c>
      <c r="DV32" s="32" t="n">
        <f aca="false">INDEX(Вводные!$D$13:$F$64,MATCH($A32,Вводные!$A$13:$A$64,0),MATCH(DV$3,Вводные!$D$11:$F$11,0))*(1+IF(DV$4=$A32,Вводные!$D$5*INDEX(Вводные!$G$13:$G$64,MATCH($A32,Вводные!$A$13:$A$64,0)),0))</f>
        <v>0.065</v>
      </c>
      <c r="DW32" s="32" t="n">
        <f aca="false">INDEX(Вводные!$D$13:$F$64,MATCH($A32,Вводные!$A$13:$A$64,0),MATCH(DW$3,Вводные!$D$11:$F$11,0))*(1+IF(DW$4=$A32,Вводные!$D$5*INDEX(Вводные!$G$13:$G$64,MATCH($A32,Вводные!$A$13:$A$64,0)),0))</f>
        <v>0.065</v>
      </c>
      <c r="DX32" s="32" t="n">
        <f aca="false">INDEX(Вводные!$D$13:$F$64,MATCH($A32,Вводные!$A$13:$A$64,0),MATCH(DX$3,Вводные!$D$11:$F$11,0))*(1+IF(DX$4=$A32,Вводные!$D$5*INDEX(Вводные!$G$13:$G$64,MATCH($A32,Вводные!$A$13:$A$64,0)),0))</f>
        <v>0.065</v>
      </c>
      <c r="DY32" s="32" t="n">
        <f aca="false">INDEX(Вводные!$D$13:$F$64,MATCH($A32,Вводные!$A$13:$A$64,0),MATCH(DY$3,Вводные!$D$11:$F$11,0))*(1+IF(DY$4=$A32,Вводные!$D$5*INDEX(Вводные!$G$13:$G$64,MATCH($A32,Вводные!$A$13:$A$64,0)),0))</f>
        <v>0.065</v>
      </c>
      <c r="DZ32" s="32" t="n">
        <f aca="false">INDEX(Вводные!$D$13:$F$64,MATCH($A32,Вводные!$A$13:$A$64,0),MATCH(DZ$3,Вводные!$D$11:$F$11,0))*(1+IF(DZ$4=$A32,Вводные!$D$5*INDEX(Вводные!$G$13:$G$64,MATCH($A32,Вводные!$A$13:$A$64,0)),0))</f>
        <v>0.065</v>
      </c>
      <c r="EA32" s="32" t="n">
        <f aca="false">INDEX(Вводные!$D$13:$F$64,MATCH($A32,Вводные!$A$13:$A$64,0),MATCH(EA$3,Вводные!$D$11:$F$11,0))*(1+IF(EA$4=$A32,Вводные!$D$5*INDEX(Вводные!$G$13:$G$64,MATCH($A32,Вводные!$A$13:$A$64,0)),0))</f>
        <v>0.065</v>
      </c>
      <c r="EB32" s="32" t="n">
        <f aca="false">INDEX(Вводные!$D$13:$F$64,MATCH($A32,Вводные!$A$13:$A$64,0),MATCH(EB$3,Вводные!$D$11:$F$11,0))*(1+IF(EB$4=$A32,Вводные!$D$5*INDEX(Вводные!$G$13:$G$64,MATCH($A32,Вводные!$A$13:$A$64,0)),0))</f>
        <v>0.065</v>
      </c>
      <c r="EC32" s="32" t="n">
        <f aca="false">INDEX(Вводные!$D$13:$F$64,MATCH($A32,Вводные!$A$13:$A$64,0),MATCH(EC$3,Вводные!$D$11:$F$11,0))*(1+IF(EC$4=$A32,Вводные!$D$5*INDEX(Вводные!$G$13:$G$64,MATCH($A32,Вводные!$A$13:$A$64,0)),0))</f>
        <v>0.065</v>
      </c>
      <c r="ED32" s="32" t="n">
        <f aca="false">INDEX(Вводные!$D$13:$F$64,MATCH($A32,Вводные!$A$13:$A$64,0),MATCH(ED$3,Вводные!$D$11:$F$11,0))*(1+IF(ED$4=$A32,Вводные!$D$5*INDEX(Вводные!$G$13:$G$64,MATCH($A32,Вводные!$A$13:$A$64,0)),0))</f>
        <v>0.065</v>
      </c>
      <c r="EE32" s="32" t="n">
        <f aca="false">INDEX(Вводные!$D$13:$F$64,MATCH($A32,Вводные!$A$13:$A$64,0),MATCH(EE$3,Вводные!$D$11:$F$11,0))*(1+IF(EE$4=$A32,Вводные!$D$5*INDEX(Вводные!$G$13:$G$64,MATCH($A32,Вводные!$A$13:$A$64,0)),0))</f>
        <v>0.065</v>
      </c>
      <c r="EF32" s="32" t="n">
        <f aca="false">INDEX(Вводные!$D$13:$F$64,MATCH($A32,Вводные!$A$13:$A$64,0),MATCH(EF$3,Вводные!$D$11:$F$11,0))*(1+IF(EF$4=$A32,Вводные!$D$5*INDEX(Вводные!$G$13:$G$64,MATCH($A32,Вводные!$A$13:$A$64,0)),0))</f>
        <v>0.07</v>
      </c>
      <c r="EG32" s="32" t="n">
        <f aca="false">INDEX(Вводные!$D$13:$F$64,MATCH($A32,Вводные!$A$13:$A$64,0),MATCH(EG$3,Вводные!$D$11:$F$11,0))*(1+IF(EG$4=$A32,Вводные!$D$5*INDEX(Вводные!$G$13:$G$64,MATCH($A32,Вводные!$A$13:$A$64,0)),0))</f>
        <v>0.07</v>
      </c>
      <c r="EH32" s="32" t="n">
        <f aca="false">INDEX(Вводные!$D$13:$F$64,MATCH($A32,Вводные!$A$13:$A$64,0),MATCH(EH$3,Вводные!$D$11:$F$11,0))*(1+IF(EH$4=$A32,Вводные!$D$5*INDEX(Вводные!$G$13:$G$64,MATCH($A32,Вводные!$A$13:$A$64,0)),0))</f>
        <v>0.07</v>
      </c>
      <c r="EI32" s="32" t="n">
        <f aca="false">INDEX(Вводные!$D$13:$F$64,MATCH($A32,Вводные!$A$13:$A$64,0),MATCH(EI$3,Вводные!$D$11:$F$11,0))*(1+IF(EI$4=$A32,Вводные!$D$5*INDEX(Вводные!$G$13:$G$64,MATCH($A32,Вводные!$A$13:$A$64,0)),0))</f>
        <v>0.07</v>
      </c>
      <c r="EJ32" s="32" t="n">
        <f aca="false">INDEX(Вводные!$D$13:$F$64,MATCH($A32,Вводные!$A$13:$A$64,0),MATCH(EJ$3,Вводные!$D$11:$F$11,0))*(1+IF(EJ$4=$A32,Вводные!$D$5*INDEX(Вводные!$G$13:$G$64,MATCH($A32,Вводные!$A$13:$A$64,0)),0))</f>
        <v>0.07</v>
      </c>
      <c r="EK32" s="32" t="n">
        <f aca="false">INDEX(Вводные!$D$13:$F$64,MATCH($A32,Вводные!$A$13:$A$64,0),MATCH(EK$3,Вводные!$D$11:$F$11,0))*(1+IF(EK$4=$A32,Вводные!$D$5*INDEX(Вводные!$G$13:$G$64,MATCH($A32,Вводные!$A$13:$A$64,0)),0))</f>
        <v>0.07</v>
      </c>
      <c r="EL32" s="32" t="n">
        <f aca="false">INDEX(Вводные!$D$13:$F$64,MATCH($A32,Вводные!$A$13:$A$64,0),MATCH(EL$3,Вводные!$D$11:$F$11,0))*(1+IF(EL$4=$A32,Вводные!$D$5*INDEX(Вводные!$G$13:$G$64,MATCH($A32,Вводные!$A$13:$A$64,0)),0))</f>
        <v>0.07</v>
      </c>
      <c r="EM32" s="32" t="n">
        <f aca="false">INDEX(Вводные!$D$13:$F$64,MATCH($A32,Вводные!$A$13:$A$64,0),MATCH(EM$3,Вводные!$D$11:$F$11,0))*(1+IF(EM$4=$A32,Вводные!$D$5*INDEX(Вводные!$G$13:$G$64,MATCH($A32,Вводные!$A$13:$A$64,0)),0))</f>
        <v>0.07</v>
      </c>
      <c r="EN32" s="32" t="n">
        <f aca="false">INDEX(Вводные!$D$13:$F$64,MATCH($A32,Вводные!$A$13:$A$64,0),MATCH(EN$3,Вводные!$D$11:$F$11,0))*(1+IF(EN$4=$A32,Вводные!$D$5*INDEX(Вводные!$G$13:$G$64,MATCH($A32,Вводные!$A$13:$A$64,0)),0))</f>
        <v>0.07</v>
      </c>
      <c r="EO32" s="32" t="n">
        <f aca="false">INDEX(Вводные!$D$13:$F$64,MATCH($A32,Вводные!$A$13:$A$64,0),MATCH(EO$3,Вводные!$D$11:$F$11,0))*(1+IF(EO$4=$A32,Вводные!$D$5*INDEX(Вводные!$G$13:$G$64,MATCH($A32,Вводные!$A$13:$A$64,0)),0))</f>
        <v>0.07</v>
      </c>
      <c r="EP32" s="32" t="n">
        <f aca="false">INDEX(Вводные!$D$13:$F$64,MATCH($A32,Вводные!$A$13:$A$64,0),MATCH(EP$3,Вводные!$D$11:$F$11,0))*(1+IF(EP$4=$A32,Вводные!$D$5*INDEX(Вводные!$G$13:$G$64,MATCH($A32,Вводные!$A$13:$A$64,0)),0))</f>
        <v>0.07</v>
      </c>
      <c r="EQ32" s="32" t="n">
        <f aca="false">INDEX(Вводные!$D$13:$F$64,MATCH($A32,Вводные!$A$13:$A$64,0),MATCH(EQ$3,Вводные!$D$11:$F$11,0))*(1+IF(EQ$4=$A32,Вводные!$D$5*INDEX(Вводные!$G$13:$G$64,MATCH($A32,Вводные!$A$13:$A$64,0)),0))</f>
        <v>0.07</v>
      </c>
      <c r="ER32" s="32" t="n">
        <f aca="false">INDEX(Вводные!$D$13:$F$64,MATCH($A32,Вводные!$A$13:$A$64,0),MATCH(ER$3,Вводные!$D$11:$F$11,0))*(1+IF(ER$4=$A32,Вводные!$D$5*INDEX(Вводные!$G$13:$G$64,MATCH($A32,Вводные!$A$13:$A$64,0)),0))</f>
        <v>0.07</v>
      </c>
      <c r="ES32" s="32" t="n">
        <f aca="false">INDEX(Вводные!$D$13:$F$64,MATCH($A32,Вводные!$A$13:$A$64,0),MATCH(ES$3,Вводные!$D$11:$F$11,0))*(1+IF(ES$4=$A32,Вводные!$D$5*INDEX(Вводные!$G$13:$G$64,MATCH($A32,Вводные!$A$13:$A$64,0)),0))</f>
        <v>0.07</v>
      </c>
      <c r="ET32" s="32" t="n">
        <f aca="false">INDEX(Вводные!$D$13:$F$64,MATCH($A32,Вводные!$A$13:$A$64,0),MATCH(ET$3,Вводные!$D$11:$F$11,0))*(1+IF(ET$4=$A32,Вводные!$D$5*INDEX(Вводные!$G$13:$G$64,MATCH($A32,Вводные!$A$13:$A$64,0)),0))</f>
        <v>0.07</v>
      </c>
      <c r="EU32" s="32" t="n">
        <f aca="false">INDEX(Вводные!$D$13:$F$64,MATCH($A32,Вводные!$A$13:$A$64,0),MATCH(EU$3,Вводные!$D$11:$F$11,0))*(1+IF(EU$4=$A32,Вводные!$D$5*INDEX(Вводные!$G$13:$G$64,MATCH($A32,Вводные!$A$13:$A$64,0)),0))</f>
        <v>0.07</v>
      </c>
      <c r="EV32" s="32" t="n">
        <f aca="false">INDEX(Вводные!$D$13:$F$64,MATCH($A32,Вводные!$A$13:$A$64,0),MATCH(EV$3,Вводные!$D$11:$F$11,0))*(1+IF(EV$4=$A32,Вводные!$D$5*INDEX(Вводные!$G$13:$G$64,MATCH($A32,Вводные!$A$13:$A$64,0)),0))</f>
        <v>0.07</v>
      </c>
      <c r="EW32" s="32" t="n">
        <f aca="false">INDEX(Вводные!$D$13:$F$64,MATCH($A32,Вводные!$A$13:$A$64,0),MATCH(EW$3,Вводные!$D$11:$F$11,0))*(1+IF(EW$4=$A32,Вводные!$D$5*INDEX(Вводные!$G$13:$G$64,MATCH($A32,Вводные!$A$13:$A$64,0)),0))</f>
        <v>0.0693</v>
      </c>
      <c r="EX32" s="32" t="n">
        <f aca="false">INDEX(Вводные!$D$13:$F$64,MATCH($A32,Вводные!$A$13:$A$64,0),MATCH(EX$3,Вводные!$D$11:$F$11,0))*(1+IF(EX$4=$A32,Вводные!$D$5*INDEX(Вводные!$G$13:$G$64,MATCH($A32,Вводные!$A$13:$A$64,0)),0))</f>
        <v>0.07</v>
      </c>
      <c r="EY32" s="32" t="n">
        <f aca="false">INDEX(Вводные!$D$13:$F$64,MATCH($A32,Вводные!$A$13:$A$64,0),MATCH(EY$3,Вводные!$D$11:$F$11,0))*(1+IF(EY$4=$A32,Вводные!$D$5*INDEX(Вводные!$G$13:$G$64,MATCH($A32,Вводные!$A$13:$A$64,0)),0))</f>
        <v>0.07</v>
      </c>
      <c r="EZ32" s="32" t="n">
        <f aca="false">INDEX(Вводные!$D$13:$F$64,MATCH($A32,Вводные!$A$13:$A$64,0),MATCH(EZ$3,Вводные!$D$11:$F$11,0))*(1+IF(EZ$4=$A32,Вводные!$D$5*INDEX(Вводные!$G$13:$G$64,MATCH($A32,Вводные!$A$13:$A$64,0)),0))</f>
        <v>0.07</v>
      </c>
      <c r="FA32" s="32" t="n">
        <f aca="false">INDEX(Вводные!$D$13:$F$64,MATCH($A32,Вводные!$A$13:$A$64,0),MATCH(FA$3,Вводные!$D$11:$F$11,0))*(1+IF(FA$4=$A32,Вводные!$D$5*INDEX(Вводные!$G$13:$G$64,MATCH($A32,Вводные!$A$13:$A$64,0)),0))</f>
        <v>0.07</v>
      </c>
      <c r="FB32" s="32" t="n">
        <f aca="false">INDEX(Вводные!$D$13:$F$64,MATCH($A32,Вводные!$A$13:$A$64,0),MATCH(FB$3,Вводные!$D$11:$F$11,0))*(1+IF(FB$4=$A32,Вводные!$D$5*INDEX(Вводные!$G$13:$G$64,MATCH($A32,Вводные!$A$13:$A$64,0)),0))</f>
        <v>0.07</v>
      </c>
      <c r="FC32" s="32" t="n">
        <f aca="false">INDEX(Вводные!$D$13:$F$64,MATCH($A32,Вводные!$A$13:$A$64,0),MATCH(FC$3,Вводные!$D$11:$F$11,0))*(1+IF(FC$4=$A32,Вводные!$D$5*INDEX(Вводные!$G$13:$G$64,MATCH($A32,Вводные!$A$13:$A$64,0)),0))</f>
        <v>0.07</v>
      </c>
      <c r="FD32" s="32" t="n">
        <f aca="false">INDEX(Вводные!$D$13:$F$64,MATCH($A32,Вводные!$A$13:$A$64,0),MATCH(FD$3,Вводные!$D$11:$F$11,0))*(1+IF(FD$4=$A32,Вводные!$D$5*INDEX(Вводные!$G$13:$G$64,MATCH($A32,Вводные!$A$13:$A$64,0)),0))</f>
        <v>0.07</v>
      </c>
      <c r="FE32" s="32" t="n">
        <f aca="false">INDEX(Вводные!$D$13:$F$64,MATCH($A32,Вводные!$A$13:$A$64,0),MATCH(FE$3,Вводные!$D$11:$F$11,0))*(1+IF(FE$4=$A32,Вводные!$D$5*INDEX(Вводные!$G$13:$G$64,MATCH($A32,Вводные!$A$13:$A$64,0)),0))</f>
        <v>0.07</v>
      </c>
      <c r="FF32" s="32" t="n">
        <f aca="false">INDEX(Вводные!$D$13:$F$64,MATCH($A32,Вводные!$A$13:$A$64,0),MATCH(FF$3,Вводные!$D$11:$F$11,0))*(1+IF(FF$4=$A32,Вводные!$D$5*INDEX(Вводные!$G$13:$G$64,MATCH($A32,Вводные!$A$13:$A$64,0)),0))</f>
        <v>0.07</v>
      </c>
      <c r="FG32" s="32" t="n">
        <f aca="false">INDEX(Вводные!$D$13:$F$64,MATCH($A32,Вводные!$A$13:$A$64,0),MATCH(FG$3,Вводные!$D$11:$F$11,0))*(1+IF(FG$4=$A32,Вводные!$D$5*INDEX(Вводные!$G$13:$G$64,MATCH($A32,Вводные!$A$13:$A$64,0)),0))</f>
        <v>0.07</v>
      </c>
      <c r="FH32" s="32" t="n">
        <f aca="false">INDEX(Вводные!$D$13:$F$64,MATCH($A32,Вводные!$A$13:$A$64,0),MATCH(FH$3,Вводные!$D$11:$F$11,0))*(1+IF(FH$4=$A32,Вводные!$D$5*INDEX(Вводные!$G$13:$G$64,MATCH($A32,Вводные!$A$13:$A$64,0)),0))</f>
        <v>0.07</v>
      </c>
      <c r="FI32" s="32" t="n">
        <f aca="false">INDEX(Вводные!$D$13:$F$64,MATCH($A32,Вводные!$A$13:$A$64,0),MATCH(FI$3,Вводные!$D$11:$F$11,0))*(1+IF(FI$4=$A32,Вводные!$D$5*INDEX(Вводные!$G$13:$G$64,MATCH($A32,Вводные!$A$13:$A$64,0)),0))</f>
        <v>0.07</v>
      </c>
      <c r="FJ32" s="32" t="n">
        <f aca="false">INDEX(Вводные!$D$13:$F$64,MATCH($A32,Вводные!$A$13:$A$64,0),MATCH(FJ$3,Вводные!$D$11:$F$11,0))*(1+IF(FJ$4=$A32,Вводные!$D$5*INDEX(Вводные!$G$13:$G$64,MATCH($A32,Вводные!$A$13:$A$64,0)),0))</f>
        <v>0.07</v>
      </c>
      <c r="FK32" s="32" t="n">
        <f aca="false">INDEX(Вводные!$D$13:$F$64,MATCH($A32,Вводные!$A$13:$A$64,0),MATCH(FK$3,Вводные!$D$11:$F$11,0))*(1+IF(FK$4=$A32,Вводные!$D$5*INDEX(Вводные!$G$13:$G$64,MATCH($A32,Вводные!$A$13:$A$64,0)),0))</f>
        <v>0.07</v>
      </c>
      <c r="FL32" s="32" t="n">
        <f aca="false">INDEX(Вводные!$D$13:$F$64,MATCH($A32,Вводные!$A$13:$A$64,0),MATCH(FL$3,Вводные!$D$11:$F$11,0))*(1+IF(FL$4=$A32,Вводные!$D$5*INDEX(Вводные!$G$13:$G$64,MATCH($A32,Вводные!$A$13:$A$64,0)),0))</f>
        <v>0.07</v>
      </c>
      <c r="FM32" s="32" t="n">
        <f aca="false">INDEX(Вводные!$D$13:$F$64,MATCH($A32,Вводные!$A$13:$A$64,0),MATCH(FM$3,Вводные!$D$11:$F$11,0))*(1+IF(FM$4=$A32,Вводные!$D$5*INDEX(Вводные!$G$13:$G$64,MATCH($A32,Вводные!$A$13:$A$64,0)),0))</f>
        <v>0.07</v>
      </c>
      <c r="FN32" s="32" t="n">
        <f aca="false">INDEX(Вводные!$D$13:$F$64,MATCH($A32,Вводные!$A$13:$A$64,0),MATCH(FN$3,Вводные!$D$11:$F$11,0))*(1+IF(FN$4=$A32,Вводные!$D$5*INDEX(Вводные!$G$13:$G$64,MATCH($A32,Вводные!$A$13:$A$64,0)),0))</f>
        <v>0.07</v>
      </c>
      <c r="FO32" s="32" t="n">
        <f aca="false">INDEX(Вводные!$D$13:$F$64,MATCH($A32,Вводные!$A$13:$A$64,0),MATCH(FO$3,Вводные!$D$11:$F$11,0))*(1+IF(FO$4=$A32,Вводные!$D$5*INDEX(Вводные!$G$13:$G$64,MATCH($A32,Вводные!$A$13:$A$64,0)),0))</f>
        <v>0.07</v>
      </c>
      <c r="FP32" s="32" t="n">
        <f aca="false">INDEX(Вводные!$D$13:$F$64,MATCH($A32,Вводные!$A$13:$A$64,0),MATCH(FP$3,Вводные!$D$11:$F$11,0))*(1+IF(FP$4=$A32,Вводные!$D$5*INDEX(Вводные!$G$13:$G$64,MATCH($A32,Вводные!$A$13:$A$64,0)),0))</f>
        <v>0.07</v>
      </c>
      <c r="FQ32" s="32" t="n">
        <f aca="false">INDEX(Вводные!$D$13:$F$64,MATCH($A32,Вводные!$A$13:$A$64,0),MATCH(FQ$3,Вводные!$D$11:$F$11,0))*(1+IF(FQ$4=$A32,Вводные!$D$5*INDEX(Вводные!$G$13:$G$64,MATCH($A32,Вводные!$A$13:$A$64,0)),0))</f>
        <v>0.07</v>
      </c>
      <c r="FR32" s="32" t="n">
        <f aca="false">INDEX(Вводные!$D$13:$F$64,MATCH($A32,Вводные!$A$13:$A$64,0),MATCH(FR$3,Вводные!$D$11:$F$11,0))*(1+IF(FR$4=$A32,Вводные!$D$5*INDEX(Вводные!$G$13:$G$64,MATCH($A32,Вводные!$A$13:$A$64,0)),0))</f>
        <v>0.07</v>
      </c>
      <c r="FS32" s="32" t="n">
        <f aca="false">INDEX(Вводные!$D$13:$F$64,MATCH($A32,Вводные!$A$13:$A$64,0),MATCH(FS$3,Вводные!$D$11:$F$11,0))*(1+IF(FS$4=$A32,Вводные!$D$5*INDEX(Вводные!$G$13:$G$64,MATCH($A32,Вводные!$A$13:$A$64,0)),0))</f>
        <v>0.07</v>
      </c>
      <c r="FT32" s="32" t="n">
        <f aca="false">INDEX(Вводные!$D$13:$F$64,MATCH($A32,Вводные!$A$13:$A$64,0),MATCH(FT$3,Вводные!$D$11:$F$11,0))*(1+IF(FT$4=$A32,Вводные!$D$5*INDEX(Вводные!$G$13:$G$64,MATCH($A32,Вводные!$A$13:$A$64,0)),0))</f>
        <v>0.07</v>
      </c>
      <c r="FU32" s="32" t="n">
        <f aca="false">INDEX(Вводные!$D$13:$F$64,MATCH($A32,Вводные!$A$13:$A$64,0),MATCH(FU$3,Вводные!$D$11:$F$11,0))*(1+IF(FU$4=$A32,Вводные!$D$5*INDEX(Вводные!$G$13:$G$64,MATCH($A32,Вводные!$A$13:$A$64,0)),0))</f>
        <v>0.07</v>
      </c>
      <c r="FV32" s="32" t="n">
        <f aca="false">INDEX(Вводные!$D$13:$F$64,MATCH($A32,Вводные!$A$13:$A$64,0),MATCH(FV$3,Вводные!$D$11:$F$11,0))*(1+IF(FV$4=$A32,Вводные!$D$5*INDEX(Вводные!$G$13:$G$64,MATCH($A32,Вводные!$A$13:$A$64,0)),0))</f>
        <v>0.07</v>
      </c>
      <c r="FW32" s="32" t="n">
        <f aca="false">INDEX(Вводные!$D$13:$F$64,MATCH($A32,Вводные!$A$13:$A$64,0),MATCH(FW$3,Вводные!$D$11:$F$11,0))*(1+IF(FW$4=$A32,Вводные!$D$5*INDEX(Вводные!$G$13:$G$64,MATCH($A32,Вводные!$A$13:$A$64,0)),0))</f>
        <v>0.07</v>
      </c>
      <c r="FX32" s="32" t="n">
        <f aca="false">INDEX(Вводные!$D$13:$F$64,MATCH($A32,Вводные!$A$13:$A$64,0),MATCH(FX$3,Вводные!$D$11:$F$11,0))*(1+IF(FX$4=$A32,Вводные!$D$5*INDEX(Вводные!$G$13:$G$64,MATCH($A32,Вводные!$A$13:$A$64,0)),0))</f>
        <v>0.07</v>
      </c>
      <c r="FY32" s="32" t="n">
        <f aca="false">INDEX(Вводные!$D$13:$F$64,MATCH($A32,Вводные!$A$13:$A$64,0),MATCH(FY$3,Вводные!$D$11:$F$11,0))*(1+IF(FY$4=$A32,Вводные!$D$5*INDEX(Вводные!$G$13:$G$64,MATCH($A32,Вводные!$A$13:$A$64,0)),0))</f>
        <v>0.07</v>
      </c>
      <c r="FZ32" s="32" t="n">
        <f aca="false">INDEX(Вводные!$D$13:$F$64,MATCH($A32,Вводные!$A$13:$A$64,0),MATCH(FZ$3,Вводные!$D$11:$F$11,0))*(1+IF(FZ$4=$A32,Вводные!$D$5*INDEX(Вводные!$G$13:$G$64,MATCH($A32,Вводные!$A$13:$A$64,0)),0))</f>
        <v>0.07</v>
      </c>
      <c r="GA32" s="32" t="n">
        <f aca="false">INDEX(Вводные!$D$13:$F$64,MATCH($A32,Вводные!$A$13:$A$64,0),MATCH(GA$3,Вводные!$D$11:$F$11,0))*(1+IF(GA$4=$A32,Вводные!$D$5*INDEX(Вводные!$G$13:$G$64,MATCH($A32,Вводные!$A$13:$A$64,0)),0))</f>
        <v>0.07</v>
      </c>
      <c r="GB32" s="32" t="n">
        <f aca="false">INDEX(Вводные!$D$13:$F$64,MATCH($A32,Вводные!$A$13:$A$64,0),MATCH(GB$3,Вводные!$D$11:$F$11,0))*(1+IF(GB$4=$A32,Вводные!$D$5*INDEX(Вводные!$G$13:$G$64,MATCH($A32,Вводные!$A$13:$A$64,0)),0))</f>
        <v>0.07</v>
      </c>
      <c r="GC32" s="32" t="n">
        <f aca="false">INDEX(Вводные!$D$13:$F$64,MATCH($A32,Вводные!$A$13:$A$64,0),MATCH(GC$3,Вводные!$D$11:$F$11,0))*(1+IF(GC$4=$A32,Вводные!$D$5*INDEX(Вводные!$G$13:$G$64,MATCH($A32,Вводные!$A$13:$A$64,0)),0))</f>
        <v>0.07</v>
      </c>
      <c r="GD32" s="32" t="n">
        <f aca="false">INDEX(Вводные!$D$13:$F$64,MATCH($A32,Вводные!$A$13:$A$64,0),MATCH(GD$3,Вводные!$D$11:$F$11,0))*(1+IF(GD$4=$A32,Вводные!$D$5*INDEX(Вводные!$G$13:$G$64,MATCH($A32,Вводные!$A$13:$A$64,0)),0))</f>
        <v>0.07</v>
      </c>
      <c r="GE32" s="32" t="n">
        <f aca="false">INDEX(Вводные!$D$13:$F$64,MATCH($A32,Вводные!$A$13:$A$64,0),MATCH(GE$3,Вводные!$D$11:$F$11,0))*(1+IF(GE$4=$A32,Вводные!$D$5*INDEX(Вводные!$G$13:$G$64,MATCH($A32,Вводные!$A$13:$A$64,0)),0))</f>
        <v>0.07</v>
      </c>
      <c r="GF32" s="32" t="n">
        <f aca="false">INDEX(Вводные!$D$13:$F$64,MATCH($A32,Вводные!$A$13:$A$64,0),MATCH(GF$3,Вводные!$D$11:$F$11,0))*(1+IF(GF$4=$A32,Вводные!$D$5*INDEX(Вводные!$G$13:$G$64,MATCH($A32,Вводные!$A$13:$A$64,0)),0))</f>
        <v>0.07</v>
      </c>
      <c r="GG32" s="32" t="n">
        <f aca="false">INDEX(Вводные!$D$13:$F$64,MATCH($A32,Вводные!$A$13:$A$64,0),MATCH(GG$3,Вводные!$D$11:$F$11,0))*(1+IF(GG$4=$A32,Вводные!$D$5*INDEX(Вводные!$G$13:$G$64,MATCH($A32,Вводные!$A$13:$A$64,0)),0))</f>
        <v>0.07</v>
      </c>
      <c r="GH32" s="32" t="n">
        <f aca="false">INDEX(Вводные!$D$13:$F$64,MATCH($A32,Вводные!$A$13:$A$64,0),MATCH(GH$3,Вводные!$D$11:$F$11,0))*(1+IF(GH$4=$A32,Вводные!$D$5*INDEX(Вводные!$G$13:$G$64,MATCH($A32,Вводные!$A$13:$A$64,0)),0))</f>
        <v>0.07</v>
      </c>
      <c r="GI32" s="32" t="n">
        <f aca="false">INDEX(Вводные!$D$13:$F$64,MATCH($A32,Вводные!$A$13:$A$64,0),MATCH(GI$3,Вводные!$D$11:$F$11,0))*(1+IF(GI$4=$A32,Вводные!$D$5*INDEX(Вводные!$G$13:$G$64,MATCH($A32,Вводные!$A$13:$A$64,0)),0))</f>
        <v>0.07</v>
      </c>
      <c r="GJ32" s="32" t="n">
        <f aca="false">INDEX(Вводные!$D$13:$F$64,MATCH($A32,Вводные!$A$13:$A$64,0),MATCH(GJ$3,Вводные!$D$11:$F$11,0))*(1+IF(GJ$4=$A32,Вводные!$D$5*INDEX(Вводные!$G$13:$G$64,MATCH($A32,Вводные!$A$13:$A$64,0)),0))</f>
        <v>0.07</v>
      </c>
      <c r="GK32" s="32" t="n">
        <f aca="false">INDEX(Вводные!$D$13:$F$64,MATCH($A32,Вводные!$A$13:$A$64,0),MATCH(GK$3,Вводные!$D$11:$F$11,0))*(1+IF(GK$4=$A32,Вводные!$D$5*INDEX(Вводные!$G$13:$G$64,MATCH($A32,Вводные!$A$13:$A$64,0)),0))</f>
        <v>0.07</v>
      </c>
      <c r="GL32" s="32" t="n">
        <f aca="false">INDEX(Вводные!$D$13:$F$64,MATCH($A32,Вводные!$A$13:$A$64,0),MATCH(GL$3,Вводные!$D$11:$F$11,0))*(1+IF(GL$4=$A32,Вводные!$D$5*INDEX(Вводные!$G$13:$G$64,MATCH($A32,Вводные!$A$13:$A$64,0)),0))</f>
        <v>0.07</v>
      </c>
      <c r="GM32" s="32" t="n">
        <f aca="false">INDEX(Вводные!$D$13:$F$64,MATCH($A32,Вводные!$A$13:$A$64,0),MATCH(GM$3,Вводные!$D$11:$F$11,0))*(1+IF(GM$4=$A32,Вводные!$D$5*INDEX(Вводные!$G$13:$G$64,MATCH($A32,Вводные!$A$13:$A$64,0)),0))</f>
        <v>0.0693</v>
      </c>
      <c r="GN32" s="32" t="n">
        <f aca="false">INDEX(Вводные!$D$13:$F$64,MATCH($A32,Вводные!$A$13:$A$64,0),MATCH(GN$3,Вводные!$D$11:$F$11,0))*(1+IF(GN$4=$A32,Вводные!$D$5*INDEX(Вводные!$G$13:$G$64,MATCH($A32,Вводные!$A$13:$A$64,0)),0))</f>
        <v>0.07</v>
      </c>
      <c r="GO32" s="32" t="n">
        <f aca="false">INDEX(Вводные!$D$13:$F$64,MATCH($A32,Вводные!$A$13:$A$64,0),MATCH(GO$3,Вводные!$D$11:$F$11,0))*(1+IF(GO$4=$A32,Вводные!$D$5*INDEX(Вводные!$G$13:$G$64,MATCH($A32,Вводные!$A$13:$A$64,0)),0))</f>
        <v>0.07</v>
      </c>
      <c r="GP32" s="32" t="n">
        <f aca="false">INDEX(Вводные!$D$13:$F$64,MATCH($A32,Вводные!$A$13:$A$64,0),MATCH(GP$3,Вводные!$D$11:$F$11,0))*(1+IF(GP$4=$A32,Вводные!$D$5*INDEX(Вводные!$G$13:$G$64,MATCH($A32,Вводные!$A$13:$A$64,0)),0))</f>
        <v>0.07</v>
      </c>
      <c r="GQ32" s="32" t="n">
        <f aca="false">INDEX(Вводные!$D$13:$F$64,MATCH($A32,Вводные!$A$13:$A$64,0),MATCH(GQ$3,Вводные!$D$11:$F$11,0))*(1+IF(GQ$4=$A32,Вводные!$D$5*INDEX(Вводные!$G$13:$G$64,MATCH($A32,Вводные!$A$13:$A$64,0)),0))</f>
        <v>0.07</v>
      </c>
      <c r="GR32" s="32" t="n">
        <f aca="false">INDEX(Вводные!$D$13:$F$64,MATCH($A32,Вводные!$A$13:$A$64,0),MATCH(GR$3,Вводные!$D$11:$F$11,0))*(1+IF(GR$4=$A32,Вводные!$D$5*INDEX(Вводные!$G$13:$G$64,MATCH($A32,Вводные!$A$13:$A$64,0)),0))</f>
        <v>0.07</v>
      </c>
      <c r="GS32" s="32" t="n">
        <f aca="false">INDEX(Вводные!$D$13:$F$64,MATCH($A32,Вводные!$A$13:$A$64,0),MATCH(GS$3,Вводные!$D$11:$F$11,0))*(1+IF(GS$4=$A32,Вводные!$D$5*INDEX(Вводные!$G$13:$G$64,MATCH($A32,Вводные!$A$13:$A$64,0)),0))</f>
        <v>0.07</v>
      </c>
      <c r="GT32" s="32" t="n">
        <f aca="false">INDEX(Вводные!$D$13:$F$64,MATCH($A32,Вводные!$A$13:$A$64,0),MATCH(GT$3,Вводные!$D$11:$F$11,0))*(1+IF(GT$4=$A32,Вводные!$D$5*INDEX(Вводные!$G$13:$G$64,MATCH($A32,Вводные!$A$13:$A$64,0)),0))</f>
        <v>0.07</v>
      </c>
      <c r="GU32" s="32" t="n">
        <f aca="false">INDEX(Вводные!$D$13:$F$64,MATCH($A32,Вводные!$A$13:$A$64,0),MATCH(GU$3,Вводные!$D$11:$F$11,0))*(1+IF(GU$4=$A32,Вводные!$D$5*INDEX(Вводные!$G$13:$G$64,MATCH($A32,Вводные!$A$13:$A$64,0)),0))</f>
        <v>0.07</v>
      </c>
      <c r="GV32" s="32" t="n">
        <f aca="false">INDEX(Вводные!$D$13:$F$64,MATCH($A32,Вводные!$A$13:$A$64,0),MATCH(GV$3,Вводные!$D$11:$F$11,0))*(1+IF(GV$4=$A32,Вводные!$D$5*INDEX(Вводные!$G$13:$G$64,MATCH($A32,Вводные!$A$13:$A$64,0)),0))</f>
        <v>0.07</v>
      </c>
      <c r="GW32" s="32" t="n">
        <f aca="false">INDEX(Вводные!$D$13:$F$64,MATCH($A32,Вводные!$A$13:$A$64,0),MATCH(GW$3,Вводные!$D$11:$F$11,0))*(1+IF(GW$4=$A32,Вводные!$D$5*INDEX(Вводные!$G$13:$G$64,MATCH($A32,Вводные!$A$13:$A$64,0)),0))</f>
        <v>0.07</v>
      </c>
      <c r="GX32" s="32" t="n">
        <f aca="false">INDEX(Вводные!$D$13:$F$64,MATCH($A32,Вводные!$A$13:$A$64,0),MATCH(GX$3,Вводные!$D$11:$F$11,0))*(1+IF(GX$4=$A32,Вводные!$D$5*INDEX(Вводные!$G$13:$G$64,MATCH($A32,Вводные!$A$13:$A$64,0)),0))</f>
        <v>0.07</v>
      </c>
      <c r="GY32" s="32" t="n">
        <f aca="false">INDEX(Вводные!$D$13:$F$64,MATCH($A32,Вводные!$A$13:$A$64,0),MATCH(GY$3,Вводные!$D$11:$F$11,0))*(1+IF(GY$4=$A32,Вводные!$D$5*INDEX(Вводные!$G$13:$G$64,MATCH($A32,Вводные!$A$13:$A$64,0)),0))</f>
        <v>0.07</v>
      </c>
      <c r="GZ32" s="32" t="n">
        <f aca="false">INDEX(Вводные!$D$13:$F$64,MATCH($A32,Вводные!$A$13:$A$64,0),MATCH(GZ$3,Вводные!$D$11:$F$11,0))*(1+IF(GZ$4=$A32,Вводные!$D$5*INDEX(Вводные!$G$13:$G$64,MATCH($A32,Вводные!$A$13:$A$64,0)),0))</f>
        <v>0.07</v>
      </c>
      <c r="HA32" s="32" t="n">
        <f aca="false">INDEX(Вводные!$D$13:$F$64,MATCH($A32,Вводные!$A$13:$A$64,0),MATCH(HA$3,Вводные!$D$11:$F$11,0))*(1+IF(HA$4=$A32,Вводные!$D$5*INDEX(Вводные!$G$13:$G$64,MATCH($A32,Вводные!$A$13:$A$64,0)),0))</f>
        <v>0.07</v>
      </c>
      <c r="HB32" s="32" t="n">
        <f aca="false">INDEX(Вводные!$D$13:$F$64,MATCH($A32,Вводные!$A$13:$A$64,0),MATCH(HB$3,Вводные!$D$11:$F$11,0))*(1+IF(HB$4=$A32,Вводные!$D$5*INDEX(Вводные!$G$13:$G$64,MATCH($A32,Вводные!$A$13:$A$64,0)),0))</f>
        <v>0.07</v>
      </c>
      <c r="HC32" s="32" t="n">
        <f aca="false">INDEX(Вводные!$D$13:$F$64,MATCH($A32,Вводные!$A$13:$A$64,0),MATCH(HC$3,Вводные!$D$11:$F$11,0))*(1+IF(HC$4=$A32,Вводные!$D$5*INDEX(Вводные!$G$13:$G$64,MATCH($A32,Вводные!$A$13:$A$64,0)),0))</f>
        <v>0.07</v>
      </c>
      <c r="HD32" s="32" t="n">
        <f aca="false">INDEX(Вводные!$D$13:$F$64,MATCH($A32,Вводные!$A$13:$A$64,0),MATCH(HD$3,Вводные!$D$11:$F$11,0))*(1+IF(HD$4=$A32,Вводные!$D$5*INDEX(Вводные!$G$13:$G$64,MATCH($A32,Вводные!$A$13:$A$64,0)),0))</f>
        <v>0.07</v>
      </c>
      <c r="HE32" s="32" t="n">
        <f aca="false">INDEX(Вводные!$D$13:$F$64,MATCH($A32,Вводные!$A$13:$A$64,0),MATCH(HE$3,Вводные!$D$11:$F$11,0))*(1+IF(HE$4=$A32,Вводные!$D$5*INDEX(Вводные!$G$13:$G$64,MATCH($A32,Вводные!$A$13:$A$64,0)),0))</f>
        <v>0.07</v>
      </c>
      <c r="HF32" s="32" t="n">
        <f aca="false">INDEX(Вводные!$D$13:$F$64,MATCH($A32,Вводные!$A$13:$A$64,0),MATCH(HF$3,Вводные!$D$11:$F$11,0))*(1+IF(HF$4=$A32,Вводные!$D$5*INDEX(Вводные!$G$13:$G$64,MATCH($A32,Вводные!$A$13:$A$64,0)),0))</f>
        <v>0.07</v>
      </c>
      <c r="HG32" s="32" t="n">
        <f aca="false">INDEX(Вводные!$D$13:$F$64,MATCH($A32,Вводные!$A$13:$A$64,0),MATCH(HG$3,Вводные!$D$11:$F$11,0))*(1+IF(HG$4=$A32,Вводные!$D$5*INDEX(Вводные!$G$13:$G$64,MATCH($A32,Вводные!$A$13:$A$64,0)),0))</f>
        <v>0.07</v>
      </c>
      <c r="HH32" s="32" t="n">
        <f aca="false">INDEX(Вводные!$D$13:$F$64,MATCH($A32,Вводные!$A$13:$A$64,0),MATCH(HH$3,Вводные!$D$11:$F$11,0))*(1+IF(HH$4=$A32,Вводные!$D$5*INDEX(Вводные!$G$13:$G$64,MATCH($A32,Вводные!$A$13:$A$64,0)),0))</f>
        <v>0.07</v>
      </c>
      <c r="HI32" s="32" t="n">
        <f aca="false">INDEX(Вводные!$D$13:$F$64,MATCH($A32,Вводные!$A$13:$A$64,0),MATCH(HI$3,Вводные!$D$11:$F$11,0))*(1+IF(HI$4=$A32,Вводные!$D$5*INDEX(Вводные!$G$13:$G$64,MATCH($A32,Вводные!$A$13:$A$64,0)),0))</f>
        <v>0.07</v>
      </c>
      <c r="HJ32" s="32" t="n">
        <f aca="false">INDEX(Вводные!$D$13:$F$64,MATCH($A32,Вводные!$A$13:$A$64,0),MATCH(HJ$3,Вводные!$D$11:$F$11,0))*(1+IF(HJ$4=$A32,Вводные!$D$5*INDEX(Вводные!$G$13:$G$64,MATCH($A32,Вводные!$A$13:$A$64,0)),0))</f>
        <v>0.07</v>
      </c>
      <c r="HK32" s="32" t="n">
        <f aca="false">INDEX(Вводные!$D$13:$F$64,MATCH($A32,Вводные!$A$13:$A$64,0),MATCH(HK$3,Вводные!$D$11:$F$11,0))*(1+IF(HK$4=$A32,Вводные!$D$5*INDEX(Вводные!$G$13:$G$64,MATCH($A32,Вводные!$A$13:$A$64,0)),0))</f>
        <v>0.07</v>
      </c>
      <c r="HL32" s="32" t="n">
        <f aca="false">INDEX(Вводные!$D$13:$F$64,MATCH($A32,Вводные!$A$13:$A$64,0),MATCH(HL$3,Вводные!$D$11:$F$11,0))*(1+IF(HL$4=$A32,Вводные!$D$5*INDEX(Вводные!$G$13:$G$64,MATCH($A32,Вводные!$A$13:$A$64,0)),0))</f>
        <v>0.065</v>
      </c>
      <c r="HM32" s="32" t="n">
        <f aca="false">INDEX(Вводные!$D$13:$F$64,MATCH($A32,Вводные!$A$13:$A$64,0),MATCH(HM$3,Вводные!$D$11:$F$11,0))*(1+IF(HM$4=$A32,Вводные!$D$5*INDEX(Вводные!$G$13:$G$64,MATCH($A32,Вводные!$A$13:$A$64,0)),0))</f>
        <v>0.065</v>
      </c>
      <c r="HN32" s="32" t="n">
        <f aca="false">INDEX(Вводные!$D$13:$F$64,MATCH($A32,Вводные!$A$13:$A$64,0),MATCH(HN$3,Вводные!$D$11:$F$11,0))*(1+IF(HN$4=$A32,Вводные!$D$5*INDEX(Вводные!$G$13:$G$64,MATCH($A32,Вводные!$A$13:$A$64,0)),0))</f>
        <v>0.065</v>
      </c>
      <c r="HO32" s="32" t="n">
        <f aca="false">INDEX(Вводные!$D$13:$F$64,MATCH($A32,Вводные!$A$13:$A$64,0),MATCH(HO$3,Вводные!$D$11:$F$11,0))*(1+IF(HO$4=$A32,Вводные!$D$5*INDEX(Вводные!$G$13:$G$64,MATCH($A32,Вводные!$A$13:$A$64,0)),0))</f>
        <v>0.065</v>
      </c>
      <c r="HP32" s="32" t="n">
        <f aca="false">INDEX(Вводные!$D$13:$F$64,MATCH($A32,Вводные!$A$13:$A$64,0),MATCH(HP$3,Вводные!$D$11:$F$11,0))*(1+IF(HP$4=$A32,Вводные!$D$5*INDEX(Вводные!$G$13:$G$64,MATCH($A32,Вводные!$A$13:$A$64,0)),0))</f>
        <v>0.065</v>
      </c>
      <c r="HQ32" s="32" t="n">
        <f aca="false">INDEX(Вводные!$D$13:$F$64,MATCH($A32,Вводные!$A$13:$A$64,0),MATCH(HQ$3,Вводные!$D$11:$F$11,0))*(1+IF(HQ$4=$A32,Вводные!$D$5*INDEX(Вводные!$G$13:$G$64,MATCH($A32,Вводные!$A$13:$A$64,0)),0))</f>
        <v>0.065</v>
      </c>
      <c r="HR32" s="32" t="n">
        <f aca="false">INDEX(Вводные!$D$13:$F$64,MATCH($A32,Вводные!$A$13:$A$64,0),MATCH(HR$3,Вводные!$D$11:$F$11,0))*(1+IF(HR$4=$A32,Вводные!$D$5*INDEX(Вводные!$G$13:$G$64,MATCH($A32,Вводные!$A$13:$A$64,0)),0))</f>
        <v>0.065</v>
      </c>
      <c r="HS32" s="32" t="n">
        <f aca="false">INDEX(Вводные!$D$13:$F$64,MATCH($A32,Вводные!$A$13:$A$64,0),MATCH(HS$3,Вводные!$D$11:$F$11,0))*(1+IF(HS$4=$A32,Вводные!$D$5*INDEX(Вводные!$G$13:$G$64,MATCH($A32,Вводные!$A$13:$A$64,0)),0))</f>
        <v>0.065</v>
      </c>
      <c r="HT32" s="32" t="n">
        <f aca="false">INDEX(Вводные!$D$13:$F$64,MATCH($A32,Вводные!$A$13:$A$64,0),MATCH(HT$3,Вводные!$D$11:$F$11,0))*(1+IF(HT$4=$A32,Вводные!$D$5*INDEX(Вводные!$G$13:$G$64,MATCH($A32,Вводные!$A$13:$A$64,0)),0))</f>
        <v>0.065</v>
      </c>
      <c r="HU32" s="32" t="n">
        <f aca="false">INDEX(Вводные!$D$13:$F$64,MATCH($A32,Вводные!$A$13:$A$64,0),MATCH(HU$3,Вводные!$D$11:$F$11,0))*(1+IF(HU$4=$A32,Вводные!$D$5*INDEX(Вводные!$G$13:$G$64,MATCH($A32,Вводные!$A$13:$A$64,0)),0))</f>
        <v>0.065</v>
      </c>
      <c r="HV32" s="32" t="n">
        <f aca="false">INDEX(Вводные!$D$13:$F$64,MATCH($A32,Вводные!$A$13:$A$64,0),MATCH(HV$3,Вводные!$D$11:$F$11,0))*(1+IF(HV$4=$A32,Вводные!$D$5*INDEX(Вводные!$G$13:$G$64,MATCH($A32,Вводные!$A$13:$A$64,0)),0))</f>
        <v>0.065</v>
      </c>
      <c r="HW32" s="32" t="n">
        <f aca="false">INDEX(Вводные!$D$13:$F$64,MATCH($A32,Вводные!$A$13:$A$64,0),MATCH(HW$3,Вводные!$D$11:$F$11,0))*(1+IF(HW$4=$A32,Вводные!$D$5*INDEX(Вводные!$G$13:$G$64,MATCH($A32,Вводные!$A$13:$A$64,0)),0))</f>
        <v>0.065</v>
      </c>
      <c r="HX32" s="32" t="n">
        <f aca="false">INDEX(Вводные!$D$13:$F$64,MATCH($A32,Вводные!$A$13:$A$64,0),MATCH(HX$3,Вводные!$D$11:$F$11,0))*(1+IF(HX$4=$A32,Вводные!$D$5*INDEX(Вводные!$G$13:$G$64,MATCH($A32,Вводные!$A$13:$A$64,0)),0))</f>
        <v>0.065</v>
      </c>
      <c r="HY32" s="32" t="n">
        <f aca="false">INDEX(Вводные!$D$13:$F$64,MATCH($A32,Вводные!$A$13:$A$64,0),MATCH(HY$3,Вводные!$D$11:$F$11,0))*(1+IF(HY$4=$A32,Вводные!$D$5*INDEX(Вводные!$G$13:$G$64,MATCH($A32,Вводные!$A$13:$A$64,0)),0))</f>
        <v>0.065</v>
      </c>
      <c r="HZ32" s="32" t="n">
        <f aca="false">INDEX(Вводные!$D$13:$F$64,MATCH($A32,Вводные!$A$13:$A$64,0),MATCH(HZ$3,Вводные!$D$11:$F$11,0))*(1+IF(HZ$4=$A32,Вводные!$D$5*INDEX(Вводные!$G$13:$G$64,MATCH($A32,Вводные!$A$13:$A$64,0)),0))</f>
        <v>0.065</v>
      </c>
      <c r="IA32" s="32" t="n">
        <f aca="false">INDEX(Вводные!$D$13:$F$64,MATCH($A32,Вводные!$A$13:$A$64,0),MATCH(IA$3,Вводные!$D$11:$F$11,0))*(1+IF(IA$4=$A32,Вводные!$D$5*INDEX(Вводные!$G$13:$G$64,MATCH($A32,Вводные!$A$13:$A$64,0)),0))</f>
        <v>0.065</v>
      </c>
      <c r="IB32" s="32" t="n">
        <f aca="false">INDEX(Вводные!$D$13:$F$64,MATCH($A32,Вводные!$A$13:$A$64,0),MATCH(IB$3,Вводные!$D$11:$F$11,0))*(1+IF(IB$4=$A32,Вводные!$D$5*INDEX(Вводные!$G$13:$G$64,MATCH($A32,Вводные!$A$13:$A$64,0)),0))</f>
        <v>0.065</v>
      </c>
      <c r="IC32" s="32" t="n">
        <f aca="false">INDEX(Вводные!$D$13:$F$64,MATCH($A32,Вводные!$A$13:$A$64,0),MATCH(IC$3,Вводные!$D$11:$F$11,0))*(1+IF(IC$4=$A32,Вводные!$D$5*INDEX(Вводные!$G$13:$G$64,MATCH($A32,Вводные!$A$13:$A$64,0)),0))</f>
        <v>0.06435</v>
      </c>
      <c r="ID32" s="32" t="n">
        <f aca="false">INDEX(Вводные!$D$13:$F$64,MATCH($A32,Вводные!$A$13:$A$64,0),MATCH(ID$3,Вводные!$D$11:$F$11,0))*(1+IF(ID$4=$A32,Вводные!$D$5*INDEX(Вводные!$G$13:$G$64,MATCH($A32,Вводные!$A$13:$A$64,0)),0))</f>
        <v>0.065</v>
      </c>
      <c r="IE32" s="32" t="n">
        <f aca="false">INDEX(Вводные!$D$13:$F$64,MATCH($A32,Вводные!$A$13:$A$64,0),MATCH(IE$3,Вводные!$D$11:$F$11,0))*(1+IF(IE$4=$A32,Вводные!$D$5*INDEX(Вводные!$G$13:$G$64,MATCH($A32,Вводные!$A$13:$A$64,0)),0))</f>
        <v>0.065</v>
      </c>
      <c r="IF32" s="32" t="n">
        <f aca="false">INDEX(Вводные!$D$13:$F$64,MATCH($A32,Вводные!$A$13:$A$64,0),MATCH(IF$3,Вводные!$D$11:$F$11,0))*(1+IF(IF$4=$A32,Вводные!$D$5*INDEX(Вводные!$G$13:$G$64,MATCH($A32,Вводные!$A$13:$A$64,0)),0))</f>
        <v>0.065</v>
      </c>
      <c r="IG32" s="32" t="n">
        <f aca="false">INDEX(Вводные!$D$13:$F$64,MATCH($A32,Вводные!$A$13:$A$64,0),MATCH(IG$3,Вводные!$D$11:$F$11,0))*(1+IF(IG$4=$A32,Вводные!$D$5*INDEX(Вводные!$G$13:$G$64,MATCH($A32,Вводные!$A$13:$A$64,0)),0))</f>
        <v>0.065</v>
      </c>
      <c r="IH32" s="32" t="n">
        <f aca="false">INDEX(Вводные!$D$13:$F$64,MATCH($A32,Вводные!$A$13:$A$64,0),MATCH(IH$3,Вводные!$D$11:$F$11,0))*(1+IF(IH$4=$A32,Вводные!$D$5*INDEX(Вводные!$G$13:$G$64,MATCH($A32,Вводные!$A$13:$A$64,0)),0))</f>
        <v>0.065</v>
      </c>
      <c r="II32" s="32" t="n">
        <f aca="false">INDEX(Вводные!$D$13:$F$64,MATCH($A32,Вводные!$A$13:$A$64,0),MATCH(II$3,Вводные!$D$11:$F$11,0))*(1+IF(II$4=$A32,Вводные!$D$5*INDEX(Вводные!$G$13:$G$64,MATCH($A32,Вводные!$A$13:$A$64,0)),0))</f>
        <v>0.065</v>
      </c>
      <c r="IJ32" s="32" t="n">
        <f aca="false">INDEX(Вводные!$D$13:$F$64,MATCH($A32,Вводные!$A$13:$A$64,0),MATCH(IJ$3,Вводные!$D$11:$F$11,0))*(1+IF(IJ$4=$A32,Вводные!$D$5*INDEX(Вводные!$G$13:$G$64,MATCH($A32,Вводные!$A$13:$A$64,0)),0))</f>
        <v>0.065</v>
      </c>
      <c r="IK32" s="32" t="n">
        <f aca="false">INDEX(Вводные!$D$13:$F$64,MATCH($A32,Вводные!$A$13:$A$64,0),MATCH(IK$3,Вводные!$D$11:$F$11,0))*(1+IF(IK$4=$A32,Вводные!$D$5*INDEX(Вводные!$G$13:$G$64,MATCH($A32,Вводные!$A$13:$A$64,0)),0))</f>
        <v>0.065</v>
      </c>
      <c r="IL32" s="32" t="n">
        <f aca="false">INDEX(Вводные!$D$13:$F$64,MATCH($A32,Вводные!$A$13:$A$64,0),MATCH(IL$3,Вводные!$D$11:$F$11,0))*(1+IF(IL$4=$A32,Вводные!$D$5*INDEX(Вводные!$G$13:$G$64,MATCH($A32,Вводные!$A$13:$A$64,0)),0))</f>
        <v>0.065</v>
      </c>
      <c r="IM32" s="32" t="n">
        <f aca="false">INDEX(Вводные!$D$13:$F$64,MATCH($A32,Вводные!$A$13:$A$64,0),MATCH(IM$3,Вводные!$D$11:$F$11,0))*(1+IF(IM$4=$A32,Вводные!$D$5*INDEX(Вводные!$G$13:$G$64,MATCH($A32,Вводные!$A$13:$A$64,0)),0))</f>
        <v>0.065</v>
      </c>
      <c r="IN32" s="32" t="n">
        <f aca="false">INDEX(Вводные!$D$13:$F$64,MATCH($A32,Вводные!$A$13:$A$64,0),MATCH(IN$3,Вводные!$D$11:$F$11,0))*(1+IF(IN$4=$A32,Вводные!$D$5*INDEX(Вводные!$G$13:$G$64,MATCH($A32,Вводные!$A$13:$A$64,0)),0))</f>
        <v>0.065</v>
      </c>
      <c r="IO32" s="32" t="n">
        <f aca="false">INDEX(Вводные!$D$13:$F$64,MATCH($A32,Вводные!$A$13:$A$64,0),MATCH(IO$3,Вводные!$D$11:$F$11,0))*(1+IF(IO$4=$A32,Вводные!$D$5*INDEX(Вводные!$G$13:$G$64,MATCH($A32,Вводные!$A$13:$A$64,0)),0))</f>
        <v>0.065</v>
      </c>
      <c r="IP32" s="32" t="n">
        <f aca="false">INDEX(Вводные!$D$13:$F$64,MATCH($A32,Вводные!$A$13:$A$64,0),MATCH(IP$3,Вводные!$D$11:$F$11,0))*(1+IF(IP$4=$A32,Вводные!$D$5*INDEX(Вводные!$G$13:$G$64,MATCH($A32,Вводные!$A$13:$A$64,0)),0))</f>
        <v>0.065</v>
      </c>
      <c r="IQ32" s="32" t="n">
        <f aca="false">INDEX(Вводные!$D$13:$F$64,MATCH($A32,Вводные!$A$13:$A$64,0),MATCH(IQ$3,Вводные!$D$11:$F$11,0))*(1+IF(IQ$4=$A32,Вводные!$D$5*INDEX(Вводные!$G$13:$G$64,MATCH($A32,Вводные!$A$13:$A$64,0)),0))</f>
        <v>0.065</v>
      </c>
      <c r="IR32" s="32" t="n">
        <f aca="false">INDEX(Вводные!$D$13:$F$64,MATCH($A32,Вводные!$A$13:$A$64,0),MATCH(IR$3,Вводные!$D$11:$F$11,0))*(1+IF(IR$4=$A32,Вводные!$D$5*INDEX(Вводные!$G$13:$G$64,MATCH($A32,Вводные!$A$13:$A$64,0)),0))</f>
        <v>0.065</v>
      </c>
      <c r="IS32" s="32" t="n">
        <f aca="false">INDEX(Вводные!$D$13:$F$64,MATCH($A32,Вводные!$A$13:$A$64,0),MATCH(IS$3,Вводные!$D$11:$F$11,0))*(1+IF(IS$4=$A32,Вводные!$D$5*INDEX(Вводные!$G$13:$G$64,MATCH($A32,Вводные!$A$13:$A$64,0)),0))</f>
        <v>0.065</v>
      </c>
      <c r="IT32" s="32" t="n">
        <f aca="false">INDEX(Вводные!$D$13:$F$64,MATCH($A32,Вводные!$A$13:$A$64,0),MATCH(IT$3,Вводные!$D$11:$F$11,0))*(1+IF(IT$4=$A32,Вводные!$D$5*INDEX(Вводные!$G$13:$G$64,MATCH($A32,Вводные!$A$13:$A$64,0)),0))</f>
        <v>0.065</v>
      </c>
      <c r="IU32" s="32" t="n">
        <f aca="false">INDEX(Вводные!$D$13:$F$64,MATCH($A32,Вводные!$A$13:$A$64,0),MATCH(IU$3,Вводные!$D$11:$F$11,0))*(1+IF(IU$4=$A32,Вводные!$D$5*INDEX(Вводные!$G$13:$G$64,MATCH($A32,Вводные!$A$13:$A$64,0)),0))</f>
        <v>0.065</v>
      </c>
      <c r="IV32" s="32" t="n">
        <f aca="false">INDEX(Вводные!$D$13:$F$64,MATCH($A32,Вводные!$A$13:$A$64,0),MATCH(IV$3,Вводные!$D$11:$F$11,0))*(1+IF(IV$4=$A32,Вводные!$D$5*INDEX(Вводные!$G$13:$G$64,MATCH($A32,Вводные!$A$13:$A$64,0)),0))</f>
        <v>0.065</v>
      </c>
      <c r="IW32" s="32" t="n">
        <f aca="false">INDEX(Вводные!$D$13:$F$64,MATCH($A32,Вводные!$A$13:$A$64,0),MATCH(IW$3,Вводные!$D$11:$F$11,0))*(1+IF(IW$4=$A32,Вводные!$D$5*INDEX(Вводные!$G$13:$G$64,MATCH($A32,Вводные!$A$13:$A$64,0)),0))</f>
        <v>0.065</v>
      </c>
      <c r="IX32" s="32" t="n">
        <f aca="false">INDEX(Вводные!$D$13:$F$64,MATCH($A32,Вводные!$A$13:$A$64,0),MATCH(IX$3,Вводные!$D$11:$F$11,0))*(1+IF(IX$4=$A32,Вводные!$D$5*INDEX(Вводные!$G$13:$G$64,MATCH($A32,Вводные!$A$13:$A$64,0)),0))</f>
        <v>0.065</v>
      </c>
      <c r="IY32" s="32" t="n">
        <f aca="false">INDEX(Вводные!$D$13:$F$64,MATCH($A32,Вводные!$A$13:$A$64,0),MATCH(IY$3,Вводные!$D$11:$F$11,0))*(1+IF(IY$4=$A32,Вводные!$D$5*INDEX(Вводные!$G$13:$G$64,MATCH($A32,Вводные!$A$13:$A$64,0)),0))</f>
        <v>0.065</v>
      </c>
      <c r="IZ32" s="32" t="n">
        <f aca="false">INDEX(Вводные!$D$13:$F$64,MATCH($A32,Вводные!$A$13:$A$64,0),MATCH(IZ$3,Вводные!$D$11:$F$11,0))*(1+IF(IZ$4=$A32,Вводные!$D$5*INDEX(Вводные!$G$13:$G$64,MATCH($A32,Вводные!$A$13:$A$64,0)),0))</f>
        <v>0.065</v>
      </c>
      <c r="JA32" s="32" t="n">
        <f aca="false">INDEX(Вводные!$D$13:$F$64,MATCH($A32,Вводные!$A$13:$A$64,0),MATCH(JA$3,Вводные!$D$11:$F$11,0))*(1+IF(JA$4=$A32,Вводные!$D$5*INDEX(Вводные!$G$13:$G$64,MATCH($A32,Вводные!$A$13:$A$64,0)),0))</f>
        <v>0.065</v>
      </c>
    </row>
    <row r="33" customFormat="false" ht="15" hidden="false" customHeight="false" outlineLevel="0" collapsed="false">
      <c r="A33" s="2" t="s">
        <v>99</v>
      </c>
      <c r="B33" s="13" t="s">
        <v>100</v>
      </c>
      <c r="C33" s="13" t="s">
        <v>179</v>
      </c>
      <c r="D33" s="9" t="s">
        <v>199</v>
      </c>
      <c r="E33" s="59" t="n">
        <f aca="false">E30*((E31+Вводные!$D$7*Вводные!$D$8)-(E32+Вводные!$D$7))</f>
        <v>10142500</v>
      </c>
      <c r="F33" s="59" t="n">
        <f aca="false">F30*((F31+Вводные!$D$7*Вводные!$D$8)-(F32+Вводные!$D$7))</f>
        <v>6799500</v>
      </c>
      <c r="G33" s="59" t="n">
        <f aca="false">G30*((G31+Вводные!$D$7*Вводные!$D$8)-(G32+Вводные!$D$7))</f>
        <v>6030000</v>
      </c>
      <c r="H33" s="59" t="n">
        <f aca="false">SUM(E33:G33)</f>
        <v>22972000</v>
      </c>
      <c r="J33" s="59" t="n">
        <f aca="false">J30*((J31+Вводные!$D$7*Вводные!$D$8)-(J32+Вводные!$D$7))</f>
        <v>10142500</v>
      </c>
      <c r="K33" s="59" t="n">
        <f aca="false">K30*((K31+Вводные!$D$7*Вводные!$D$8)-(K32+Вводные!$D$7))</f>
        <v>10149925</v>
      </c>
      <c r="L33" s="59" t="n">
        <f aca="false">L30*((L31+Вводные!$D$7*Вводные!$D$8)-(L32+Вводные!$D$7))</f>
        <v>10149925</v>
      </c>
      <c r="M33" s="59" t="n">
        <f aca="false">M30*((M31+Вводные!$D$7*Вводные!$D$8)-(M32+Вводные!$D$7))</f>
        <v>10149925</v>
      </c>
      <c r="N33" s="59" t="n">
        <f aca="false">N30*((N31+Вводные!$D$7*Вводные!$D$8)-(N32+Вводные!$D$7))</f>
        <v>10148500</v>
      </c>
      <c r="O33" s="59" t="n">
        <f aca="false">O30*((O31+Вводные!$D$7*Вводные!$D$8)-(O32+Вводные!$D$7))</f>
        <v>10142500</v>
      </c>
      <c r="P33" s="59" t="n">
        <f aca="false">P30*((P31+Вводные!$D$7*Вводные!$D$8)-(P32+Вводные!$D$7))</f>
        <v>10142500</v>
      </c>
      <c r="Q33" s="59" t="n">
        <f aca="false">Q30*((Q31+Вводные!$D$7*Вводные!$D$8)-(Q32+Вводные!$D$7))</f>
        <v>10142500</v>
      </c>
      <c r="R33" s="59" t="n">
        <f aca="false">R30*((R31+Вводные!$D$7*Вводные!$D$8)-(R32+Вводные!$D$7))</f>
        <v>10142500</v>
      </c>
      <c r="S33" s="59" t="n">
        <f aca="false">S30*((S31+Вводные!$D$7*Вводные!$D$8)-(S32+Вводные!$D$7))</f>
        <v>10142500</v>
      </c>
      <c r="T33" s="59" t="n">
        <f aca="false">T30*((T31+Вводные!$D$7*Вводные!$D$8)-(T32+Вводные!$D$7))</f>
        <v>10142500</v>
      </c>
      <c r="U33" s="59" t="n">
        <f aca="false">U30*((U31+Вводные!$D$7*Вводные!$D$8)-(U32+Вводные!$D$7))</f>
        <v>10142500</v>
      </c>
      <c r="V33" s="59" t="n">
        <f aca="false">V30*((V31+Вводные!$D$7*Вводные!$D$8)-(V32+Вводные!$D$7))</f>
        <v>10142500</v>
      </c>
      <c r="W33" s="59" t="n">
        <f aca="false">W30*((W31+Вводные!$D$7*Вводные!$D$8)-(W32+Вводные!$D$7))</f>
        <v>10142500</v>
      </c>
      <c r="X33" s="59" t="n">
        <f aca="false">X30*((X31+Вводные!$D$7*Вводные!$D$8)-(X32+Вводные!$D$7))</f>
        <v>10243925</v>
      </c>
      <c r="Y33" s="59" t="n">
        <f aca="false">Y30*((Y31+Вводные!$D$7*Вводные!$D$8)-(Y32+Вводные!$D$7))</f>
        <v>10243925</v>
      </c>
      <c r="Z33" s="59" t="n">
        <f aca="false">Z30*((Z31+Вводные!$D$7*Вводные!$D$8)-(Z32+Вводные!$D$7))</f>
        <v>10385920</v>
      </c>
      <c r="AA33" s="59" t="n">
        <f aca="false">AA30*((AA31+Вводные!$D$7*Вводные!$D$8)-(AA32+Вводные!$D$7))</f>
        <v>10284495</v>
      </c>
      <c r="AB33" s="59" t="n">
        <f aca="false">AB30*((AB31+Вводные!$D$7*Вводные!$D$8)-(AB32+Вводные!$D$7))</f>
        <v>10142500</v>
      </c>
      <c r="AC33" s="59" t="n">
        <f aca="false">AC30*((AC31+Вводные!$D$7*Вводные!$D$8)-(AC32+Вводные!$D$7))</f>
        <v>10142500</v>
      </c>
      <c r="AD33" s="59" t="n">
        <f aca="false">AD30*((AD31+Вводные!$D$7*Вводные!$D$8)-(AD32+Вводные!$D$7))</f>
        <v>10142500</v>
      </c>
      <c r="AE33" s="59" t="n">
        <f aca="false">AE30*((AE31+Вводные!$D$7*Вводные!$D$8)-(AE32+Вводные!$D$7))</f>
        <v>10142500</v>
      </c>
      <c r="AF33" s="59" t="n">
        <f aca="false">AF30*((AF31+Вводные!$D$7*Вводные!$D$8)-(AF32+Вводные!$D$7))</f>
        <v>10142500</v>
      </c>
      <c r="AG33" s="59" t="n">
        <f aca="false">AG30*((AG31+Вводные!$D$7*Вводные!$D$8)-(AG32+Вводные!$D$7))</f>
        <v>10142500</v>
      </c>
      <c r="AH33" s="59" t="n">
        <f aca="false">AH30*((AH31+Вводные!$D$7*Вводные!$D$8)-(AH32+Вводные!$D$7))</f>
        <v>10142500</v>
      </c>
      <c r="AI33" s="59" t="n">
        <f aca="false">AI30*((AI31+Вводные!$D$7*Вводные!$D$8)-(AI32+Вводные!$D$7))</f>
        <v>10142500</v>
      </c>
      <c r="AJ33" s="59" t="n">
        <f aca="false">AJ30*((AJ31+Вводные!$D$7*Вводные!$D$8)-(AJ32+Вводные!$D$7))</f>
        <v>10142500</v>
      </c>
      <c r="AK33" s="59" t="n">
        <f aca="false">AK30*((AK31+Вводные!$D$7*Вводные!$D$8)-(AK32+Вводные!$D$7))</f>
        <v>10142500</v>
      </c>
      <c r="AL33" s="59" t="n">
        <f aca="false">AL30*((AL31+Вводные!$D$7*Вводные!$D$8)-(AL32+Вводные!$D$7))</f>
        <v>10142500</v>
      </c>
      <c r="AM33" s="59" t="n">
        <f aca="false">AM30*((AM31+Вводные!$D$7*Вводные!$D$8)-(AM32+Вводные!$D$7))</f>
        <v>10142500</v>
      </c>
      <c r="AN33" s="59" t="n">
        <f aca="false">AN30*((AN31+Вводные!$D$7*Вводные!$D$8)-(AN32+Вводные!$D$7))</f>
        <v>10142500</v>
      </c>
      <c r="AO33" s="59" t="n">
        <f aca="false">AO30*((AO31+Вводные!$D$7*Вводные!$D$8)-(AO32+Вводные!$D$7))</f>
        <v>10142500</v>
      </c>
      <c r="AP33" s="59" t="n">
        <f aca="false">AP30*((AP31+Вводные!$D$7*Вводные!$D$8)-(AP32+Вводные!$D$7))</f>
        <v>10142500</v>
      </c>
      <c r="AQ33" s="59" t="n">
        <f aca="false">AQ30*((AQ31+Вводные!$D$7*Вводные!$D$8)-(AQ32+Вводные!$D$7))</f>
        <v>10142500</v>
      </c>
      <c r="AR33" s="59" t="n">
        <f aca="false">AR30*((AR31+Вводные!$D$7*Вводные!$D$8)-(AR32+Вводные!$D$7))</f>
        <v>10142500</v>
      </c>
      <c r="AS33" s="59" t="n">
        <f aca="false">AS30*((AS31+Вводные!$D$7*Вводные!$D$8)-(AS32+Вводные!$D$7))</f>
        <v>10142500</v>
      </c>
      <c r="AT33" s="59" t="n">
        <f aca="false">AT30*((AT31+Вводные!$D$7*Вводные!$D$8)-(AT32+Вводные!$D$7))</f>
        <v>10142500</v>
      </c>
      <c r="AU33" s="59" t="n">
        <f aca="false">AU30*((AU31+Вводные!$D$7*Вводные!$D$8)-(AU32+Вводные!$D$7))</f>
        <v>10142500</v>
      </c>
      <c r="AV33" s="59" t="n">
        <f aca="false">AV30*((AV31+Вводные!$D$7*Вводные!$D$8)-(AV32+Вводные!$D$7))</f>
        <v>10142500</v>
      </c>
      <c r="AW33" s="59" t="n">
        <f aca="false">AW30*((AW31+Вводные!$D$7*Вводные!$D$8)-(AW32+Вводные!$D$7))</f>
        <v>10142500</v>
      </c>
      <c r="AX33" s="59" t="n">
        <f aca="false">AX30*((AX31+Вводные!$D$7*Вводные!$D$8)-(AX32+Вводные!$D$7))</f>
        <v>10142500</v>
      </c>
      <c r="AY33" s="59" t="n">
        <f aca="false">AY30*((AY31+Вводные!$D$7*Вводные!$D$8)-(AY32+Вводные!$D$7))</f>
        <v>10142500</v>
      </c>
      <c r="AZ33" s="59" t="n">
        <f aca="false">AZ30*((AZ31+Вводные!$D$7*Вводные!$D$8)-(AZ32+Вводные!$D$7))</f>
        <v>6799500</v>
      </c>
      <c r="BA33" s="59" t="n">
        <f aca="false">BA30*((BA31+Вводные!$D$7*Вводные!$D$8)-(BA32+Вводные!$D$7))</f>
        <v>6802020</v>
      </c>
      <c r="BB33" s="59" t="n">
        <f aca="false">BB30*((BB31+Вводные!$D$7*Вводные!$D$8)-(BB32+Вводные!$D$7))</f>
        <v>6802020</v>
      </c>
      <c r="BC33" s="59" t="n">
        <f aca="false">BC30*((BC31+Вводные!$D$7*Вводные!$D$8)-(BC32+Вводные!$D$7))</f>
        <v>6802020</v>
      </c>
      <c r="BD33" s="59" t="n">
        <f aca="false">BD30*((BD31+Вводные!$D$7*Вводные!$D$8)-(BD32+Вводные!$D$7))</f>
        <v>6801525</v>
      </c>
      <c r="BE33" s="59" t="n">
        <f aca="false">BE30*((BE31+Вводные!$D$7*Вводные!$D$8)-(BE32+Вводные!$D$7))</f>
        <v>6799500</v>
      </c>
      <c r="BF33" s="59" t="n">
        <f aca="false">BF30*((BF31+Вводные!$D$7*Вводные!$D$8)-(BF32+Вводные!$D$7))</f>
        <v>6799500</v>
      </c>
      <c r="BG33" s="59" t="n">
        <f aca="false">BG30*((BG31+Вводные!$D$7*Вводные!$D$8)-(BG32+Вводные!$D$7))</f>
        <v>6799500</v>
      </c>
      <c r="BH33" s="59" t="n">
        <f aca="false">BH30*((BH31+Вводные!$D$7*Вводные!$D$8)-(BH32+Вводные!$D$7))</f>
        <v>6799500</v>
      </c>
      <c r="BI33" s="59" t="n">
        <f aca="false">BI30*((BI31+Вводные!$D$7*Вводные!$D$8)-(BI32+Вводные!$D$7))</f>
        <v>6799500</v>
      </c>
      <c r="BJ33" s="59" t="n">
        <f aca="false">BJ30*((BJ31+Вводные!$D$7*Вводные!$D$8)-(BJ32+Вводные!$D$7))</f>
        <v>6799500</v>
      </c>
      <c r="BK33" s="59" t="n">
        <f aca="false">BK30*((BK31+Вводные!$D$7*Вводные!$D$8)-(BK32+Вводные!$D$7))</f>
        <v>6799500</v>
      </c>
      <c r="BL33" s="59" t="n">
        <f aca="false">BL30*((BL31+Вводные!$D$7*Вводные!$D$8)-(BL32+Вводные!$D$7))</f>
        <v>6799500</v>
      </c>
      <c r="BM33" s="59" t="n">
        <f aca="false">BM30*((BM31+Вводные!$D$7*Вводные!$D$8)-(BM32+Вводные!$D$7))</f>
        <v>6799500</v>
      </c>
      <c r="BN33" s="59" t="n">
        <f aca="false">BN30*((BN31+Вводные!$D$7*Вводные!$D$8)-(BN32+Вводные!$D$7))</f>
        <v>6867495</v>
      </c>
      <c r="BO33" s="59" t="n">
        <f aca="false">BO30*((BO31+Вводные!$D$7*Вводные!$D$8)-(BO32+Вводные!$D$7))</f>
        <v>6867495</v>
      </c>
      <c r="BP33" s="59" t="n">
        <f aca="false">BP30*((BP31+Вводные!$D$7*Вводные!$D$8)-(BP32+Вводные!$D$7))</f>
        <v>7026150</v>
      </c>
      <c r="BQ33" s="59" t="n">
        <f aca="false">BQ30*((BQ31+Вводные!$D$7*Вводные!$D$8)-(BQ32+Вводные!$D$7))</f>
        <v>6958155</v>
      </c>
      <c r="BR33" s="59" t="n">
        <f aca="false">BR30*((BR31+Вводные!$D$7*Вводные!$D$8)-(BR32+Вводные!$D$7))</f>
        <v>6799500</v>
      </c>
      <c r="BS33" s="59" t="n">
        <f aca="false">BS30*((BS31+Вводные!$D$7*Вводные!$D$8)-(BS32+Вводные!$D$7))</f>
        <v>6799500</v>
      </c>
      <c r="BT33" s="59" t="n">
        <f aca="false">BT30*((BT31+Вводные!$D$7*Вводные!$D$8)-(BT32+Вводные!$D$7))</f>
        <v>6799500</v>
      </c>
      <c r="BU33" s="59" t="n">
        <f aca="false">BU30*((BU31+Вводные!$D$7*Вводные!$D$8)-(BU32+Вводные!$D$7))</f>
        <v>6799500</v>
      </c>
      <c r="BV33" s="59" t="n">
        <f aca="false">BV30*((BV31+Вводные!$D$7*Вводные!$D$8)-(BV32+Вводные!$D$7))</f>
        <v>6799500</v>
      </c>
      <c r="BW33" s="59" t="n">
        <f aca="false">BW30*((BW31+Вводные!$D$7*Вводные!$D$8)-(BW32+Вводные!$D$7))</f>
        <v>6799500</v>
      </c>
      <c r="BX33" s="59" t="n">
        <f aca="false">BX30*((BX31+Вводные!$D$7*Вводные!$D$8)-(BX32+Вводные!$D$7))</f>
        <v>6799500</v>
      </c>
      <c r="BY33" s="59" t="n">
        <f aca="false">BY30*((BY31+Вводные!$D$7*Вводные!$D$8)-(BY32+Вводные!$D$7))</f>
        <v>6799500</v>
      </c>
      <c r="BZ33" s="59" t="n">
        <f aca="false">BZ30*((BZ31+Вводные!$D$7*Вводные!$D$8)-(BZ32+Вводные!$D$7))</f>
        <v>6799500</v>
      </c>
      <c r="CA33" s="59" t="n">
        <f aca="false">CA30*((CA31+Вводные!$D$7*Вводные!$D$8)-(CA32+Вводные!$D$7))</f>
        <v>6799500</v>
      </c>
      <c r="CB33" s="59" t="n">
        <f aca="false">CB30*((CB31+Вводные!$D$7*Вводные!$D$8)-(CB32+Вводные!$D$7))</f>
        <v>6799500</v>
      </c>
      <c r="CC33" s="59" t="n">
        <f aca="false">CC30*((CC31+Вводные!$D$7*Вводные!$D$8)-(CC32+Вводные!$D$7))</f>
        <v>6799500</v>
      </c>
      <c r="CD33" s="59" t="n">
        <f aca="false">CD30*((CD31+Вводные!$D$7*Вводные!$D$8)-(CD32+Вводные!$D$7))</f>
        <v>6799500</v>
      </c>
      <c r="CE33" s="59" t="n">
        <f aca="false">CE30*((CE31+Вводные!$D$7*Вводные!$D$8)-(CE32+Вводные!$D$7))</f>
        <v>6799500</v>
      </c>
      <c r="CF33" s="59" t="n">
        <f aca="false">CF30*((CF31+Вводные!$D$7*Вводные!$D$8)-(CF32+Вводные!$D$7))</f>
        <v>6799500</v>
      </c>
      <c r="CG33" s="59" t="n">
        <f aca="false">CG30*((CG31+Вводные!$D$7*Вводные!$D$8)-(CG32+Вводные!$D$7))</f>
        <v>6799500</v>
      </c>
      <c r="CH33" s="59" t="n">
        <f aca="false">CH30*((CH31+Вводные!$D$7*Вводные!$D$8)-(CH32+Вводные!$D$7))</f>
        <v>6799500</v>
      </c>
      <c r="CI33" s="59" t="n">
        <f aca="false">CI30*((CI31+Вводные!$D$7*Вводные!$D$8)-(CI32+Вводные!$D$7))</f>
        <v>6799500</v>
      </c>
      <c r="CJ33" s="59" t="n">
        <f aca="false">CJ30*((CJ31+Вводные!$D$7*Вводные!$D$8)-(CJ32+Вводные!$D$7))</f>
        <v>6799500</v>
      </c>
      <c r="CK33" s="59" t="n">
        <f aca="false">CK30*((CK31+Вводные!$D$7*Вводные!$D$8)-(CK32+Вводные!$D$7))</f>
        <v>6799500</v>
      </c>
      <c r="CL33" s="59" t="n">
        <f aca="false">CL30*((CL31+Вводные!$D$7*Вводные!$D$8)-(CL32+Вводные!$D$7))</f>
        <v>6799500</v>
      </c>
      <c r="CM33" s="59" t="n">
        <f aca="false">CM30*((CM31+Вводные!$D$7*Вводные!$D$8)-(CM32+Вводные!$D$7))</f>
        <v>6799500</v>
      </c>
      <c r="CN33" s="59" t="n">
        <f aca="false">CN30*((CN31+Вводные!$D$7*Вводные!$D$8)-(CN32+Вводные!$D$7))</f>
        <v>6799500</v>
      </c>
      <c r="CO33" s="59" t="n">
        <f aca="false">CO30*((CO31+Вводные!$D$7*Вводные!$D$8)-(CO32+Вводные!$D$7))</f>
        <v>6799500</v>
      </c>
      <c r="CP33" s="59" t="n">
        <f aca="false">CP30*((CP31+Вводные!$D$7*Вводные!$D$8)-(CP32+Вводные!$D$7))</f>
        <v>6030000</v>
      </c>
      <c r="CQ33" s="59" t="n">
        <f aca="false">CQ30*((CQ31+Вводные!$D$7*Вводные!$D$8)-(CQ32+Вводные!$D$7))</f>
        <v>6032700</v>
      </c>
      <c r="CR33" s="59" t="n">
        <f aca="false">CR30*((CR31+Вводные!$D$7*Вводные!$D$8)-(CR32+Вводные!$D$7))</f>
        <v>6032700</v>
      </c>
      <c r="CS33" s="59" t="n">
        <f aca="false">CS30*((CS31+Вводные!$D$7*Вводные!$D$8)-(CS32+Вводные!$D$7))</f>
        <v>6032700</v>
      </c>
      <c r="CT33" s="59" t="n">
        <f aca="false">CT30*((CT31+Вводные!$D$7*Вводные!$D$8)-(CT32+Вводные!$D$7))</f>
        <v>6032400</v>
      </c>
      <c r="CU33" s="59" t="n">
        <f aca="false">CU30*((CU31+Вводные!$D$7*Вводные!$D$8)-(CU32+Вводные!$D$7))</f>
        <v>6030000</v>
      </c>
      <c r="CV33" s="59" t="n">
        <f aca="false">CV30*((CV31+Вводные!$D$7*Вводные!$D$8)-(CV32+Вводные!$D$7))</f>
        <v>6030000</v>
      </c>
      <c r="CW33" s="59" t="n">
        <f aca="false">CW30*((CW31+Вводные!$D$7*Вводные!$D$8)-(CW32+Вводные!$D$7))</f>
        <v>6030000</v>
      </c>
      <c r="CX33" s="59" t="n">
        <f aca="false">CX30*((CX31+Вводные!$D$7*Вводные!$D$8)-(CX32+Вводные!$D$7))</f>
        <v>6030000</v>
      </c>
      <c r="CY33" s="59" t="n">
        <f aca="false">CY30*((CY31+Вводные!$D$7*Вводные!$D$8)-(CY32+Вводные!$D$7))</f>
        <v>6030000</v>
      </c>
      <c r="CZ33" s="59" t="n">
        <f aca="false">CZ30*((CZ31+Вводные!$D$7*Вводные!$D$8)-(CZ32+Вводные!$D$7))</f>
        <v>6030000</v>
      </c>
      <c r="DA33" s="59" t="n">
        <f aca="false">DA30*((DA31+Вводные!$D$7*Вводные!$D$8)-(DA32+Вводные!$D$7))</f>
        <v>6030000</v>
      </c>
      <c r="DB33" s="59" t="n">
        <f aca="false">DB30*((DB31+Вводные!$D$7*Вводные!$D$8)-(DB32+Вводные!$D$7))</f>
        <v>6030000</v>
      </c>
      <c r="DC33" s="59" t="n">
        <f aca="false">DC30*((DC31+Вводные!$D$7*Вводные!$D$8)-(DC32+Вводные!$D$7))</f>
        <v>6030000</v>
      </c>
      <c r="DD33" s="59" t="n">
        <f aca="false">DD30*((DD31+Вводные!$D$7*Вводные!$D$8)-(DD32+Вводные!$D$7))</f>
        <v>6090300</v>
      </c>
      <c r="DE33" s="59" t="n">
        <f aca="false">DE30*((DE31+Вводные!$D$7*Вводные!$D$8)-(DE32+Вводные!$D$7))</f>
        <v>6090300</v>
      </c>
      <c r="DF33" s="59" t="n">
        <f aca="false">DF30*((DF31+Вводные!$D$7*Вводные!$D$8)-(DF32+Вводные!$D$7))</f>
        <v>6351600</v>
      </c>
      <c r="DG33" s="59" t="n">
        <f aca="false">DG30*((DG31+Вводные!$D$7*Вводные!$D$8)-(DG32+Вводные!$D$7))</f>
        <v>6291300</v>
      </c>
      <c r="DH33" s="59" t="n">
        <f aca="false">DH30*((DH31+Вводные!$D$7*Вводные!$D$8)-(DH32+Вводные!$D$7))</f>
        <v>6030000</v>
      </c>
      <c r="DI33" s="59" t="n">
        <f aca="false">DI30*((DI31+Вводные!$D$7*Вводные!$D$8)-(DI32+Вводные!$D$7))</f>
        <v>6030000</v>
      </c>
      <c r="DJ33" s="59" t="n">
        <f aca="false">DJ30*((DJ31+Вводные!$D$7*Вводные!$D$8)-(DJ32+Вводные!$D$7))</f>
        <v>6030000</v>
      </c>
      <c r="DK33" s="59" t="n">
        <f aca="false">DK30*((DK31+Вводные!$D$7*Вводные!$D$8)-(DK32+Вводные!$D$7))</f>
        <v>6030000</v>
      </c>
      <c r="DL33" s="59" t="n">
        <f aca="false">DL30*((DL31+Вводные!$D$7*Вводные!$D$8)-(DL32+Вводные!$D$7))</f>
        <v>6030000</v>
      </c>
      <c r="DM33" s="59" t="n">
        <f aca="false">DM30*((DM31+Вводные!$D$7*Вводные!$D$8)-(DM32+Вводные!$D$7))</f>
        <v>6030000</v>
      </c>
      <c r="DN33" s="59" t="n">
        <f aca="false">DN30*((DN31+Вводные!$D$7*Вводные!$D$8)-(DN32+Вводные!$D$7))</f>
        <v>6030000</v>
      </c>
      <c r="DO33" s="59" t="n">
        <f aca="false">DO30*((DO31+Вводные!$D$7*Вводные!$D$8)-(DO32+Вводные!$D$7))</f>
        <v>6030000</v>
      </c>
      <c r="DP33" s="59" t="n">
        <f aca="false">DP30*((DP31+Вводные!$D$7*Вводные!$D$8)-(DP32+Вводные!$D$7))</f>
        <v>6030000</v>
      </c>
      <c r="DQ33" s="59" t="n">
        <f aca="false">DQ30*((DQ31+Вводные!$D$7*Вводные!$D$8)-(DQ32+Вводные!$D$7))</f>
        <v>6030000</v>
      </c>
      <c r="DR33" s="59" t="n">
        <f aca="false">DR30*((DR31+Вводные!$D$7*Вводные!$D$8)-(DR32+Вводные!$D$7))</f>
        <v>6030000</v>
      </c>
      <c r="DS33" s="59" t="n">
        <f aca="false">DS30*((DS31+Вводные!$D$7*Вводные!$D$8)-(DS32+Вводные!$D$7))</f>
        <v>6030000</v>
      </c>
      <c r="DT33" s="59" t="n">
        <f aca="false">DT30*((DT31+Вводные!$D$7*Вводные!$D$8)-(DT32+Вводные!$D$7))</f>
        <v>6030000</v>
      </c>
      <c r="DU33" s="59" t="n">
        <f aca="false">DU30*((DU31+Вводные!$D$7*Вводные!$D$8)-(DU32+Вводные!$D$7))</f>
        <v>6030000</v>
      </c>
      <c r="DV33" s="59" t="n">
        <f aca="false">DV30*((DV31+Вводные!$D$7*Вводные!$D$8)-(DV32+Вводные!$D$7))</f>
        <v>6030000</v>
      </c>
      <c r="DW33" s="59" t="n">
        <f aca="false">DW30*((DW31+Вводные!$D$7*Вводные!$D$8)-(DW32+Вводные!$D$7))</f>
        <v>6030000</v>
      </c>
      <c r="DX33" s="59" t="n">
        <f aca="false">DX30*((DX31+Вводные!$D$7*Вводные!$D$8)-(DX32+Вводные!$D$7))</f>
        <v>6030000</v>
      </c>
      <c r="DY33" s="59" t="n">
        <f aca="false">DY30*((DY31+Вводные!$D$7*Вводные!$D$8)-(DY32+Вводные!$D$7))</f>
        <v>6030000</v>
      </c>
      <c r="DZ33" s="59" t="n">
        <f aca="false">DZ30*((DZ31+Вводные!$D$7*Вводные!$D$8)-(DZ32+Вводные!$D$7))</f>
        <v>6030000</v>
      </c>
      <c r="EA33" s="59" t="n">
        <f aca="false">EA30*((EA31+Вводные!$D$7*Вводные!$D$8)-(EA32+Вводные!$D$7))</f>
        <v>6030000</v>
      </c>
      <c r="EB33" s="59" t="n">
        <f aca="false">EB30*((EB31+Вводные!$D$7*Вводные!$D$8)-(EB32+Вводные!$D$7))</f>
        <v>6030000</v>
      </c>
      <c r="EC33" s="59" t="n">
        <f aca="false">EC30*((EC31+Вводные!$D$7*Вводные!$D$8)-(EC32+Вводные!$D$7))</f>
        <v>6030000</v>
      </c>
      <c r="ED33" s="59" t="n">
        <f aca="false">ED30*((ED31+Вводные!$D$7*Вводные!$D$8)-(ED32+Вводные!$D$7))</f>
        <v>6030000</v>
      </c>
      <c r="EE33" s="59" t="n">
        <f aca="false">EE30*((EE31+Вводные!$D$7*Вводные!$D$8)-(EE32+Вводные!$D$7))</f>
        <v>6030000</v>
      </c>
      <c r="EF33" s="59" t="n">
        <f aca="false">EF30*((EF31+Вводные!$D$7*Вводные!$D$8)-(EF32+Вводные!$D$7))</f>
        <v>12375000</v>
      </c>
      <c r="EG33" s="59" t="n">
        <f aca="false">EG30*((EG31+Вводные!$D$7*Вводные!$D$8)-(EG32+Вводные!$D$7))</f>
        <v>12498750</v>
      </c>
      <c r="EH33" s="59" t="n">
        <f aca="false">EH30*((EH31+Вводные!$D$7*Вводные!$D$8)-(EH32+Вводные!$D$7))</f>
        <v>12498750</v>
      </c>
      <c r="EI33" s="59" t="n">
        <f aca="false">EI30*((EI31+Вводные!$D$7*Вводные!$D$8)-(EI32+Вводные!$D$7))</f>
        <v>12498750</v>
      </c>
      <c r="EJ33" s="59" t="n">
        <f aca="false">EJ30*((EJ31+Вводные!$D$7*Вводные!$D$8)-(EJ32+Вводные!$D$7))</f>
        <v>12500000</v>
      </c>
      <c r="EK33" s="59" t="n">
        <f aca="false">EK30*((EK31+Вводные!$D$7*Вводные!$D$8)-(EK32+Вводные!$D$7))</f>
        <v>12375000</v>
      </c>
      <c r="EL33" s="59" t="n">
        <f aca="false">EL30*((EL31+Вводные!$D$7*Вводные!$D$8)-(EL32+Вводные!$D$7))</f>
        <v>12375000</v>
      </c>
      <c r="EM33" s="59" t="n">
        <f aca="false">EM30*((EM31+Вводные!$D$7*Вводные!$D$8)-(EM32+Вводные!$D$7))</f>
        <v>12375000</v>
      </c>
      <c r="EN33" s="59" t="n">
        <f aca="false">EN30*((EN31+Вводные!$D$7*Вводные!$D$8)-(EN32+Вводные!$D$7))</f>
        <v>12375000</v>
      </c>
      <c r="EO33" s="59" t="n">
        <f aca="false">EO30*((EO31+Вводные!$D$7*Вводные!$D$8)-(EO32+Вводные!$D$7))</f>
        <v>12375000</v>
      </c>
      <c r="EP33" s="59" t="n">
        <f aca="false">EP30*((EP31+Вводные!$D$7*Вводные!$D$8)-(EP32+Вводные!$D$7))</f>
        <v>12375000</v>
      </c>
      <c r="EQ33" s="59" t="n">
        <f aca="false">EQ30*((EQ31+Вводные!$D$7*Вводные!$D$8)-(EQ32+Вводные!$D$7))</f>
        <v>12375000</v>
      </c>
      <c r="ER33" s="59" t="n">
        <f aca="false">ER30*((ER31+Вводные!$D$7*Вводные!$D$8)-(ER32+Вводные!$D$7))</f>
        <v>12375000</v>
      </c>
      <c r="ES33" s="59" t="n">
        <f aca="false">ES30*((ES31+Вводные!$D$7*Вводные!$D$8)-(ES32+Вводные!$D$7))</f>
        <v>12375000</v>
      </c>
      <c r="ET33" s="59" t="n">
        <f aca="false">ET30*((ET31+Вводные!$D$7*Вводные!$D$8)-(ET32+Вводные!$D$7))</f>
        <v>12498750</v>
      </c>
      <c r="EU33" s="59" t="n">
        <f aca="false">EU30*((EU31+Вводные!$D$7*Вводные!$D$8)-(EU32+Вводные!$D$7))</f>
        <v>12498750</v>
      </c>
      <c r="EV33" s="59" t="n">
        <f aca="false">EV30*((EV31+Вводные!$D$7*Вводные!$D$8)-(EV32+Вводные!$D$7))</f>
        <v>12672000</v>
      </c>
      <c r="EW33" s="59" t="n">
        <f aca="false">EW30*((EW31+Вводные!$D$7*Вводные!$D$8)-(EW32+Вводные!$D$7))</f>
        <v>12548250</v>
      </c>
      <c r="EX33" s="59" t="n">
        <f aca="false">EX30*((EX31+Вводные!$D$7*Вводные!$D$8)-(EX32+Вводные!$D$7))</f>
        <v>12375000</v>
      </c>
      <c r="EY33" s="59" t="n">
        <f aca="false">EY30*((EY31+Вводные!$D$7*Вводные!$D$8)-(EY32+Вводные!$D$7))</f>
        <v>12375000</v>
      </c>
      <c r="EZ33" s="59" t="n">
        <f aca="false">EZ30*((EZ31+Вводные!$D$7*Вводные!$D$8)-(EZ32+Вводные!$D$7))</f>
        <v>12375000</v>
      </c>
      <c r="FA33" s="59" t="n">
        <f aca="false">FA30*((FA31+Вводные!$D$7*Вводные!$D$8)-(FA32+Вводные!$D$7))</f>
        <v>12375000</v>
      </c>
      <c r="FB33" s="59" t="n">
        <f aca="false">FB30*((FB31+Вводные!$D$7*Вводные!$D$8)-(FB32+Вводные!$D$7))</f>
        <v>12375000</v>
      </c>
      <c r="FC33" s="59" t="n">
        <f aca="false">FC30*((FC31+Вводные!$D$7*Вводные!$D$8)-(FC32+Вводные!$D$7))</f>
        <v>12375000</v>
      </c>
      <c r="FD33" s="59" t="n">
        <f aca="false">FD30*((FD31+Вводные!$D$7*Вводные!$D$8)-(FD32+Вводные!$D$7))</f>
        <v>12375000</v>
      </c>
      <c r="FE33" s="59" t="n">
        <f aca="false">FE30*((FE31+Вводные!$D$7*Вводные!$D$8)-(FE32+Вводные!$D$7))</f>
        <v>12375000</v>
      </c>
      <c r="FF33" s="59" t="n">
        <f aca="false">FF30*((FF31+Вводные!$D$7*Вводные!$D$8)-(FF32+Вводные!$D$7))</f>
        <v>12375000</v>
      </c>
      <c r="FG33" s="59" t="n">
        <f aca="false">FG30*((FG31+Вводные!$D$7*Вводные!$D$8)-(FG32+Вводные!$D$7))</f>
        <v>12375000</v>
      </c>
      <c r="FH33" s="59" t="n">
        <f aca="false">FH30*((FH31+Вводные!$D$7*Вводные!$D$8)-(FH32+Вводные!$D$7))</f>
        <v>12375000</v>
      </c>
      <c r="FI33" s="59" t="n">
        <f aca="false">FI30*((FI31+Вводные!$D$7*Вводные!$D$8)-(FI32+Вводные!$D$7))</f>
        <v>12375000</v>
      </c>
      <c r="FJ33" s="59" t="n">
        <f aca="false">FJ30*((FJ31+Вводные!$D$7*Вводные!$D$8)-(FJ32+Вводные!$D$7))</f>
        <v>12375000</v>
      </c>
      <c r="FK33" s="59" t="n">
        <f aca="false">FK30*((FK31+Вводные!$D$7*Вводные!$D$8)-(FK32+Вводные!$D$7))</f>
        <v>12375000</v>
      </c>
      <c r="FL33" s="59" t="n">
        <f aca="false">FL30*((FL31+Вводные!$D$7*Вводные!$D$8)-(FL32+Вводные!$D$7))</f>
        <v>12375000</v>
      </c>
      <c r="FM33" s="59" t="n">
        <f aca="false">FM30*((FM31+Вводные!$D$7*Вводные!$D$8)-(FM32+Вводные!$D$7))</f>
        <v>12375000</v>
      </c>
      <c r="FN33" s="59" t="n">
        <f aca="false">FN30*((FN31+Вводные!$D$7*Вводные!$D$8)-(FN32+Вводные!$D$7))</f>
        <v>12375000</v>
      </c>
      <c r="FO33" s="59" t="n">
        <f aca="false">FO30*((FO31+Вводные!$D$7*Вводные!$D$8)-(FO32+Вводные!$D$7))</f>
        <v>12375000</v>
      </c>
      <c r="FP33" s="59" t="n">
        <f aca="false">FP30*((FP31+Вводные!$D$7*Вводные!$D$8)-(FP32+Вводные!$D$7))</f>
        <v>12375000</v>
      </c>
      <c r="FQ33" s="59" t="n">
        <f aca="false">FQ30*((FQ31+Вводные!$D$7*Вводные!$D$8)-(FQ32+Вводные!$D$7))</f>
        <v>12375000</v>
      </c>
      <c r="FR33" s="59" t="n">
        <f aca="false">FR30*((FR31+Вводные!$D$7*Вводные!$D$8)-(FR32+Вводные!$D$7))</f>
        <v>12375000</v>
      </c>
      <c r="FS33" s="59" t="n">
        <f aca="false">FS30*((FS31+Вводные!$D$7*Вводные!$D$8)-(FS32+Вводные!$D$7))</f>
        <v>12375000</v>
      </c>
      <c r="FT33" s="59" t="n">
        <f aca="false">FT30*((FT31+Вводные!$D$7*Вводные!$D$8)-(FT32+Вводные!$D$7))</f>
        <v>12375000</v>
      </c>
      <c r="FU33" s="59" t="n">
        <f aca="false">FU30*((FU31+Вводные!$D$7*Вводные!$D$8)-(FU32+Вводные!$D$7))</f>
        <v>12375000</v>
      </c>
      <c r="FV33" s="59" t="n">
        <f aca="false">FV30*((FV31+Вводные!$D$7*Вводные!$D$8)-(FV32+Вводные!$D$7))</f>
        <v>8400000</v>
      </c>
      <c r="FW33" s="59" t="n">
        <f aca="false">FW30*((FW31+Вводные!$D$7*Вводные!$D$8)-(FW32+Вводные!$D$7))</f>
        <v>8484000</v>
      </c>
      <c r="FX33" s="59" t="n">
        <f aca="false">FX30*((FX31+Вводные!$D$7*Вводные!$D$8)-(FX32+Вводные!$D$7))</f>
        <v>8484000</v>
      </c>
      <c r="FY33" s="59" t="n">
        <f aca="false">FY30*((FY31+Вводные!$D$7*Вводные!$D$8)-(FY32+Вводные!$D$7))</f>
        <v>8484000</v>
      </c>
      <c r="FZ33" s="59" t="n">
        <f aca="false">FZ30*((FZ31+Вводные!$D$7*Вводные!$D$8)-(FZ32+Вводные!$D$7))</f>
        <v>8484848.48484849</v>
      </c>
      <c r="GA33" s="59" t="n">
        <f aca="false">GA30*((GA31+Вводные!$D$7*Вводные!$D$8)-(GA32+Вводные!$D$7))</f>
        <v>8400000</v>
      </c>
      <c r="GB33" s="59" t="n">
        <f aca="false">GB30*((GB31+Вводные!$D$7*Вводные!$D$8)-(GB32+Вводные!$D$7))</f>
        <v>8400000</v>
      </c>
      <c r="GC33" s="59" t="n">
        <f aca="false">GC30*((GC31+Вводные!$D$7*Вводные!$D$8)-(GC32+Вводные!$D$7))</f>
        <v>8400000</v>
      </c>
      <c r="GD33" s="59" t="n">
        <f aca="false">GD30*((GD31+Вводные!$D$7*Вводные!$D$8)-(GD32+Вводные!$D$7))</f>
        <v>8400000</v>
      </c>
      <c r="GE33" s="59" t="n">
        <f aca="false">GE30*((GE31+Вводные!$D$7*Вводные!$D$8)-(GE32+Вводные!$D$7))</f>
        <v>8400000</v>
      </c>
      <c r="GF33" s="59" t="n">
        <f aca="false">GF30*((GF31+Вводные!$D$7*Вводные!$D$8)-(GF32+Вводные!$D$7))</f>
        <v>8400000</v>
      </c>
      <c r="GG33" s="59" t="n">
        <f aca="false">GG30*((GG31+Вводные!$D$7*Вводные!$D$8)-(GG32+Вводные!$D$7))</f>
        <v>8400000</v>
      </c>
      <c r="GH33" s="59" t="n">
        <f aca="false">GH30*((GH31+Вводные!$D$7*Вводные!$D$8)-(GH32+Вводные!$D$7))</f>
        <v>8400000</v>
      </c>
      <c r="GI33" s="59" t="n">
        <f aca="false">GI30*((GI31+Вводные!$D$7*Вводные!$D$8)-(GI32+Вводные!$D$7))</f>
        <v>8400000</v>
      </c>
      <c r="GJ33" s="59" t="n">
        <f aca="false">GJ30*((GJ31+Вводные!$D$7*Вводные!$D$8)-(GJ32+Вводные!$D$7))</f>
        <v>8484000</v>
      </c>
      <c r="GK33" s="59" t="n">
        <f aca="false">GK30*((GK31+Вводные!$D$7*Вводные!$D$8)-(GK32+Вводные!$D$7))</f>
        <v>8484000</v>
      </c>
      <c r="GL33" s="59" t="n">
        <f aca="false">GL30*((GL31+Вводные!$D$7*Вводные!$D$8)-(GL32+Вводные!$D$7))</f>
        <v>8680000</v>
      </c>
      <c r="GM33" s="59" t="n">
        <f aca="false">GM30*((GM31+Вводные!$D$7*Вводные!$D$8)-(GM32+Вводные!$D$7))</f>
        <v>8596000.00000001</v>
      </c>
      <c r="GN33" s="59" t="n">
        <f aca="false">GN30*((GN31+Вводные!$D$7*Вводные!$D$8)-(GN32+Вводные!$D$7))</f>
        <v>8400000</v>
      </c>
      <c r="GO33" s="59" t="n">
        <f aca="false">GO30*((GO31+Вводные!$D$7*Вводные!$D$8)-(GO32+Вводные!$D$7))</f>
        <v>8400000</v>
      </c>
      <c r="GP33" s="59" t="n">
        <f aca="false">GP30*((GP31+Вводные!$D$7*Вводные!$D$8)-(GP32+Вводные!$D$7))</f>
        <v>8400000</v>
      </c>
      <c r="GQ33" s="59" t="n">
        <f aca="false">GQ30*((GQ31+Вводные!$D$7*Вводные!$D$8)-(GQ32+Вводные!$D$7))</f>
        <v>8400000</v>
      </c>
      <c r="GR33" s="59" t="n">
        <f aca="false">GR30*((GR31+Вводные!$D$7*Вводные!$D$8)-(GR32+Вводные!$D$7))</f>
        <v>8400000</v>
      </c>
      <c r="GS33" s="59" t="n">
        <f aca="false">GS30*((GS31+Вводные!$D$7*Вводные!$D$8)-(GS32+Вводные!$D$7))</f>
        <v>8400000</v>
      </c>
      <c r="GT33" s="59" t="n">
        <f aca="false">GT30*((GT31+Вводные!$D$7*Вводные!$D$8)-(GT32+Вводные!$D$7))</f>
        <v>8400000</v>
      </c>
      <c r="GU33" s="59" t="n">
        <f aca="false">GU30*((GU31+Вводные!$D$7*Вводные!$D$8)-(GU32+Вводные!$D$7))</f>
        <v>8400000</v>
      </c>
      <c r="GV33" s="59" t="n">
        <f aca="false">GV30*((GV31+Вводные!$D$7*Вводные!$D$8)-(GV32+Вводные!$D$7))</f>
        <v>8400000</v>
      </c>
      <c r="GW33" s="59" t="n">
        <f aca="false">GW30*((GW31+Вводные!$D$7*Вводные!$D$8)-(GW32+Вводные!$D$7))</f>
        <v>8400000</v>
      </c>
      <c r="GX33" s="59" t="n">
        <f aca="false">GX30*((GX31+Вводные!$D$7*Вводные!$D$8)-(GX32+Вводные!$D$7))</f>
        <v>8400000</v>
      </c>
      <c r="GY33" s="59" t="n">
        <f aca="false">GY30*((GY31+Вводные!$D$7*Вводные!$D$8)-(GY32+Вводные!$D$7))</f>
        <v>8400000</v>
      </c>
      <c r="GZ33" s="59" t="n">
        <f aca="false">GZ30*((GZ31+Вводные!$D$7*Вводные!$D$8)-(GZ32+Вводные!$D$7))</f>
        <v>8400000</v>
      </c>
      <c r="HA33" s="59" t="n">
        <f aca="false">HA30*((HA31+Вводные!$D$7*Вводные!$D$8)-(HA32+Вводные!$D$7))</f>
        <v>8400000</v>
      </c>
      <c r="HB33" s="59" t="n">
        <f aca="false">HB30*((HB31+Вводные!$D$7*Вводные!$D$8)-(HB32+Вводные!$D$7))</f>
        <v>8400000</v>
      </c>
      <c r="HC33" s="59" t="n">
        <f aca="false">HC30*((HC31+Вводные!$D$7*Вводные!$D$8)-(HC32+Вводные!$D$7))</f>
        <v>8400000</v>
      </c>
      <c r="HD33" s="59" t="n">
        <f aca="false">HD30*((HD31+Вводные!$D$7*Вводные!$D$8)-(HD32+Вводные!$D$7))</f>
        <v>8400000</v>
      </c>
      <c r="HE33" s="59" t="n">
        <f aca="false">HE30*((HE31+Вводные!$D$7*Вводные!$D$8)-(HE32+Вводные!$D$7))</f>
        <v>8400000</v>
      </c>
      <c r="HF33" s="59" t="n">
        <f aca="false">HF30*((HF31+Вводные!$D$7*Вводные!$D$8)-(HF32+Вводные!$D$7))</f>
        <v>8400000</v>
      </c>
      <c r="HG33" s="59" t="n">
        <f aca="false">HG30*((HG31+Вводные!$D$7*Вводные!$D$8)-(HG32+Вводные!$D$7))</f>
        <v>8400000</v>
      </c>
      <c r="HH33" s="59" t="n">
        <f aca="false">HH30*((HH31+Вводные!$D$7*Вводные!$D$8)-(HH32+Вводные!$D$7))</f>
        <v>8400000</v>
      </c>
      <c r="HI33" s="59" t="n">
        <f aca="false">HI30*((HI31+Вводные!$D$7*Вводные!$D$8)-(HI32+Вводные!$D$7))</f>
        <v>8400000</v>
      </c>
      <c r="HJ33" s="59" t="n">
        <f aca="false">HJ30*((HJ31+Вводные!$D$7*Вводные!$D$8)-(HJ32+Вводные!$D$7))</f>
        <v>8400000</v>
      </c>
      <c r="HK33" s="59" t="n">
        <f aca="false">HK30*((HK31+Вводные!$D$7*Вводные!$D$8)-(HK32+Вводные!$D$7))</f>
        <v>8400000</v>
      </c>
      <c r="HL33" s="59" t="n">
        <f aca="false">HL30*((HL31+Вводные!$D$7*Вводные!$D$8)-(HL32+Вводные!$D$7))</f>
        <v>6750000</v>
      </c>
      <c r="HM33" s="59" t="n">
        <f aca="false">HM30*((HM31+Вводные!$D$7*Вводные!$D$8)-(HM32+Вводные!$D$7))</f>
        <v>6817500</v>
      </c>
      <c r="HN33" s="59" t="n">
        <f aca="false">HN30*((HN31+Вводные!$D$7*Вводные!$D$8)-(HN32+Вводные!$D$7))</f>
        <v>6817500</v>
      </c>
      <c r="HO33" s="59" t="n">
        <f aca="false">HO30*((HO31+Вводные!$D$7*Вводные!$D$8)-(HO32+Вводные!$D$7))</f>
        <v>6817500</v>
      </c>
      <c r="HP33" s="59" t="n">
        <f aca="false">HP30*((HP31+Вводные!$D$7*Вводные!$D$8)-(HP32+Вводные!$D$7))</f>
        <v>6818181.81818182</v>
      </c>
      <c r="HQ33" s="59" t="n">
        <f aca="false">HQ30*((HQ31+Вводные!$D$7*Вводные!$D$8)-(HQ32+Вводные!$D$7))</f>
        <v>6750000</v>
      </c>
      <c r="HR33" s="59" t="n">
        <f aca="false">HR30*((HR31+Вводные!$D$7*Вводные!$D$8)-(HR32+Вводные!$D$7))</f>
        <v>6750000</v>
      </c>
      <c r="HS33" s="59" t="n">
        <f aca="false">HS30*((HS31+Вводные!$D$7*Вводные!$D$8)-(HS32+Вводные!$D$7))</f>
        <v>6750000</v>
      </c>
      <c r="HT33" s="59" t="n">
        <f aca="false">HT30*((HT31+Вводные!$D$7*Вводные!$D$8)-(HT32+Вводные!$D$7))</f>
        <v>6750000</v>
      </c>
      <c r="HU33" s="59" t="n">
        <f aca="false">HU30*((HU31+Вводные!$D$7*Вводные!$D$8)-(HU32+Вводные!$D$7))</f>
        <v>6750000</v>
      </c>
      <c r="HV33" s="59" t="n">
        <f aca="false">HV30*((HV31+Вводные!$D$7*Вводные!$D$8)-(HV32+Вводные!$D$7))</f>
        <v>6750000</v>
      </c>
      <c r="HW33" s="59" t="n">
        <f aca="false">HW30*((HW31+Вводные!$D$7*Вводные!$D$8)-(HW32+Вводные!$D$7))</f>
        <v>6750000</v>
      </c>
      <c r="HX33" s="59" t="n">
        <f aca="false">HX30*((HX31+Вводные!$D$7*Вводные!$D$8)-(HX32+Вводные!$D$7))</f>
        <v>6750000</v>
      </c>
      <c r="HY33" s="59" t="n">
        <f aca="false">HY30*((HY31+Вводные!$D$7*Вводные!$D$8)-(HY32+Вводные!$D$7))</f>
        <v>6750000</v>
      </c>
      <c r="HZ33" s="59" t="n">
        <f aca="false">HZ30*((HZ31+Вводные!$D$7*Вводные!$D$8)-(HZ32+Вводные!$D$7))</f>
        <v>6817500</v>
      </c>
      <c r="IA33" s="59" t="n">
        <f aca="false">IA30*((IA31+Вводные!$D$7*Вводные!$D$8)-(IA32+Вводные!$D$7))</f>
        <v>6817500</v>
      </c>
      <c r="IB33" s="59" t="n">
        <f aca="false">IB30*((IB31+Вводные!$D$7*Вводные!$D$8)-(IB32+Вводные!$D$7))</f>
        <v>7110000</v>
      </c>
      <c r="IC33" s="59" t="n">
        <f aca="false">IC30*((IC31+Вводные!$D$7*Вводные!$D$8)-(IC32+Вводные!$D$7))</f>
        <v>7042500</v>
      </c>
      <c r="ID33" s="59" t="n">
        <f aca="false">ID30*((ID31+Вводные!$D$7*Вводные!$D$8)-(ID32+Вводные!$D$7))</f>
        <v>6750000</v>
      </c>
      <c r="IE33" s="59" t="n">
        <f aca="false">IE30*((IE31+Вводные!$D$7*Вводные!$D$8)-(IE32+Вводные!$D$7))</f>
        <v>6750000</v>
      </c>
      <c r="IF33" s="59" t="n">
        <f aca="false">IF30*((IF31+Вводные!$D$7*Вводные!$D$8)-(IF32+Вводные!$D$7))</f>
        <v>6750000</v>
      </c>
      <c r="IG33" s="59" t="n">
        <f aca="false">IG30*((IG31+Вводные!$D$7*Вводные!$D$8)-(IG32+Вводные!$D$7))</f>
        <v>6750000</v>
      </c>
      <c r="IH33" s="59" t="n">
        <f aca="false">IH30*((IH31+Вводные!$D$7*Вводные!$D$8)-(IH32+Вводные!$D$7))</f>
        <v>6750000</v>
      </c>
      <c r="II33" s="59" t="n">
        <f aca="false">II30*((II31+Вводные!$D$7*Вводные!$D$8)-(II32+Вводные!$D$7))</f>
        <v>6750000</v>
      </c>
      <c r="IJ33" s="59" t="n">
        <f aca="false">IJ30*((IJ31+Вводные!$D$7*Вводные!$D$8)-(IJ32+Вводные!$D$7))</f>
        <v>6750000</v>
      </c>
      <c r="IK33" s="59" t="n">
        <f aca="false">IK30*((IK31+Вводные!$D$7*Вводные!$D$8)-(IK32+Вводные!$D$7))</f>
        <v>6750000</v>
      </c>
      <c r="IL33" s="59" t="n">
        <f aca="false">IL30*((IL31+Вводные!$D$7*Вводные!$D$8)-(IL32+Вводные!$D$7))</f>
        <v>6750000</v>
      </c>
      <c r="IM33" s="59" t="n">
        <f aca="false">IM30*((IM31+Вводные!$D$7*Вводные!$D$8)-(IM32+Вводные!$D$7))</f>
        <v>6750000</v>
      </c>
      <c r="IN33" s="59" t="n">
        <f aca="false">IN30*((IN31+Вводные!$D$7*Вводные!$D$8)-(IN32+Вводные!$D$7))</f>
        <v>6750000</v>
      </c>
      <c r="IO33" s="59" t="n">
        <f aca="false">IO30*((IO31+Вводные!$D$7*Вводные!$D$8)-(IO32+Вводные!$D$7))</f>
        <v>6750000</v>
      </c>
      <c r="IP33" s="59" t="n">
        <f aca="false">IP30*((IP31+Вводные!$D$7*Вводные!$D$8)-(IP32+Вводные!$D$7))</f>
        <v>6750000</v>
      </c>
      <c r="IQ33" s="59" t="n">
        <f aca="false">IQ30*((IQ31+Вводные!$D$7*Вводные!$D$8)-(IQ32+Вводные!$D$7))</f>
        <v>6750000</v>
      </c>
      <c r="IR33" s="59" t="n">
        <f aca="false">IR30*((IR31+Вводные!$D$7*Вводные!$D$8)-(IR32+Вводные!$D$7))</f>
        <v>6750000</v>
      </c>
      <c r="IS33" s="59" t="n">
        <f aca="false">IS30*((IS31+Вводные!$D$7*Вводные!$D$8)-(IS32+Вводные!$D$7))</f>
        <v>6750000</v>
      </c>
      <c r="IT33" s="59" t="n">
        <f aca="false">IT30*((IT31+Вводные!$D$7*Вводные!$D$8)-(IT32+Вводные!$D$7))</f>
        <v>6750000</v>
      </c>
      <c r="IU33" s="59" t="n">
        <f aca="false">IU30*((IU31+Вводные!$D$7*Вводные!$D$8)-(IU32+Вводные!$D$7))</f>
        <v>6750000</v>
      </c>
      <c r="IV33" s="59" t="n">
        <f aca="false">IV30*((IV31+Вводные!$D$7*Вводные!$D$8)-(IV32+Вводные!$D$7))</f>
        <v>6750000</v>
      </c>
      <c r="IW33" s="59" t="n">
        <f aca="false">IW30*((IW31+Вводные!$D$7*Вводные!$D$8)-(IW32+Вводные!$D$7))</f>
        <v>6750000</v>
      </c>
      <c r="IX33" s="59" t="n">
        <f aca="false">IX30*((IX31+Вводные!$D$7*Вводные!$D$8)-(IX32+Вводные!$D$7))</f>
        <v>6750000</v>
      </c>
      <c r="IY33" s="59" t="n">
        <f aca="false">IY30*((IY31+Вводные!$D$7*Вводные!$D$8)-(IY32+Вводные!$D$7))</f>
        <v>6750000</v>
      </c>
      <c r="IZ33" s="59" t="n">
        <f aca="false">IZ30*((IZ31+Вводные!$D$7*Вводные!$D$8)-(IZ32+Вводные!$D$7))</f>
        <v>6750000</v>
      </c>
      <c r="JA33" s="59" t="n">
        <f aca="false">JA30*((JA31+Вводные!$D$7*Вводные!$D$8)-(JA32+Вводные!$D$7))</f>
        <v>6750000</v>
      </c>
    </row>
    <row r="34" customFormat="false" ht="15" hidden="false" customHeight="false" outlineLevel="0" collapsed="false">
      <c r="A34" s="4" t="s">
        <v>726</v>
      </c>
      <c r="B34" s="5"/>
      <c r="C34" s="5"/>
      <c r="D34" s="5"/>
      <c r="E34" s="5"/>
      <c r="F34" s="5"/>
      <c r="G34" s="5"/>
      <c r="H34" s="5"/>
    </row>
    <row r="35" customFormat="false" ht="15" hidden="false" customHeight="false" outlineLevel="0" collapsed="false">
      <c r="A35" s="13" t="s">
        <v>215</v>
      </c>
      <c r="B35" s="13" t="s">
        <v>216</v>
      </c>
      <c r="C35" s="13" t="s">
        <v>179</v>
      </c>
      <c r="D35" s="9" t="s">
        <v>36</v>
      </c>
      <c r="E35" s="14" t="n">
        <f aca="false">INDEX(Вводные!$D$13:$F$64,MATCH($A35,Вводные!$A$13:$A$64,0),MATCH(E$3,Вводные!$D$11:$F$11,0))*(1+IF(E$4=$A35,Вводные!$D$5*INDEX(Вводные!$G$13:$G$64,MATCH($A35,Вводные!$A$13:$A$64,0)),0))</f>
        <v>8000</v>
      </c>
      <c r="F35" s="14" t="n">
        <f aca="false">INDEX(Вводные!$D$13:$F$64,MATCH($A35,Вводные!$A$13:$A$64,0),MATCH(F$3,Вводные!$D$11:$F$11,0))*(1+IF(F$4=$A35,Вводные!$D$5*INDEX(Вводные!$G$13:$G$64,MATCH($A35,Вводные!$A$13:$A$64,0)),0))</f>
        <v>200000</v>
      </c>
      <c r="G35" s="14" t="n">
        <f aca="false">INDEX(Вводные!$D$13:$F$64,MATCH($A35,Вводные!$A$13:$A$64,0),MATCH(G$3,Вводные!$D$11:$F$11,0))*(1+IF(G$4=$A35,Вводные!$D$5*INDEX(Вводные!$G$13:$G$64,MATCH($A35,Вводные!$A$13:$A$64,0)),0))</f>
        <v>25000000</v>
      </c>
      <c r="H35" s="59"/>
      <c r="J35" s="14" t="n">
        <f aca="false">INDEX(Вводные!$D$13:$F$64,MATCH($A35,Вводные!$A$13:$A$64,0),MATCH(J$3,Вводные!$D$11:$F$11,0))*(1+IF(J$4=$A35,Вводные!$D$5*INDEX(Вводные!$G$13:$G$64,MATCH($A35,Вводные!$A$13:$A$64,0)),0))</f>
        <v>8000</v>
      </c>
      <c r="K35" s="14" t="n">
        <f aca="false">INDEX(Вводные!$D$13:$F$64,MATCH($A35,Вводные!$A$13:$A$64,0),MATCH(K$3,Вводные!$D$11:$F$11,0))*(1+IF(K$4=$A35,Вводные!$D$5*INDEX(Вводные!$G$13:$G$64,MATCH($A35,Вводные!$A$13:$A$64,0)),0))</f>
        <v>8000</v>
      </c>
      <c r="L35" s="14" t="n">
        <f aca="false">INDEX(Вводные!$D$13:$F$64,MATCH($A35,Вводные!$A$13:$A$64,0),MATCH(L$3,Вводные!$D$11:$F$11,0))*(1+IF(L$4=$A35,Вводные!$D$5*INDEX(Вводные!$G$13:$G$64,MATCH($A35,Вводные!$A$13:$A$64,0)),0))</f>
        <v>8000</v>
      </c>
      <c r="M35" s="14" t="n">
        <f aca="false">INDEX(Вводные!$D$13:$F$64,MATCH($A35,Вводные!$A$13:$A$64,0),MATCH(M$3,Вводные!$D$11:$F$11,0))*(1+IF(M$4=$A35,Вводные!$D$5*INDEX(Вводные!$G$13:$G$64,MATCH($A35,Вводные!$A$13:$A$64,0)),0))</f>
        <v>8000</v>
      </c>
      <c r="N35" s="14" t="n">
        <f aca="false">INDEX(Вводные!$D$13:$F$64,MATCH($A35,Вводные!$A$13:$A$64,0),MATCH(N$3,Вводные!$D$11:$F$11,0))*(1+IF(N$4=$A35,Вводные!$D$5*INDEX(Вводные!$G$13:$G$64,MATCH($A35,Вводные!$A$13:$A$64,0)),0))</f>
        <v>8000</v>
      </c>
      <c r="O35" s="14" t="n">
        <f aca="false">INDEX(Вводные!$D$13:$F$64,MATCH($A35,Вводные!$A$13:$A$64,0),MATCH(O$3,Вводные!$D$11:$F$11,0))*(1+IF(O$4=$A35,Вводные!$D$5*INDEX(Вводные!$G$13:$G$64,MATCH($A35,Вводные!$A$13:$A$64,0)),0))</f>
        <v>8000</v>
      </c>
      <c r="P35" s="14" t="n">
        <f aca="false">INDEX(Вводные!$D$13:$F$64,MATCH($A35,Вводные!$A$13:$A$64,0),MATCH(P$3,Вводные!$D$11:$F$11,0))*(1+IF(P$4=$A35,Вводные!$D$5*INDEX(Вводные!$G$13:$G$64,MATCH($A35,Вводные!$A$13:$A$64,0)),0))</f>
        <v>8000</v>
      </c>
      <c r="Q35" s="14" t="n">
        <f aca="false">INDEX(Вводные!$D$13:$F$64,MATCH($A35,Вводные!$A$13:$A$64,0),MATCH(Q$3,Вводные!$D$11:$F$11,0))*(1+IF(Q$4=$A35,Вводные!$D$5*INDEX(Вводные!$G$13:$G$64,MATCH($A35,Вводные!$A$13:$A$64,0)),0))</f>
        <v>8000</v>
      </c>
      <c r="R35" s="14" t="n">
        <f aca="false">INDEX(Вводные!$D$13:$F$64,MATCH($A35,Вводные!$A$13:$A$64,0),MATCH(R$3,Вводные!$D$11:$F$11,0))*(1+IF(R$4=$A35,Вводные!$D$5*INDEX(Вводные!$G$13:$G$64,MATCH($A35,Вводные!$A$13:$A$64,0)),0))</f>
        <v>8000</v>
      </c>
      <c r="S35" s="14" t="n">
        <f aca="false">INDEX(Вводные!$D$13:$F$64,MATCH($A35,Вводные!$A$13:$A$64,0),MATCH(S$3,Вводные!$D$11:$F$11,0))*(1+IF(S$4=$A35,Вводные!$D$5*INDEX(Вводные!$G$13:$G$64,MATCH($A35,Вводные!$A$13:$A$64,0)),0))</f>
        <v>8000</v>
      </c>
      <c r="T35" s="14" t="n">
        <f aca="false">INDEX(Вводные!$D$13:$F$64,MATCH($A35,Вводные!$A$13:$A$64,0),MATCH(T$3,Вводные!$D$11:$F$11,0))*(1+IF(T$4=$A35,Вводные!$D$5*INDEX(Вводные!$G$13:$G$64,MATCH($A35,Вводные!$A$13:$A$64,0)),0))</f>
        <v>8080</v>
      </c>
      <c r="U35" s="14" t="n">
        <f aca="false">INDEX(Вводные!$D$13:$F$64,MATCH($A35,Вводные!$A$13:$A$64,0),MATCH(U$3,Вводные!$D$11:$F$11,0))*(1+IF(U$4=$A35,Вводные!$D$5*INDEX(Вводные!$G$13:$G$64,MATCH($A35,Вводные!$A$13:$A$64,0)),0))</f>
        <v>8000</v>
      </c>
      <c r="V35" s="14" t="n">
        <f aca="false">INDEX(Вводные!$D$13:$F$64,MATCH($A35,Вводные!$A$13:$A$64,0),MATCH(V$3,Вводные!$D$11:$F$11,0))*(1+IF(V$4=$A35,Вводные!$D$5*INDEX(Вводные!$G$13:$G$64,MATCH($A35,Вводные!$A$13:$A$64,0)),0))</f>
        <v>8000</v>
      </c>
      <c r="W35" s="14" t="n">
        <f aca="false">INDEX(Вводные!$D$13:$F$64,MATCH($A35,Вводные!$A$13:$A$64,0),MATCH(W$3,Вводные!$D$11:$F$11,0))*(1+IF(W$4=$A35,Вводные!$D$5*INDEX(Вводные!$G$13:$G$64,MATCH($A35,Вводные!$A$13:$A$64,0)),0))</f>
        <v>8000</v>
      </c>
      <c r="X35" s="14" t="n">
        <f aca="false">INDEX(Вводные!$D$13:$F$64,MATCH($A35,Вводные!$A$13:$A$64,0),MATCH(X$3,Вводные!$D$11:$F$11,0))*(1+IF(X$4=$A35,Вводные!$D$5*INDEX(Вводные!$G$13:$G$64,MATCH($A35,Вводные!$A$13:$A$64,0)),0))</f>
        <v>8000</v>
      </c>
      <c r="Y35" s="14" t="n">
        <f aca="false">INDEX(Вводные!$D$13:$F$64,MATCH($A35,Вводные!$A$13:$A$64,0),MATCH(Y$3,Вводные!$D$11:$F$11,0))*(1+IF(Y$4=$A35,Вводные!$D$5*INDEX(Вводные!$G$13:$G$64,MATCH($A35,Вводные!$A$13:$A$64,0)),0))</f>
        <v>8000</v>
      </c>
      <c r="Z35" s="14" t="n">
        <f aca="false">INDEX(Вводные!$D$13:$F$64,MATCH($A35,Вводные!$A$13:$A$64,0),MATCH(Z$3,Вводные!$D$11:$F$11,0))*(1+IF(Z$4=$A35,Вводные!$D$5*INDEX(Вводные!$G$13:$G$64,MATCH($A35,Вводные!$A$13:$A$64,0)),0))</f>
        <v>8000</v>
      </c>
      <c r="AA35" s="14" t="n">
        <f aca="false">INDEX(Вводные!$D$13:$F$64,MATCH($A35,Вводные!$A$13:$A$64,0),MATCH(AA$3,Вводные!$D$11:$F$11,0))*(1+IF(AA$4=$A35,Вводные!$D$5*INDEX(Вводные!$G$13:$G$64,MATCH($A35,Вводные!$A$13:$A$64,0)),0))</f>
        <v>8000</v>
      </c>
      <c r="AB35" s="14" t="n">
        <f aca="false">INDEX(Вводные!$D$13:$F$64,MATCH($A35,Вводные!$A$13:$A$64,0),MATCH(AB$3,Вводные!$D$11:$F$11,0))*(1+IF(AB$4=$A35,Вводные!$D$5*INDEX(Вводные!$G$13:$G$64,MATCH($A35,Вводные!$A$13:$A$64,0)),0))</f>
        <v>8000</v>
      </c>
      <c r="AC35" s="14" t="n">
        <f aca="false">INDEX(Вводные!$D$13:$F$64,MATCH($A35,Вводные!$A$13:$A$64,0),MATCH(AC$3,Вводные!$D$11:$F$11,0))*(1+IF(AC$4=$A35,Вводные!$D$5*INDEX(Вводные!$G$13:$G$64,MATCH($A35,Вводные!$A$13:$A$64,0)),0))</f>
        <v>8000</v>
      </c>
      <c r="AD35" s="14" t="n">
        <f aca="false">INDEX(Вводные!$D$13:$F$64,MATCH($A35,Вводные!$A$13:$A$64,0),MATCH(AD$3,Вводные!$D$11:$F$11,0))*(1+IF(AD$4=$A35,Вводные!$D$5*INDEX(Вводные!$G$13:$G$64,MATCH($A35,Вводные!$A$13:$A$64,0)),0))</f>
        <v>8000</v>
      </c>
      <c r="AE35" s="14" t="n">
        <f aca="false">INDEX(Вводные!$D$13:$F$64,MATCH($A35,Вводные!$A$13:$A$64,0),MATCH(AE$3,Вводные!$D$11:$F$11,0))*(1+IF(AE$4=$A35,Вводные!$D$5*INDEX(Вводные!$G$13:$G$64,MATCH($A35,Вводные!$A$13:$A$64,0)),0))</f>
        <v>8000</v>
      </c>
      <c r="AF35" s="14" t="n">
        <f aca="false">INDEX(Вводные!$D$13:$F$64,MATCH($A35,Вводные!$A$13:$A$64,0),MATCH(AF$3,Вводные!$D$11:$F$11,0))*(1+IF(AF$4=$A35,Вводные!$D$5*INDEX(Вводные!$G$13:$G$64,MATCH($A35,Вводные!$A$13:$A$64,0)),0))</f>
        <v>8000</v>
      </c>
      <c r="AG35" s="14" t="n">
        <f aca="false">INDEX(Вводные!$D$13:$F$64,MATCH($A35,Вводные!$A$13:$A$64,0),MATCH(AG$3,Вводные!$D$11:$F$11,0))*(1+IF(AG$4=$A35,Вводные!$D$5*INDEX(Вводные!$G$13:$G$64,MATCH($A35,Вводные!$A$13:$A$64,0)),0))</f>
        <v>8000</v>
      </c>
      <c r="AH35" s="14" t="n">
        <f aca="false">INDEX(Вводные!$D$13:$F$64,MATCH($A35,Вводные!$A$13:$A$64,0),MATCH(AH$3,Вводные!$D$11:$F$11,0))*(1+IF(AH$4=$A35,Вводные!$D$5*INDEX(Вводные!$G$13:$G$64,MATCH($A35,Вводные!$A$13:$A$64,0)),0))</f>
        <v>8000</v>
      </c>
      <c r="AI35" s="14" t="n">
        <f aca="false">INDEX(Вводные!$D$13:$F$64,MATCH($A35,Вводные!$A$13:$A$64,0),MATCH(AI$3,Вводные!$D$11:$F$11,0))*(1+IF(AI$4=$A35,Вводные!$D$5*INDEX(Вводные!$G$13:$G$64,MATCH($A35,Вводные!$A$13:$A$64,0)),0))</f>
        <v>8000</v>
      </c>
      <c r="AJ35" s="14" t="n">
        <f aca="false">INDEX(Вводные!$D$13:$F$64,MATCH($A35,Вводные!$A$13:$A$64,0),MATCH(AJ$3,Вводные!$D$11:$F$11,0))*(1+IF(AJ$4=$A35,Вводные!$D$5*INDEX(Вводные!$G$13:$G$64,MATCH($A35,Вводные!$A$13:$A$64,0)),0))</f>
        <v>8000</v>
      </c>
      <c r="AK35" s="14" t="n">
        <f aca="false">INDEX(Вводные!$D$13:$F$64,MATCH($A35,Вводные!$A$13:$A$64,0),MATCH(AK$3,Вводные!$D$11:$F$11,0))*(1+IF(AK$4=$A35,Вводные!$D$5*INDEX(Вводные!$G$13:$G$64,MATCH($A35,Вводные!$A$13:$A$64,0)),0))</f>
        <v>8000</v>
      </c>
      <c r="AL35" s="14" t="n">
        <f aca="false">INDEX(Вводные!$D$13:$F$64,MATCH($A35,Вводные!$A$13:$A$64,0),MATCH(AL$3,Вводные!$D$11:$F$11,0))*(1+IF(AL$4=$A35,Вводные!$D$5*INDEX(Вводные!$G$13:$G$64,MATCH($A35,Вводные!$A$13:$A$64,0)),0))</f>
        <v>8000</v>
      </c>
      <c r="AM35" s="14" t="n">
        <f aca="false">INDEX(Вводные!$D$13:$F$64,MATCH($A35,Вводные!$A$13:$A$64,0),MATCH(AM$3,Вводные!$D$11:$F$11,0))*(1+IF(AM$4=$A35,Вводные!$D$5*INDEX(Вводные!$G$13:$G$64,MATCH($A35,Вводные!$A$13:$A$64,0)),0))</f>
        <v>8000</v>
      </c>
      <c r="AN35" s="14" t="n">
        <f aca="false">INDEX(Вводные!$D$13:$F$64,MATCH($A35,Вводные!$A$13:$A$64,0),MATCH(AN$3,Вводные!$D$11:$F$11,0))*(1+IF(AN$4=$A35,Вводные!$D$5*INDEX(Вводные!$G$13:$G$64,MATCH($A35,Вводные!$A$13:$A$64,0)),0))</f>
        <v>8000</v>
      </c>
      <c r="AO35" s="14" t="n">
        <f aca="false">INDEX(Вводные!$D$13:$F$64,MATCH($A35,Вводные!$A$13:$A$64,0),MATCH(AO$3,Вводные!$D$11:$F$11,0))*(1+IF(AO$4=$A35,Вводные!$D$5*INDEX(Вводные!$G$13:$G$64,MATCH($A35,Вводные!$A$13:$A$64,0)),0))</f>
        <v>8000</v>
      </c>
      <c r="AP35" s="14" t="n">
        <f aca="false">INDEX(Вводные!$D$13:$F$64,MATCH($A35,Вводные!$A$13:$A$64,0),MATCH(AP$3,Вводные!$D$11:$F$11,0))*(1+IF(AP$4=$A35,Вводные!$D$5*INDEX(Вводные!$G$13:$G$64,MATCH($A35,Вводные!$A$13:$A$64,0)),0))</f>
        <v>8000</v>
      </c>
      <c r="AQ35" s="14" t="n">
        <f aca="false">INDEX(Вводные!$D$13:$F$64,MATCH($A35,Вводные!$A$13:$A$64,0),MATCH(AQ$3,Вводные!$D$11:$F$11,0))*(1+IF(AQ$4=$A35,Вводные!$D$5*INDEX(Вводные!$G$13:$G$64,MATCH($A35,Вводные!$A$13:$A$64,0)),0))</f>
        <v>8000</v>
      </c>
      <c r="AR35" s="14" t="n">
        <f aca="false">INDEX(Вводные!$D$13:$F$64,MATCH($A35,Вводные!$A$13:$A$64,0),MATCH(AR$3,Вводные!$D$11:$F$11,0))*(1+IF(AR$4=$A35,Вводные!$D$5*INDEX(Вводные!$G$13:$G$64,MATCH($A35,Вводные!$A$13:$A$64,0)),0))</f>
        <v>8000</v>
      </c>
      <c r="AS35" s="14" t="n">
        <f aca="false">INDEX(Вводные!$D$13:$F$64,MATCH($A35,Вводные!$A$13:$A$64,0),MATCH(AS$3,Вводные!$D$11:$F$11,0))*(1+IF(AS$4=$A35,Вводные!$D$5*INDEX(Вводные!$G$13:$G$64,MATCH($A35,Вводные!$A$13:$A$64,0)),0))</f>
        <v>8000</v>
      </c>
      <c r="AT35" s="14" t="n">
        <f aca="false">INDEX(Вводные!$D$13:$F$64,MATCH($A35,Вводные!$A$13:$A$64,0),MATCH(AT$3,Вводные!$D$11:$F$11,0))*(1+IF(AT$4=$A35,Вводные!$D$5*INDEX(Вводные!$G$13:$G$64,MATCH($A35,Вводные!$A$13:$A$64,0)),0))</f>
        <v>8000</v>
      </c>
      <c r="AU35" s="14" t="n">
        <f aca="false">INDEX(Вводные!$D$13:$F$64,MATCH($A35,Вводные!$A$13:$A$64,0),MATCH(AU$3,Вводные!$D$11:$F$11,0))*(1+IF(AU$4=$A35,Вводные!$D$5*INDEX(Вводные!$G$13:$G$64,MATCH($A35,Вводные!$A$13:$A$64,0)),0))</f>
        <v>8000</v>
      </c>
      <c r="AV35" s="14" t="n">
        <f aca="false">INDEX(Вводные!$D$13:$F$64,MATCH($A35,Вводные!$A$13:$A$64,0),MATCH(AV$3,Вводные!$D$11:$F$11,0))*(1+IF(AV$4=$A35,Вводные!$D$5*INDEX(Вводные!$G$13:$G$64,MATCH($A35,Вводные!$A$13:$A$64,0)),0))</f>
        <v>8000</v>
      </c>
      <c r="AW35" s="14" t="n">
        <f aca="false">INDEX(Вводные!$D$13:$F$64,MATCH($A35,Вводные!$A$13:$A$64,0),MATCH(AW$3,Вводные!$D$11:$F$11,0))*(1+IF(AW$4=$A35,Вводные!$D$5*INDEX(Вводные!$G$13:$G$64,MATCH($A35,Вводные!$A$13:$A$64,0)),0))</f>
        <v>8000</v>
      </c>
      <c r="AX35" s="14" t="n">
        <f aca="false">INDEX(Вводные!$D$13:$F$64,MATCH($A35,Вводные!$A$13:$A$64,0),MATCH(AX$3,Вводные!$D$11:$F$11,0))*(1+IF(AX$4=$A35,Вводные!$D$5*INDEX(Вводные!$G$13:$G$64,MATCH($A35,Вводные!$A$13:$A$64,0)),0))</f>
        <v>8000</v>
      </c>
      <c r="AY35" s="14" t="n">
        <f aca="false">INDEX(Вводные!$D$13:$F$64,MATCH($A35,Вводные!$A$13:$A$64,0),MATCH(AY$3,Вводные!$D$11:$F$11,0))*(1+IF(AY$4=$A35,Вводные!$D$5*INDEX(Вводные!$G$13:$G$64,MATCH($A35,Вводные!$A$13:$A$64,0)),0))</f>
        <v>8000</v>
      </c>
      <c r="AZ35" s="14" t="n">
        <f aca="false">INDEX(Вводные!$D$13:$F$64,MATCH($A35,Вводные!$A$13:$A$64,0),MATCH(AZ$3,Вводные!$D$11:$F$11,0))*(1+IF(AZ$4=$A35,Вводные!$D$5*INDEX(Вводные!$G$13:$G$64,MATCH($A35,Вводные!$A$13:$A$64,0)),0))</f>
        <v>200000</v>
      </c>
      <c r="BA35" s="14" t="n">
        <f aca="false">INDEX(Вводные!$D$13:$F$64,MATCH($A35,Вводные!$A$13:$A$64,0),MATCH(BA$3,Вводные!$D$11:$F$11,0))*(1+IF(BA$4=$A35,Вводные!$D$5*INDEX(Вводные!$G$13:$G$64,MATCH($A35,Вводные!$A$13:$A$64,0)),0))</f>
        <v>200000</v>
      </c>
      <c r="BB35" s="14" t="n">
        <f aca="false">INDEX(Вводные!$D$13:$F$64,MATCH($A35,Вводные!$A$13:$A$64,0),MATCH(BB$3,Вводные!$D$11:$F$11,0))*(1+IF(BB$4=$A35,Вводные!$D$5*INDEX(Вводные!$G$13:$G$64,MATCH($A35,Вводные!$A$13:$A$64,0)),0))</f>
        <v>200000</v>
      </c>
      <c r="BC35" s="14" t="n">
        <f aca="false">INDEX(Вводные!$D$13:$F$64,MATCH($A35,Вводные!$A$13:$A$64,0),MATCH(BC$3,Вводные!$D$11:$F$11,0))*(1+IF(BC$4=$A35,Вводные!$D$5*INDEX(Вводные!$G$13:$G$64,MATCH($A35,Вводные!$A$13:$A$64,0)),0))</f>
        <v>200000</v>
      </c>
      <c r="BD35" s="14" t="n">
        <f aca="false">INDEX(Вводные!$D$13:$F$64,MATCH($A35,Вводные!$A$13:$A$64,0),MATCH(BD$3,Вводные!$D$11:$F$11,0))*(1+IF(BD$4=$A35,Вводные!$D$5*INDEX(Вводные!$G$13:$G$64,MATCH($A35,Вводные!$A$13:$A$64,0)),0))</f>
        <v>200000</v>
      </c>
      <c r="BE35" s="14" t="n">
        <f aca="false">INDEX(Вводные!$D$13:$F$64,MATCH($A35,Вводные!$A$13:$A$64,0),MATCH(BE$3,Вводные!$D$11:$F$11,0))*(1+IF(BE$4=$A35,Вводные!$D$5*INDEX(Вводные!$G$13:$G$64,MATCH($A35,Вводные!$A$13:$A$64,0)),0))</f>
        <v>200000</v>
      </c>
      <c r="BF35" s="14" t="n">
        <f aca="false">INDEX(Вводные!$D$13:$F$64,MATCH($A35,Вводные!$A$13:$A$64,0),MATCH(BF$3,Вводные!$D$11:$F$11,0))*(1+IF(BF$4=$A35,Вводные!$D$5*INDEX(Вводные!$G$13:$G$64,MATCH($A35,Вводные!$A$13:$A$64,0)),0))</f>
        <v>200000</v>
      </c>
      <c r="BG35" s="14" t="n">
        <f aca="false">INDEX(Вводные!$D$13:$F$64,MATCH($A35,Вводные!$A$13:$A$64,0),MATCH(BG$3,Вводные!$D$11:$F$11,0))*(1+IF(BG$4=$A35,Вводные!$D$5*INDEX(Вводные!$G$13:$G$64,MATCH($A35,Вводные!$A$13:$A$64,0)),0))</f>
        <v>200000</v>
      </c>
      <c r="BH35" s="14" t="n">
        <f aca="false">INDEX(Вводные!$D$13:$F$64,MATCH($A35,Вводные!$A$13:$A$64,0),MATCH(BH$3,Вводные!$D$11:$F$11,0))*(1+IF(BH$4=$A35,Вводные!$D$5*INDEX(Вводные!$G$13:$G$64,MATCH($A35,Вводные!$A$13:$A$64,0)),0))</f>
        <v>200000</v>
      </c>
      <c r="BI35" s="14" t="n">
        <f aca="false">INDEX(Вводные!$D$13:$F$64,MATCH($A35,Вводные!$A$13:$A$64,0),MATCH(BI$3,Вводные!$D$11:$F$11,0))*(1+IF(BI$4=$A35,Вводные!$D$5*INDEX(Вводные!$G$13:$G$64,MATCH($A35,Вводные!$A$13:$A$64,0)),0))</f>
        <v>200000</v>
      </c>
      <c r="BJ35" s="14" t="n">
        <f aca="false">INDEX(Вводные!$D$13:$F$64,MATCH($A35,Вводные!$A$13:$A$64,0),MATCH(BJ$3,Вводные!$D$11:$F$11,0))*(1+IF(BJ$4=$A35,Вводные!$D$5*INDEX(Вводные!$G$13:$G$64,MATCH($A35,Вводные!$A$13:$A$64,0)),0))</f>
        <v>202000</v>
      </c>
      <c r="BK35" s="14" t="n">
        <f aca="false">INDEX(Вводные!$D$13:$F$64,MATCH($A35,Вводные!$A$13:$A$64,0),MATCH(BK$3,Вводные!$D$11:$F$11,0))*(1+IF(BK$4=$A35,Вводные!$D$5*INDEX(Вводные!$G$13:$G$64,MATCH($A35,Вводные!$A$13:$A$64,0)),0))</f>
        <v>200000</v>
      </c>
      <c r="BL35" s="14" t="n">
        <f aca="false">INDEX(Вводные!$D$13:$F$64,MATCH($A35,Вводные!$A$13:$A$64,0),MATCH(BL$3,Вводные!$D$11:$F$11,0))*(1+IF(BL$4=$A35,Вводные!$D$5*INDEX(Вводные!$G$13:$G$64,MATCH($A35,Вводные!$A$13:$A$64,0)),0))</f>
        <v>200000</v>
      </c>
      <c r="BM35" s="14" t="n">
        <f aca="false">INDEX(Вводные!$D$13:$F$64,MATCH($A35,Вводные!$A$13:$A$64,0),MATCH(BM$3,Вводные!$D$11:$F$11,0))*(1+IF(BM$4=$A35,Вводные!$D$5*INDEX(Вводные!$G$13:$G$64,MATCH($A35,Вводные!$A$13:$A$64,0)),0))</f>
        <v>200000</v>
      </c>
      <c r="BN35" s="14" t="n">
        <f aca="false">INDEX(Вводные!$D$13:$F$64,MATCH($A35,Вводные!$A$13:$A$64,0),MATCH(BN$3,Вводные!$D$11:$F$11,0))*(1+IF(BN$4=$A35,Вводные!$D$5*INDEX(Вводные!$G$13:$G$64,MATCH($A35,Вводные!$A$13:$A$64,0)),0))</f>
        <v>200000</v>
      </c>
      <c r="BO35" s="14" t="n">
        <f aca="false">INDEX(Вводные!$D$13:$F$64,MATCH($A35,Вводные!$A$13:$A$64,0),MATCH(BO$3,Вводные!$D$11:$F$11,0))*(1+IF(BO$4=$A35,Вводные!$D$5*INDEX(Вводные!$G$13:$G$64,MATCH($A35,Вводные!$A$13:$A$64,0)),0))</f>
        <v>200000</v>
      </c>
      <c r="BP35" s="14" t="n">
        <f aca="false">INDEX(Вводные!$D$13:$F$64,MATCH($A35,Вводные!$A$13:$A$64,0),MATCH(BP$3,Вводные!$D$11:$F$11,0))*(1+IF(BP$4=$A35,Вводные!$D$5*INDEX(Вводные!$G$13:$G$64,MATCH($A35,Вводные!$A$13:$A$64,0)),0))</f>
        <v>200000</v>
      </c>
      <c r="BQ35" s="14" t="n">
        <f aca="false">INDEX(Вводные!$D$13:$F$64,MATCH($A35,Вводные!$A$13:$A$64,0),MATCH(BQ$3,Вводные!$D$11:$F$11,0))*(1+IF(BQ$4=$A35,Вводные!$D$5*INDEX(Вводные!$G$13:$G$64,MATCH($A35,Вводные!$A$13:$A$64,0)),0))</f>
        <v>200000</v>
      </c>
      <c r="BR35" s="14" t="n">
        <f aca="false">INDEX(Вводные!$D$13:$F$64,MATCH($A35,Вводные!$A$13:$A$64,0),MATCH(BR$3,Вводные!$D$11:$F$11,0))*(1+IF(BR$4=$A35,Вводные!$D$5*INDEX(Вводные!$G$13:$G$64,MATCH($A35,Вводные!$A$13:$A$64,0)),0))</f>
        <v>200000</v>
      </c>
      <c r="BS35" s="14" t="n">
        <f aca="false">INDEX(Вводные!$D$13:$F$64,MATCH($A35,Вводные!$A$13:$A$64,0),MATCH(BS$3,Вводные!$D$11:$F$11,0))*(1+IF(BS$4=$A35,Вводные!$D$5*INDEX(Вводные!$G$13:$G$64,MATCH($A35,Вводные!$A$13:$A$64,0)),0))</f>
        <v>200000</v>
      </c>
      <c r="BT35" s="14" t="n">
        <f aca="false">INDEX(Вводные!$D$13:$F$64,MATCH($A35,Вводные!$A$13:$A$64,0),MATCH(BT$3,Вводные!$D$11:$F$11,0))*(1+IF(BT$4=$A35,Вводные!$D$5*INDEX(Вводные!$G$13:$G$64,MATCH($A35,Вводные!$A$13:$A$64,0)),0))</f>
        <v>200000</v>
      </c>
      <c r="BU35" s="14" t="n">
        <f aca="false">INDEX(Вводные!$D$13:$F$64,MATCH($A35,Вводные!$A$13:$A$64,0),MATCH(BU$3,Вводные!$D$11:$F$11,0))*(1+IF(BU$4=$A35,Вводные!$D$5*INDEX(Вводные!$G$13:$G$64,MATCH($A35,Вводные!$A$13:$A$64,0)),0))</f>
        <v>200000</v>
      </c>
      <c r="BV35" s="14" t="n">
        <f aca="false">INDEX(Вводные!$D$13:$F$64,MATCH($A35,Вводные!$A$13:$A$64,0),MATCH(BV$3,Вводные!$D$11:$F$11,0))*(1+IF(BV$4=$A35,Вводные!$D$5*INDEX(Вводные!$G$13:$G$64,MATCH($A35,Вводные!$A$13:$A$64,0)),0))</f>
        <v>200000</v>
      </c>
      <c r="BW35" s="14" t="n">
        <f aca="false">INDEX(Вводные!$D$13:$F$64,MATCH($A35,Вводные!$A$13:$A$64,0),MATCH(BW$3,Вводные!$D$11:$F$11,0))*(1+IF(BW$4=$A35,Вводные!$D$5*INDEX(Вводные!$G$13:$G$64,MATCH($A35,Вводные!$A$13:$A$64,0)),0))</f>
        <v>200000</v>
      </c>
      <c r="BX35" s="14" t="n">
        <f aca="false">INDEX(Вводные!$D$13:$F$64,MATCH($A35,Вводные!$A$13:$A$64,0),MATCH(BX$3,Вводные!$D$11:$F$11,0))*(1+IF(BX$4=$A35,Вводные!$D$5*INDEX(Вводные!$G$13:$G$64,MATCH($A35,Вводные!$A$13:$A$64,0)),0))</f>
        <v>200000</v>
      </c>
      <c r="BY35" s="14" t="n">
        <f aca="false">INDEX(Вводные!$D$13:$F$64,MATCH($A35,Вводные!$A$13:$A$64,0),MATCH(BY$3,Вводные!$D$11:$F$11,0))*(1+IF(BY$4=$A35,Вводные!$D$5*INDEX(Вводные!$G$13:$G$64,MATCH($A35,Вводные!$A$13:$A$64,0)),0))</f>
        <v>200000</v>
      </c>
      <c r="BZ35" s="14" t="n">
        <f aca="false">INDEX(Вводные!$D$13:$F$64,MATCH($A35,Вводные!$A$13:$A$64,0),MATCH(BZ$3,Вводные!$D$11:$F$11,0))*(1+IF(BZ$4=$A35,Вводные!$D$5*INDEX(Вводные!$G$13:$G$64,MATCH($A35,Вводные!$A$13:$A$64,0)),0))</f>
        <v>200000</v>
      </c>
      <c r="CA35" s="14" t="n">
        <f aca="false">INDEX(Вводные!$D$13:$F$64,MATCH($A35,Вводные!$A$13:$A$64,0),MATCH(CA$3,Вводные!$D$11:$F$11,0))*(1+IF(CA$4=$A35,Вводные!$D$5*INDEX(Вводные!$G$13:$G$64,MATCH($A35,Вводные!$A$13:$A$64,0)),0))</f>
        <v>200000</v>
      </c>
      <c r="CB35" s="14" t="n">
        <f aca="false">INDEX(Вводные!$D$13:$F$64,MATCH($A35,Вводные!$A$13:$A$64,0),MATCH(CB$3,Вводные!$D$11:$F$11,0))*(1+IF(CB$4=$A35,Вводные!$D$5*INDEX(Вводные!$G$13:$G$64,MATCH($A35,Вводные!$A$13:$A$64,0)),0))</f>
        <v>200000</v>
      </c>
      <c r="CC35" s="14" t="n">
        <f aca="false">INDEX(Вводные!$D$13:$F$64,MATCH($A35,Вводные!$A$13:$A$64,0),MATCH(CC$3,Вводные!$D$11:$F$11,0))*(1+IF(CC$4=$A35,Вводные!$D$5*INDEX(Вводные!$G$13:$G$64,MATCH($A35,Вводные!$A$13:$A$64,0)),0))</f>
        <v>200000</v>
      </c>
      <c r="CD35" s="14" t="n">
        <f aca="false">INDEX(Вводные!$D$13:$F$64,MATCH($A35,Вводные!$A$13:$A$64,0),MATCH(CD$3,Вводные!$D$11:$F$11,0))*(1+IF(CD$4=$A35,Вводные!$D$5*INDEX(Вводные!$G$13:$G$64,MATCH($A35,Вводные!$A$13:$A$64,0)),0))</f>
        <v>200000</v>
      </c>
      <c r="CE35" s="14" t="n">
        <f aca="false">INDEX(Вводные!$D$13:$F$64,MATCH($A35,Вводные!$A$13:$A$64,0),MATCH(CE$3,Вводные!$D$11:$F$11,0))*(1+IF(CE$4=$A35,Вводные!$D$5*INDEX(Вводные!$G$13:$G$64,MATCH($A35,Вводные!$A$13:$A$64,0)),0))</f>
        <v>200000</v>
      </c>
      <c r="CF35" s="14" t="n">
        <f aca="false">INDEX(Вводные!$D$13:$F$64,MATCH($A35,Вводные!$A$13:$A$64,0),MATCH(CF$3,Вводные!$D$11:$F$11,0))*(1+IF(CF$4=$A35,Вводные!$D$5*INDEX(Вводные!$G$13:$G$64,MATCH($A35,Вводные!$A$13:$A$64,0)),0))</f>
        <v>200000</v>
      </c>
      <c r="CG35" s="14" t="n">
        <f aca="false">INDEX(Вводные!$D$13:$F$64,MATCH($A35,Вводные!$A$13:$A$64,0),MATCH(CG$3,Вводные!$D$11:$F$11,0))*(1+IF(CG$4=$A35,Вводные!$D$5*INDEX(Вводные!$G$13:$G$64,MATCH($A35,Вводные!$A$13:$A$64,0)),0))</f>
        <v>200000</v>
      </c>
      <c r="CH35" s="14" t="n">
        <f aca="false">INDEX(Вводные!$D$13:$F$64,MATCH($A35,Вводные!$A$13:$A$64,0),MATCH(CH$3,Вводные!$D$11:$F$11,0))*(1+IF(CH$4=$A35,Вводные!$D$5*INDEX(Вводные!$G$13:$G$64,MATCH($A35,Вводные!$A$13:$A$64,0)),0))</f>
        <v>200000</v>
      </c>
      <c r="CI35" s="14" t="n">
        <f aca="false">INDEX(Вводные!$D$13:$F$64,MATCH($A35,Вводные!$A$13:$A$64,0),MATCH(CI$3,Вводные!$D$11:$F$11,0))*(1+IF(CI$4=$A35,Вводные!$D$5*INDEX(Вводные!$G$13:$G$64,MATCH($A35,Вводные!$A$13:$A$64,0)),0))</f>
        <v>200000</v>
      </c>
      <c r="CJ35" s="14" t="n">
        <f aca="false">INDEX(Вводные!$D$13:$F$64,MATCH($A35,Вводные!$A$13:$A$64,0),MATCH(CJ$3,Вводные!$D$11:$F$11,0))*(1+IF(CJ$4=$A35,Вводные!$D$5*INDEX(Вводные!$G$13:$G$64,MATCH($A35,Вводные!$A$13:$A$64,0)),0))</f>
        <v>200000</v>
      </c>
      <c r="CK35" s="14" t="n">
        <f aca="false">INDEX(Вводные!$D$13:$F$64,MATCH($A35,Вводные!$A$13:$A$64,0),MATCH(CK$3,Вводные!$D$11:$F$11,0))*(1+IF(CK$4=$A35,Вводные!$D$5*INDEX(Вводные!$G$13:$G$64,MATCH($A35,Вводные!$A$13:$A$64,0)),0))</f>
        <v>200000</v>
      </c>
      <c r="CL35" s="14" t="n">
        <f aca="false">INDEX(Вводные!$D$13:$F$64,MATCH($A35,Вводные!$A$13:$A$64,0),MATCH(CL$3,Вводные!$D$11:$F$11,0))*(1+IF(CL$4=$A35,Вводные!$D$5*INDEX(Вводные!$G$13:$G$64,MATCH($A35,Вводные!$A$13:$A$64,0)),0))</f>
        <v>200000</v>
      </c>
      <c r="CM35" s="14" t="n">
        <f aca="false">INDEX(Вводные!$D$13:$F$64,MATCH($A35,Вводные!$A$13:$A$64,0),MATCH(CM$3,Вводные!$D$11:$F$11,0))*(1+IF(CM$4=$A35,Вводные!$D$5*INDEX(Вводные!$G$13:$G$64,MATCH($A35,Вводные!$A$13:$A$64,0)),0))</f>
        <v>200000</v>
      </c>
      <c r="CN35" s="14" t="n">
        <f aca="false">INDEX(Вводные!$D$13:$F$64,MATCH($A35,Вводные!$A$13:$A$64,0),MATCH(CN$3,Вводные!$D$11:$F$11,0))*(1+IF(CN$4=$A35,Вводные!$D$5*INDEX(Вводные!$G$13:$G$64,MATCH($A35,Вводные!$A$13:$A$64,0)),0))</f>
        <v>200000</v>
      </c>
      <c r="CO35" s="14" t="n">
        <f aca="false">INDEX(Вводные!$D$13:$F$64,MATCH($A35,Вводные!$A$13:$A$64,0),MATCH(CO$3,Вводные!$D$11:$F$11,0))*(1+IF(CO$4=$A35,Вводные!$D$5*INDEX(Вводные!$G$13:$G$64,MATCH($A35,Вводные!$A$13:$A$64,0)),0))</f>
        <v>200000</v>
      </c>
      <c r="CP35" s="14" t="n">
        <f aca="false">INDEX(Вводные!$D$13:$F$64,MATCH($A35,Вводные!$A$13:$A$64,0),MATCH(CP$3,Вводные!$D$11:$F$11,0))*(1+IF(CP$4=$A35,Вводные!$D$5*INDEX(Вводные!$G$13:$G$64,MATCH($A35,Вводные!$A$13:$A$64,0)),0))</f>
        <v>25000000</v>
      </c>
      <c r="CQ35" s="14" t="n">
        <f aca="false">INDEX(Вводные!$D$13:$F$64,MATCH($A35,Вводные!$A$13:$A$64,0),MATCH(CQ$3,Вводные!$D$11:$F$11,0))*(1+IF(CQ$4=$A35,Вводные!$D$5*INDEX(Вводные!$G$13:$G$64,MATCH($A35,Вводные!$A$13:$A$64,0)),0))</f>
        <v>25000000</v>
      </c>
      <c r="CR35" s="14" t="n">
        <f aca="false">INDEX(Вводные!$D$13:$F$64,MATCH($A35,Вводные!$A$13:$A$64,0),MATCH(CR$3,Вводные!$D$11:$F$11,0))*(1+IF(CR$4=$A35,Вводные!$D$5*INDEX(Вводные!$G$13:$G$64,MATCH($A35,Вводные!$A$13:$A$64,0)),0))</f>
        <v>25000000</v>
      </c>
      <c r="CS35" s="14" t="n">
        <f aca="false">INDEX(Вводные!$D$13:$F$64,MATCH($A35,Вводные!$A$13:$A$64,0),MATCH(CS$3,Вводные!$D$11:$F$11,0))*(1+IF(CS$4=$A35,Вводные!$D$5*INDEX(Вводные!$G$13:$G$64,MATCH($A35,Вводные!$A$13:$A$64,0)),0))</f>
        <v>25000000</v>
      </c>
      <c r="CT35" s="14" t="n">
        <f aca="false">INDEX(Вводные!$D$13:$F$64,MATCH($A35,Вводные!$A$13:$A$64,0),MATCH(CT$3,Вводные!$D$11:$F$11,0))*(1+IF(CT$4=$A35,Вводные!$D$5*INDEX(Вводные!$G$13:$G$64,MATCH($A35,Вводные!$A$13:$A$64,0)),0))</f>
        <v>25000000</v>
      </c>
      <c r="CU35" s="14" t="n">
        <f aca="false">INDEX(Вводные!$D$13:$F$64,MATCH($A35,Вводные!$A$13:$A$64,0),MATCH(CU$3,Вводные!$D$11:$F$11,0))*(1+IF(CU$4=$A35,Вводные!$D$5*INDEX(Вводные!$G$13:$G$64,MATCH($A35,Вводные!$A$13:$A$64,0)),0))</f>
        <v>25000000</v>
      </c>
      <c r="CV35" s="14" t="n">
        <f aca="false">INDEX(Вводные!$D$13:$F$64,MATCH($A35,Вводные!$A$13:$A$64,0),MATCH(CV$3,Вводные!$D$11:$F$11,0))*(1+IF(CV$4=$A35,Вводные!$D$5*INDEX(Вводные!$G$13:$G$64,MATCH($A35,Вводные!$A$13:$A$64,0)),0))</f>
        <v>25000000</v>
      </c>
      <c r="CW35" s="14" t="n">
        <f aca="false">INDEX(Вводные!$D$13:$F$64,MATCH($A35,Вводные!$A$13:$A$64,0),MATCH(CW$3,Вводные!$D$11:$F$11,0))*(1+IF(CW$4=$A35,Вводные!$D$5*INDEX(Вводные!$G$13:$G$64,MATCH($A35,Вводные!$A$13:$A$64,0)),0))</f>
        <v>25000000</v>
      </c>
      <c r="CX35" s="14" t="n">
        <f aca="false">INDEX(Вводные!$D$13:$F$64,MATCH($A35,Вводные!$A$13:$A$64,0),MATCH(CX$3,Вводные!$D$11:$F$11,0))*(1+IF(CX$4=$A35,Вводные!$D$5*INDEX(Вводные!$G$13:$G$64,MATCH($A35,Вводные!$A$13:$A$64,0)),0))</f>
        <v>25000000</v>
      </c>
      <c r="CY35" s="14" t="n">
        <f aca="false">INDEX(Вводные!$D$13:$F$64,MATCH($A35,Вводные!$A$13:$A$64,0),MATCH(CY$3,Вводные!$D$11:$F$11,0))*(1+IF(CY$4=$A35,Вводные!$D$5*INDEX(Вводные!$G$13:$G$64,MATCH($A35,Вводные!$A$13:$A$64,0)),0))</f>
        <v>25000000</v>
      </c>
      <c r="CZ35" s="14" t="n">
        <f aca="false">INDEX(Вводные!$D$13:$F$64,MATCH($A35,Вводные!$A$13:$A$64,0),MATCH(CZ$3,Вводные!$D$11:$F$11,0))*(1+IF(CZ$4=$A35,Вводные!$D$5*INDEX(Вводные!$G$13:$G$64,MATCH($A35,Вводные!$A$13:$A$64,0)),0))</f>
        <v>25250000</v>
      </c>
      <c r="DA35" s="14" t="n">
        <f aca="false">INDEX(Вводные!$D$13:$F$64,MATCH($A35,Вводные!$A$13:$A$64,0),MATCH(DA$3,Вводные!$D$11:$F$11,0))*(1+IF(DA$4=$A35,Вводные!$D$5*INDEX(Вводные!$G$13:$G$64,MATCH($A35,Вводные!$A$13:$A$64,0)),0))</f>
        <v>25000000</v>
      </c>
      <c r="DB35" s="14" t="n">
        <f aca="false">INDEX(Вводные!$D$13:$F$64,MATCH($A35,Вводные!$A$13:$A$64,0),MATCH(DB$3,Вводные!$D$11:$F$11,0))*(1+IF(DB$4=$A35,Вводные!$D$5*INDEX(Вводные!$G$13:$G$64,MATCH($A35,Вводные!$A$13:$A$64,0)),0))</f>
        <v>25000000</v>
      </c>
      <c r="DC35" s="14" t="n">
        <f aca="false">INDEX(Вводные!$D$13:$F$64,MATCH($A35,Вводные!$A$13:$A$64,0),MATCH(DC$3,Вводные!$D$11:$F$11,0))*(1+IF(DC$4=$A35,Вводные!$D$5*INDEX(Вводные!$G$13:$G$64,MATCH($A35,Вводные!$A$13:$A$64,0)),0))</f>
        <v>25000000</v>
      </c>
      <c r="DD35" s="14" t="n">
        <f aca="false">INDEX(Вводные!$D$13:$F$64,MATCH($A35,Вводные!$A$13:$A$64,0),MATCH(DD$3,Вводные!$D$11:$F$11,0))*(1+IF(DD$4=$A35,Вводные!$D$5*INDEX(Вводные!$G$13:$G$64,MATCH($A35,Вводные!$A$13:$A$64,0)),0))</f>
        <v>25000000</v>
      </c>
      <c r="DE35" s="14" t="n">
        <f aca="false">INDEX(Вводные!$D$13:$F$64,MATCH($A35,Вводные!$A$13:$A$64,0),MATCH(DE$3,Вводные!$D$11:$F$11,0))*(1+IF(DE$4=$A35,Вводные!$D$5*INDEX(Вводные!$G$13:$G$64,MATCH($A35,Вводные!$A$13:$A$64,0)),0))</f>
        <v>25000000</v>
      </c>
      <c r="DF35" s="14" t="n">
        <f aca="false">INDEX(Вводные!$D$13:$F$64,MATCH($A35,Вводные!$A$13:$A$64,0),MATCH(DF$3,Вводные!$D$11:$F$11,0))*(1+IF(DF$4=$A35,Вводные!$D$5*INDEX(Вводные!$G$13:$G$64,MATCH($A35,Вводные!$A$13:$A$64,0)),0))</f>
        <v>25000000</v>
      </c>
      <c r="DG35" s="14" t="n">
        <f aca="false">INDEX(Вводные!$D$13:$F$64,MATCH($A35,Вводные!$A$13:$A$64,0),MATCH(DG$3,Вводные!$D$11:$F$11,0))*(1+IF(DG$4=$A35,Вводные!$D$5*INDEX(Вводные!$G$13:$G$64,MATCH($A35,Вводные!$A$13:$A$64,0)),0))</f>
        <v>25000000</v>
      </c>
      <c r="DH35" s="14" t="n">
        <f aca="false">INDEX(Вводные!$D$13:$F$64,MATCH($A35,Вводные!$A$13:$A$64,0),MATCH(DH$3,Вводные!$D$11:$F$11,0))*(1+IF(DH$4=$A35,Вводные!$D$5*INDEX(Вводные!$G$13:$G$64,MATCH($A35,Вводные!$A$13:$A$64,0)),0))</f>
        <v>25000000</v>
      </c>
      <c r="DI35" s="14" t="n">
        <f aca="false">INDEX(Вводные!$D$13:$F$64,MATCH($A35,Вводные!$A$13:$A$64,0),MATCH(DI$3,Вводные!$D$11:$F$11,0))*(1+IF(DI$4=$A35,Вводные!$D$5*INDEX(Вводные!$G$13:$G$64,MATCH($A35,Вводные!$A$13:$A$64,0)),0))</f>
        <v>25000000</v>
      </c>
      <c r="DJ35" s="14" t="n">
        <f aca="false">INDEX(Вводные!$D$13:$F$64,MATCH($A35,Вводные!$A$13:$A$64,0),MATCH(DJ$3,Вводные!$D$11:$F$11,0))*(1+IF(DJ$4=$A35,Вводные!$D$5*INDEX(Вводные!$G$13:$G$64,MATCH($A35,Вводные!$A$13:$A$64,0)),0))</f>
        <v>25000000</v>
      </c>
      <c r="DK35" s="14" t="n">
        <f aca="false">INDEX(Вводные!$D$13:$F$64,MATCH($A35,Вводные!$A$13:$A$64,0),MATCH(DK$3,Вводные!$D$11:$F$11,0))*(1+IF(DK$4=$A35,Вводные!$D$5*INDEX(Вводные!$G$13:$G$64,MATCH($A35,Вводные!$A$13:$A$64,0)),0))</f>
        <v>25000000</v>
      </c>
      <c r="DL35" s="14" t="n">
        <f aca="false">INDEX(Вводные!$D$13:$F$64,MATCH($A35,Вводные!$A$13:$A$64,0),MATCH(DL$3,Вводные!$D$11:$F$11,0))*(1+IF(DL$4=$A35,Вводные!$D$5*INDEX(Вводные!$G$13:$G$64,MATCH($A35,Вводные!$A$13:$A$64,0)),0))</f>
        <v>25000000</v>
      </c>
      <c r="DM35" s="14" t="n">
        <f aca="false">INDEX(Вводные!$D$13:$F$64,MATCH($A35,Вводные!$A$13:$A$64,0),MATCH(DM$3,Вводные!$D$11:$F$11,0))*(1+IF(DM$4=$A35,Вводные!$D$5*INDEX(Вводные!$G$13:$G$64,MATCH($A35,Вводные!$A$13:$A$64,0)),0))</f>
        <v>25000000</v>
      </c>
      <c r="DN35" s="14" t="n">
        <f aca="false">INDEX(Вводные!$D$13:$F$64,MATCH($A35,Вводные!$A$13:$A$64,0),MATCH(DN$3,Вводные!$D$11:$F$11,0))*(1+IF(DN$4=$A35,Вводные!$D$5*INDEX(Вводные!$G$13:$G$64,MATCH($A35,Вводные!$A$13:$A$64,0)),0))</f>
        <v>25000000</v>
      </c>
      <c r="DO35" s="14" t="n">
        <f aca="false">INDEX(Вводные!$D$13:$F$64,MATCH($A35,Вводные!$A$13:$A$64,0),MATCH(DO$3,Вводные!$D$11:$F$11,0))*(1+IF(DO$4=$A35,Вводные!$D$5*INDEX(Вводные!$G$13:$G$64,MATCH($A35,Вводные!$A$13:$A$64,0)),0))</f>
        <v>25000000</v>
      </c>
      <c r="DP35" s="14" t="n">
        <f aca="false">INDEX(Вводные!$D$13:$F$64,MATCH($A35,Вводные!$A$13:$A$64,0),MATCH(DP$3,Вводные!$D$11:$F$11,0))*(1+IF(DP$4=$A35,Вводные!$D$5*INDEX(Вводные!$G$13:$G$64,MATCH($A35,Вводные!$A$13:$A$64,0)),0))</f>
        <v>25000000</v>
      </c>
      <c r="DQ35" s="14" t="n">
        <f aca="false">INDEX(Вводные!$D$13:$F$64,MATCH($A35,Вводные!$A$13:$A$64,0),MATCH(DQ$3,Вводные!$D$11:$F$11,0))*(1+IF(DQ$4=$A35,Вводные!$D$5*INDEX(Вводные!$G$13:$G$64,MATCH($A35,Вводные!$A$13:$A$64,0)),0))</f>
        <v>25000000</v>
      </c>
      <c r="DR35" s="14" t="n">
        <f aca="false">INDEX(Вводные!$D$13:$F$64,MATCH($A35,Вводные!$A$13:$A$64,0),MATCH(DR$3,Вводные!$D$11:$F$11,0))*(1+IF(DR$4=$A35,Вводные!$D$5*INDEX(Вводные!$G$13:$G$64,MATCH($A35,Вводные!$A$13:$A$64,0)),0))</f>
        <v>25000000</v>
      </c>
      <c r="DS35" s="14" t="n">
        <f aca="false">INDEX(Вводные!$D$13:$F$64,MATCH($A35,Вводные!$A$13:$A$64,0),MATCH(DS$3,Вводные!$D$11:$F$11,0))*(1+IF(DS$4=$A35,Вводные!$D$5*INDEX(Вводные!$G$13:$G$64,MATCH($A35,Вводные!$A$13:$A$64,0)),0))</f>
        <v>25000000</v>
      </c>
      <c r="DT35" s="14" t="n">
        <f aca="false">INDEX(Вводные!$D$13:$F$64,MATCH($A35,Вводные!$A$13:$A$64,0),MATCH(DT$3,Вводные!$D$11:$F$11,0))*(1+IF(DT$4=$A35,Вводные!$D$5*INDEX(Вводные!$G$13:$G$64,MATCH($A35,Вводные!$A$13:$A$64,0)),0))</f>
        <v>25000000</v>
      </c>
      <c r="DU35" s="14" t="n">
        <f aca="false">INDEX(Вводные!$D$13:$F$64,MATCH($A35,Вводные!$A$13:$A$64,0),MATCH(DU$3,Вводные!$D$11:$F$11,0))*(1+IF(DU$4=$A35,Вводные!$D$5*INDEX(Вводные!$G$13:$G$64,MATCH($A35,Вводные!$A$13:$A$64,0)),0))</f>
        <v>25000000</v>
      </c>
      <c r="DV35" s="14" t="n">
        <f aca="false">INDEX(Вводные!$D$13:$F$64,MATCH($A35,Вводные!$A$13:$A$64,0),MATCH(DV$3,Вводные!$D$11:$F$11,0))*(1+IF(DV$4=$A35,Вводные!$D$5*INDEX(Вводные!$G$13:$G$64,MATCH($A35,Вводные!$A$13:$A$64,0)),0))</f>
        <v>25000000</v>
      </c>
      <c r="DW35" s="14" t="n">
        <f aca="false">INDEX(Вводные!$D$13:$F$64,MATCH($A35,Вводные!$A$13:$A$64,0),MATCH(DW$3,Вводные!$D$11:$F$11,0))*(1+IF(DW$4=$A35,Вводные!$D$5*INDEX(Вводные!$G$13:$G$64,MATCH($A35,Вводные!$A$13:$A$64,0)),0))</f>
        <v>25000000</v>
      </c>
      <c r="DX35" s="14" t="n">
        <f aca="false">INDEX(Вводные!$D$13:$F$64,MATCH($A35,Вводные!$A$13:$A$64,0),MATCH(DX$3,Вводные!$D$11:$F$11,0))*(1+IF(DX$4=$A35,Вводные!$D$5*INDEX(Вводные!$G$13:$G$64,MATCH($A35,Вводные!$A$13:$A$64,0)),0))</f>
        <v>25000000</v>
      </c>
      <c r="DY35" s="14" t="n">
        <f aca="false">INDEX(Вводные!$D$13:$F$64,MATCH($A35,Вводные!$A$13:$A$64,0),MATCH(DY$3,Вводные!$D$11:$F$11,0))*(1+IF(DY$4=$A35,Вводные!$D$5*INDEX(Вводные!$G$13:$G$64,MATCH($A35,Вводные!$A$13:$A$64,0)),0))</f>
        <v>25000000</v>
      </c>
      <c r="DZ35" s="14" t="n">
        <f aca="false">INDEX(Вводные!$D$13:$F$64,MATCH($A35,Вводные!$A$13:$A$64,0),MATCH(DZ$3,Вводные!$D$11:$F$11,0))*(1+IF(DZ$4=$A35,Вводные!$D$5*INDEX(Вводные!$G$13:$G$64,MATCH($A35,Вводные!$A$13:$A$64,0)),0))</f>
        <v>25000000</v>
      </c>
      <c r="EA35" s="14" t="n">
        <f aca="false">INDEX(Вводные!$D$13:$F$64,MATCH($A35,Вводные!$A$13:$A$64,0),MATCH(EA$3,Вводные!$D$11:$F$11,0))*(1+IF(EA$4=$A35,Вводные!$D$5*INDEX(Вводные!$G$13:$G$64,MATCH($A35,Вводные!$A$13:$A$64,0)),0))</f>
        <v>25000000</v>
      </c>
      <c r="EB35" s="14" t="n">
        <f aca="false">INDEX(Вводные!$D$13:$F$64,MATCH($A35,Вводные!$A$13:$A$64,0),MATCH(EB$3,Вводные!$D$11:$F$11,0))*(1+IF(EB$4=$A35,Вводные!$D$5*INDEX(Вводные!$G$13:$G$64,MATCH($A35,Вводные!$A$13:$A$64,0)),0))</f>
        <v>25000000</v>
      </c>
      <c r="EC35" s="14" t="n">
        <f aca="false">INDEX(Вводные!$D$13:$F$64,MATCH($A35,Вводные!$A$13:$A$64,0),MATCH(EC$3,Вводные!$D$11:$F$11,0))*(1+IF(EC$4=$A35,Вводные!$D$5*INDEX(Вводные!$G$13:$G$64,MATCH($A35,Вводные!$A$13:$A$64,0)),0))</f>
        <v>25000000</v>
      </c>
      <c r="ED35" s="14" t="n">
        <f aca="false">INDEX(Вводные!$D$13:$F$64,MATCH($A35,Вводные!$A$13:$A$64,0),MATCH(ED$3,Вводные!$D$11:$F$11,0))*(1+IF(ED$4=$A35,Вводные!$D$5*INDEX(Вводные!$G$13:$G$64,MATCH($A35,Вводные!$A$13:$A$64,0)),0))</f>
        <v>25000000</v>
      </c>
      <c r="EE35" s="14" t="n">
        <f aca="false">INDEX(Вводные!$D$13:$F$64,MATCH($A35,Вводные!$A$13:$A$64,0),MATCH(EE$3,Вводные!$D$11:$F$11,0))*(1+IF(EE$4=$A35,Вводные!$D$5*INDEX(Вводные!$G$13:$G$64,MATCH($A35,Вводные!$A$13:$A$64,0)),0))</f>
        <v>25000000</v>
      </c>
      <c r="EF35" s="14" t="n">
        <f aca="false">INDEX(Вводные!$D$13:$F$64,MATCH($A35,Вводные!$A$13:$A$64,0),MATCH(EF$3,Вводные!$D$11:$F$11,0))*(1+IF(EF$4=$A35,Вводные!$D$5*INDEX(Вводные!$G$13:$G$64,MATCH($A35,Вводные!$A$13:$A$64,0)),0))</f>
        <v>8000</v>
      </c>
      <c r="EG35" s="14" t="n">
        <f aca="false">INDEX(Вводные!$D$13:$F$64,MATCH($A35,Вводные!$A$13:$A$64,0),MATCH(EG$3,Вводные!$D$11:$F$11,0))*(1+IF(EG$4=$A35,Вводные!$D$5*INDEX(Вводные!$G$13:$G$64,MATCH($A35,Вводные!$A$13:$A$64,0)),0))</f>
        <v>8000</v>
      </c>
      <c r="EH35" s="14" t="n">
        <f aca="false">INDEX(Вводные!$D$13:$F$64,MATCH($A35,Вводные!$A$13:$A$64,0),MATCH(EH$3,Вводные!$D$11:$F$11,0))*(1+IF(EH$4=$A35,Вводные!$D$5*INDEX(Вводные!$G$13:$G$64,MATCH($A35,Вводные!$A$13:$A$64,0)),0))</f>
        <v>8000</v>
      </c>
      <c r="EI35" s="14" t="n">
        <f aca="false">INDEX(Вводные!$D$13:$F$64,MATCH($A35,Вводные!$A$13:$A$64,0),MATCH(EI$3,Вводные!$D$11:$F$11,0))*(1+IF(EI$4=$A35,Вводные!$D$5*INDEX(Вводные!$G$13:$G$64,MATCH($A35,Вводные!$A$13:$A$64,0)),0))</f>
        <v>8000</v>
      </c>
      <c r="EJ35" s="14" t="n">
        <f aca="false">INDEX(Вводные!$D$13:$F$64,MATCH($A35,Вводные!$A$13:$A$64,0),MATCH(EJ$3,Вводные!$D$11:$F$11,0))*(1+IF(EJ$4=$A35,Вводные!$D$5*INDEX(Вводные!$G$13:$G$64,MATCH($A35,Вводные!$A$13:$A$64,0)),0))</f>
        <v>8000</v>
      </c>
      <c r="EK35" s="14" t="n">
        <f aca="false">INDEX(Вводные!$D$13:$F$64,MATCH($A35,Вводные!$A$13:$A$64,0),MATCH(EK$3,Вводные!$D$11:$F$11,0))*(1+IF(EK$4=$A35,Вводные!$D$5*INDEX(Вводные!$G$13:$G$64,MATCH($A35,Вводные!$A$13:$A$64,0)),0))</f>
        <v>8000</v>
      </c>
      <c r="EL35" s="14" t="n">
        <f aca="false">INDEX(Вводные!$D$13:$F$64,MATCH($A35,Вводные!$A$13:$A$64,0),MATCH(EL$3,Вводные!$D$11:$F$11,0))*(1+IF(EL$4=$A35,Вводные!$D$5*INDEX(Вводные!$G$13:$G$64,MATCH($A35,Вводные!$A$13:$A$64,0)),0))</f>
        <v>8000</v>
      </c>
      <c r="EM35" s="14" t="n">
        <f aca="false">INDEX(Вводные!$D$13:$F$64,MATCH($A35,Вводные!$A$13:$A$64,0),MATCH(EM$3,Вводные!$D$11:$F$11,0))*(1+IF(EM$4=$A35,Вводные!$D$5*INDEX(Вводные!$G$13:$G$64,MATCH($A35,Вводные!$A$13:$A$64,0)),0))</f>
        <v>8000</v>
      </c>
      <c r="EN35" s="14" t="n">
        <f aca="false">INDEX(Вводные!$D$13:$F$64,MATCH($A35,Вводные!$A$13:$A$64,0),MATCH(EN$3,Вводные!$D$11:$F$11,0))*(1+IF(EN$4=$A35,Вводные!$D$5*INDEX(Вводные!$G$13:$G$64,MATCH($A35,Вводные!$A$13:$A$64,0)),0))</f>
        <v>8000</v>
      </c>
      <c r="EO35" s="14" t="n">
        <f aca="false">INDEX(Вводные!$D$13:$F$64,MATCH($A35,Вводные!$A$13:$A$64,0),MATCH(EO$3,Вводные!$D$11:$F$11,0))*(1+IF(EO$4=$A35,Вводные!$D$5*INDEX(Вводные!$G$13:$G$64,MATCH($A35,Вводные!$A$13:$A$64,0)),0))</f>
        <v>8000</v>
      </c>
      <c r="EP35" s="14" t="n">
        <f aca="false">INDEX(Вводные!$D$13:$F$64,MATCH($A35,Вводные!$A$13:$A$64,0),MATCH(EP$3,Вводные!$D$11:$F$11,0))*(1+IF(EP$4=$A35,Вводные!$D$5*INDEX(Вводные!$G$13:$G$64,MATCH($A35,Вводные!$A$13:$A$64,0)),0))</f>
        <v>8080</v>
      </c>
      <c r="EQ35" s="14" t="n">
        <f aca="false">INDEX(Вводные!$D$13:$F$64,MATCH($A35,Вводные!$A$13:$A$64,0),MATCH(EQ$3,Вводные!$D$11:$F$11,0))*(1+IF(EQ$4=$A35,Вводные!$D$5*INDEX(Вводные!$G$13:$G$64,MATCH($A35,Вводные!$A$13:$A$64,0)),0))</f>
        <v>8000</v>
      </c>
      <c r="ER35" s="14" t="n">
        <f aca="false">INDEX(Вводные!$D$13:$F$64,MATCH($A35,Вводные!$A$13:$A$64,0),MATCH(ER$3,Вводные!$D$11:$F$11,0))*(1+IF(ER$4=$A35,Вводные!$D$5*INDEX(Вводные!$G$13:$G$64,MATCH($A35,Вводные!$A$13:$A$64,0)),0))</f>
        <v>8000</v>
      </c>
      <c r="ES35" s="14" t="n">
        <f aca="false">INDEX(Вводные!$D$13:$F$64,MATCH($A35,Вводные!$A$13:$A$64,0),MATCH(ES$3,Вводные!$D$11:$F$11,0))*(1+IF(ES$4=$A35,Вводные!$D$5*INDEX(Вводные!$G$13:$G$64,MATCH($A35,Вводные!$A$13:$A$64,0)),0))</f>
        <v>8000</v>
      </c>
      <c r="ET35" s="14" t="n">
        <f aca="false">INDEX(Вводные!$D$13:$F$64,MATCH($A35,Вводные!$A$13:$A$64,0),MATCH(ET$3,Вводные!$D$11:$F$11,0))*(1+IF(ET$4=$A35,Вводные!$D$5*INDEX(Вводные!$G$13:$G$64,MATCH($A35,Вводные!$A$13:$A$64,0)),0))</f>
        <v>8000</v>
      </c>
      <c r="EU35" s="14" t="n">
        <f aca="false">INDEX(Вводные!$D$13:$F$64,MATCH($A35,Вводные!$A$13:$A$64,0),MATCH(EU$3,Вводные!$D$11:$F$11,0))*(1+IF(EU$4=$A35,Вводные!$D$5*INDEX(Вводные!$G$13:$G$64,MATCH($A35,Вводные!$A$13:$A$64,0)),0))</f>
        <v>8000</v>
      </c>
      <c r="EV35" s="14" t="n">
        <f aca="false">INDEX(Вводные!$D$13:$F$64,MATCH($A35,Вводные!$A$13:$A$64,0),MATCH(EV$3,Вводные!$D$11:$F$11,0))*(1+IF(EV$4=$A35,Вводные!$D$5*INDEX(Вводные!$G$13:$G$64,MATCH($A35,Вводные!$A$13:$A$64,0)),0))</f>
        <v>8000</v>
      </c>
      <c r="EW35" s="14" t="n">
        <f aca="false">INDEX(Вводные!$D$13:$F$64,MATCH($A35,Вводные!$A$13:$A$64,0),MATCH(EW$3,Вводные!$D$11:$F$11,0))*(1+IF(EW$4=$A35,Вводные!$D$5*INDEX(Вводные!$G$13:$G$64,MATCH($A35,Вводные!$A$13:$A$64,0)),0))</f>
        <v>8000</v>
      </c>
      <c r="EX35" s="14" t="n">
        <f aca="false">INDEX(Вводные!$D$13:$F$64,MATCH($A35,Вводные!$A$13:$A$64,0),MATCH(EX$3,Вводные!$D$11:$F$11,0))*(1+IF(EX$4=$A35,Вводные!$D$5*INDEX(Вводные!$G$13:$G$64,MATCH($A35,Вводные!$A$13:$A$64,0)),0))</f>
        <v>8000</v>
      </c>
      <c r="EY35" s="14" t="n">
        <f aca="false">INDEX(Вводные!$D$13:$F$64,MATCH($A35,Вводные!$A$13:$A$64,0),MATCH(EY$3,Вводные!$D$11:$F$11,0))*(1+IF(EY$4=$A35,Вводные!$D$5*INDEX(Вводные!$G$13:$G$64,MATCH($A35,Вводные!$A$13:$A$64,0)),0))</f>
        <v>8000</v>
      </c>
      <c r="EZ35" s="14" t="n">
        <f aca="false">INDEX(Вводные!$D$13:$F$64,MATCH($A35,Вводные!$A$13:$A$64,0),MATCH(EZ$3,Вводные!$D$11:$F$11,0))*(1+IF(EZ$4=$A35,Вводные!$D$5*INDEX(Вводные!$G$13:$G$64,MATCH($A35,Вводные!$A$13:$A$64,0)),0))</f>
        <v>8000</v>
      </c>
      <c r="FA35" s="14" t="n">
        <f aca="false">INDEX(Вводные!$D$13:$F$64,MATCH($A35,Вводные!$A$13:$A$64,0),MATCH(FA$3,Вводные!$D$11:$F$11,0))*(1+IF(FA$4=$A35,Вводные!$D$5*INDEX(Вводные!$G$13:$G$64,MATCH($A35,Вводные!$A$13:$A$64,0)),0))</f>
        <v>8000</v>
      </c>
      <c r="FB35" s="14" t="n">
        <f aca="false">INDEX(Вводные!$D$13:$F$64,MATCH($A35,Вводные!$A$13:$A$64,0),MATCH(FB$3,Вводные!$D$11:$F$11,0))*(1+IF(FB$4=$A35,Вводные!$D$5*INDEX(Вводные!$G$13:$G$64,MATCH($A35,Вводные!$A$13:$A$64,0)),0))</f>
        <v>8000</v>
      </c>
      <c r="FC35" s="14" t="n">
        <f aca="false">INDEX(Вводные!$D$13:$F$64,MATCH($A35,Вводные!$A$13:$A$64,0),MATCH(FC$3,Вводные!$D$11:$F$11,0))*(1+IF(FC$4=$A35,Вводные!$D$5*INDEX(Вводные!$G$13:$G$64,MATCH($A35,Вводные!$A$13:$A$64,0)),0))</f>
        <v>8000</v>
      </c>
      <c r="FD35" s="14" t="n">
        <f aca="false">INDEX(Вводные!$D$13:$F$64,MATCH($A35,Вводные!$A$13:$A$64,0),MATCH(FD$3,Вводные!$D$11:$F$11,0))*(1+IF(FD$4=$A35,Вводные!$D$5*INDEX(Вводные!$G$13:$G$64,MATCH($A35,Вводные!$A$13:$A$64,0)),0))</f>
        <v>8000</v>
      </c>
      <c r="FE35" s="14" t="n">
        <f aca="false">INDEX(Вводные!$D$13:$F$64,MATCH($A35,Вводные!$A$13:$A$64,0),MATCH(FE$3,Вводные!$D$11:$F$11,0))*(1+IF(FE$4=$A35,Вводные!$D$5*INDEX(Вводные!$G$13:$G$64,MATCH($A35,Вводные!$A$13:$A$64,0)),0))</f>
        <v>8000</v>
      </c>
      <c r="FF35" s="14" t="n">
        <f aca="false">INDEX(Вводные!$D$13:$F$64,MATCH($A35,Вводные!$A$13:$A$64,0),MATCH(FF$3,Вводные!$D$11:$F$11,0))*(1+IF(FF$4=$A35,Вводные!$D$5*INDEX(Вводные!$G$13:$G$64,MATCH($A35,Вводные!$A$13:$A$64,0)),0))</f>
        <v>8000</v>
      </c>
      <c r="FG35" s="14" t="n">
        <f aca="false">INDEX(Вводные!$D$13:$F$64,MATCH($A35,Вводные!$A$13:$A$64,0),MATCH(FG$3,Вводные!$D$11:$F$11,0))*(1+IF(FG$4=$A35,Вводные!$D$5*INDEX(Вводные!$G$13:$G$64,MATCH($A35,Вводные!$A$13:$A$64,0)),0))</f>
        <v>8000</v>
      </c>
      <c r="FH35" s="14" t="n">
        <f aca="false">INDEX(Вводные!$D$13:$F$64,MATCH($A35,Вводные!$A$13:$A$64,0),MATCH(FH$3,Вводные!$D$11:$F$11,0))*(1+IF(FH$4=$A35,Вводные!$D$5*INDEX(Вводные!$G$13:$G$64,MATCH($A35,Вводные!$A$13:$A$64,0)),0))</f>
        <v>8000</v>
      </c>
      <c r="FI35" s="14" t="n">
        <f aca="false">INDEX(Вводные!$D$13:$F$64,MATCH($A35,Вводные!$A$13:$A$64,0),MATCH(FI$3,Вводные!$D$11:$F$11,0))*(1+IF(FI$4=$A35,Вводные!$D$5*INDEX(Вводные!$G$13:$G$64,MATCH($A35,Вводные!$A$13:$A$64,0)),0))</f>
        <v>8000</v>
      </c>
      <c r="FJ35" s="14" t="n">
        <f aca="false">INDEX(Вводные!$D$13:$F$64,MATCH($A35,Вводные!$A$13:$A$64,0),MATCH(FJ$3,Вводные!$D$11:$F$11,0))*(1+IF(FJ$4=$A35,Вводные!$D$5*INDEX(Вводные!$G$13:$G$64,MATCH($A35,Вводные!$A$13:$A$64,0)),0))</f>
        <v>8000</v>
      </c>
      <c r="FK35" s="14" t="n">
        <f aca="false">INDEX(Вводные!$D$13:$F$64,MATCH($A35,Вводные!$A$13:$A$64,0),MATCH(FK$3,Вводные!$D$11:$F$11,0))*(1+IF(FK$4=$A35,Вводные!$D$5*INDEX(Вводные!$G$13:$G$64,MATCH($A35,Вводные!$A$13:$A$64,0)),0))</f>
        <v>8000</v>
      </c>
      <c r="FL35" s="14" t="n">
        <f aca="false">INDEX(Вводные!$D$13:$F$64,MATCH($A35,Вводные!$A$13:$A$64,0),MATCH(FL$3,Вводные!$D$11:$F$11,0))*(1+IF(FL$4=$A35,Вводные!$D$5*INDEX(Вводные!$G$13:$G$64,MATCH($A35,Вводные!$A$13:$A$64,0)),0))</f>
        <v>8000</v>
      </c>
      <c r="FM35" s="14" t="n">
        <f aca="false">INDEX(Вводные!$D$13:$F$64,MATCH($A35,Вводные!$A$13:$A$64,0),MATCH(FM$3,Вводные!$D$11:$F$11,0))*(1+IF(FM$4=$A35,Вводные!$D$5*INDEX(Вводные!$G$13:$G$64,MATCH($A35,Вводные!$A$13:$A$64,0)),0))</f>
        <v>8000</v>
      </c>
      <c r="FN35" s="14" t="n">
        <f aca="false">INDEX(Вводные!$D$13:$F$64,MATCH($A35,Вводные!$A$13:$A$64,0),MATCH(FN$3,Вводные!$D$11:$F$11,0))*(1+IF(FN$4=$A35,Вводные!$D$5*INDEX(Вводные!$G$13:$G$64,MATCH($A35,Вводные!$A$13:$A$64,0)),0))</f>
        <v>8000</v>
      </c>
      <c r="FO35" s="14" t="n">
        <f aca="false">INDEX(Вводные!$D$13:$F$64,MATCH($A35,Вводные!$A$13:$A$64,0),MATCH(FO$3,Вводные!$D$11:$F$11,0))*(1+IF(FO$4=$A35,Вводные!$D$5*INDEX(Вводные!$G$13:$G$64,MATCH($A35,Вводные!$A$13:$A$64,0)),0))</f>
        <v>8000</v>
      </c>
      <c r="FP35" s="14" t="n">
        <f aca="false">INDEX(Вводные!$D$13:$F$64,MATCH($A35,Вводные!$A$13:$A$64,0),MATCH(FP$3,Вводные!$D$11:$F$11,0))*(1+IF(FP$4=$A35,Вводные!$D$5*INDEX(Вводные!$G$13:$G$64,MATCH($A35,Вводные!$A$13:$A$64,0)),0))</f>
        <v>8000</v>
      </c>
      <c r="FQ35" s="14" t="n">
        <f aca="false">INDEX(Вводные!$D$13:$F$64,MATCH($A35,Вводные!$A$13:$A$64,0),MATCH(FQ$3,Вводные!$D$11:$F$11,0))*(1+IF(FQ$4=$A35,Вводные!$D$5*INDEX(Вводные!$G$13:$G$64,MATCH($A35,Вводные!$A$13:$A$64,0)),0))</f>
        <v>8000</v>
      </c>
      <c r="FR35" s="14" t="n">
        <f aca="false">INDEX(Вводные!$D$13:$F$64,MATCH($A35,Вводные!$A$13:$A$64,0),MATCH(FR$3,Вводные!$D$11:$F$11,0))*(1+IF(FR$4=$A35,Вводные!$D$5*INDEX(Вводные!$G$13:$G$64,MATCH($A35,Вводные!$A$13:$A$64,0)),0))</f>
        <v>8000</v>
      </c>
      <c r="FS35" s="14" t="n">
        <f aca="false">INDEX(Вводные!$D$13:$F$64,MATCH($A35,Вводные!$A$13:$A$64,0),MATCH(FS$3,Вводные!$D$11:$F$11,0))*(1+IF(FS$4=$A35,Вводные!$D$5*INDEX(Вводные!$G$13:$G$64,MATCH($A35,Вводные!$A$13:$A$64,0)),0))</f>
        <v>8000</v>
      </c>
      <c r="FT35" s="14" t="n">
        <f aca="false">INDEX(Вводные!$D$13:$F$64,MATCH($A35,Вводные!$A$13:$A$64,0),MATCH(FT$3,Вводные!$D$11:$F$11,0))*(1+IF(FT$4=$A35,Вводные!$D$5*INDEX(Вводные!$G$13:$G$64,MATCH($A35,Вводные!$A$13:$A$64,0)),0))</f>
        <v>8000</v>
      </c>
      <c r="FU35" s="14" t="n">
        <f aca="false">INDEX(Вводные!$D$13:$F$64,MATCH($A35,Вводные!$A$13:$A$64,0),MATCH(FU$3,Вводные!$D$11:$F$11,0))*(1+IF(FU$4=$A35,Вводные!$D$5*INDEX(Вводные!$G$13:$G$64,MATCH($A35,Вводные!$A$13:$A$64,0)),0))</f>
        <v>8000</v>
      </c>
      <c r="FV35" s="14" t="n">
        <f aca="false">INDEX(Вводные!$D$13:$F$64,MATCH($A35,Вводные!$A$13:$A$64,0),MATCH(FV$3,Вводные!$D$11:$F$11,0))*(1+IF(FV$4=$A35,Вводные!$D$5*INDEX(Вводные!$G$13:$G$64,MATCH($A35,Вводные!$A$13:$A$64,0)),0))</f>
        <v>200000</v>
      </c>
      <c r="FW35" s="14" t="n">
        <f aca="false">INDEX(Вводные!$D$13:$F$64,MATCH($A35,Вводные!$A$13:$A$64,0),MATCH(FW$3,Вводные!$D$11:$F$11,0))*(1+IF(FW$4=$A35,Вводные!$D$5*INDEX(Вводные!$G$13:$G$64,MATCH($A35,Вводные!$A$13:$A$64,0)),0))</f>
        <v>200000</v>
      </c>
      <c r="FX35" s="14" t="n">
        <f aca="false">INDEX(Вводные!$D$13:$F$64,MATCH($A35,Вводные!$A$13:$A$64,0),MATCH(FX$3,Вводные!$D$11:$F$11,0))*(1+IF(FX$4=$A35,Вводные!$D$5*INDEX(Вводные!$G$13:$G$64,MATCH($A35,Вводные!$A$13:$A$64,0)),0))</f>
        <v>200000</v>
      </c>
      <c r="FY35" s="14" t="n">
        <f aca="false">INDEX(Вводные!$D$13:$F$64,MATCH($A35,Вводные!$A$13:$A$64,0),MATCH(FY$3,Вводные!$D$11:$F$11,0))*(1+IF(FY$4=$A35,Вводные!$D$5*INDEX(Вводные!$G$13:$G$64,MATCH($A35,Вводные!$A$13:$A$64,0)),0))</f>
        <v>200000</v>
      </c>
      <c r="FZ35" s="14" t="n">
        <f aca="false">INDEX(Вводные!$D$13:$F$64,MATCH($A35,Вводные!$A$13:$A$64,0),MATCH(FZ$3,Вводные!$D$11:$F$11,0))*(1+IF(FZ$4=$A35,Вводные!$D$5*INDEX(Вводные!$G$13:$G$64,MATCH($A35,Вводные!$A$13:$A$64,0)),0))</f>
        <v>200000</v>
      </c>
      <c r="GA35" s="14" t="n">
        <f aca="false">INDEX(Вводные!$D$13:$F$64,MATCH($A35,Вводные!$A$13:$A$64,0),MATCH(GA$3,Вводные!$D$11:$F$11,0))*(1+IF(GA$4=$A35,Вводные!$D$5*INDEX(Вводные!$G$13:$G$64,MATCH($A35,Вводные!$A$13:$A$64,0)),0))</f>
        <v>200000</v>
      </c>
      <c r="GB35" s="14" t="n">
        <f aca="false">INDEX(Вводные!$D$13:$F$64,MATCH($A35,Вводные!$A$13:$A$64,0),MATCH(GB$3,Вводные!$D$11:$F$11,0))*(1+IF(GB$4=$A35,Вводные!$D$5*INDEX(Вводные!$G$13:$G$64,MATCH($A35,Вводные!$A$13:$A$64,0)),0))</f>
        <v>200000</v>
      </c>
      <c r="GC35" s="14" t="n">
        <f aca="false">INDEX(Вводные!$D$13:$F$64,MATCH($A35,Вводные!$A$13:$A$64,0),MATCH(GC$3,Вводные!$D$11:$F$11,0))*(1+IF(GC$4=$A35,Вводные!$D$5*INDEX(Вводные!$G$13:$G$64,MATCH($A35,Вводные!$A$13:$A$64,0)),0))</f>
        <v>200000</v>
      </c>
      <c r="GD35" s="14" t="n">
        <f aca="false">INDEX(Вводные!$D$13:$F$64,MATCH($A35,Вводные!$A$13:$A$64,0),MATCH(GD$3,Вводные!$D$11:$F$11,0))*(1+IF(GD$4=$A35,Вводные!$D$5*INDEX(Вводные!$G$13:$G$64,MATCH($A35,Вводные!$A$13:$A$64,0)),0))</f>
        <v>200000</v>
      </c>
      <c r="GE35" s="14" t="n">
        <f aca="false">INDEX(Вводные!$D$13:$F$64,MATCH($A35,Вводные!$A$13:$A$64,0),MATCH(GE$3,Вводные!$D$11:$F$11,0))*(1+IF(GE$4=$A35,Вводные!$D$5*INDEX(Вводные!$G$13:$G$64,MATCH($A35,Вводные!$A$13:$A$64,0)),0))</f>
        <v>200000</v>
      </c>
      <c r="GF35" s="14" t="n">
        <f aca="false">INDEX(Вводные!$D$13:$F$64,MATCH($A35,Вводные!$A$13:$A$64,0),MATCH(GF$3,Вводные!$D$11:$F$11,0))*(1+IF(GF$4=$A35,Вводные!$D$5*INDEX(Вводные!$G$13:$G$64,MATCH($A35,Вводные!$A$13:$A$64,0)),0))</f>
        <v>202000</v>
      </c>
      <c r="GG35" s="14" t="n">
        <f aca="false">INDEX(Вводные!$D$13:$F$64,MATCH($A35,Вводные!$A$13:$A$64,0),MATCH(GG$3,Вводные!$D$11:$F$11,0))*(1+IF(GG$4=$A35,Вводные!$D$5*INDEX(Вводные!$G$13:$G$64,MATCH($A35,Вводные!$A$13:$A$64,0)),0))</f>
        <v>200000</v>
      </c>
      <c r="GH35" s="14" t="n">
        <f aca="false">INDEX(Вводные!$D$13:$F$64,MATCH($A35,Вводные!$A$13:$A$64,0),MATCH(GH$3,Вводные!$D$11:$F$11,0))*(1+IF(GH$4=$A35,Вводные!$D$5*INDEX(Вводные!$G$13:$G$64,MATCH($A35,Вводные!$A$13:$A$64,0)),0))</f>
        <v>200000</v>
      </c>
      <c r="GI35" s="14" t="n">
        <f aca="false">INDEX(Вводные!$D$13:$F$64,MATCH($A35,Вводные!$A$13:$A$64,0),MATCH(GI$3,Вводные!$D$11:$F$11,0))*(1+IF(GI$4=$A35,Вводные!$D$5*INDEX(Вводные!$G$13:$G$64,MATCH($A35,Вводные!$A$13:$A$64,0)),0))</f>
        <v>200000</v>
      </c>
      <c r="GJ35" s="14" t="n">
        <f aca="false">INDEX(Вводные!$D$13:$F$64,MATCH($A35,Вводные!$A$13:$A$64,0),MATCH(GJ$3,Вводные!$D$11:$F$11,0))*(1+IF(GJ$4=$A35,Вводные!$D$5*INDEX(Вводные!$G$13:$G$64,MATCH($A35,Вводные!$A$13:$A$64,0)),0))</f>
        <v>200000</v>
      </c>
      <c r="GK35" s="14" t="n">
        <f aca="false">INDEX(Вводные!$D$13:$F$64,MATCH($A35,Вводные!$A$13:$A$64,0),MATCH(GK$3,Вводные!$D$11:$F$11,0))*(1+IF(GK$4=$A35,Вводные!$D$5*INDEX(Вводные!$G$13:$G$64,MATCH($A35,Вводные!$A$13:$A$64,0)),0))</f>
        <v>200000</v>
      </c>
      <c r="GL35" s="14" t="n">
        <f aca="false">INDEX(Вводные!$D$13:$F$64,MATCH($A35,Вводные!$A$13:$A$64,0),MATCH(GL$3,Вводные!$D$11:$F$11,0))*(1+IF(GL$4=$A35,Вводные!$D$5*INDEX(Вводные!$G$13:$G$64,MATCH($A35,Вводные!$A$13:$A$64,0)),0))</f>
        <v>200000</v>
      </c>
      <c r="GM35" s="14" t="n">
        <f aca="false">INDEX(Вводные!$D$13:$F$64,MATCH($A35,Вводные!$A$13:$A$64,0),MATCH(GM$3,Вводные!$D$11:$F$11,0))*(1+IF(GM$4=$A35,Вводные!$D$5*INDEX(Вводные!$G$13:$G$64,MATCH($A35,Вводные!$A$13:$A$64,0)),0))</f>
        <v>200000</v>
      </c>
      <c r="GN35" s="14" t="n">
        <f aca="false">INDEX(Вводные!$D$13:$F$64,MATCH($A35,Вводные!$A$13:$A$64,0),MATCH(GN$3,Вводные!$D$11:$F$11,0))*(1+IF(GN$4=$A35,Вводные!$D$5*INDEX(Вводные!$G$13:$G$64,MATCH($A35,Вводные!$A$13:$A$64,0)),0))</f>
        <v>200000</v>
      </c>
      <c r="GO35" s="14" t="n">
        <f aca="false">INDEX(Вводные!$D$13:$F$64,MATCH($A35,Вводные!$A$13:$A$64,0),MATCH(GO$3,Вводные!$D$11:$F$11,0))*(1+IF(GO$4=$A35,Вводные!$D$5*INDEX(Вводные!$G$13:$G$64,MATCH($A35,Вводные!$A$13:$A$64,0)),0))</f>
        <v>200000</v>
      </c>
      <c r="GP35" s="14" t="n">
        <f aca="false">INDEX(Вводные!$D$13:$F$64,MATCH($A35,Вводные!$A$13:$A$64,0),MATCH(GP$3,Вводные!$D$11:$F$11,0))*(1+IF(GP$4=$A35,Вводные!$D$5*INDEX(Вводные!$G$13:$G$64,MATCH($A35,Вводные!$A$13:$A$64,0)),0))</f>
        <v>200000</v>
      </c>
      <c r="GQ35" s="14" t="n">
        <f aca="false">INDEX(Вводные!$D$13:$F$64,MATCH($A35,Вводные!$A$13:$A$64,0),MATCH(GQ$3,Вводные!$D$11:$F$11,0))*(1+IF(GQ$4=$A35,Вводные!$D$5*INDEX(Вводные!$G$13:$G$64,MATCH($A35,Вводные!$A$13:$A$64,0)),0))</f>
        <v>200000</v>
      </c>
      <c r="GR35" s="14" t="n">
        <f aca="false">INDEX(Вводные!$D$13:$F$64,MATCH($A35,Вводные!$A$13:$A$64,0),MATCH(GR$3,Вводные!$D$11:$F$11,0))*(1+IF(GR$4=$A35,Вводные!$D$5*INDEX(Вводные!$G$13:$G$64,MATCH($A35,Вводные!$A$13:$A$64,0)),0))</f>
        <v>200000</v>
      </c>
      <c r="GS35" s="14" t="n">
        <f aca="false">INDEX(Вводные!$D$13:$F$64,MATCH($A35,Вводные!$A$13:$A$64,0),MATCH(GS$3,Вводные!$D$11:$F$11,0))*(1+IF(GS$4=$A35,Вводные!$D$5*INDEX(Вводные!$G$13:$G$64,MATCH($A35,Вводные!$A$13:$A$64,0)),0))</f>
        <v>200000</v>
      </c>
      <c r="GT35" s="14" t="n">
        <f aca="false">INDEX(Вводные!$D$13:$F$64,MATCH($A35,Вводные!$A$13:$A$64,0),MATCH(GT$3,Вводные!$D$11:$F$11,0))*(1+IF(GT$4=$A35,Вводные!$D$5*INDEX(Вводные!$G$13:$G$64,MATCH($A35,Вводные!$A$13:$A$64,0)),0))</f>
        <v>200000</v>
      </c>
      <c r="GU35" s="14" t="n">
        <f aca="false">INDEX(Вводные!$D$13:$F$64,MATCH($A35,Вводные!$A$13:$A$64,0),MATCH(GU$3,Вводные!$D$11:$F$11,0))*(1+IF(GU$4=$A35,Вводные!$D$5*INDEX(Вводные!$G$13:$G$64,MATCH($A35,Вводные!$A$13:$A$64,0)),0))</f>
        <v>200000</v>
      </c>
      <c r="GV35" s="14" t="n">
        <f aca="false">INDEX(Вводные!$D$13:$F$64,MATCH($A35,Вводные!$A$13:$A$64,0),MATCH(GV$3,Вводные!$D$11:$F$11,0))*(1+IF(GV$4=$A35,Вводные!$D$5*INDEX(Вводные!$G$13:$G$64,MATCH($A35,Вводные!$A$13:$A$64,0)),0))</f>
        <v>200000</v>
      </c>
      <c r="GW35" s="14" t="n">
        <f aca="false">INDEX(Вводные!$D$13:$F$64,MATCH($A35,Вводные!$A$13:$A$64,0),MATCH(GW$3,Вводные!$D$11:$F$11,0))*(1+IF(GW$4=$A35,Вводные!$D$5*INDEX(Вводные!$G$13:$G$64,MATCH($A35,Вводные!$A$13:$A$64,0)),0))</f>
        <v>200000</v>
      </c>
      <c r="GX35" s="14" t="n">
        <f aca="false">INDEX(Вводные!$D$13:$F$64,MATCH($A35,Вводные!$A$13:$A$64,0),MATCH(GX$3,Вводные!$D$11:$F$11,0))*(1+IF(GX$4=$A35,Вводные!$D$5*INDEX(Вводные!$G$13:$G$64,MATCH($A35,Вводные!$A$13:$A$64,0)),0))</f>
        <v>200000</v>
      </c>
      <c r="GY35" s="14" t="n">
        <f aca="false">INDEX(Вводные!$D$13:$F$64,MATCH($A35,Вводные!$A$13:$A$64,0),MATCH(GY$3,Вводные!$D$11:$F$11,0))*(1+IF(GY$4=$A35,Вводные!$D$5*INDEX(Вводные!$G$13:$G$64,MATCH($A35,Вводные!$A$13:$A$64,0)),0))</f>
        <v>200000</v>
      </c>
      <c r="GZ35" s="14" t="n">
        <f aca="false">INDEX(Вводные!$D$13:$F$64,MATCH($A35,Вводные!$A$13:$A$64,0),MATCH(GZ$3,Вводные!$D$11:$F$11,0))*(1+IF(GZ$4=$A35,Вводные!$D$5*INDEX(Вводные!$G$13:$G$64,MATCH($A35,Вводные!$A$13:$A$64,0)),0))</f>
        <v>200000</v>
      </c>
      <c r="HA35" s="14" t="n">
        <f aca="false">INDEX(Вводные!$D$13:$F$64,MATCH($A35,Вводные!$A$13:$A$64,0),MATCH(HA$3,Вводные!$D$11:$F$11,0))*(1+IF(HA$4=$A35,Вводные!$D$5*INDEX(Вводные!$G$13:$G$64,MATCH($A35,Вводные!$A$13:$A$64,0)),0))</f>
        <v>200000</v>
      </c>
      <c r="HB35" s="14" t="n">
        <f aca="false">INDEX(Вводные!$D$13:$F$64,MATCH($A35,Вводные!$A$13:$A$64,0),MATCH(HB$3,Вводные!$D$11:$F$11,0))*(1+IF(HB$4=$A35,Вводные!$D$5*INDEX(Вводные!$G$13:$G$64,MATCH($A35,Вводные!$A$13:$A$64,0)),0))</f>
        <v>200000</v>
      </c>
      <c r="HC35" s="14" t="n">
        <f aca="false">INDEX(Вводные!$D$13:$F$64,MATCH($A35,Вводные!$A$13:$A$64,0),MATCH(HC$3,Вводные!$D$11:$F$11,0))*(1+IF(HC$4=$A35,Вводные!$D$5*INDEX(Вводные!$G$13:$G$64,MATCH($A35,Вводные!$A$13:$A$64,0)),0))</f>
        <v>200000</v>
      </c>
      <c r="HD35" s="14" t="n">
        <f aca="false">INDEX(Вводные!$D$13:$F$64,MATCH($A35,Вводные!$A$13:$A$64,0),MATCH(HD$3,Вводные!$D$11:$F$11,0))*(1+IF(HD$4=$A35,Вводные!$D$5*INDEX(Вводные!$G$13:$G$64,MATCH($A35,Вводные!$A$13:$A$64,0)),0))</f>
        <v>200000</v>
      </c>
      <c r="HE35" s="14" t="n">
        <f aca="false">INDEX(Вводные!$D$13:$F$64,MATCH($A35,Вводные!$A$13:$A$64,0),MATCH(HE$3,Вводные!$D$11:$F$11,0))*(1+IF(HE$4=$A35,Вводные!$D$5*INDEX(Вводные!$G$13:$G$64,MATCH($A35,Вводные!$A$13:$A$64,0)),0))</f>
        <v>200000</v>
      </c>
      <c r="HF35" s="14" t="n">
        <f aca="false">INDEX(Вводные!$D$13:$F$64,MATCH($A35,Вводные!$A$13:$A$64,0),MATCH(HF$3,Вводные!$D$11:$F$11,0))*(1+IF(HF$4=$A35,Вводные!$D$5*INDEX(Вводные!$G$13:$G$64,MATCH($A35,Вводные!$A$13:$A$64,0)),0))</f>
        <v>200000</v>
      </c>
      <c r="HG35" s="14" t="n">
        <f aca="false">INDEX(Вводные!$D$13:$F$64,MATCH($A35,Вводные!$A$13:$A$64,0),MATCH(HG$3,Вводные!$D$11:$F$11,0))*(1+IF(HG$4=$A35,Вводные!$D$5*INDEX(Вводные!$G$13:$G$64,MATCH($A35,Вводные!$A$13:$A$64,0)),0))</f>
        <v>200000</v>
      </c>
      <c r="HH35" s="14" t="n">
        <f aca="false">INDEX(Вводные!$D$13:$F$64,MATCH($A35,Вводные!$A$13:$A$64,0),MATCH(HH$3,Вводные!$D$11:$F$11,0))*(1+IF(HH$4=$A35,Вводные!$D$5*INDEX(Вводные!$G$13:$G$64,MATCH($A35,Вводные!$A$13:$A$64,0)),0))</f>
        <v>200000</v>
      </c>
      <c r="HI35" s="14" t="n">
        <f aca="false">INDEX(Вводные!$D$13:$F$64,MATCH($A35,Вводные!$A$13:$A$64,0),MATCH(HI$3,Вводные!$D$11:$F$11,0))*(1+IF(HI$4=$A35,Вводные!$D$5*INDEX(Вводные!$G$13:$G$64,MATCH($A35,Вводные!$A$13:$A$64,0)),0))</f>
        <v>200000</v>
      </c>
      <c r="HJ35" s="14" t="n">
        <f aca="false">INDEX(Вводные!$D$13:$F$64,MATCH($A35,Вводные!$A$13:$A$64,0),MATCH(HJ$3,Вводные!$D$11:$F$11,0))*(1+IF(HJ$4=$A35,Вводные!$D$5*INDEX(Вводные!$G$13:$G$64,MATCH($A35,Вводные!$A$13:$A$64,0)),0))</f>
        <v>200000</v>
      </c>
      <c r="HK35" s="14" t="n">
        <f aca="false">INDEX(Вводные!$D$13:$F$64,MATCH($A35,Вводные!$A$13:$A$64,0),MATCH(HK$3,Вводные!$D$11:$F$11,0))*(1+IF(HK$4=$A35,Вводные!$D$5*INDEX(Вводные!$G$13:$G$64,MATCH($A35,Вводные!$A$13:$A$64,0)),0))</f>
        <v>200000</v>
      </c>
      <c r="HL35" s="14" t="n">
        <f aca="false">INDEX(Вводные!$D$13:$F$64,MATCH($A35,Вводные!$A$13:$A$64,0),MATCH(HL$3,Вводные!$D$11:$F$11,0))*(1+IF(HL$4=$A35,Вводные!$D$5*INDEX(Вводные!$G$13:$G$64,MATCH($A35,Вводные!$A$13:$A$64,0)),0))</f>
        <v>25000000</v>
      </c>
      <c r="HM35" s="14" t="n">
        <f aca="false">INDEX(Вводные!$D$13:$F$64,MATCH($A35,Вводные!$A$13:$A$64,0),MATCH(HM$3,Вводные!$D$11:$F$11,0))*(1+IF(HM$4=$A35,Вводные!$D$5*INDEX(Вводные!$G$13:$G$64,MATCH($A35,Вводные!$A$13:$A$64,0)),0))</f>
        <v>25000000</v>
      </c>
      <c r="HN35" s="14" t="n">
        <f aca="false">INDEX(Вводные!$D$13:$F$64,MATCH($A35,Вводные!$A$13:$A$64,0),MATCH(HN$3,Вводные!$D$11:$F$11,0))*(1+IF(HN$4=$A35,Вводные!$D$5*INDEX(Вводные!$G$13:$G$64,MATCH($A35,Вводные!$A$13:$A$64,0)),0))</f>
        <v>25000000</v>
      </c>
      <c r="HO35" s="14" t="n">
        <f aca="false">INDEX(Вводные!$D$13:$F$64,MATCH($A35,Вводные!$A$13:$A$64,0),MATCH(HO$3,Вводные!$D$11:$F$11,0))*(1+IF(HO$4=$A35,Вводные!$D$5*INDEX(Вводные!$G$13:$G$64,MATCH($A35,Вводные!$A$13:$A$64,0)),0))</f>
        <v>25000000</v>
      </c>
      <c r="HP35" s="14" t="n">
        <f aca="false">INDEX(Вводные!$D$13:$F$64,MATCH($A35,Вводные!$A$13:$A$64,0),MATCH(HP$3,Вводные!$D$11:$F$11,0))*(1+IF(HP$4=$A35,Вводные!$D$5*INDEX(Вводные!$G$13:$G$64,MATCH($A35,Вводные!$A$13:$A$64,0)),0))</f>
        <v>25000000</v>
      </c>
      <c r="HQ35" s="14" t="n">
        <f aca="false">INDEX(Вводные!$D$13:$F$64,MATCH($A35,Вводные!$A$13:$A$64,0),MATCH(HQ$3,Вводные!$D$11:$F$11,0))*(1+IF(HQ$4=$A35,Вводные!$D$5*INDEX(Вводные!$G$13:$G$64,MATCH($A35,Вводные!$A$13:$A$64,0)),0))</f>
        <v>25000000</v>
      </c>
      <c r="HR35" s="14" t="n">
        <f aca="false">INDEX(Вводные!$D$13:$F$64,MATCH($A35,Вводные!$A$13:$A$64,0),MATCH(HR$3,Вводные!$D$11:$F$11,0))*(1+IF(HR$4=$A35,Вводные!$D$5*INDEX(Вводные!$G$13:$G$64,MATCH($A35,Вводные!$A$13:$A$64,0)),0))</f>
        <v>25000000</v>
      </c>
      <c r="HS35" s="14" t="n">
        <f aca="false">INDEX(Вводные!$D$13:$F$64,MATCH($A35,Вводные!$A$13:$A$64,0),MATCH(HS$3,Вводные!$D$11:$F$11,0))*(1+IF(HS$4=$A35,Вводные!$D$5*INDEX(Вводные!$G$13:$G$64,MATCH($A35,Вводные!$A$13:$A$64,0)),0))</f>
        <v>25000000</v>
      </c>
      <c r="HT35" s="14" t="n">
        <f aca="false">INDEX(Вводные!$D$13:$F$64,MATCH($A35,Вводные!$A$13:$A$64,0),MATCH(HT$3,Вводные!$D$11:$F$11,0))*(1+IF(HT$4=$A35,Вводные!$D$5*INDEX(Вводные!$G$13:$G$64,MATCH($A35,Вводные!$A$13:$A$64,0)),0))</f>
        <v>25000000</v>
      </c>
      <c r="HU35" s="14" t="n">
        <f aca="false">INDEX(Вводные!$D$13:$F$64,MATCH($A35,Вводные!$A$13:$A$64,0),MATCH(HU$3,Вводные!$D$11:$F$11,0))*(1+IF(HU$4=$A35,Вводные!$D$5*INDEX(Вводные!$G$13:$G$64,MATCH($A35,Вводные!$A$13:$A$64,0)),0))</f>
        <v>25000000</v>
      </c>
      <c r="HV35" s="14" t="n">
        <f aca="false">INDEX(Вводные!$D$13:$F$64,MATCH($A35,Вводные!$A$13:$A$64,0),MATCH(HV$3,Вводные!$D$11:$F$11,0))*(1+IF(HV$4=$A35,Вводные!$D$5*INDEX(Вводные!$G$13:$G$64,MATCH($A35,Вводные!$A$13:$A$64,0)),0))</f>
        <v>25250000</v>
      </c>
      <c r="HW35" s="14" t="n">
        <f aca="false">INDEX(Вводные!$D$13:$F$64,MATCH($A35,Вводные!$A$13:$A$64,0),MATCH(HW$3,Вводные!$D$11:$F$11,0))*(1+IF(HW$4=$A35,Вводные!$D$5*INDEX(Вводные!$G$13:$G$64,MATCH($A35,Вводные!$A$13:$A$64,0)),0))</f>
        <v>25000000</v>
      </c>
      <c r="HX35" s="14" t="n">
        <f aca="false">INDEX(Вводные!$D$13:$F$64,MATCH($A35,Вводные!$A$13:$A$64,0),MATCH(HX$3,Вводные!$D$11:$F$11,0))*(1+IF(HX$4=$A35,Вводные!$D$5*INDEX(Вводные!$G$13:$G$64,MATCH($A35,Вводные!$A$13:$A$64,0)),0))</f>
        <v>25000000</v>
      </c>
      <c r="HY35" s="14" t="n">
        <f aca="false">INDEX(Вводные!$D$13:$F$64,MATCH($A35,Вводные!$A$13:$A$64,0),MATCH(HY$3,Вводные!$D$11:$F$11,0))*(1+IF(HY$4=$A35,Вводные!$D$5*INDEX(Вводные!$G$13:$G$64,MATCH($A35,Вводные!$A$13:$A$64,0)),0))</f>
        <v>25000000</v>
      </c>
      <c r="HZ35" s="14" t="n">
        <f aca="false">INDEX(Вводные!$D$13:$F$64,MATCH($A35,Вводные!$A$13:$A$64,0),MATCH(HZ$3,Вводные!$D$11:$F$11,0))*(1+IF(HZ$4=$A35,Вводные!$D$5*INDEX(Вводные!$G$13:$G$64,MATCH($A35,Вводные!$A$13:$A$64,0)),0))</f>
        <v>25000000</v>
      </c>
      <c r="IA35" s="14" t="n">
        <f aca="false">INDEX(Вводные!$D$13:$F$64,MATCH($A35,Вводные!$A$13:$A$64,0),MATCH(IA$3,Вводные!$D$11:$F$11,0))*(1+IF(IA$4=$A35,Вводные!$D$5*INDEX(Вводные!$G$13:$G$64,MATCH($A35,Вводные!$A$13:$A$64,0)),0))</f>
        <v>25000000</v>
      </c>
      <c r="IB35" s="14" t="n">
        <f aca="false">INDEX(Вводные!$D$13:$F$64,MATCH($A35,Вводные!$A$13:$A$64,0),MATCH(IB$3,Вводные!$D$11:$F$11,0))*(1+IF(IB$4=$A35,Вводные!$D$5*INDEX(Вводные!$G$13:$G$64,MATCH($A35,Вводные!$A$13:$A$64,0)),0))</f>
        <v>25000000</v>
      </c>
      <c r="IC35" s="14" t="n">
        <f aca="false">INDEX(Вводные!$D$13:$F$64,MATCH($A35,Вводные!$A$13:$A$64,0),MATCH(IC$3,Вводные!$D$11:$F$11,0))*(1+IF(IC$4=$A35,Вводные!$D$5*INDEX(Вводные!$G$13:$G$64,MATCH($A35,Вводные!$A$13:$A$64,0)),0))</f>
        <v>25000000</v>
      </c>
      <c r="ID35" s="14" t="n">
        <f aca="false">INDEX(Вводные!$D$13:$F$64,MATCH($A35,Вводные!$A$13:$A$64,0),MATCH(ID$3,Вводные!$D$11:$F$11,0))*(1+IF(ID$4=$A35,Вводные!$D$5*INDEX(Вводные!$G$13:$G$64,MATCH($A35,Вводные!$A$13:$A$64,0)),0))</f>
        <v>25000000</v>
      </c>
      <c r="IE35" s="14" t="n">
        <f aca="false">INDEX(Вводные!$D$13:$F$64,MATCH($A35,Вводные!$A$13:$A$64,0),MATCH(IE$3,Вводные!$D$11:$F$11,0))*(1+IF(IE$4=$A35,Вводные!$D$5*INDEX(Вводные!$G$13:$G$64,MATCH($A35,Вводные!$A$13:$A$64,0)),0))</f>
        <v>25000000</v>
      </c>
      <c r="IF35" s="14" t="n">
        <f aca="false">INDEX(Вводные!$D$13:$F$64,MATCH($A35,Вводные!$A$13:$A$64,0),MATCH(IF$3,Вводные!$D$11:$F$11,0))*(1+IF(IF$4=$A35,Вводные!$D$5*INDEX(Вводные!$G$13:$G$64,MATCH($A35,Вводные!$A$13:$A$64,0)),0))</f>
        <v>25000000</v>
      </c>
      <c r="IG35" s="14" t="n">
        <f aca="false">INDEX(Вводные!$D$13:$F$64,MATCH($A35,Вводные!$A$13:$A$64,0),MATCH(IG$3,Вводные!$D$11:$F$11,0))*(1+IF(IG$4=$A35,Вводные!$D$5*INDEX(Вводные!$G$13:$G$64,MATCH($A35,Вводные!$A$13:$A$64,0)),0))</f>
        <v>25000000</v>
      </c>
      <c r="IH35" s="14" t="n">
        <f aca="false">INDEX(Вводные!$D$13:$F$64,MATCH($A35,Вводные!$A$13:$A$64,0),MATCH(IH$3,Вводные!$D$11:$F$11,0))*(1+IF(IH$4=$A35,Вводные!$D$5*INDEX(Вводные!$G$13:$G$64,MATCH($A35,Вводные!$A$13:$A$64,0)),0))</f>
        <v>25000000</v>
      </c>
      <c r="II35" s="14" t="n">
        <f aca="false">INDEX(Вводные!$D$13:$F$64,MATCH($A35,Вводные!$A$13:$A$64,0),MATCH(II$3,Вводные!$D$11:$F$11,0))*(1+IF(II$4=$A35,Вводные!$D$5*INDEX(Вводные!$G$13:$G$64,MATCH($A35,Вводные!$A$13:$A$64,0)),0))</f>
        <v>25000000</v>
      </c>
      <c r="IJ35" s="14" t="n">
        <f aca="false">INDEX(Вводные!$D$13:$F$64,MATCH($A35,Вводные!$A$13:$A$64,0),MATCH(IJ$3,Вводные!$D$11:$F$11,0))*(1+IF(IJ$4=$A35,Вводные!$D$5*INDEX(Вводные!$G$13:$G$64,MATCH($A35,Вводные!$A$13:$A$64,0)),0))</f>
        <v>25000000</v>
      </c>
      <c r="IK35" s="14" t="n">
        <f aca="false">INDEX(Вводные!$D$13:$F$64,MATCH($A35,Вводные!$A$13:$A$64,0),MATCH(IK$3,Вводные!$D$11:$F$11,0))*(1+IF(IK$4=$A35,Вводные!$D$5*INDEX(Вводные!$G$13:$G$64,MATCH($A35,Вводные!$A$13:$A$64,0)),0))</f>
        <v>25000000</v>
      </c>
      <c r="IL35" s="14" t="n">
        <f aca="false">INDEX(Вводные!$D$13:$F$64,MATCH($A35,Вводные!$A$13:$A$64,0),MATCH(IL$3,Вводные!$D$11:$F$11,0))*(1+IF(IL$4=$A35,Вводные!$D$5*INDEX(Вводные!$G$13:$G$64,MATCH($A35,Вводные!$A$13:$A$64,0)),0))</f>
        <v>25000000</v>
      </c>
      <c r="IM35" s="14" t="n">
        <f aca="false">INDEX(Вводные!$D$13:$F$64,MATCH($A35,Вводные!$A$13:$A$64,0),MATCH(IM$3,Вводные!$D$11:$F$11,0))*(1+IF(IM$4=$A35,Вводные!$D$5*INDEX(Вводные!$G$13:$G$64,MATCH($A35,Вводные!$A$13:$A$64,0)),0))</f>
        <v>25000000</v>
      </c>
      <c r="IN35" s="14" t="n">
        <f aca="false">INDEX(Вводные!$D$13:$F$64,MATCH($A35,Вводные!$A$13:$A$64,0),MATCH(IN$3,Вводные!$D$11:$F$11,0))*(1+IF(IN$4=$A35,Вводные!$D$5*INDEX(Вводные!$G$13:$G$64,MATCH($A35,Вводные!$A$13:$A$64,0)),0))</f>
        <v>25000000</v>
      </c>
      <c r="IO35" s="14" t="n">
        <f aca="false">INDEX(Вводные!$D$13:$F$64,MATCH($A35,Вводные!$A$13:$A$64,0),MATCH(IO$3,Вводные!$D$11:$F$11,0))*(1+IF(IO$4=$A35,Вводные!$D$5*INDEX(Вводные!$G$13:$G$64,MATCH($A35,Вводные!$A$13:$A$64,0)),0))</f>
        <v>25000000</v>
      </c>
      <c r="IP35" s="14" t="n">
        <f aca="false">INDEX(Вводные!$D$13:$F$64,MATCH($A35,Вводные!$A$13:$A$64,0),MATCH(IP$3,Вводные!$D$11:$F$11,0))*(1+IF(IP$4=$A35,Вводные!$D$5*INDEX(Вводные!$G$13:$G$64,MATCH($A35,Вводные!$A$13:$A$64,0)),0))</f>
        <v>25000000</v>
      </c>
      <c r="IQ35" s="14" t="n">
        <f aca="false">INDEX(Вводные!$D$13:$F$64,MATCH($A35,Вводные!$A$13:$A$64,0),MATCH(IQ$3,Вводные!$D$11:$F$11,0))*(1+IF(IQ$4=$A35,Вводные!$D$5*INDEX(Вводные!$G$13:$G$64,MATCH($A35,Вводные!$A$13:$A$64,0)),0))</f>
        <v>25000000</v>
      </c>
      <c r="IR35" s="14" t="n">
        <f aca="false">INDEX(Вводные!$D$13:$F$64,MATCH($A35,Вводные!$A$13:$A$64,0),MATCH(IR$3,Вводные!$D$11:$F$11,0))*(1+IF(IR$4=$A35,Вводные!$D$5*INDEX(Вводные!$G$13:$G$64,MATCH($A35,Вводные!$A$13:$A$64,0)),0))</f>
        <v>25000000</v>
      </c>
      <c r="IS35" s="14" t="n">
        <f aca="false">INDEX(Вводные!$D$13:$F$64,MATCH($A35,Вводные!$A$13:$A$64,0),MATCH(IS$3,Вводные!$D$11:$F$11,0))*(1+IF(IS$4=$A35,Вводные!$D$5*INDEX(Вводные!$G$13:$G$64,MATCH($A35,Вводные!$A$13:$A$64,0)),0))</f>
        <v>25000000</v>
      </c>
      <c r="IT35" s="14" t="n">
        <f aca="false">INDEX(Вводные!$D$13:$F$64,MATCH($A35,Вводные!$A$13:$A$64,0),MATCH(IT$3,Вводные!$D$11:$F$11,0))*(1+IF(IT$4=$A35,Вводные!$D$5*INDEX(Вводные!$G$13:$G$64,MATCH($A35,Вводные!$A$13:$A$64,0)),0))</f>
        <v>25000000</v>
      </c>
      <c r="IU35" s="14" t="n">
        <f aca="false">INDEX(Вводные!$D$13:$F$64,MATCH($A35,Вводные!$A$13:$A$64,0),MATCH(IU$3,Вводные!$D$11:$F$11,0))*(1+IF(IU$4=$A35,Вводные!$D$5*INDEX(Вводные!$G$13:$G$64,MATCH($A35,Вводные!$A$13:$A$64,0)),0))</f>
        <v>25000000</v>
      </c>
      <c r="IV35" s="14" t="n">
        <f aca="false">INDEX(Вводные!$D$13:$F$64,MATCH($A35,Вводные!$A$13:$A$64,0),MATCH(IV$3,Вводные!$D$11:$F$11,0))*(1+IF(IV$4=$A35,Вводные!$D$5*INDEX(Вводные!$G$13:$G$64,MATCH($A35,Вводные!$A$13:$A$64,0)),0))</f>
        <v>25000000</v>
      </c>
      <c r="IW35" s="14" t="n">
        <f aca="false">INDEX(Вводные!$D$13:$F$64,MATCH($A35,Вводные!$A$13:$A$64,0),MATCH(IW$3,Вводные!$D$11:$F$11,0))*(1+IF(IW$4=$A35,Вводные!$D$5*INDEX(Вводные!$G$13:$G$64,MATCH($A35,Вводные!$A$13:$A$64,0)),0))</f>
        <v>25000000</v>
      </c>
      <c r="IX35" s="14" t="n">
        <f aca="false">INDEX(Вводные!$D$13:$F$64,MATCH($A35,Вводные!$A$13:$A$64,0),MATCH(IX$3,Вводные!$D$11:$F$11,0))*(1+IF(IX$4=$A35,Вводные!$D$5*INDEX(Вводные!$G$13:$G$64,MATCH($A35,Вводные!$A$13:$A$64,0)),0))</f>
        <v>25000000</v>
      </c>
      <c r="IY35" s="14" t="n">
        <f aca="false">INDEX(Вводные!$D$13:$F$64,MATCH($A35,Вводные!$A$13:$A$64,0),MATCH(IY$3,Вводные!$D$11:$F$11,0))*(1+IF(IY$4=$A35,Вводные!$D$5*INDEX(Вводные!$G$13:$G$64,MATCH($A35,Вводные!$A$13:$A$64,0)),0))</f>
        <v>25000000</v>
      </c>
      <c r="IZ35" s="14" t="n">
        <f aca="false">INDEX(Вводные!$D$13:$F$64,MATCH($A35,Вводные!$A$13:$A$64,0),MATCH(IZ$3,Вводные!$D$11:$F$11,0))*(1+IF(IZ$4=$A35,Вводные!$D$5*INDEX(Вводные!$G$13:$G$64,MATCH($A35,Вводные!$A$13:$A$64,0)),0))</f>
        <v>25000000</v>
      </c>
      <c r="JA35" s="14" t="n">
        <f aca="false">INDEX(Вводные!$D$13:$F$64,MATCH($A35,Вводные!$A$13:$A$64,0),MATCH(JA$3,Вводные!$D$11:$F$11,0))*(1+IF(JA$4=$A35,Вводные!$D$5*INDEX(Вводные!$G$13:$G$64,MATCH($A35,Вводные!$A$13:$A$64,0)),0))</f>
        <v>25000000</v>
      </c>
    </row>
    <row r="36" customFormat="false" ht="15" hidden="false" customHeight="false" outlineLevel="0" collapsed="false">
      <c r="A36" s="13" t="s">
        <v>217</v>
      </c>
      <c r="B36" s="13" t="s">
        <v>218</v>
      </c>
      <c r="C36" s="13" t="s">
        <v>194</v>
      </c>
      <c r="D36" s="9" t="s">
        <v>36</v>
      </c>
      <c r="E36" s="32" t="n">
        <f aca="false">INDEX(Вводные!$D$13:$F$64,MATCH($A36,Вводные!$A$13:$A$64,0),MATCH(E$3,Вводные!$D$11:$F$11,0))*(1+IF(E$4=$A36,Вводные!$D$5*INDEX(Вводные!$G$13:$G$64,MATCH($A36,Вводные!$A$13:$A$64,0)),0))</f>
        <v>0.12</v>
      </c>
      <c r="F36" s="32" t="n">
        <f aca="false">INDEX(Вводные!$D$13:$F$64,MATCH($A36,Вводные!$A$13:$A$64,0),MATCH(F$3,Вводные!$D$11:$F$11,0))*(1+IF(F$4=$A36,Вводные!$D$5*INDEX(Вводные!$G$13:$G$64,MATCH($A36,Вводные!$A$13:$A$64,0)),0))</f>
        <v>0.08</v>
      </c>
      <c r="G36" s="32" t="n">
        <f aca="false">INDEX(Вводные!$D$13:$F$64,MATCH($A36,Вводные!$A$13:$A$64,0),MATCH(G$3,Вводные!$D$11:$F$11,0))*(1+IF(G$4=$A36,Вводные!$D$5*INDEX(Вводные!$G$13:$G$64,MATCH($A36,Вводные!$A$13:$A$64,0)),0))</f>
        <v>0.05</v>
      </c>
      <c r="H36" s="60"/>
      <c r="J36" s="32" t="n">
        <f aca="false">INDEX(Вводные!$D$13:$F$64,MATCH($A36,Вводные!$A$13:$A$64,0),MATCH(J$3,Вводные!$D$11:$F$11,0))*(1+IF(J$4=$A36,Вводные!$D$5*INDEX(Вводные!$G$13:$G$64,MATCH($A36,Вводные!$A$13:$A$64,0)),0))</f>
        <v>0.12</v>
      </c>
      <c r="K36" s="32" t="n">
        <f aca="false">INDEX(Вводные!$D$13:$F$64,MATCH($A36,Вводные!$A$13:$A$64,0),MATCH(K$3,Вводные!$D$11:$F$11,0))*(1+IF(K$4=$A36,Вводные!$D$5*INDEX(Вводные!$G$13:$G$64,MATCH($A36,Вводные!$A$13:$A$64,0)),0))</f>
        <v>0.12</v>
      </c>
      <c r="L36" s="32" t="n">
        <f aca="false">INDEX(Вводные!$D$13:$F$64,MATCH($A36,Вводные!$A$13:$A$64,0),MATCH(L$3,Вводные!$D$11:$F$11,0))*(1+IF(L$4=$A36,Вводные!$D$5*INDEX(Вводные!$G$13:$G$64,MATCH($A36,Вводные!$A$13:$A$64,0)),0))</f>
        <v>0.12</v>
      </c>
      <c r="M36" s="32" t="n">
        <f aca="false">INDEX(Вводные!$D$13:$F$64,MATCH($A36,Вводные!$A$13:$A$64,0),MATCH(M$3,Вводные!$D$11:$F$11,0))*(1+IF(M$4=$A36,Вводные!$D$5*INDEX(Вводные!$G$13:$G$64,MATCH($A36,Вводные!$A$13:$A$64,0)),0))</f>
        <v>0.12</v>
      </c>
      <c r="N36" s="32" t="n">
        <f aca="false">INDEX(Вводные!$D$13:$F$64,MATCH($A36,Вводные!$A$13:$A$64,0),MATCH(N$3,Вводные!$D$11:$F$11,0))*(1+IF(N$4=$A36,Вводные!$D$5*INDEX(Вводные!$G$13:$G$64,MATCH($A36,Вводные!$A$13:$A$64,0)),0))</f>
        <v>0.12</v>
      </c>
      <c r="O36" s="32" t="n">
        <f aca="false">INDEX(Вводные!$D$13:$F$64,MATCH($A36,Вводные!$A$13:$A$64,0),MATCH(O$3,Вводные!$D$11:$F$11,0))*(1+IF(O$4=$A36,Вводные!$D$5*INDEX(Вводные!$G$13:$G$64,MATCH($A36,Вводные!$A$13:$A$64,0)),0))</f>
        <v>0.12</v>
      </c>
      <c r="P36" s="32" t="n">
        <f aca="false">INDEX(Вводные!$D$13:$F$64,MATCH($A36,Вводные!$A$13:$A$64,0),MATCH(P$3,Вводные!$D$11:$F$11,0))*(1+IF(P$4=$A36,Вводные!$D$5*INDEX(Вводные!$G$13:$G$64,MATCH($A36,Вводные!$A$13:$A$64,0)),0))</f>
        <v>0.12</v>
      </c>
      <c r="Q36" s="32" t="n">
        <f aca="false">INDEX(Вводные!$D$13:$F$64,MATCH($A36,Вводные!$A$13:$A$64,0),MATCH(Q$3,Вводные!$D$11:$F$11,0))*(1+IF(Q$4=$A36,Вводные!$D$5*INDEX(Вводные!$G$13:$G$64,MATCH($A36,Вводные!$A$13:$A$64,0)),0))</f>
        <v>0.12</v>
      </c>
      <c r="R36" s="32" t="n">
        <f aca="false">INDEX(Вводные!$D$13:$F$64,MATCH($A36,Вводные!$A$13:$A$64,0),MATCH(R$3,Вводные!$D$11:$F$11,0))*(1+IF(R$4=$A36,Вводные!$D$5*INDEX(Вводные!$G$13:$G$64,MATCH($A36,Вводные!$A$13:$A$64,0)),0))</f>
        <v>0.12</v>
      </c>
      <c r="S36" s="32" t="n">
        <f aca="false">INDEX(Вводные!$D$13:$F$64,MATCH($A36,Вводные!$A$13:$A$64,0),MATCH(S$3,Вводные!$D$11:$F$11,0))*(1+IF(S$4=$A36,Вводные!$D$5*INDEX(Вводные!$G$13:$G$64,MATCH($A36,Вводные!$A$13:$A$64,0)),0))</f>
        <v>0.12</v>
      </c>
      <c r="T36" s="32" t="n">
        <f aca="false">INDEX(Вводные!$D$13:$F$64,MATCH($A36,Вводные!$A$13:$A$64,0),MATCH(T$3,Вводные!$D$11:$F$11,0))*(1+IF(T$4=$A36,Вводные!$D$5*INDEX(Вводные!$G$13:$G$64,MATCH($A36,Вводные!$A$13:$A$64,0)),0))</f>
        <v>0.12</v>
      </c>
      <c r="U36" s="32" t="n">
        <f aca="false">INDEX(Вводные!$D$13:$F$64,MATCH($A36,Вводные!$A$13:$A$64,0),MATCH(U$3,Вводные!$D$11:$F$11,0))*(1+IF(U$4=$A36,Вводные!$D$5*INDEX(Вводные!$G$13:$G$64,MATCH($A36,Вводные!$A$13:$A$64,0)),0))</f>
        <v>0.1212</v>
      </c>
      <c r="V36" s="32" t="n">
        <f aca="false">INDEX(Вводные!$D$13:$F$64,MATCH($A36,Вводные!$A$13:$A$64,0),MATCH(V$3,Вводные!$D$11:$F$11,0))*(1+IF(V$4=$A36,Вводные!$D$5*INDEX(Вводные!$G$13:$G$64,MATCH($A36,Вводные!$A$13:$A$64,0)),0))</f>
        <v>0.12</v>
      </c>
      <c r="W36" s="32" t="n">
        <f aca="false">INDEX(Вводные!$D$13:$F$64,MATCH($A36,Вводные!$A$13:$A$64,0),MATCH(W$3,Вводные!$D$11:$F$11,0))*(1+IF(W$4=$A36,Вводные!$D$5*INDEX(Вводные!$G$13:$G$64,MATCH($A36,Вводные!$A$13:$A$64,0)),0))</f>
        <v>0.12</v>
      </c>
      <c r="X36" s="32" t="n">
        <f aca="false">INDEX(Вводные!$D$13:$F$64,MATCH($A36,Вводные!$A$13:$A$64,0),MATCH(X$3,Вводные!$D$11:$F$11,0))*(1+IF(X$4=$A36,Вводные!$D$5*INDEX(Вводные!$G$13:$G$64,MATCH($A36,Вводные!$A$13:$A$64,0)),0))</f>
        <v>0.12</v>
      </c>
      <c r="Y36" s="32" t="n">
        <f aca="false">INDEX(Вводные!$D$13:$F$64,MATCH($A36,Вводные!$A$13:$A$64,0),MATCH(Y$3,Вводные!$D$11:$F$11,0))*(1+IF(Y$4=$A36,Вводные!$D$5*INDEX(Вводные!$G$13:$G$64,MATCH($A36,Вводные!$A$13:$A$64,0)),0))</f>
        <v>0.12</v>
      </c>
      <c r="Z36" s="32" t="n">
        <f aca="false">INDEX(Вводные!$D$13:$F$64,MATCH($A36,Вводные!$A$13:$A$64,0),MATCH(Z$3,Вводные!$D$11:$F$11,0))*(1+IF(Z$4=$A36,Вводные!$D$5*INDEX(Вводные!$G$13:$G$64,MATCH($A36,Вводные!$A$13:$A$64,0)),0))</f>
        <v>0.12</v>
      </c>
      <c r="AA36" s="32" t="n">
        <f aca="false">INDEX(Вводные!$D$13:$F$64,MATCH($A36,Вводные!$A$13:$A$64,0),MATCH(AA$3,Вводные!$D$11:$F$11,0))*(1+IF(AA$4=$A36,Вводные!$D$5*INDEX(Вводные!$G$13:$G$64,MATCH($A36,Вводные!$A$13:$A$64,0)),0))</f>
        <v>0.12</v>
      </c>
      <c r="AB36" s="32" t="n">
        <f aca="false">INDEX(Вводные!$D$13:$F$64,MATCH($A36,Вводные!$A$13:$A$64,0),MATCH(AB$3,Вводные!$D$11:$F$11,0))*(1+IF(AB$4=$A36,Вводные!$D$5*INDEX(Вводные!$G$13:$G$64,MATCH($A36,Вводные!$A$13:$A$64,0)),0))</f>
        <v>0.12</v>
      </c>
      <c r="AC36" s="32" t="n">
        <f aca="false">INDEX(Вводные!$D$13:$F$64,MATCH($A36,Вводные!$A$13:$A$64,0),MATCH(AC$3,Вводные!$D$11:$F$11,0))*(1+IF(AC$4=$A36,Вводные!$D$5*INDEX(Вводные!$G$13:$G$64,MATCH($A36,Вводные!$A$13:$A$64,0)),0))</f>
        <v>0.12</v>
      </c>
      <c r="AD36" s="32" t="n">
        <f aca="false">INDEX(Вводные!$D$13:$F$64,MATCH($A36,Вводные!$A$13:$A$64,0),MATCH(AD$3,Вводные!$D$11:$F$11,0))*(1+IF(AD$4=$A36,Вводные!$D$5*INDEX(Вводные!$G$13:$G$64,MATCH($A36,Вводные!$A$13:$A$64,0)),0))</f>
        <v>0.12</v>
      </c>
      <c r="AE36" s="32" t="n">
        <f aca="false">INDEX(Вводные!$D$13:$F$64,MATCH($A36,Вводные!$A$13:$A$64,0),MATCH(AE$3,Вводные!$D$11:$F$11,0))*(1+IF(AE$4=$A36,Вводные!$D$5*INDEX(Вводные!$G$13:$G$64,MATCH($A36,Вводные!$A$13:$A$64,0)),0))</f>
        <v>0.12</v>
      </c>
      <c r="AF36" s="32" t="n">
        <f aca="false">INDEX(Вводные!$D$13:$F$64,MATCH($A36,Вводные!$A$13:$A$64,0),MATCH(AF$3,Вводные!$D$11:$F$11,0))*(1+IF(AF$4=$A36,Вводные!$D$5*INDEX(Вводные!$G$13:$G$64,MATCH($A36,Вводные!$A$13:$A$64,0)),0))</f>
        <v>0.12</v>
      </c>
      <c r="AG36" s="32" t="n">
        <f aca="false">INDEX(Вводные!$D$13:$F$64,MATCH($A36,Вводные!$A$13:$A$64,0),MATCH(AG$3,Вводные!$D$11:$F$11,0))*(1+IF(AG$4=$A36,Вводные!$D$5*INDEX(Вводные!$G$13:$G$64,MATCH($A36,Вводные!$A$13:$A$64,0)),0))</f>
        <v>0.12</v>
      </c>
      <c r="AH36" s="32" t="n">
        <f aca="false">INDEX(Вводные!$D$13:$F$64,MATCH($A36,Вводные!$A$13:$A$64,0),MATCH(AH$3,Вводные!$D$11:$F$11,0))*(1+IF(AH$4=$A36,Вводные!$D$5*INDEX(Вводные!$G$13:$G$64,MATCH($A36,Вводные!$A$13:$A$64,0)),0))</f>
        <v>0.12</v>
      </c>
      <c r="AI36" s="32" t="n">
        <f aca="false">INDEX(Вводные!$D$13:$F$64,MATCH($A36,Вводные!$A$13:$A$64,0),MATCH(AI$3,Вводные!$D$11:$F$11,0))*(1+IF(AI$4=$A36,Вводные!$D$5*INDEX(Вводные!$G$13:$G$64,MATCH($A36,Вводные!$A$13:$A$64,0)),0))</f>
        <v>0.12</v>
      </c>
      <c r="AJ36" s="32" t="n">
        <f aca="false">INDEX(Вводные!$D$13:$F$64,MATCH($A36,Вводные!$A$13:$A$64,0),MATCH(AJ$3,Вводные!$D$11:$F$11,0))*(1+IF(AJ$4=$A36,Вводные!$D$5*INDEX(Вводные!$G$13:$G$64,MATCH($A36,Вводные!$A$13:$A$64,0)),0))</f>
        <v>0.12</v>
      </c>
      <c r="AK36" s="32" t="n">
        <f aca="false">INDEX(Вводные!$D$13:$F$64,MATCH($A36,Вводные!$A$13:$A$64,0),MATCH(AK$3,Вводные!$D$11:$F$11,0))*(1+IF(AK$4=$A36,Вводные!$D$5*INDEX(Вводные!$G$13:$G$64,MATCH($A36,Вводные!$A$13:$A$64,0)),0))</f>
        <v>0.12</v>
      </c>
      <c r="AL36" s="32" t="n">
        <f aca="false">INDEX(Вводные!$D$13:$F$64,MATCH($A36,Вводные!$A$13:$A$64,0),MATCH(AL$3,Вводные!$D$11:$F$11,0))*(1+IF(AL$4=$A36,Вводные!$D$5*INDEX(Вводные!$G$13:$G$64,MATCH($A36,Вводные!$A$13:$A$64,0)),0))</f>
        <v>0.12</v>
      </c>
      <c r="AM36" s="32" t="n">
        <f aca="false">INDEX(Вводные!$D$13:$F$64,MATCH($A36,Вводные!$A$13:$A$64,0),MATCH(AM$3,Вводные!$D$11:$F$11,0))*(1+IF(AM$4=$A36,Вводные!$D$5*INDEX(Вводные!$G$13:$G$64,MATCH($A36,Вводные!$A$13:$A$64,0)),0))</f>
        <v>0.12</v>
      </c>
      <c r="AN36" s="32" t="n">
        <f aca="false">INDEX(Вводные!$D$13:$F$64,MATCH($A36,Вводные!$A$13:$A$64,0),MATCH(AN$3,Вводные!$D$11:$F$11,0))*(1+IF(AN$4=$A36,Вводные!$D$5*INDEX(Вводные!$G$13:$G$64,MATCH($A36,Вводные!$A$13:$A$64,0)),0))</f>
        <v>0.12</v>
      </c>
      <c r="AO36" s="32" t="n">
        <f aca="false">INDEX(Вводные!$D$13:$F$64,MATCH($A36,Вводные!$A$13:$A$64,0),MATCH(AO$3,Вводные!$D$11:$F$11,0))*(1+IF(AO$4=$A36,Вводные!$D$5*INDEX(Вводные!$G$13:$G$64,MATCH($A36,Вводные!$A$13:$A$64,0)),0))</f>
        <v>0.12</v>
      </c>
      <c r="AP36" s="32" t="n">
        <f aca="false">INDEX(Вводные!$D$13:$F$64,MATCH($A36,Вводные!$A$13:$A$64,0),MATCH(AP$3,Вводные!$D$11:$F$11,0))*(1+IF(AP$4=$A36,Вводные!$D$5*INDEX(Вводные!$G$13:$G$64,MATCH($A36,Вводные!$A$13:$A$64,0)),0))</f>
        <v>0.12</v>
      </c>
      <c r="AQ36" s="32" t="n">
        <f aca="false">INDEX(Вводные!$D$13:$F$64,MATCH($A36,Вводные!$A$13:$A$64,0),MATCH(AQ$3,Вводные!$D$11:$F$11,0))*(1+IF(AQ$4=$A36,Вводные!$D$5*INDEX(Вводные!$G$13:$G$64,MATCH($A36,Вводные!$A$13:$A$64,0)),0))</f>
        <v>0.12</v>
      </c>
      <c r="AR36" s="32" t="n">
        <f aca="false">INDEX(Вводные!$D$13:$F$64,MATCH($A36,Вводные!$A$13:$A$64,0),MATCH(AR$3,Вводные!$D$11:$F$11,0))*(1+IF(AR$4=$A36,Вводные!$D$5*INDEX(Вводные!$G$13:$G$64,MATCH($A36,Вводные!$A$13:$A$64,0)),0))</f>
        <v>0.12</v>
      </c>
      <c r="AS36" s="32" t="n">
        <f aca="false">INDEX(Вводные!$D$13:$F$64,MATCH($A36,Вводные!$A$13:$A$64,0),MATCH(AS$3,Вводные!$D$11:$F$11,0))*(1+IF(AS$4=$A36,Вводные!$D$5*INDEX(Вводные!$G$13:$G$64,MATCH($A36,Вводные!$A$13:$A$64,0)),0))</f>
        <v>0.12</v>
      </c>
      <c r="AT36" s="32" t="n">
        <f aca="false">INDEX(Вводные!$D$13:$F$64,MATCH($A36,Вводные!$A$13:$A$64,0),MATCH(AT$3,Вводные!$D$11:$F$11,0))*(1+IF(AT$4=$A36,Вводные!$D$5*INDEX(Вводные!$G$13:$G$64,MATCH($A36,Вводные!$A$13:$A$64,0)),0))</f>
        <v>0.12</v>
      </c>
      <c r="AU36" s="32" t="n">
        <f aca="false">INDEX(Вводные!$D$13:$F$64,MATCH($A36,Вводные!$A$13:$A$64,0),MATCH(AU$3,Вводные!$D$11:$F$11,0))*(1+IF(AU$4=$A36,Вводные!$D$5*INDEX(Вводные!$G$13:$G$64,MATCH($A36,Вводные!$A$13:$A$64,0)),0))</f>
        <v>0.12</v>
      </c>
      <c r="AV36" s="32" t="n">
        <f aca="false">INDEX(Вводные!$D$13:$F$64,MATCH($A36,Вводные!$A$13:$A$64,0),MATCH(AV$3,Вводные!$D$11:$F$11,0))*(1+IF(AV$4=$A36,Вводные!$D$5*INDEX(Вводные!$G$13:$G$64,MATCH($A36,Вводные!$A$13:$A$64,0)),0))</f>
        <v>0.12</v>
      </c>
      <c r="AW36" s="32" t="n">
        <f aca="false">INDEX(Вводные!$D$13:$F$64,MATCH($A36,Вводные!$A$13:$A$64,0),MATCH(AW$3,Вводные!$D$11:$F$11,0))*(1+IF(AW$4=$A36,Вводные!$D$5*INDEX(Вводные!$G$13:$G$64,MATCH($A36,Вводные!$A$13:$A$64,0)),0))</f>
        <v>0.12</v>
      </c>
      <c r="AX36" s="32" t="n">
        <f aca="false">INDEX(Вводные!$D$13:$F$64,MATCH($A36,Вводные!$A$13:$A$64,0),MATCH(AX$3,Вводные!$D$11:$F$11,0))*(1+IF(AX$4=$A36,Вводные!$D$5*INDEX(Вводные!$G$13:$G$64,MATCH($A36,Вводные!$A$13:$A$64,0)),0))</f>
        <v>0.12</v>
      </c>
      <c r="AY36" s="32" t="n">
        <f aca="false">INDEX(Вводные!$D$13:$F$64,MATCH($A36,Вводные!$A$13:$A$64,0),MATCH(AY$3,Вводные!$D$11:$F$11,0))*(1+IF(AY$4=$A36,Вводные!$D$5*INDEX(Вводные!$G$13:$G$64,MATCH($A36,Вводные!$A$13:$A$64,0)),0))</f>
        <v>0.12</v>
      </c>
      <c r="AZ36" s="32" t="n">
        <f aca="false">INDEX(Вводные!$D$13:$F$64,MATCH($A36,Вводные!$A$13:$A$64,0),MATCH(AZ$3,Вводные!$D$11:$F$11,0))*(1+IF(AZ$4=$A36,Вводные!$D$5*INDEX(Вводные!$G$13:$G$64,MATCH($A36,Вводные!$A$13:$A$64,0)),0))</f>
        <v>0.08</v>
      </c>
      <c r="BA36" s="32" t="n">
        <f aca="false">INDEX(Вводные!$D$13:$F$64,MATCH($A36,Вводные!$A$13:$A$64,0),MATCH(BA$3,Вводные!$D$11:$F$11,0))*(1+IF(BA$4=$A36,Вводные!$D$5*INDEX(Вводные!$G$13:$G$64,MATCH($A36,Вводные!$A$13:$A$64,0)),0))</f>
        <v>0.08</v>
      </c>
      <c r="BB36" s="32" t="n">
        <f aca="false">INDEX(Вводные!$D$13:$F$64,MATCH($A36,Вводные!$A$13:$A$64,0),MATCH(BB$3,Вводные!$D$11:$F$11,0))*(1+IF(BB$4=$A36,Вводные!$D$5*INDEX(Вводные!$G$13:$G$64,MATCH($A36,Вводные!$A$13:$A$64,0)),0))</f>
        <v>0.08</v>
      </c>
      <c r="BC36" s="32" t="n">
        <f aca="false">INDEX(Вводные!$D$13:$F$64,MATCH($A36,Вводные!$A$13:$A$64,0),MATCH(BC$3,Вводные!$D$11:$F$11,0))*(1+IF(BC$4=$A36,Вводные!$D$5*INDEX(Вводные!$G$13:$G$64,MATCH($A36,Вводные!$A$13:$A$64,0)),0))</f>
        <v>0.08</v>
      </c>
      <c r="BD36" s="32" t="n">
        <f aca="false">INDEX(Вводные!$D$13:$F$64,MATCH($A36,Вводные!$A$13:$A$64,0),MATCH(BD$3,Вводные!$D$11:$F$11,0))*(1+IF(BD$4=$A36,Вводные!$D$5*INDEX(Вводные!$G$13:$G$64,MATCH($A36,Вводные!$A$13:$A$64,0)),0))</f>
        <v>0.08</v>
      </c>
      <c r="BE36" s="32" t="n">
        <f aca="false">INDEX(Вводные!$D$13:$F$64,MATCH($A36,Вводные!$A$13:$A$64,0),MATCH(BE$3,Вводные!$D$11:$F$11,0))*(1+IF(BE$4=$A36,Вводные!$D$5*INDEX(Вводные!$G$13:$G$64,MATCH($A36,Вводные!$A$13:$A$64,0)),0))</f>
        <v>0.08</v>
      </c>
      <c r="BF36" s="32" t="n">
        <f aca="false">INDEX(Вводные!$D$13:$F$64,MATCH($A36,Вводные!$A$13:$A$64,0),MATCH(BF$3,Вводные!$D$11:$F$11,0))*(1+IF(BF$4=$A36,Вводные!$D$5*INDEX(Вводные!$G$13:$G$64,MATCH($A36,Вводные!$A$13:$A$64,0)),0))</f>
        <v>0.08</v>
      </c>
      <c r="BG36" s="32" t="n">
        <f aca="false">INDEX(Вводные!$D$13:$F$64,MATCH($A36,Вводные!$A$13:$A$64,0),MATCH(BG$3,Вводные!$D$11:$F$11,0))*(1+IF(BG$4=$A36,Вводные!$D$5*INDEX(Вводные!$G$13:$G$64,MATCH($A36,Вводные!$A$13:$A$64,0)),0))</f>
        <v>0.08</v>
      </c>
      <c r="BH36" s="32" t="n">
        <f aca="false">INDEX(Вводные!$D$13:$F$64,MATCH($A36,Вводные!$A$13:$A$64,0),MATCH(BH$3,Вводные!$D$11:$F$11,0))*(1+IF(BH$4=$A36,Вводные!$D$5*INDEX(Вводные!$G$13:$G$64,MATCH($A36,Вводные!$A$13:$A$64,0)),0))</f>
        <v>0.08</v>
      </c>
      <c r="BI36" s="32" t="n">
        <f aca="false">INDEX(Вводные!$D$13:$F$64,MATCH($A36,Вводные!$A$13:$A$64,0),MATCH(BI$3,Вводные!$D$11:$F$11,0))*(1+IF(BI$4=$A36,Вводные!$D$5*INDEX(Вводные!$G$13:$G$64,MATCH($A36,Вводные!$A$13:$A$64,0)),0))</f>
        <v>0.08</v>
      </c>
      <c r="BJ36" s="32" t="n">
        <f aca="false">INDEX(Вводные!$D$13:$F$64,MATCH($A36,Вводные!$A$13:$A$64,0),MATCH(BJ$3,Вводные!$D$11:$F$11,0))*(1+IF(BJ$4=$A36,Вводные!$D$5*INDEX(Вводные!$G$13:$G$64,MATCH($A36,Вводные!$A$13:$A$64,0)),0))</f>
        <v>0.08</v>
      </c>
      <c r="BK36" s="32" t="n">
        <f aca="false">INDEX(Вводные!$D$13:$F$64,MATCH($A36,Вводные!$A$13:$A$64,0),MATCH(BK$3,Вводные!$D$11:$F$11,0))*(1+IF(BK$4=$A36,Вводные!$D$5*INDEX(Вводные!$G$13:$G$64,MATCH($A36,Вводные!$A$13:$A$64,0)),0))</f>
        <v>0.0808</v>
      </c>
      <c r="BL36" s="32" t="n">
        <f aca="false">INDEX(Вводные!$D$13:$F$64,MATCH($A36,Вводные!$A$13:$A$64,0),MATCH(BL$3,Вводные!$D$11:$F$11,0))*(1+IF(BL$4=$A36,Вводные!$D$5*INDEX(Вводные!$G$13:$G$64,MATCH($A36,Вводные!$A$13:$A$64,0)),0))</f>
        <v>0.08</v>
      </c>
      <c r="BM36" s="32" t="n">
        <f aca="false">INDEX(Вводные!$D$13:$F$64,MATCH($A36,Вводные!$A$13:$A$64,0),MATCH(BM$3,Вводные!$D$11:$F$11,0))*(1+IF(BM$4=$A36,Вводные!$D$5*INDEX(Вводные!$G$13:$G$64,MATCH($A36,Вводные!$A$13:$A$64,0)),0))</f>
        <v>0.08</v>
      </c>
      <c r="BN36" s="32" t="n">
        <f aca="false">INDEX(Вводные!$D$13:$F$64,MATCH($A36,Вводные!$A$13:$A$64,0),MATCH(BN$3,Вводные!$D$11:$F$11,0))*(1+IF(BN$4=$A36,Вводные!$D$5*INDEX(Вводные!$G$13:$G$64,MATCH($A36,Вводные!$A$13:$A$64,0)),0))</f>
        <v>0.08</v>
      </c>
      <c r="BO36" s="32" t="n">
        <f aca="false">INDEX(Вводные!$D$13:$F$64,MATCH($A36,Вводные!$A$13:$A$64,0),MATCH(BO$3,Вводные!$D$11:$F$11,0))*(1+IF(BO$4=$A36,Вводные!$D$5*INDEX(Вводные!$G$13:$G$64,MATCH($A36,Вводные!$A$13:$A$64,0)),0))</f>
        <v>0.08</v>
      </c>
      <c r="BP36" s="32" t="n">
        <f aca="false">INDEX(Вводные!$D$13:$F$64,MATCH($A36,Вводные!$A$13:$A$64,0),MATCH(BP$3,Вводные!$D$11:$F$11,0))*(1+IF(BP$4=$A36,Вводные!$D$5*INDEX(Вводные!$G$13:$G$64,MATCH($A36,Вводные!$A$13:$A$64,0)),0))</f>
        <v>0.08</v>
      </c>
      <c r="BQ36" s="32" t="n">
        <f aca="false">INDEX(Вводные!$D$13:$F$64,MATCH($A36,Вводные!$A$13:$A$64,0),MATCH(BQ$3,Вводные!$D$11:$F$11,0))*(1+IF(BQ$4=$A36,Вводные!$D$5*INDEX(Вводные!$G$13:$G$64,MATCH($A36,Вводные!$A$13:$A$64,0)),0))</f>
        <v>0.08</v>
      </c>
      <c r="BR36" s="32" t="n">
        <f aca="false">INDEX(Вводные!$D$13:$F$64,MATCH($A36,Вводные!$A$13:$A$64,0),MATCH(BR$3,Вводные!$D$11:$F$11,0))*(1+IF(BR$4=$A36,Вводные!$D$5*INDEX(Вводные!$G$13:$G$64,MATCH($A36,Вводные!$A$13:$A$64,0)),0))</f>
        <v>0.08</v>
      </c>
      <c r="BS36" s="32" t="n">
        <f aca="false">INDEX(Вводные!$D$13:$F$64,MATCH($A36,Вводные!$A$13:$A$64,0),MATCH(BS$3,Вводные!$D$11:$F$11,0))*(1+IF(BS$4=$A36,Вводные!$D$5*INDEX(Вводные!$G$13:$G$64,MATCH($A36,Вводные!$A$13:$A$64,0)),0))</f>
        <v>0.08</v>
      </c>
      <c r="BT36" s="32" t="n">
        <f aca="false">INDEX(Вводные!$D$13:$F$64,MATCH($A36,Вводные!$A$13:$A$64,0),MATCH(BT$3,Вводные!$D$11:$F$11,0))*(1+IF(BT$4=$A36,Вводные!$D$5*INDEX(Вводные!$G$13:$G$64,MATCH($A36,Вводные!$A$13:$A$64,0)),0))</f>
        <v>0.08</v>
      </c>
      <c r="BU36" s="32" t="n">
        <f aca="false">INDEX(Вводные!$D$13:$F$64,MATCH($A36,Вводные!$A$13:$A$64,0),MATCH(BU$3,Вводные!$D$11:$F$11,0))*(1+IF(BU$4=$A36,Вводные!$D$5*INDEX(Вводные!$G$13:$G$64,MATCH($A36,Вводные!$A$13:$A$64,0)),0))</f>
        <v>0.08</v>
      </c>
      <c r="BV36" s="32" t="n">
        <f aca="false">INDEX(Вводные!$D$13:$F$64,MATCH($A36,Вводные!$A$13:$A$64,0),MATCH(BV$3,Вводные!$D$11:$F$11,0))*(1+IF(BV$4=$A36,Вводные!$D$5*INDEX(Вводные!$G$13:$G$64,MATCH($A36,Вводные!$A$13:$A$64,0)),0))</f>
        <v>0.08</v>
      </c>
      <c r="BW36" s="32" t="n">
        <f aca="false">INDEX(Вводные!$D$13:$F$64,MATCH($A36,Вводные!$A$13:$A$64,0),MATCH(BW$3,Вводные!$D$11:$F$11,0))*(1+IF(BW$4=$A36,Вводные!$D$5*INDEX(Вводные!$G$13:$G$64,MATCH($A36,Вводные!$A$13:$A$64,0)),0))</f>
        <v>0.08</v>
      </c>
      <c r="BX36" s="32" t="n">
        <f aca="false">INDEX(Вводные!$D$13:$F$64,MATCH($A36,Вводные!$A$13:$A$64,0),MATCH(BX$3,Вводные!$D$11:$F$11,0))*(1+IF(BX$4=$A36,Вводные!$D$5*INDEX(Вводные!$G$13:$G$64,MATCH($A36,Вводные!$A$13:$A$64,0)),0))</f>
        <v>0.08</v>
      </c>
      <c r="BY36" s="32" t="n">
        <f aca="false">INDEX(Вводные!$D$13:$F$64,MATCH($A36,Вводные!$A$13:$A$64,0),MATCH(BY$3,Вводные!$D$11:$F$11,0))*(1+IF(BY$4=$A36,Вводные!$D$5*INDEX(Вводные!$G$13:$G$64,MATCH($A36,Вводные!$A$13:$A$64,0)),0))</f>
        <v>0.08</v>
      </c>
      <c r="BZ36" s="32" t="n">
        <f aca="false">INDEX(Вводные!$D$13:$F$64,MATCH($A36,Вводные!$A$13:$A$64,0),MATCH(BZ$3,Вводные!$D$11:$F$11,0))*(1+IF(BZ$4=$A36,Вводные!$D$5*INDEX(Вводные!$G$13:$G$64,MATCH($A36,Вводные!$A$13:$A$64,0)),0))</f>
        <v>0.08</v>
      </c>
      <c r="CA36" s="32" t="n">
        <f aca="false">INDEX(Вводные!$D$13:$F$64,MATCH($A36,Вводные!$A$13:$A$64,0),MATCH(CA$3,Вводные!$D$11:$F$11,0))*(1+IF(CA$4=$A36,Вводные!$D$5*INDEX(Вводные!$G$13:$G$64,MATCH($A36,Вводные!$A$13:$A$64,0)),0))</f>
        <v>0.08</v>
      </c>
      <c r="CB36" s="32" t="n">
        <f aca="false">INDEX(Вводные!$D$13:$F$64,MATCH($A36,Вводные!$A$13:$A$64,0),MATCH(CB$3,Вводные!$D$11:$F$11,0))*(1+IF(CB$4=$A36,Вводные!$D$5*INDEX(Вводные!$G$13:$G$64,MATCH($A36,Вводные!$A$13:$A$64,0)),0))</f>
        <v>0.08</v>
      </c>
      <c r="CC36" s="32" t="n">
        <f aca="false">INDEX(Вводные!$D$13:$F$64,MATCH($A36,Вводные!$A$13:$A$64,0),MATCH(CC$3,Вводные!$D$11:$F$11,0))*(1+IF(CC$4=$A36,Вводные!$D$5*INDEX(Вводные!$G$13:$G$64,MATCH($A36,Вводные!$A$13:$A$64,0)),0))</f>
        <v>0.08</v>
      </c>
      <c r="CD36" s="32" t="n">
        <f aca="false">INDEX(Вводные!$D$13:$F$64,MATCH($A36,Вводные!$A$13:$A$64,0),MATCH(CD$3,Вводные!$D$11:$F$11,0))*(1+IF(CD$4=$A36,Вводные!$D$5*INDEX(Вводные!$G$13:$G$64,MATCH($A36,Вводные!$A$13:$A$64,0)),0))</f>
        <v>0.08</v>
      </c>
      <c r="CE36" s="32" t="n">
        <f aca="false">INDEX(Вводные!$D$13:$F$64,MATCH($A36,Вводные!$A$13:$A$64,0),MATCH(CE$3,Вводные!$D$11:$F$11,0))*(1+IF(CE$4=$A36,Вводные!$D$5*INDEX(Вводные!$G$13:$G$64,MATCH($A36,Вводные!$A$13:$A$64,0)),0))</f>
        <v>0.08</v>
      </c>
      <c r="CF36" s="32" t="n">
        <f aca="false">INDEX(Вводные!$D$13:$F$64,MATCH($A36,Вводные!$A$13:$A$64,0),MATCH(CF$3,Вводные!$D$11:$F$11,0))*(1+IF(CF$4=$A36,Вводные!$D$5*INDEX(Вводные!$G$13:$G$64,MATCH($A36,Вводные!$A$13:$A$64,0)),0))</f>
        <v>0.08</v>
      </c>
      <c r="CG36" s="32" t="n">
        <f aca="false">INDEX(Вводные!$D$13:$F$64,MATCH($A36,Вводные!$A$13:$A$64,0),MATCH(CG$3,Вводные!$D$11:$F$11,0))*(1+IF(CG$4=$A36,Вводные!$D$5*INDEX(Вводные!$G$13:$G$64,MATCH($A36,Вводные!$A$13:$A$64,0)),0))</f>
        <v>0.08</v>
      </c>
      <c r="CH36" s="32" t="n">
        <f aca="false">INDEX(Вводные!$D$13:$F$64,MATCH($A36,Вводные!$A$13:$A$64,0),MATCH(CH$3,Вводные!$D$11:$F$11,0))*(1+IF(CH$4=$A36,Вводные!$D$5*INDEX(Вводные!$G$13:$G$64,MATCH($A36,Вводные!$A$13:$A$64,0)),0))</f>
        <v>0.08</v>
      </c>
      <c r="CI36" s="32" t="n">
        <f aca="false">INDEX(Вводные!$D$13:$F$64,MATCH($A36,Вводные!$A$13:$A$64,0),MATCH(CI$3,Вводные!$D$11:$F$11,0))*(1+IF(CI$4=$A36,Вводные!$D$5*INDEX(Вводные!$G$13:$G$64,MATCH($A36,Вводные!$A$13:$A$64,0)),0))</f>
        <v>0.08</v>
      </c>
      <c r="CJ36" s="32" t="n">
        <f aca="false">INDEX(Вводные!$D$13:$F$64,MATCH($A36,Вводные!$A$13:$A$64,0),MATCH(CJ$3,Вводные!$D$11:$F$11,0))*(1+IF(CJ$4=$A36,Вводные!$D$5*INDEX(Вводные!$G$13:$G$64,MATCH($A36,Вводные!$A$13:$A$64,0)),0))</f>
        <v>0.08</v>
      </c>
      <c r="CK36" s="32" t="n">
        <f aca="false">INDEX(Вводные!$D$13:$F$64,MATCH($A36,Вводные!$A$13:$A$64,0),MATCH(CK$3,Вводные!$D$11:$F$11,0))*(1+IF(CK$4=$A36,Вводные!$D$5*INDEX(Вводные!$G$13:$G$64,MATCH($A36,Вводные!$A$13:$A$64,0)),0))</f>
        <v>0.08</v>
      </c>
      <c r="CL36" s="32" t="n">
        <f aca="false">INDEX(Вводные!$D$13:$F$64,MATCH($A36,Вводные!$A$13:$A$64,0),MATCH(CL$3,Вводные!$D$11:$F$11,0))*(1+IF(CL$4=$A36,Вводные!$D$5*INDEX(Вводные!$G$13:$G$64,MATCH($A36,Вводные!$A$13:$A$64,0)),0))</f>
        <v>0.08</v>
      </c>
      <c r="CM36" s="32" t="n">
        <f aca="false">INDEX(Вводные!$D$13:$F$64,MATCH($A36,Вводные!$A$13:$A$64,0),MATCH(CM$3,Вводные!$D$11:$F$11,0))*(1+IF(CM$4=$A36,Вводные!$D$5*INDEX(Вводные!$G$13:$G$64,MATCH($A36,Вводные!$A$13:$A$64,0)),0))</f>
        <v>0.08</v>
      </c>
      <c r="CN36" s="32" t="n">
        <f aca="false">INDEX(Вводные!$D$13:$F$64,MATCH($A36,Вводные!$A$13:$A$64,0),MATCH(CN$3,Вводные!$D$11:$F$11,0))*(1+IF(CN$4=$A36,Вводные!$D$5*INDEX(Вводные!$G$13:$G$64,MATCH($A36,Вводные!$A$13:$A$64,0)),0))</f>
        <v>0.08</v>
      </c>
      <c r="CO36" s="32" t="n">
        <f aca="false">INDEX(Вводные!$D$13:$F$64,MATCH($A36,Вводные!$A$13:$A$64,0),MATCH(CO$3,Вводные!$D$11:$F$11,0))*(1+IF(CO$4=$A36,Вводные!$D$5*INDEX(Вводные!$G$13:$G$64,MATCH($A36,Вводные!$A$13:$A$64,0)),0))</f>
        <v>0.08</v>
      </c>
      <c r="CP36" s="32" t="n">
        <f aca="false">INDEX(Вводные!$D$13:$F$64,MATCH($A36,Вводные!$A$13:$A$64,0),MATCH(CP$3,Вводные!$D$11:$F$11,0))*(1+IF(CP$4=$A36,Вводные!$D$5*INDEX(Вводные!$G$13:$G$64,MATCH($A36,Вводные!$A$13:$A$64,0)),0))</f>
        <v>0.05</v>
      </c>
      <c r="CQ36" s="32" t="n">
        <f aca="false">INDEX(Вводные!$D$13:$F$64,MATCH($A36,Вводные!$A$13:$A$64,0),MATCH(CQ$3,Вводные!$D$11:$F$11,0))*(1+IF(CQ$4=$A36,Вводные!$D$5*INDEX(Вводные!$G$13:$G$64,MATCH($A36,Вводные!$A$13:$A$64,0)),0))</f>
        <v>0.05</v>
      </c>
      <c r="CR36" s="32" t="n">
        <f aca="false">INDEX(Вводные!$D$13:$F$64,MATCH($A36,Вводные!$A$13:$A$64,0),MATCH(CR$3,Вводные!$D$11:$F$11,0))*(1+IF(CR$4=$A36,Вводные!$D$5*INDEX(Вводные!$G$13:$G$64,MATCH($A36,Вводные!$A$13:$A$64,0)),0))</f>
        <v>0.05</v>
      </c>
      <c r="CS36" s="32" t="n">
        <f aca="false">INDEX(Вводные!$D$13:$F$64,MATCH($A36,Вводные!$A$13:$A$64,0),MATCH(CS$3,Вводные!$D$11:$F$11,0))*(1+IF(CS$4=$A36,Вводные!$D$5*INDEX(Вводные!$G$13:$G$64,MATCH($A36,Вводные!$A$13:$A$64,0)),0))</f>
        <v>0.05</v>
      </c>
      <c r="CT36" s="32" t="n">
        <f aca="false">INDEX(Вводные!$D$13:$F$64,MATCH($A36,Вводные!$A$13:$A$64,0),MATCH(CT$3,Вводные!$D$11:$F$11,0))*(1+IF(CT$4=$A36,Вводные!$D$5*INDEX(Вводные!$G$13:$G$64,MATCH($A36,Вводные!$A$13:$A$64,0)),0))</f>
        <v>0.05</v>
      </c>
      <c r="CU36" s="32" t="n">
        <f aca="false">INDEX(Вводные!$D$13:$F$64,MATCH($A36,Вводные!$A$13:$A$64,0),MATCH(CU$3,Вводные!$D$11:$F$11,0))*(1+IF(CU$4=$A36,Вводные!$D$5*INDEX(Вводные!$G$13:$G$64,MATCH($A36,Вводные!$A$13:$A$64,0)),0))</f>
        <v>0.05</v>
      </c>
      <c r="CV36" s="32" t="n">
        <f aca="false">INDEX(Вводные!$D$13:$F$64,MATCH($A36,Вводные!$A$13:$A$64,0),MATCH(CV$3,Вводные!$D$11:$F$11,0))*(1+IF(CV$4=$A36,Вводные!$D$5*INDEX(Вводные!$G$13:$G$64,MATCH($A36,Вводные!$A$13:$A$64,0)),0))</f>
        <v>0.05</v>
      </c>
      <c r="CW36" s="32" t="n">
        <f aca="false">INDEX(Вводные!$D$13:$F$64,MATCH($A36,Вводные!$A$13:$A$64,0),MATCH(CW$3,Вводные!$D$11:$F$11,0))*(1+IF(CW$4=$A36,Вводные!$D$5*INDEX(Вводные!$G$13:$G$64,MATCH($A36,Вводные!$A$13:$A$64,0)),0))</f>
        <v>0.05</v>
      </c>
      <c r="CX36" s="32" t="n">
        <f aca="false">INDEX(Вводные!$D$13:$F$64,MATCH($A36,Вводные!$A$13:$A$64,0),MATCH(CX$3,Вводные!$D$11:$F$11,0))*(1+IF(CX$4=$A36,Вводные!$D$5*INDEX(Вводные!$G$13:$G$64,MATCH($A36,Вводные!$A$13:$A$64,0)),0))</f>
        <v>0.05</v>
      </c>
      <c r="CY36" s="32" t="n">
        <f aca="false">INDEX(Вводные!$D$13:$F$64,MATCH($A36,Вводные!$A$13:$A$64,0),MATCH(CY$3,Вводные!$D$11:$F$11,0))*(1+IF(CY$4=$A36,Вводные!$D$5*INDEX(Вводные!$G$13:$G$64,MATCH($A36,Вводные!$A$13:$A$64,0)),0))</f>
        <v>0.05</v>
      </c>
      <c r="CZ36" s="32" t="n">
        <f aca="false">INDEX(Вводные!$D$13:$F$64,MATCH($A36,Вводные!$A$13:$A$64,0),MATCH(CZ$3,Вводные!$D$11:$F$11,0))*(1+IF(CZ$4=$A36,Вводные!$D$5*INDEX(Вводные!$G$13:$G$64,MATCH($A36,Вводные!$A$13:$A$64,0)),0))</f>
        <v>0.05</v>
      </c>
      <c r="DA36" s="32" t="n">
        <f aca="false">INDEX(Вводные!$D$13:$F$64,MATCH($A36,Вводные!$A$13:$A$64,0),MATCH(DA$3,Вводные!$D$11:$F$11,0))*(1+IF(DA$4=$A36,Вводные!$D$5*INDEX(Вводные!$G$13:$G$64,MATCH($A36,Вводные!$A$13:$A$64,0)),0))</f>
        <v>0.0505</v>
      </c>
      <c r="DB36" s="32" t="n">
        <f aca="false">INDEX(Вводные!$D$13:$F$64,MATCH($A36,Вводные!$A$13:$A$64,0),MATCH(DB$3,Вводные!$D$11:$F$11,0))*(1+IF(DB$4=$A36,Вводные!$D$5*INDEX(Вводные!$G$13:$G$64,MATCH($A36,Вводные!$A$13:$A$64,0)),0))</f>
        <v>0.05</v>
      </c>
      <c r="DC36" s="32" t="n">
        <f aca="false">INDEX(Вводные!$D$13:$F$64,MATCH($A36,Вводные!$A$13:$A$64,0),MATCH(DC$3,Вводные!$D$11:$F$11,0))*(1+IF(DC$4=$A36,Вводные!$D$5*INDEX(Вводные!$G$13:$G$64,MATCH($A36,Вводные!$A$13:$A$64,0)),0))</f>
        <v>0.05</v>
      </c>
      <c r="DD36" s="32" t="n">
        <f aca="false">INDEX(Вводные!$D$13:$F$64,MATCH($A36,Вводные!$A$13:$A$64,0),MATCH(DD$3,Вводные!$D$11:$F$11,0))*(1+IF(DD$4=$A36,Вводные!$D$5*INDEX(Вводные!$G$13:$G$64,MATCH($A36,Вводные!$A$13:$A$64,0)),0))</f>
        <v>0.05</v>
      </c>
      <c r="DE36" s="32" t="n">
        <f aca="false">INDEX(Вводные!$D$13:$F$64,MATCH($A36,Вводные!$A$13:$A$64,0),MATCH(DE$3,Вводные!$D$11:$F$11,0))*(1+IF(DE$4=$A36,Вводные!$D$5*INDEX(Вводные!$G$13:$G$64,MATCH($A36,Вводные!$A$13:$A$64,0)),0))</f>
        <v>0.05</v>
      </c>
      <c r="DF36" s="32" t="n">
        <f aca="false">INDEX(Вводные!$D$13:$F$64,MATCH($A36,Вводные!$A$13:$A$64,0),MATCH(DF$3,Вводные!$D$11:$F$11,0))*(1+IF(DF$4=$A36,Вводные!$D$5*INDEX(Вводные!$G$13:$G$64,MATCH($A36,Вводные!$A$13:$A$64,0)),0))</f>
        <v>0.05</v>
      </c>
      <c r="DG36" s="32" t="n">
        <f aca="false">INDEX(Вводные!$D$13:$F$64,MATCH($A36,Вводные!$A$13:$A$64,0),MATCH(DG$3,Вводные!$D$11:$F$11,0))*(1+IF(DG$4=$A36,Вводные!$D$5*INDEX(Вводные!$G$13:$G$64,MATCH($A36,Вводные!$A$13:$A$64,0)),0))</f>
        <v>0.05</v>
      </c>
      <c r="DH36" s="32" t="n">
        <f aca="false">INDEX(Вводные!$D$13:$F$64,MATCH($A36,Вводные!$A$13:$A$64,0),MATCH(DH$3,Вводные!$D$11:$F$11,0))*(1+IF(DH$4=$A36,Вводные!$D$5*INDEX(Вводные!$G$13:$G$64,MATCH($A36,Вводные!$A$13:$A$64,0)),0))</f>
        <v>0.05</v>
      </c>
      <c r="DI36" s="32" t="n">
        <f aca="false">INDEX(Вводные!$D$13:$F$64,MATCH($A36,Вводные!$A$13:$A$64,0),MATCH(DI$3,Вводные!$D$11:$F$11,0))*(1+IF(DI$4=$A36,Вводные!$D$5*INDEX(Вводные!$G$13:$G$64,MATCH($A36,Вводные!$A$13:$A$64,0)),0))</f>
        <v>0.05</v>
      </c>
      <c r="DJ36" s="32" t="n">
        <f aca="false">INDEX(Вводные!$D$13:$F$64,MATCH($A36,Вводные!$A$13:$A$64,0),MATCH(DJ$3,Вводные!$D$11:$F$11,0))*(1+IF(DJ$4=$A36,Вводные!$D$5*INDEX(Вводные!$G$13:$G$64,MATCH($A36,Вводные!$A$13:$A$64,0)),0))</f>
        <v>0.05</v>
      </c>
      <c r="DK36" s="32" t="n">
        <f aca="false">INDEX(Вводные!$D$13:$F$64,MATCH($A36,Вводные!$A$13:$A$64,0),MATCH(DK$3,Вводные!$D$11:$F$11,0))*(1+IF(DK$4=$A36,Вводные!$D$5*INDEX(Вводные!$G$13:$G$64,MATCH($A36,Вводные!$A$13:$A$64,0)),0))</f>
        <v>0.05</v>
      </c>
      <c r="DL36" s="32" t="n">
        <f aca="false">INDEX(Вводные!$D$13:$F$64,MATCH($A36,Вводные!$A$13:$A$64,0),MATCH(DL$3,Вводные!$D$11:$F$11,0))*(1+IF(DL$4=$A36,Вводные!$D$5*INDEX(Вводные!$G$13:$G$64,MATCH($A36,Вводные!$A$13:$A$64,0)),0))</f>
        <v>0.05</v>
      </c>
      <c r="DM36" s="32" t="n">
        <f aca="false">INDEX(Вводные!$D$13:$F$64,MATCH($A36,Вводные!$A$13:$A$64,0),MATCH(DM$3,Вводные!$D$11:$F$11,0))*(1+IF(DM$4=$A36,Вводные!$D$5*INDEX(Вводные!$G$13:$G$64,MATCH($A36,Вводные!$A$13:$A$64,0)),0))</f>
        <v>0.05</v>
      </c>
      <c r="DN36" s="32" t="n">
        <f aca="false">INDEX(Вводные!$D$13:$F$64,MATCH($A36,Вводные!$A$13:$A$64,0),MATCH(DN$3,Вводные!$D$11:$F$11,0))*(1+IF(DN$4=$A36,Вводные!$D$5*INDEX(Вводные!$G$13:$G$64,MATCH($A36,Вводные!$A$13:$A$64,0)),0))</f>
        <v>0.05</v>
      </c>
      <c r="DO36" s="32" t="n">
        <f aca="false">INDEX(Вводные!$D$13:$F$64,MATCH($A36,Вводные!$A$13:$A$64,0),MATCH(DO$3,Вводные!$D$11:$F$11,0))*(1+IF(DO$4=$A36,Вводные!$D$5*INDEX(Вводные!$G$13:$G$64,MATCH($A36,Вводные!$A$13:$A$64,0)),0))</f>
        <v>0.05</v>
      </c>
      <c r="DP36" s="32" t="n">
        <f aca="false">INDEX(Вводные!$D$13:$F$64,MATCH($A36,Вводные!$A$13:$A$64,0),MATCH(DP$3,Вводные!$D$11:$F$11,0))*(1+IF(DP$4=$A36,Вводные!$D$5*INDEX(Вводные!$G$13:$G$64,MATCH($A36,Вводные!$A$13:$A$64,0)),0))</f>
        <v>0.05</v>
      </c>
      <c r="DQ36" s="32" t="n">
        <f aca="false">INDEX(Вводные!$D$13:$F$64,MATCH($A36,Вводные!$A$13:$A$64,0),MATCH(DQ$3,Вводные!$D$11:$F$11,0))*(1+IF(DQ$4=$A36,Вводные!$D$5*INDEX(Вводные!$G$13:$G$64,MATCH($A36,Вводные!$A$13:$A$64,0)),0))</f>
        <v>0.05</v>
      </c>
      <c r="DR36" s="32" t="n">
        <f aca="false">INDEX(Вводные!$D$13:$F$64,MATCH($A36,Вводные!$A$13:$A$64,0),MATCH(DR$3,Вводные!$D$11:$F$11,0))*(1+IF(DR$4=$A36,Вводные!$D$5*INDEX(Вводные!$G$13:$G$64,MATCH($A36,Вводные!$A$13:$A$64,0)),0))</f>
        <v>0.05</v>
      </c>
      <c r="DS36" s="32" t="n">
        <f aca="false">INDEX(Вводные!$D$13:$F$64,MATCH($A36,Вводные!$A$13:$A$64,0),MATCH(DS$3,Вводные!$D$11:$F$11,0))*(1+IF(DS$4=$A36,Вводные!$D$5*INDEX(Вводные!$G$13:$G$64,MATCH($A36,Вводные!$A$13:$A$64,0)),0))</f>
        <v>0.05</v>
      </c>
      <c r="DT36" s="32" t="n">
        <f aca="false">INDEX(Вводные!$D$13:$F$64,MATCH($A36,Вводные!$A$13:$A$64,0),MATCH(DT$3,Вводные!$D$11:$F$11,0))*(1+IF(DT$4=$A36,Вводные!$D$5*INDEX(Вводные!$G$13:$G$64,MATCH($A36,Вводные!$A$13:$A$64,0)),0))</f>
        <v>0.05</v>
      </c>
      <c r="DU36" s="32" t="n">
        <f aca="false">INDEX(Вводные!$D$13:$F$64,MATCH($A36,Вводные!$A$13:$A$64,0),MATCH(DU$3,Вводные!$D$11:$F$11,0))*(1+IF(DU$4=$A36,Вводные!$D$5*INDEX(Вводные!$G$13:$G$64,MATCH($A36,Вводные!$A$13:$A$64,0)),0))</f>
        <v>0.05</v>
      </c>
      <c r="DV36" s="32" t="n">
        <f aca="false">INDEX(Вводные!$D$13:$F$64,MATCH($A36,Вводные!$A$13:$A$64,0),MATCH(DV$3,Вводные!$D$11:$F$11,0))*(1+IF(DV$4=$A36,Вводные!$D$5*INDEX(Вводные!$G$13:$G$64,MATCH($A36,Вводные!$A$13:$A$64,0)),0))</f>
        <v>0.05</v>
      </c>
      <c r="DW36" s="32" t="n">
        <f aca="false">INDEX(Вводные!$D$13:$F$64,MATCH($A36,Вводные!$A$13:$A$64,0),MATCH(DW$3,Вводные!$D$11:$F$11,0))*(1+IF(DW$4=$A36,Вводные!$D$5*INDEX(Вводные!$G$13:$G$64,MATCH($A36,Вводные!$A$13:$A$64,0)),0))</f>
        <v>0.05</v>
      </c>
      <c r="DX36" s="32" t="n">
        <f aca="false">INDEX(Вводные!$D$13:$F$64,MATCH($A36,Вводные!$A$13:$A$64,0),MATCH(DX$3,Вводные!$D$11:$F$11,0))*(1+IF(DX$4=$A36,Вводные!$D$5*INDEX(Вводные!$G$13:$G$64,MATCH($A36,Вводные!$A$13:$A$64,0)),0))</f>
        <v>0.05</v>
      </c>
      <c r="DY36" s="32" t="n">
        <f aca="false">INDEX(Вводные!$D$13:$F$64,MATCH($A36,Вводные!$A$13:$A$64,0),MATCH(DY$3,Вводные!$D$11:$F$11,0))*(1+IF(DY$4=$A36,Вводные!$D$5*INDEX(Вводные!$G$13:$G$64,MATCH($A36,Вводные!$A$13:$A$64,0)),0))</f>
        <v>0.05</v>
      </c>
      <c r="DZ36" s="32" t="n">
        <f aca="false">INDEX(Вводные!$D$13:$F$64,MATCH($A36,Вводные!$A$13:$A$64,0),MATCH(DZ$3,Вводные!$D$11:$F$11,0))*(1+IF(DZ$4=$A36,Вводные!$D$5*INDEX(Вводные!$G$13:$G$64,MATCH($A36,Вводные!$A$13:$A$64,0)),0))</f>
        <v>0.05</v>
      </c>
      <c r="EA36" s="32" t="n">
        <f aca="false">INDEX(Вводные!$D$13:$F$64,MATCH($A36,Вводные!$A$13:$A$64,0),MATCH(EA$3,Вводные!$D$11:$F$11,0))*(1+IF(EA$4=$A36,Вводные!$D$5*INDEX(Вводные!$G$13:$G$64,MATCH($A36,Вводные!$A$13:$A$64,0)),0))</f>
        <v>0.05</v>
      </c>
      <c r="EB36" s="32" t="n">
        <f aca="false">INDEX(Вводные!$D$13:$F$64,MATCH($A36,Вводные!$A$13:$A$64,0),MATCH(EB$3,Вводные!$D$11:$F$11,0))*(1+IF(EB$4=$A36,Вводные!$D$5*INDEX(Вводные!$G$13:$G$64,MATCH($A36,Вводные!$A$13:$A$64,0)),0))</f>
        <v>0.05</v>
      </c>
      <c r="EC36" s="32" t="n">
        <f aca="false">INDEX(Вводные!$D$13:$F$64,MATCH($A36,Вводные!$A$13:$A$64,0),MATCH(EC$3,Вводные!$D$11:$F$11,0))*(1+IF(EC$4=$A36,Вводные!$D$5*INDEX(Вводные!$G$13:$G$64,MATCH($A36,Вводные!$A$13:$A$64,0)),0))</f>
        <v>0.05</v>
      </c>
      <c r="ED36" s="32" t="n">
        <f aca="false">INDEX(Вводные!$D$13:$F$64,MATCH($A36,Вводные!$A$13:$A$64,0),MATCH(ED$3,Вводные!$D$11:$F$11,0))*(1+IF(ED$4=$A36,Вводные!$D$5*INDEX(Вводные!$G$13:$G$64,MATCH($A36,Вводные!$A$13:$A$64,0)),0))</f>
        <v>0.05</v>
      </c>
      <c r="EE36" s="32" t="n">
        <f aca="false">INDEX(Вводные!$D$13:$F$64,MATCH($A36,Вводные!$A$13:$A$64,0),MATCH(EE$3,Вводные!$D$11:$F$11,0))*(1+IF(EE$4=$A36,Вводные!$D$5*INDEX(Вводные!$G$13:$G$64,MATCH($A36,Вводные!$A$13:$A$64,0)),0))</f>
        <v>0.05</v>
      </c>
      <c r="EF36" s="32" t="n">
        <f aca="false">INDEX(Вводные!$D$13:$F$64,MATCH($A36,Вводные!$A$13:$A$64,0),MATCH(EF$3,Вводные!$D$11:$F$11,0))*(1+IF(EF$4=$A36,Вводные!$D$5*INDEX(Вводные!$G$13:$G$64,MATCH($A36,Вводные!$A$13:$A$64,0)),0))</f>
        <v>0.12</v>
      </c>
      <c r="EG36" s="32" t="n">
        <f aca="false">INDEX(Вводные!$D$13:$F$64,MATCH($A36,Вводные!$A$13:$A$64,0),MATCH(EG$3,Вводные!$D$11:$F$11,0))*(1+IF(EG$4=$A36,Вводные!$D$5*INDEX(Вводные!$G$13:$G$64,MATCH($A36,Вводные!$A$13:$A$64,0)),0))</f>
        <v>0.12</v>
      </c>
      <c r="EH36" s="32" t="n">
        <f aca="false">INDEX(Вводные!$D$13:$F$64,MATCH($A36,Вводные!$A$13:$A$64,0),MATCH(EH$3,Вводные!$D$11:$F$11,0))*(1+IF(EH$4=$A36,Вводные!$D$5*INDEX(Вводные!$G$13:$G$64,MATCH($A36,Вводные!$A$13:$A$64,0)),0))</f>
        <v>0.12</v>
      </c>
      <c r="EI36" s="32" t="n">
        <f aca="false">INDEX(Вводные!$D$13:$F$64,MATCH($A36,Вводные!$A$13:$A$64,0),MATCH(EI$3,Вводные!$D$11:$F$11,0))*(1+IF(EI$4=$A36,Вводные!$D$5*INDEX(Вводные!$G$13:$G$64,MATCH($A36,Вводные!$A$13:$A$64,0)),0))</f>
        <v>0.12</v>
      </c>
      <c r="EJ36" s="32" t="n">
        <f aca="false">INDEX(Вводные!$D$13:$F$64,MATCH($A36,Вводные!$A$13:$A$64,0),MATCH(EJ$3,Вводные!$D$11:$F$11,0))*(1+IF(EJ$4=$A36,Вводные!$D$5*INDEX(Вводные!$G$13:$G$64,MATCH($A36,Вводные!$A$13:$A$64,0)),0))</f>
        <v>0.12</v>
      </c>
      <c r="EK36" s="32" t="n">
        <f aca="false">INDEX(Вводные!$D$13:$F$64,MATCH($A36,Вводные!$A$13:$A$64,0),MATCH(EK$3,Вводные!$D$11:$F$11,0))*(1+IF(EK$4=$A36,Вводные!$D$5*INDEX(Вводные!$G$13:$G$64,MATCH($A36,Вводные!$A$13:$A$64,0)),0))</f>
        <v>0.12</v>
      </c>
      <c r="EL36" s="32" t="n">
        <f aca="false">INDEX(Вводные!$D$13:$F$64,MATCH($A36,Вводные!$A$13:$A$64,0),MATCH(EL$3,Вводные!$D$11:$F$11,0))*(1+IF(EL$4=$A36,Вводные!$D$5*INDEX(Вводные!$G$13:$G$64,MATCH($A36,Вводные!$A$13:$A$64,0)),0))</f>
        <v>0.12</v>
      </c>
      <c r="EM36" s="32" t="n">
        <f aca="false">INDEX(Вводные!$D$13:$F$64,MATCH($A36,Вводные!$A$13:$A$64,0),MATCH(EM$3,Вводные!$D$11:$F$11,0))*(1+IF(EM$4=$A36,Вводные!$D$5*INDEX(Вводные!$G$13:$G$64,MATCH($A36,Вводные!$A$13:$A$64,0)),0))</f>
        <v>0.12</v>
      </c>
      <c r="EN36" s="32" t="n">
        <f aca="false">INDEX(Вводные!$D$13:$F$64,MATCH($A36,Вводные!$A$13:$A$64,0),MATCH(EN$3,Вводные!$D$11:$F$11,0))*(1+IF(EN$4=$A36,Вводные!$D$5*INDEX(Вводные!$G$13:$G$64,MATCH($A36,Вводные!$A$13:$A$64,0)),0))</f>
        <v>0.12</v>
      </c>
      <c r="EO36" s="32" t="n">
        <f aca="false">INDEX(Вводные!$D$13:$F$64,MATCH($A36,Вводные!$A$13:$A$64,0),MATCH(EO$3,Вводные!$D$11:$F$11,0))*(1+IF(EO$4=$A36,Вводные!$D$5*INDEX(Вводные!$G$13:$G$64,MATCH($A36,Вводные!$A$13:$A$64,0)),0))</f>
        <v>0.12</v>
      </c>
      <c r="EP36" s="32" t="n">
        <f aca="false">INDEX(Вводные!$D$13:$F$64,MATCH($A36,Вводные!$A$13:$A$64,0),MATCH(EP$3,Вводные!$D$11:$F$11,0))*(1+IF(EP$4=$A36,Вводные!$D$5*INDEX(Вводные!$G$13:$G$64,MATCH($A36,Вводные!$A$13:$A$64,0)),0))</f>
        <v>0.12</v>
      </c>
      <c r="EQ36" s="32" t="n">
        <f aca="false">INDEX(Вводные!$D$13:$F$64,MATCH($A36,Вводные!$A$13:$A$64,0),MATCH(EQ$3,Вводные!$D$11:$F$11,0))*(1+IF(EQ$4=$A36,Вводные!$D$5*INDEX(Вводные!$G$13:$G$64,MATCH($A36,Вводные!$A$13:$A$64,0)),0))</f>
        <v>0.1212</v>
      </c>
      <c r="ER36" s="32" t="n">
        <f aca="false">INDEX(Вводные!$D$13:$F$64,MATCH($A36,Вводные!$A$13:$A$64,0),MATCH(ER$3,Вводные!$D$11:$F$11,0))*(1+IF(ER$4=$A36,Вводные!$D$5*INDEX(Вводные!$G$13:$G$64,MATCH($A36,Вводные!$A$13:$A$64,0)),0))</f>
        <v>0.12</v>
      </c>
      <c r="ES36" s="32" t="n">
        <f aca="false">INDEX(Вводные!$D$13:$F$64,MATCH($A36,Вводные!$A$13:$A$64,0),MATCH(ES$3,Вводные!$D$11:$F$11,0))*(1+IF(ES$4=$A36,Вводные!$D$5*INDEX(Вводные!$G$13:$G$64,MATCH($A36,Вводные!$A$13:$A$64,0)),0))</f>
        <v>0.12</v>
      </c>
      <c r="ET36" s="32" t="n">
        <f aca="false">INDEX(Вводные!$D$13:$F$64,MATCH($A36,Вводные!$A$13:$A$64,0),MATCH(ET$3,Вводные!$D$11:$F$11,0))*(1+IF(ET$4=$A36,Вводные!$D$5*INDEX(Вводные!$G$13:$G$64,MATCH($A36,Вводные!$A$13:$A$64,0)),0))</f>
        <v>0.12</v>
      </c>
      <c r="EU36" s="32" t="n">
        <f aca="false">INDEX(Вводные!$D$13:$F$64,MATCH($A36,Вводные!$A$13:$A$64,0),MATCH(EU$3,Вводные!$D$11:$F$11,0))*(1+IF(EU$4=$A36,Вводные!$D$5*INDEX(Вводные!$G$13:$G$64,MATCH($A36,Вводные!$A$13:$A$64,0)),0))</f>
        <v>0.12</v>
      </c>
      <c r="EV36" s="32" t="n">
        <f aca="false">INDEX(Вводные!$D$13:$F$64,MATCH($A36,Вводные!$A$13:$A$64,0),MATCH(EV$3,Вводные!$D$11:$F$11,0))*(1+IF(EV$4=$A36,Вводные!$D$5*INDEX(Вводные!$G$13:$G$64,MATCH($A36,Вводные!$A$13:$A$64,0)),0))</f>
        <v>0.12</v>
      </c>
      <c r="EW36" s="32" t="n">
        <f aca="false">INDEX(Вводные!$D$13:$F$64,MATCH($A36,Вводные!$A$13:$A$64,0),MATCH(EW$3,Вводные!$D$11:$F$11,0))*(1+IF(EW$4=$A36,Вводные!$D$5*INDEX(Вводные!$G$13:$G$64,MATCH($A36,Вводные!$A$13:$A$64,0)),0))</f>
        <v>0.12</v>
      </c>
      <c r="EX36" s="32" t="n">
        <f aca="false">INDEX(Вводные!$D$13:$F$64,MATCH($A36,Вводные!$A$13:$A$64,0),MATCH(EX$3,Вводные!$D$11:$F$11,0))*(1+IF(EX$4=$A36,Вводные!$D$5*INDEX(Вводные!$G$13:$G$64,MATCH($A36,Вводные!$A$13:$A$64,0)),0))</f>
        <v>0.12</v>
      </c>
      <c r="EY36" s="32" t="n">
        <f aca="false">INDEX(Вводные!$D$13:$F$64,MATCH($A36,Вводные!$A$13:$A$64,0),MATCH(EY$3,Вводные!$D$11:$F$11,0))*(1+IF(EY$4=$A36,Вводные!$D$5*INDEX(Вводные!$G$13:$G$64,MATCH($A36,Вводные!$A$13:$A$64,0)),0))</f>
        <v>0.12</v>
      </c>
      <c r="EZ36" s="32" t="n">
        <f aca="false">INDEX(Вводные!$D$13:$F$64,MATCH($A36,Вводные!$A$13:$A$64,0),MATCH(EZ$3,Вводные!$D$11:$F$11,0))*(1+IF(EZ$4=$A36,Вводные!$D$5*INDEX(Вводные!$G$13:$G$64,MATCH($A36,Вводные!$A$13:$A$64,0)),0))</f>
        <v>0.12</v>
      </c>
      <c r="FA36" s="32" t="n">
        <f aca="false">INDEX(Вводные!$D$13:$F$64,MATCH($A36,Вводные!$A$13:$A$64,0),MATCH(FA$3,Вводные!$D$11:$F$11,0))*(1+IF(FA$4=$A36,Вводные!$D$5*INDEX(Вводные!$G$13:$G$64,MATCH($A36,Вводные!$A$13:$A$64,0)),0))</f>
        <v>0.12</v>
      </c>
      <c r="FB36" s="32" t="n">
        <f aca="false">INDEX(Вводные!$D$13:$F$64,MATCH($A36,Вводные!$A$13:$A$64,0),MATCH(FB$3,Вводные!$D$11:$F$11,0))*(1+IF(FB$4=$A36,Вводные!$D$5*INDEX(Вводные!$G$13:$G$64,MATCH($A36,Вводные!$A$13:$A$64,0)),0))</f>
        <v>0.12</v>
      </c>
      <c r="FC36" s="32" t="n">
        <f aca="false">INDEX(Вводные!$D$13:$F$64,MATCH($A36,Вводные!$A$13:$A$64,0),MATCH(FC$3,Вводные!$D$11:$F$11,0))*(1+IF(FC$4=$A36,Вводные!$D$5*INDEX(Вводные!$G$13:$G$64,MATCH($A36,Вводные!$A$13:$A$64,0)),0))</f>
        <v>0.12</v>
      </c>
      <c r="FD36" s="32" t="n">
        <f aca="false">INDEX(Вводные!$D$13:$F$64,MATCH($A36,Вводные!$A$13:$A$64,0),MATCH(FD$3,Вводные!$D$11:$F$11,0))*(1+IF(FD$4=$A36,Вводные!$D$5*INDEX(Вводные!$G$13:$G$64,MATCH($A36,Вводные!$A$13:$A$64,0)),0))</f>
        <v>0.12</v>
      </c>
      <c r="FE36" s="32" t="n">
        <f aca="false">INDEX(Вводные!$D$13:$F$64,MATCH($A36,Вводные!$A$13:$A$64,0),MATCH(FE$3,Вводные!$D$11:$F$11,0))*(1+IF(FE$4=$A36,Вводные!$D$5*INDEX(Вводные!$G$13:$G$64,MATCH($A36,Вводные!$A$13:$A$64,0)),0))</f>
        <v>0.12</v>
      </c>
      <c r="FF36" s="32" t="n">
        <f aca="false">INDEX(Вводные!$D$13:$F$64,MATCH($A36,Вводные!$A$13:$A$64,0),MATCH(FF$3,Вводные!$D$11:$F$11,0))*(1+IF(FF$4=$A36,Вводные!$D$5*INDEX(Вводные!$G$13:$G$64,MATCH($A36,Вводные!$A$13:$A$64,0)),0))</f>
        <v>0.12</v>
      </c>
      <c r="FG36" s="32" t="n">
        <f aca="false">INDEX(Вводные!$D$13:$F$64,MATCH($A36,Вводные!$A$13:$A$64,0),MATCH(FG$3,Вводные!$D$11:$F$11,0))*(1+IF(FG$4=$A36,Вводные!$D$5*INDEX(Вводные!$G$13:$G$64,MATCH($A36,Вводные!$A$13:$A$64,0)),0))</f>
        <v>0.12</v>
      </c>
      <c r="FH36" s="32" t="n">
        <f aca="false">INDEX(Вводные!$D$13:$F$64,MATCH($A36,Вводные!$A$13:$A$64,0),MATCH(FH$3,Вводные!$D$11:$F$11,0))*(1+IF(FH$4=$A36,Вводные!$D$5*INDEX(Вводные!$G$13:$G$64,MATCH($A36,Вводные!$A$13:$A$64,0)),0))</f>
        <v>0.12</v>
      </c>
      <c r="FI36" s="32" t="n">
        <f aca="false">INDEX(Вводные!$D$13:$F$64,MATCH($A36,Вводные!$A$13:$A$64,0),MATCH(FI$3,Вводные!$D$11:$F$11,0))*(1+IF(FI$4=$A36,Вводные!$D$5*INDEX(Вводные!$G$13:$G$64,MATCH($A36,Вводные!$A$13:$A$64,0)),0))</f>
        <v>0.12</v>
      </c>
      <c r="FJ36" s="32" t="n">
        <f aca="false">INDEX(Вводные!$D$13:$F$64,MATCH($A36,Вводные!$A$13:$A$64,0),MATCH(FJ$3,Вводные!$D$11:$F$11,0))*(1+IF(FJ$4=$A36,Вводные!$D$5*INDEX(Вводные!$G$13:$G$64,MATCH($A36,Вводные!$A$13:$A$64,0)),0))</f>
        <v>0.12</v>
      </c>
      <c r="FK36" s="32" t="n">
        <f aca="false">INDEX(Вводные!$D$13:$F$64,MATCH($A36,Вводные!$A$13:$A$64,0),MATCH(FK$3,Вводные!$D$11:$F$11,0))*(1+IF(FK$4=$A36,Вводные!$D$5*INDEX(Вводные!$G$13:$G$64,MATCH($A36,Вводные!$A$13:$A$64,0)),0))</f>
        <v>0.12</v>
      </c>
      <c r="FL36" s="32" t="n">
        <f aca="false">INDEX(Вводные!$D$13:$F$64,MATCH($A36,Вводные!$A$13:$A$64,0),MATCH(FL$3,Вводные!$D$11:$F$11,0))*(1+IF(FL$4=$A36,Вводные!$D$5*INDEX(Вводные!$G$13:$G$64,MATCH($A36,Вводные!$A$13:$A$64,0)),0))</f>
        <v>0.12</v>
      </c>
      <c r="FM36" s="32" t="n">
        <f aca="false">INDEX(Вводные!$D$13:$F$64,MATCH($A36,Вводные!$A$13:$A$64,0),MATCH(FM$3,Вводные!$D$11:$F$11,0))*(1+IF(FM$4=$A36,Вводные!$D$5*INDEX(Вводные!$G$13:$G$64,MATCH($A36,Вводные!$A$13:$A$64,0)),0))</f>
        <v>0.12</v>
      </c>
      <c r="FN36" s="32" t="n">
        <f aca="false">INDEX(Вводные!$D$13:$F$64,MATCH($A36,Вводные!$A$13:$A$64,0),MATCH(FN$3,Вводные!$D$11:$F$11,0))*(1+IF(FN$4=$A36,Вводные!$D$5*INDEX(Вводные!$G$13:$G$64,MATCH($A36,Вводные!$A$13:$A$64,0)),0))</f>
        <v>0.12</v>
      </c>
      <c r="FO36" s="32" t="n">
        <f aca="false">INDEX(Вводные!$D$13:$F$64,MATCH($A36,Вводные!$A$13:$A$64,0),MATCH(FO$3,Вводные!$D$11:$F$11,0))*(1+IF(FO$4=$A36,Вводные!$D$5*INDEX(Вводные!$G$13:$G$64,MATCH($A36,Вводные!$A$13:$A$64,0)),0))</f>
        <v>0.12</v>
      </c>
      <c r="FP36" s="32" t="n">
        <f aca="false">INDEX(Вводные!$D$13:$F$64,MATCH($A36,Вводные!$A$13:$A$64,0),MATCH(FP$3,Вводные!$D$11:$F$11,0))*(1+IF(FP$4=$A36,Вводные!$D$5*INDEX(Вводные!$G$13:$G$64,MATCH($A36,Вводные!$A$13:$A$64,0)),0))</f>
        <v>0.12</v>
      </c>
      <c r="FQ36" s="32" t="n">
        <f aca="false">INDEX(Вводные!$D$13:$F$64,MATCH($A36,Вводные!$A$13:$A$64,0),MATCH(FQ$3,Вводные!$D$11:$F$11,0))*(1+IF(FQ$4=$A36,Вводные!$D$5*INDEX(Вводные!$G$13:$G$64,MATCH($A36,Вводные!$A$13:$A$64,0)),0))</f>
        <v>0.12</v>
      </c>
      <c r="FR36" s="32" t="n">
        <f aca="false">INDEX(Вводные!$D$13:$F$64,MATCH($A36,Вводные!$A$13:$A$64,0),MATCH(FR$3,Вводные!$D$11:$F$11,0))*(1+IF(FR$4=$A36,Вводные!$D$5*INDEX(Вводные!$G$13:$G$64,MATCH($A36,Вводные!$A$13:$A$64,0)),0))</f>
        <v>0.12</v>
      </c>
      <c r="FS36" s="32" t="n">
        <f aca="false">INDEX(Вводные!$D$13:$F$64,MATCH($A36,Вводные!$A$13:$A$64,0),MATCH(FS$3,Вводные!$D$11:$F$11,0))*(1+IF(FS$4=$A36,Вводные!$D$5*INDEX(Вводные!$G$13:$G$64,MATCH($A36,Вводные!$A$13:$A$64,0)),0))</f>
        <v>0.12</v>
      </c>
      <c r="FT36" s="32" t="n">
        <f aca="false">INDEX(Вводные!$D$13:$F$64,MATCH($A36,Вводные!$A$13:$A$64,0),MATCH(FT$3,Вводные!$D$11:$F$11,0))*(1+IF(FT$4=$A36,Вводные!$D$5*INDEX(Вводные!$G$13:$G$64,MATCH($A36,Вводные!$A$13:$A$64,0)),0))</f>
        <v>0.12</v>
      </c>
      <c r="FU36" s="32" t="n">
        <f aca="false">INDEX(Вводные!$D$13:$F$64,MATCH($A36,Вводные!$A$13:$A$64,0),MATCH(FU$3,Вводные!$D$11:$F$11,0))*(1+IF(FU$4=$A36,Вводные!$D$5*INDEX(Вводные!$G$13:$G$64,MATCH($A36,Вводные!$A$13:$A$64,0)),0))</f>
        <v>0.12</v>
      </c>
      <c r="FV36" s="32" t="n">
        <f aca="false">INDEX(Вводные!$D$13:$F$64,MATCH($A36,Вводные!$A$13:$A$64,0),MATCH(FV$3,Вводные!$D$11:$F$11,0))*(1+IF(FV$4=$A36,Вводные!$D$5*INDEX(Вводные!$G$13:$G$64,MATCH($A36,Вводные!$A$13:$A$64,0)),0))</f>
        <v>0.08</v>
      </c>
      <c r="FW36" s="32" t="n">
        <f aca="false">INDEX(Вводные!$D$13:$F$64,MATCH($A36,Вводные!$A$13:$A$64,0),MATCH(FW$3,Вводные!$D$11:$F$11,0))*(1+IF(FW$4=$A36,Вводные!$D$5*INDEX(Вводные!$G$13:$G$64,MATCH($A36,Вводные!$A$13:$A$64,0)),0))</f>
        <v>0.08</v>
      </c>
      <c r="FX36" s="32" t="n">
        <f aca="false">INDEX(Вводные!$D$13:$F$64,MATCH($A36,Вводные!$A$13:$A$64,0),MATCH(FX$3,Вводные!$D$11:$F$11,0))*(1+IF(FX$4=$A36,Вводные!$D$5*INDEX(Вводные!$G$13:$G$64,MATCH($A36,Вводные!$A$13:$A$64,0)),0))</f>
        <v>0.08</v>
      </c>
      <c r="FY36" s="32" t="n">
        <f aca="false">INDEX(Вводные!$D$13:$F$64,MATCH($A36,Вводные!$A$13:$A$64,0),MATCH(FY$3,Вводные!$D$11:$F$11,0))*(1+IF(FY$4=$A36,Вводные!$D$5*INDEX(Вводные!$G$13:$G$64,MATCH($A36,Вводные!$A$13:$A$64,0)),0))</f>
        <v>0.08</v>
      </c>
      <c r="FZ36" s="32" t="n">
        <f aca="false">INDEX(Вводные!$D$13:$F$64,MATCH($A36,Вводные!$A$13:$A$64,0),MATCH(FZ$3,Вводные!$D$11:$F$11,0))*(1+IF(FZ$4=$A36,Вводные!$D$5*INDEX(Вводные!$G$13:$G$64,MATCH($A36,Вводные!$A$13:$A$64,0)),0))</f>
        <v>0.08</v>
      </c>
      <c r="GA36" s="32" t="n">
        <f aca="false">INDEX(Вводные!$D$13:$F$64,MATCH($A36,Вводные!$A$13:$A$64,0),MATCH(GA$3,Вводные!$D$11:$F$11,0))*(1+IF(GA$4=$A36,Вводные!$D$5*INDEX(Вводные!$G$13:$G$64,MATCH($A36,Вводные!$A$13:$A$64,0)),0))</f>
        <v>0.08</v>
      </c>
      <c r="GB36" s="32" t="n">
        <f aca="false">INDEX(Вводные!$D$13:$F$64,MATCH($A36,Вводные!$A$13:$A$64,0),MATCH(GB$3,Вводные!$D$11:$F$11,0))*(1+IF(GB$4=$A36,Вводные!$D$5*INDEX(Вводные!$G$13:$G$64,MATCH($A36,Вводные!$A$13:$A$64,0)),0))</f>
        <v>0.08</v>
      </c>
      <c r="GC36" s="32" t="n">
        <f aca="false">INDEX(Вводные!$D$13:$F$64,MATCH($A36,Вводные!$A$13:$A$64,0),MATCH(GC$3,Вводные!$D$11:$F$11,0))*(1+IF(GC$4=$A36,Вводные!$D$5*INDEX(Вводные!$G$13:$G$64,MATCH($A36,Вводные!$A$13:$A$64,0)),0))</f>
        <v>0.08</v>
      </c>
      <c r="GD36" s="32" t="n">
        <f aca="false">INDEX(Вводные!$D$13:$F$64,MATCH($A36,Вводные!$A$13:$A$64,0),MATCH(GD$3,Вводные!$D$11:$F$11,0))*(1+IF(GD$4=$A36,Вводные!$D$5*INDEX(Вводные!$G$13:$G$64,MATCH($A36,Вводные!$A$13:$A$64,0)),0))</f>
        <v>0.08</v>
      </c>
      <c r="GE36" s="32" t="n">
        <f aca="false">INDEX(Вводные!$D$13:$F$64,MATCH($A36,Вводные!$A$13:$A$64,0),MATCH(GE$3,Вводные!$D$11:$F$11,0))*(1+IF(GE$4=$A36,Вводные!$D$5*INDEX(Вводные!$G$13:$G$64,MATCH($A36,Вводные!$A$13:$A$64,0)),0))</f>
        <v>0.08</v>
      </c>
      <c r="GF36" s="32" t="n">
        <f aca="false">INDEX(Вводные!$D$13:$F$64,MATCH($A36,Вводные!$A$13:$A$64,0),MATCH(GF$3,Вводные!$D$11:$F$11,0))*(1+IF(GF$4=$A36,Вводные!$D$5*INDEX(Вводные!$G$13:$G$64,MATCH($A36,Вводные!$A$13:$A$64,0)),0))</f>
        <v>0.08</v>
      </c>
      <c r="GG36" s="32" t="n">
        <f aca="false">INDEX(Вводные!$D$13:$F$64,MATCH($A36,Вводные!$A$13:$A$64,0),MATCH(GG$3,Вводные!$D$11:$F$11,0))*(1+IF(GG$4=$A36,Вводные!$D$5*INDEX(Вводные!$G$13:$G$64,MATCH($A36,Вводные!$A$13:$A$64,0)),0))</f>
        <v>0.0808</v>
      </c>
      <c r="GH36" s="32" t="n">
        <f aca="false">INDEX(Вводные!$D$13:$F$64,MATCH($A36,Вводные!$A$13:$A$64,0),MATCH(GH$3,Вводные!$D$11:$F$11,0))*(1+IF(GH$4=$A36,Вводные!$D$5*INDEX(Вводные!$G$13:$G$64,MATCH($A36,Вводные!$A$13:$A$64,0)),0))</f>
        <v>0.08</v>
      </c>
      <c r="GI36" s="32" t="n">
        <f aca="false">INDEX(Вводные!$D$13:$F$64,MATCH($A36,Вводные!$A$13:$A$64,0),MATCH(GI$3,Вводные!$D$11:$F$11,0))*(1+IF(GI$4=$A36,Вводные!$D$5*INDEX(Вводные!$G$13:$G$64,MATCH($A36,Вводные!$A$13:$A$64,0)),0))</f>
        <v>0.08</v>
      </c>
      <c r="GJ36" s="32" t="n">
        <f aca="false">INDEX(Вводные!$D$13:$F$64,MATCH($A36,Вводные!$A$13:$A$64,0),MATCH(GJ$3,Вводные!$D$11:$F$11,0))*(1+IF(GJ$4=$A36,Вводные!$D$5*INDEX(Вводные!$G$13:$G$64,MATCH($A36,Вводные!$A$13:$A$64,0)),0))</f>
        <v>0.08</v>
      </c>
      <c r="GK36" s="32" t="n">
        <f aca="false">INDEX(Вводные!$D$13:$F$64,MATCH($A36,Вводные!$A$13:$A$64,0),MATCH(GK$3,Вводные!$D$11:$F$11,0))*(1+IF(GK$4=$A36,Вводные!$D$5*INDEX(Вводные!$G$13:$G$64,MATCH($A36,Вводные!$A$13:$A$64,0)),0))</f>
        <v>0.08</v>
      </c>
      <c r="GL36" s="32" t="n">
        <f aca="false">INDEX(Вводные!$D$13:$F$64,MATCH($A36,Вводные!$A$13:$A$64,0),MATCH(GL$3,Вводные!$D$11:$F$11,0))*(1+IF(GL$4=$A36,Вводные!$D$5*INDEX(Вводные!$G$13:$G$64,MATCH($A36,Вводные!$A$13:$A$64,0)),0))</f>
        <v>0.08</v>
      </c>
      <c r="GM36" s="32" t="n">
        <f aca="false">INDEX(Вводные!$D$13:$F$64,MATCH($A36,Вводные!$A$13:$A$64,0),MATCH(GM$3,Вводные!$D$11:$F$11,0))*(1+IF(GM$4=$A36,Вводные!$D$5*INDEX(Вводные!$G$13:$G$64,MATCH($A36,Вводные!$A$13:$A$64,0)),0))</f>
        <v>0.08</v>
      </c>
      <c r="GN36" s="32" t="n">
        <f aca="false">INDEX(Вводные!$D$13:$F$64,MATCH($A36,Вводные!$A$13:$A$64,0),MATCH(GN$3,Вводные!$D$11:$F$11,0))*(1+IF(GN$4=$A36,Вводные!$D$5*INDEX(Вводные!$G$13:$G$64,MATCH($A36,Вводные!$A$13:$A$64,0)),0))</f>
        <v>0.08</v>
      </c>
      <c r="GO36" s="32" t="n">
        <f aca="false">INDEX(Вводные!$D$13:$F$64,MATCH($A36,Вводные!$A$13:$A$64,0),MATCH(GO$3,Вводные!$D$11:$F$11,0))*(1+IF(GO$4=$A36,Вводные!$D$5*INDEX(Вводные!$G$13:$G$64,MATCH($A36,Вводные!$A$13:$A$64,0)),0))</f>
        <v>0.08</v>
      </c>
      <c r="GP36" s="32" t="n">
        <f aca="false">INDEX(Вводные!$D$13:$F$64,MATCH($A36,Вводные!$A$13:$A$64,0),MATCH(GP$3,Вводные!$D$11:$F$11,0))*(1+IF(GP$4=$A36,Вводные!$D$5*INDEX(Вводные!$G$13:$G$64,MATCH($A36,Вводные!$A$13:$A$64,0)),0))</f>
        <v>0.08</v>
      </c>
      <c r="GQ36" s="32" t="n">
        <f aca="false">INDEX(Вводные!$D$13:$F$64,MATCH($A36,Вводные!$A$13:$A$64,0),MATCH(GQ$3,Вводные!$D$11:$F$11,0))*(1+IF(GQ$4=$A36,Вводные!$D$5*INDEX(Вводные!$G$13:$G$64,MATCH($A36,Вводные!$A$13:$A$64,0)),0))</f>
        <v>0.08</v>
      </c>
      <c r="GR36" s="32" t="n">
        <f aca="false">INDEX(Вводные!$D$13:$F$64,MATCH($A36,Вводные!$A$13:$A$64,0),MATCH(GR$3,Вводные!$D$11:$F$11,0))*(1+IF(GR$4=$A36,Вводные!$D$5*INDEX(Вводные!$G$13:$G$64,MATCH($A36,Вводные!$A$13:$A$64,0)),0))</f>
        <v>0.08</v>
      </c>
      <c r="GS36" s="32" t="n">
        <f aca="false">INDEX(Вводные!$D$13:$F$64,MATCH($A36,Вводные!$A$13:$A$64,0),MATCH(GS$3,Вводные!$D$11:$F$11,0))*(1+IF(GS$4=$A36,Вводные!$D$5*INDEX(Вводные!$G$13:$G$64,MATCH($A36,Вводные!$A$13:$A$64,0)),0))</f>
        <v>0.08</v>
      </c>
      <c r="GT36" s="32" t="n">
        <f aca="false">INDEX(Вводные!$D$13:$F$64,MATCH($A36,Вводные!$A$13:$A$64,0),MATCH(GT$3,Вводные!$D$11:$F$11,0))*(1+IF(GT$4=$A36,Вводные!$D$5*INDEX(Вводные!$G$13:$G$64,MATCH($A36,Вводные!$A$13:$A$64,0)),0))</f>
        <v>0.08</v>
      </c>
      <c r="GU36" s="32" t="n">
        <f aca="false">INDEX(Вводные!$D$13:$F$64,MATCH($A36,Вводные!$A$13:$A$64,0),MATCH(GU$3,Вводные!$D$11:$F$11,0))*(1+IF(GU$4=$A36,Вводные!$D$5*INDEX(Вводные!$G$13:$G$64,MATCH($A36,Вводные!$A$13:$A$64,0)),0))</f>
        <v>0.08</v>
      </c>
      <c r="GV36" s="32" t="n">
        <f aca="false">INDEX(Вводные!$D$13:$F$64,MATCH($A36,Вводные!$A$13:$A$64,0),MATCH(GV$3,Вводные!$D$11:$F$11,0))*(1+IF(GV$4=$A36,Вводные!$D$5*INDEX(Вводные!$G$13:$G$64,MATCH($A36,Вводные!$A$13:$A$64,0)),0))</f>
        <v>0.08</v>
      </c>
      <c r="GW36" s="32" t="n">
        <f aca="false">INDEX(Вводные!$D$13:$F$64,MATCH($A36,Вводные!$A$13:$A$64,0),MATCH(GW$3,Вводные!$D$11:$F$11,0))*(1+IF(GW$4=$A36,Вводные!$D$5*INDEX(Вводные!$G$13:$G$64,MATCH($A36,Вводные!$A$13:$A$64,0)),0))</f>
        <v>0.08</v>
      </c>
      <c r="GX36" s="32" t="n">
        <f aca="false">INDEX(Вводные!$D$13:$F$64,MATCH($A36,Вводные!$A$13:$A$64,0),MATCH(GX$3,Вводные!$D$11:$F$11,0))*(1+IF(GX$4=$A36,Вводные!$D$5*INDEX(Вводные!$G$13:$G$64,MATCH($A36,Вводные!$A$13:$A$64,0)),0))</f>
        <v>0.08</v>
      </c>
      <c r="GY36" s="32" t="n">
        <f aca="false">INDEX(Вводные!$D$13:$F$64,MATCH($A36,Вводные!$A$13:$A$64,0),MATCH(GY$3,Вводные!$D$11:$F$11,0))*(1+IF(GY$4=$A36,Вводные!$D$5*INDEX(Вводные!$G$13:$G$64,MATCH($A36,Вводные!$A$13:$A$64,0)),0))</f>
        <v>0.08</v>
      </c>
      <c r="GZ36" s="32" t="n">
        <f aca="false">INDEX(Вводные!$D$13:$F$64,MATCH($A36,Вводные!$A$13:$A$64,0),MATCH(GZ$3,Вводные!$D$11:$F$11,0))*(1+IF(GZ$4=$A36,Вводные!$D$5*INDEX(Вводные!$G$13:$G$64,MATCH($A36,Вводные!$A$13:$A$64,0)),0))</f>
        <v>0.08</v>
      </c>
      <c r="HA36" s="32" t="n">
        <f aca="false">INDEX(Вводные!$D$13:$F$64,MATCH($A36,Вводные!$A$13:$A$64,0),MATCH(HA$3,Вводные!$D$11:$F$11,0))*(1+IF(HA$4=$A36,Вводные!$D$5*INDEX(Вводные!$G$13:$G$64,MATCH($A36,Вводные!$A$13:$A$64,0)),0))</f>
        <v>0.08</v>
      </c>
      <c r="HB36" s="32" t="n">
        <f aca="false">INDEX(Вводные!$D$13:$F$64,MATCH($A36,Вводные!$A$13:$A$64,0),MATCH(HB$3,Вводные!$D$11:$F$11,0))*(1+IF(HB$4=$A36,Вводные!$D$5*INDEX(Вводные!$G$13:$G$64,MATCH($A36,Вводные!$A$13:$A$64,0)),0))</f>
        <v>0.08</v>
      </c>
      <c r="HC36" s="32" t="n">
        <f aca="false">INDEX(Вводные!$D$13:$F$64,MATCH($A36,Вводные!$A$13:$A$64,0),MATCH(HC$3,Вводные!$D$11:$F$11,0))*(1+IF(HC$4=$A36,Вводные!$D$5*INDEX(Вводные!$G$13:$G$64,MATCH($A36,Вводные!$A$13:$A$64,0)),0))</f>
        <v>0.08</v>
      </c>
      <c r="HD36" s="32" t="n">
        <f aca="false">INDEX(Вводные!$D$13:$F$64,MATCH($A36,Вводные!$A$13:$A$64,0),MATCH(HD$3,Вводные!$D$11:$F$11,0))*(1+IF(HD$4=$A36,Вводные!$D$5*INDEX(Вводные!$G$13:$G$64,MATCH($A36,Вводные!$A$13:$A$64,0)),0))</f>
        <v>0.08</v>
      </c>
      <c r="HE36" s="32" t="n">
        <f aca="false">INDEX(Вводные!$D$13:$F$64,MATCH($A36,Вводные!$A$13:$A$64,0),MATCH(HE$3,Вводные!$D$11:$F$11,0))*(1+IF(HE$4=$A36,Вводные!$D$5*INDEX(Вводные!$G$13:$G$64,MATCH($A36,Вводные!$A$13:$A$64,0)),0))</f>
        <v>0.08</v>
      </c>
      <c r="HF36" s="32" t="n">
        <f aca="false">INDEX(Вводные!$D$13:$F$64,MATCH($A36,Вводные!$A$13:$A$64,0),MATCH(HF$3,Вводные!$D$11:$F$11,0))*(1+IF(HF$4=$A36,Вводные!$D$5*INDEX(Вводные!$G$13:$G$64,MATCH($A36,Вводные!$A$13:$A$64,0)),0))</f>
        <v>0.08</v>
      </c>
      <c r="HG36" s="32" t="n">
        <f aca="false">INDEX(Вводные!$D$13:$F$64,MATCH($A36,Вводные!$A$13:$A$64,0),MATCH(HG$3,Вводные!$D$11:$F$11,0))*(1+IF(HG$4=$A36,Вводные!$D$5*INDEX(Вводные!$G$13:$G$64,MATCH($A36,Вводные!$A$13:$A$64,0)),0))</f>
        <v>0.08</v>
      </c>
      <c r="HH36" s="32" t="n">
        <f aca="false">INDEX(Вводные!$D$13:$F$64,MATCH($A36,Вводные!$A$13:$A$64,0),MATCH(HH$3,Вводные!$D$11:$F$11,0))*(1+IF(HH$4=$A36,Вводные!$D$5*INDEX(Вводные!$G$13:$G$64,MATCH($A36,Вводные!$A$13:$A$64,0)),0))</f>
        <v>0.08</v>
      </c>
      <c r="HI36" s="32" t="n">
        <f aca="false">INDEX(Вводные!$D$13:$F$64,MATCH($A36,Вводные!$A$13:$A$64,0),MATCH(HI$3,Вводные!$D$11:$F$11,0))*(1+IF(HI$4=$A36,Вводные!$D$5*INDEX(Вводные!$G$13:$G$64,MATCH($A36,Вводные!$A$13:$A$64,0)),0))</f>
        <v>0.08</v>
      </c>
      <c r="HJ36" s="32" t="n">
        <f aca="false">INDEX(Вводные!$D$13:$F$64,MATCH($A36,Вводные!$A$13:$A$64,0),MATCH(HJ$3,Вводные!$D$11:$F$11,0))*(1+IF(HJ$4=$A36,Вводные!$D$5*INDEX(Вводные!$G$13:$G$64,MATCH($A36,Вводные!$A$13:$A$64,0)),0))</f>
        <v>0.08</v>
      </c>
      <c r="HK36" s="32" t="n">
        <f aca="false">INDEX(Вводные!$D$13:$F$64,MATCH($A36,Вводные!$A$13:$A$64,0),MATCH(HK$3,Вводные!$D$11:$F$11,0))*(1+IF(HK$4=$A36,Вводные!$D$5*INDEX(Вводные!$G$13:$G$64,MATCH($A36,Вводные!$A$13:$A$64,0)),0))</f>
        <v>0.08</v>
      </c>
      <c r="HL36" s="32" t="n">
        <f aca="false">INDEX(Вводные!$D$13:$F$64,MATCH($A36,Вводные!$A$13:$A$64,0),MATCH(HL$3,Вводные!$D$11:$F$11,0))*(1+IF(HL$4=$A36,Вводные!$D$5*INDEX(Вводные!$G$13:$G$64,MATCH($A36,Вводные!$A$13:$A$64,0)),0))</f>
        <v>0.05</v>
      </c>
      <c r="HM36" s="32" t="n">
        <f aca="false">INDEX(Вводные!$D$13:$F$64,MATCH($A36,Вводные!$A$13:$A$64,0),MATCH(HM$3,Вводные!$D$11:$F$11,0))*(1+IF(HM$4=$A36,Вводные!$D$5*INDEX(Вводные!$G$13:$G$64,MATCH($A36,Вводные!$A$13:$A$64,0)),0))</f>
        <v>0.05</v>
      </c>
      <c r="HN36" s="32" t="n">
        <f aca="false">INDEX(Вводные!$D$13:$F$64,MATCH($A36,Вводные!$A$13:$A$64,0),MATCH(HN$3,Вводные!$D$11:$F$11,0))*(1+IF(HN$4=$A36,Вводные!$D$5*INDEX(Вводные!$G$13:$G$64,MATCH($A36,Вводные!$A$13:$A$64,0)),0))</f>
        <v>0.05</v>
      </c>
      <c r="HO36" s="32" t="n">
        <f aca="false">INDEX(Вводные!$D$13:$F$64,MATCH($A36,Вводные!$A$13:$A$64,0),MATCH(HO$3,Вводные!$D$11:$F$11,0))*(1+IF(HO$4=$A36,Вводные!$D$5*INDEX(Вводные!$G$13:$G$64,MATCH($A36,Вводные!$A$13:$A$64,0)),0))</f>
        <v>0.05</v>
      </c>
      <c r="HP36" s="32" t="n">
        <f aca="false">INDEX(Вводные!$D$13:$F$64,MATCH($A36,Вводные!$A$13:$A$64,0),MATCH(HP$3,Вводные!$D$11:$F$11,0))*(1+IF(HP$4=$A36,Вводные!$D$5*INDEX(Вводные!$G$13:$G$64,MATCH($A36,Вводные!$A$13:$A$64,0)),0))</f>
        <v>0.05</v>
      </c>
      <c r="HQ36" s="32" t="n">
        <f aca="false">INDEX(Вводные!$D$13:$F$64,MATCH($A36,Вводные!$A$13:$A$64,0),MATCH(HQ$3,Вводные!$D$11:$F$11,0))*(1+IF(HQ$4=$A36,Вводные!$D$5*INDEX(Вводные!$G$13:$G$64,MATCH($A36,Вводные!$A$13:$A$64,0)),0))</f>
        <v>0.05</v>
      </c>
      <c r="HR36" s="32" t="n">
        <f aca="false">INDEX(Вводные!$D$13:$F$64,MATCH($A36,Вводные!$A$13:$A$64,0),MATCH(HR$3,Вводные!$D$11:$F$11,0))*(1+IF(HR$4=$A36,Вводные!$D$5*INDEX(Вводные!$G$13:$G$64,MATCH($A36,Вводные!$A$13:$A$64,0)),0))</f>
        <v>0.05</v>
      </c>
      <c r="HS36" s="32" t="n">
        <f aca="false">INDEX(Вводные!$D$13:$F$64,MATCH($A36,Вводные!$A$13:$A$64,0),MATCH(HS$3,Вводные!$D$11:$F$11,0))*(1+IF(HS$4=$A36,Вводные!$D$5*INDEX(Вводные!$G$13:$G$64,MATCH($A36,Вводные!$A$13:$A$64,0)),0))</f>
        <v>0.05</v>
      </c>
      <c r="HT36" s="32" t="n">
        <f aca="false">INDEX(Вводные!$D$13:$F$64,MATCH($A36,Вводные!$A$13:$A$64,0),MATCH(HT$3,Вводные!$D$11:$F$11,0))*(1+IF(HT$4=$A36,Вводные!$D$5*INDEX(Вводные!$G$13:$G$64,MATCH($A36,Вводные!$A$13:$A$64,0)),0))</f>
        <v>0.05</v>
      </c>
      <c r="HU36" s="32" t="n">
        <f aca="false">INDEX(Вводные!$D$13:$F$64,MATCH($A36,Вводные!$A$13:$A$64,0),MATCH(HU$3,Вводные!$D$11:$F$11,0))*(1+IF(HU$4=$A36,Вводные!$D$5*INDEX(Вводные!$G$13:$G$64,MATCH($A36,Вводные!$A$13:$A$64,0)),0))</f>
        <v>0.05</v>
      </c>
      <c r="HV36" s="32" t="n">
        <f aca="false">INDEX(Вводные!$D$13:$F$64,MATCH($A36,Вводные!$A$13:$A$64,0),MATCH(HV$3,Вводные!$D$11:$F$11,0))*(1+IF(HV$4=$A36,Вводные!$D$5*INDEX(Вводные!$G$13:$G$64,MATCH($A36,Вводные!$A$13:$A$64,0)),0))</f>
        <v>0.05</v>
      </c>
      <c r="HW36" s="32" t="n">
        <f aca="false">INDEX(Вводные!$D$13:$F$64,MATCH($A36,Вводные!$A$13:$A$64,0),MATCH(HW$3,Вводные!$D$11:$F$11,0))*(1+IF(HW$4=$A36,Вводные!$D$5*INDEX(Вводные!$G$13:$G$64,MATCH($A36,Вводные!$A$13:$A$64,0)),0))</f>
        <v>0.0505</v>
      </c>
      <c r="HX36" s="32" t="n">
        <f aca="false">INDEX(Вводные!$D$13:$F$64,MATCH($A36,Вводные!$A$13:$A$64,0),MATCH(HX$3,Вводные!$D$11:$F$11,0))*(1+IF(HX$4=$A36,Вводные!$D$5*INDEX(Вводные!$G$13:$G$64,MATCH($A36,Вводные!$A$13:$A$64,0)),0))</f>
        <v>0.05</v>
      </c>
      <c r="HY36" s="32" t="n">
        <f aca="false">INDEX(Вводные!$D$13:$F$64,MATCH($A36,Вводные!$A$13:$A$64,0),MATCH(HY$3,Вводные!$D$11:$F$11,0))*(1+IF(HY$4=$A36,Вводные!$D$5*INDEX(Вводные!$G$13:$G$64,MATCH($A36,Вводные!$A$13:$A$64,0)),0))</f>
        <v>0.05</v>
      </c>
      <c r="HZ36" s="32" t="n">
        <f aca="false">INDEX(Вводные!$D$13:$F$64,MATCH($A36,Вводные!$A$13:$A$64,0),MATCH(HZ$3,Вводные!$D$11:$F$11,0))*(1+IF(HZ$4=$A36,Вводные!$D$5*INDEX(Вводные!$G$13:$G$64,MATCH($A36,Вводные!$A$13:$A$64,0)),0))</f>
        <v>0.05</v>
      </c>
      <c r="IA36" s="32" t="n">
        <f aca="false">INDEX(Вводные!$D$13:$F$64,MATCH($A36,Вводные!$A$13:$A$64,0),MATCH(IA$3,Вводные!$D$11:$F$11,0))*(1+IF(IA$4=$A36,Вводные!$D$5*INDEX(Вводные!$G$13:$G$64,MATCH($A36,Вводные!$A$13:$A$64,0)),0))</f>
        <v>0.05</v>
      </c>
      <c r="IB36" s="32" t="n">
        <f aca="false">INDEX(Вводные!$D$13:$F$64,MATCH($A36,Вводные!$A$13:$A$64,0),MATCH(IB$3,Вводные!$D$11:$F$11,0))*(1+IF(IB$4=$A36,Вводные!$D$5*INDEX(Вводные!$G$13:$G$64,MATCH($A36,Вводные!$A$13:$A$64,0)),0))</f>
        <v>0.05</v>
      </c>
      <c r="IC36" s="32" t="n">
        <f aca="false">INDEX(Вводные!$D$13:$F$64,MATCH($A36,Вводные!$A$13:$A$64,0),MATCH(IC$3,Вводные!$D$11:$F$11,0))*(1+IF(IC$4=$A36,Вводные!$D$5*INDEX(Вводные!$G$13:$G$64,MATCH($A36,Вводные!$A$13:$A$64,0)),0))</f>
        <v>0.05</v>
      </c>
      <c r="ID36" s="32" t="n">
        <f aca="false">INDEX(Вводные!$D$13:$F$64,MATCH($A36,Вводные!$A$13:$A$64,0),MATCH(ID$3,Вводные!$D$11:$F$11,0))*(1+IF(ID$4=$A36,Вводные!$D$5*INDEX(Вводные!$G$13:$G$64,MATCH($A36,Вводные!$A$13:$A$64,0)),0))</f>
        <v>0.05</v>
      </c>
      <c r="IE36" s="32" t="n">
        <f aca="false">INDEX(Вводные!$D$13:$F$64,MATCH($A36,Вводные!$A$13:$A$64,0),MATCH(IE$3,Вводные!$D$11:$F$11,0))*(1+IF(IE$4=$A36,Вводные!$D$5*INDEX(Вводные!$G$13:$G$64,MATCH($A36,Вводные!$A$13:$A$64,0)),0))</f>
        <v>0.05</v>
      </c>
      <c r="IF36" s="32" t="n">
        <f aca="false">INDEX(Вводные!$D$13:$F$64,MATCH($A36,Вводные!$A$13:$A$64,0),MATCH(IF$3,Вводные!$D$11:$F$11,0))*(1+IF(IF$4=$A36,Вводные!$D$5*INDEX(Вводные!$G$13:$G$64,MATCH($A36,Вводные!$A$13:$A$64,0)),0))</f>
        <v>0.05</v>
      </c>
      <c r="IG36" s="32" t="n">
        <f aca="false">INDEX(Вводные!$D$13:$F$64,MATCH($A36,Вводные!$A$13:$A$64,0),MATCH(IG$3,Вводные!$D$11:$F$11,0))*(1+IF(IG$4=$A36,Вводные!$D$5*INDEX(Вводные!$G$13:$G$64,MATCH($A36,Вводные!$A$13:$A$64,0)),0))</f>
        <v>0.05</v>
      </c>
      <c r="IH36" s="32" t="n">
        <f aca="false">INDEX(Вводные!$D$13:$F$64,MATCH($A36,Вводные!$A$13:$A$64,0),MATCH(IH$3,Вводные!$D$11:$F$11,0))*(1+IF(IH$4=$A36,Вводные!$D$5*INDEX(Вводные!$G$13:$G$64,MATCH($A36,Вводные!$A$13:$A$64,0)),0))</f>
        <v>0.05</v>
      </c>
      <c r="II36" s="32" t="n">
        <f aca="false">INDEX(Вводные!$D$13:$F$64,MATCH($A36,Вводные!$A$13:$A$64,0),MATCH(II$3,Вводные!$D$11:$F$11,0))*(1+IF(II$4=$A36,Вводные!$D$5*INDEX(Вводные!$G$13:$G$64,MATCH($A36,Вводные!$A$13:$A$64,0)),0))</f>
        <v>0.05</v>
      </c>
      <c r="IJ36" s="32" t="n">
        <f aca="false">INDEX(Вводные!$D$13:$F$64,MATCH($A36,Вводные!$A$13:$A$64,0),MATCH(IJ$3,Вводные!$D$11:$F$11,0))*(1+IF(IJ$4=$A36,Вводные!$D$5*INDEX(Вводные!$G$13:$G$64,MATCH($A36,Вводные!$A$13:$A$64,0)),0))</f>
        <v>0.05</v>
      </c>
      <c r="IK36" s="32" t="n">
        <f aca="false">INDEX(Вводные!$D$13:$F$64,MATCH($A36,Вводные!$A$13:$A$64,0),MATCH(IK$3,Вводные!$D$11:$F$11,0))*(1+IF(IK$4=$A36,Вводные!$D$5*INDEX(Вводные!$G$13:$G$64,MATCH($A36,Вводные!$A$13:$A$64,0)),0))</f>
        <v>0.05</v>
      </c>
      <c r="IL36" s="32" t="n">
        <f aca="false">INDEX(Вводные!$D$13:$F$64,MATCH($A36,Вводные!$A$13:$A$64,0),MATCH(IL$3,Вводные!$D$11:$F$11,0))*(1+IF(IL$4=$A36,Вводные!$D$5*INDEX(Вводные!$G$13:$G$64,MATCH($A36,Вводные!$A$13:$A$64,0)),0))</f>
        <v>0.05</v>
      </c>
      <c r="IM36" s="32" t="n">
        <f aca="false">INDEX(Вводные!$D$13:$F$64,MATCH($A36,Вводные!$A$13:$A$64,0),MATCH(IM$3,Вводные!$D$11:$F$11,0))*(1+IF(IM$4=$A36,Вводные!$D$5*INDEX(Вводные!$G$13:$G$64,MATCH($A36,Вводные!$A$13:$A$64,0)),0))</f>
        <v>0.05</v>
      </c>
      <c r="IN36" s="32" t="n">
        <f aca="false">INDEX(Вводные!$D$13:$F$64,MATCH($A36,Вводные!$A$13:$A$64,0),MATCH(IN$3,Вводные!$D$11:$F$11,0))*(1+IF(IN$4=$A36,Вводные!$D$5*INDEX(Вводные!$G$13:$G$64,MATCH($A36,Вводные!$A$13:$A$64,0)),0))</f>
        <v>0.05</v>
      </c>
      <c r="IO36" s="32" t="n">
        <f aca="false">INDEX(Вводные!$D$13:$F$64,MATCH($A36,Вводные!$A$13:$A$64,0),MATCH(IO$3,Вводные!$D$11:$F$11,0))*(1+IF(IO$4=$A36,Вводные!$D$5*INDEX(Вводные!$G$13:$G$64,MATCH($A36,Вводные!$A$13:$A$64,0)),0))</f>
        <v>0.05</v>
      </c>
      <c r="IP36" s="32" t="n">
        <f aca="false">INDEX(Вводные!$D$13:$F$64,MATCH($A36,Вводные!$A$13:$A$64,0),MATCH(IP$3,Вводные!$D$11:$F$11,0))*(1+IF(IP$4=$A36,Вводные!$D$5*INDEX(Вводные!$G$13:$G$64,MATCH($A36,Вводные!$A$13:$A$64,0)),0))</f>
        <v>0.05</v>
      </c>
      <c r="IQ36" s="32" t="n">
        <f aca="false">INDEX(Вводные!$D$13:$F$64,MATCH($A36,Вводные!$A$13:$A$64,0),MATCH(IQ$3,Вводные!$D$11:$F$11,0))*(1+IF(IQ$4=$A36,Вводные!$D$5*INDEX(Вводные!$G$13:$G$64,MATCH($A36,Вводные!$A$13:$A$64,0)),0))</f>
        <v>0.05</v>
      </c>
      <c r="IR36" s="32" t="n">
        <f aca="false">INDEX(Вводные!$D$13:$F$64,MATCH($A36,Вводные!$A$13:$A$64,0),MATCH(IR$3,Вводные!$D$11:$F$11,0))*(1+IF(IR$4=$A36,Вводные!$D$5*INDEX(Вводные!$G$13:$G$64,MATCH($A36,Вводные!$A$13:$A$64,0)),0))</f>
        <v>0.05</v>
      </c>
      <c r="IS36" s="32" t="n">
        <f aca="false">INDEX(Вводные!$D$13:$F$64,MATCH($A36,Вводные!$A$13:$A$64,0),MATCH(IS$3,Вводные!$D$11:$F$11,0))*(1+IF(IS$4=$A36,Вводные!$D$5*INDEX(Вводные!$G$13:$G$64,MATCH($A36,Вводные!$A$13:$A$64,0)),0))</f>
        <v>0.05</v>
      </c>
      <c r="IT36" s="32" t="n">
        <f aca="false">INDEX(Вводные!$D$13:$F$64,MATCH($A36,Вводные!$A$13:$A$64,0),MATCH(IT$3,Вводные!$D$11:$F$11,0))*(1+IF(IT$4=$A36,Вводные!$D$5*INDEX(Вводные!$G$13:$G$64,MATCH($A36,Вводные!$A$13:$A$64,0)),0))</f>
        <v>0.05</v>
      </c>
      <c r="IU36" s="32" t="n">
        <f aca="false">INDEX(Вводные!$D$13:$F$64,MATCH($A36,Вводные!$A$13:$A$64,0),MATCH(IU$3,Вводные!$D$11:$F$11,0))*(1+IF(IU$4=$A36,Вводные!$D$5*INDEX(Вводные!$G$13:$G$64,MATCH($A36,Вводные!$A$13:$A$64,0)),0))</f>
        <v>0.05</v>
      </c>
      <c r="IV36" s="32" t="n">
        <f aca="false">INDEX(Вводные!$D$13:$F$64,MATCH($A36,Вводные!$A$13:$A$64,0),MATCH(IV$3,Вводные!$D$11:$F$11,0))*(1+IF(IV$4=$A36,Вводные!$D$5*INDEX(Вводные!$G$13:$G$64,MATCH($A36,Вводные!$A$13:$A$64,0)),0))</f>
        <v>0.05</v>
      </c>
      <c r="IW36" s="32" t="n">
        <f aca="false">INDEX(Вводные!$D$13:$F$64,MATCH($A36,Вводные!$A$13:$A$64,0),MATCH(IW$3,Вводные!$D$11:$F$11,0))*(1+IF(IW$4=$A36,Вводные!$D$5*INDEX(Вводные!$G$13:$G$64,MATCH($A36,Вводные!$A$13:$A$64,0)),0))</f>
        <v>0.05</v>
      </c>
      <c r="IX36" s="32" t="n">
        <f aca="false">INDEX(Вводные!$D$13:$F$64,MATCH($A36,Вводные!$A$13:$A$64,0),MATCH(IX$3,Вводные!$D$11:$F$11,0))*(1+IF(IX$4=$A36,Вводные!$D$5*INDEX(Вводные!$G$13:$G$64,MATCH($A36,Вводные!$A$13:$A$64,0)),0))</f>
        <v>0.05</v>
      </c>
      <c r="IY36" s="32" t="n">
        <f aca="false">INDEX(Вводные!$D$13:$F$64,MATCH($A36,Вводные!$A$13:$A$64,0),MATCH(IY$3,Вводные!$D$11:$F$11,0))*(1+IF(IY$4=$A36,Вводные!$D$5*INDEX(Вводные!$G$13:$G$64,MATCH($A36,Вводные!$A$13:$A$64,0)),0))</f>
        <v>0.05</v>
      </c>
      <c r="IZ36" s="32" t="n">
        <f aca="false">INDEX(Вводные!$D$13:$F$64,MATCH($A36,Вводные!$A$13:$A$64,0),MATCH(IZ$3,Вводные!$D$11:$F$11,0))*(1+IF(IZ$4=$A36,Вводные!$D$5*INDEX(Вводные!$G$13:$G$64,MATCH($A36,Вводные!$A$13:$A$64,0)),0))</f>
        <v>0.05</v>
      </c>
      <c r="JA36" s="32" t="n">
        <f aca="false">INDEX(Вводные!$D$13:$F$64,MATCH($A36,Вводные!$A$13:$A$64,0),MATCH(JA$3,Вводные!$D$11:$F$11,0))*(1+IF(JA$4=$A36,Вводные!$D$5*INDEX(Вводные!$G$13:$G$64,MATCH($A36,Вводные!$A$13:$A$64,0)),0))</f>
        <v>0.05</v>
      </c>
    </row>
    <row r="37" customFormat="false" ht="15" hidden="false" customHeight="false" outlineLevel="0" collapsed="false">
      <c r="A37" s="2" t="s">
        <v>211</v>
      </c>
      <c r="B37" s="13" t="s">
        <v>212</v>
      </c>
      <c r="C37" s="13" t="s">
        <v>179</v>
      </c>
      <c r="D37" s="9" t="s">
        <v>213</v>
      </c>
      <c r="E37" s="59" t="n">
        <f aca="false">E19*E36</f>
        <v>486840000</v>
      </c>
      <c r="F37" s="59" t="n">
        <f aca="false">F19*F36</f>
        <v>241760000</v>
      </c>
      <c r="G37" s="59" t="n">
        <f aca="false">G19*G36</f>
        <v>502500000</v>
      </c>
      <c r="H37" s="59" t="n">
        <f aca="false">SUM(E37:G37)</f>
        <v>1231100000</v>
      </c>
      <c r="J37" s="59" t="n">
        <f aca="false">J19*J36</f>
        <v>486840000</v>
      </c>
      <c r="K37" s="59" t="n">
        <f aca="false">K19*K36</f>
        <v>487196400</v>
      </c>
      <c r="L37" s="59" t="n">
        <f aca="false">L19*L36</f>
        <v>487196400</v>
      </c>
      <c r="M37" s="59" t="n">
        <f aca="false">M19*M36</f>
        <v>487196400</v>
      </c>
      <c r="N37" s="59" t="n">
        <f aca="false">N19*N36</f>
        <v>487128000</v>
      </c>
      <c r="O37" s="59" t="n">
        <f aca="false">O19*O36</f>
        <v>486840000</v>
      </c>
      <c r="P37" s="59" t="n">
        <f aca="false">P19*P36</f>
        <v>486840000</v>
      </c>
      <c r="Q37" s="59" t="n">
        <f aca="false">Q19*Q36</f>
        <v>486840000</v>
      </c>
      <c r="R37" s="59" t="n">
        <f aca="false">R19*R36</f>
        <v>486840000</v>
      </c>
      <c r="S37" s="59" t="n">
        <f aca="false">S19*S36</f>
        <v>486840000</v>
      </c>
      <c r="T37" s="59" t="n">
        <f aca="false">T19*T36</f>
        <v>491708400</v>
      </c>
      <c r="U37" s="59" t="n">
        <f aca="false">U19*U36</f>
        <v>491708400</v>
      </c>
      <c r="V37" s="59" t="n">
        <f aca="false">V19*V36</f>
        <v>486840000</v>
      </c>
      <c r="W37" s="59" t="n">
        <f aca="false">W19*W36</f>
        <v>486840000</v>
      </c>
      <c r="X37" s="59" t="n">
        <f aca="false">X19*X36</f>
        <v>486840000</v>
      </c>
      <c r="Y37" s="59" t="n">
        <f aca="false">Y19*Y36</f>
        <v>486840000</v>
      </c>
      <c r="Z37" s="59" t="n">
        <f aca="false">Z19*Z36</f>
        <v>486840000</v>
      </c>
      <c r="AA37" s="59" t="n">
        <f aca="false">AA19*AA36</f>
        <v>486840000</v>
      </c>
      <c r="AB37" s="59" t="n">
        <f aca="false">AB19*AB36</f>
        <v>486840000</v>
      </c>
      <c r="AC37" s="59" t="n">
        <f aca="false">AC19*AC36</f>
        <v>486840000</v>
      </c>
      <c r="AD37" s="59" t="n">
        <f aca="false">AD19*AD36</f>
        <v>486840000</v>
      </c>
      <c r="AE37" s="59" t="n">
        <f aca="false">AE19*AE36</f>
        <v>486840000</v>
      </c>
      <c r="AF37" s="59" t="n">
        <f aca="false">AF19*AF36</f>
        <v>486840000</v>
      </c>
      <c r="AG37" s="59" t="n">
        <f aca="false">AG19*AG36</f>
        <v>486840000</v>
      </c>
      <c r="AH37" s="59" t="n">
        <f aca="false">AH19*AH36</f>
        <v>486840000</v>
      </c>
      <c r="AI37" s="59" t="n">
        <f aca="false">AI19*AI36</f>
        <v>486840000</v>
      </c>
      <c r="AJ37" s="59" t="n">
        <f aca="false">AJ19*AJ36</f>
        <v>486840000</v>
      </c>
      <c r="AK37" s="59" t="n">
        <f aca="false">AK19*AK36</f>
        <v>486840000</v>
      </c>
      <c r="AL37" s="59" t="n">
        <f aca="false">AL19*AL36</f>
        <v>486840000</v>
      </c>
      <c r="AM37" s="59" t="n">
        <f aca="false">AM19*AM36</f>
        <v>486840000</v>
      </c>
      <c r="AN37" s="59" t="n">
        <f aca="false">AN19*AN36</f>
        <v>486840000</v>
      </c>
      <c r="AO37" s="59" t="n">
        <f aca="false">AO19*AO36</f>
        <v>486840000</v>
      </c>
      <c r="AP37" s="59" t="n">
        <f aca="false">AP19*AP36</f>
        <v>486840000</v>
      </c>
      <c r="AQ37" s="59" t="n">
        <f aca="false">AQ19*AQ36</f>
        <v>486840000</v>
      </c>
      <c r="AR37" s="59" t="n">
        <f aca="false">AR19*AR36</f>
        <v>486840000</v>
      </c>
      <c r="AS37" s="59" t="n">
        <f aca="false">AS19*AS36</f>
        <v>486840000</v>
      </c>
      <c r="AT37" s="59" t="n">
        <f aca="false">AT19*AT36</f>
        <v>486840000</v>
      </c>
      <c r="AU37" s="59" t="n">
        <f aca="false">AU19*AU36</f>
        <v>486840000</v>
      </c>
      <c r="AV37" s="59" t="n">
        <f aca="false">AV19*AV36</f>
        <v>486840000</v>
      </c>
      <c r="AW37" s="59" t="n">
        <f aca="false">AW19*AW36</f>
        <v>486840000</v>
      </c>
      <c r="AX37" s="59" t="n">
        <f aca="false">AX19*AX36</f>
        <v>486840000</v>
      </c>
      <c r="AY37" s="59" t="n">
        <f aca="false">AY19*AY36</f>
        <v>486840000</v>
      </c>
      <c r="AZ37" s="59" t="n">
        <f aca="false">AZ19*AZ36</f>
        <v>241760000</v>
      </c>
      <c r="BA37" s="59" t="n">
        <f aca="false">BA19*BA36</f>
        <v>241849600</v>
      </c>
      <c r="BB37" s="59" t="n">
        <f aca="false">BB19*BB36</f>
        <v>241849600</v>
      </c>
      <c r="BC37" s="59" t="n">
        <f aca="false">BC19*BC36</f>
        <v>241849600</v>
      </c>
      <c r="BD37" s="59" t="n">
        <f aca="false">BD19*BD36</f>
        <v>241832000</v>
      </c>
      <c r="BE37" s="59" t="n">
        <f aca="false">BE19*BE36</f>
        <v>241760000</v>
      </c>
      <c r="BF37" s="59" t="n">
        <f aca="false">BF19*BF36</f>
        <v>241760000</v>
      </c>
      <c r="BG37" s="59" t="n">
        <f aca="false">BG19*BG36</f>
        <v>241760000</v>
      </c>
      <c r="BH37" s="59" t="n">
        <f aca="false">BH19*BH36</f>
        <v>241760000</v>
      </c>
      <c r="BI37" s="59" t="n">
        <f aca="false">BI19*BI36</f>
        <v>241760000</v>
      </c>
      <c r="BJ37" s="59" t="n">
        <f aca="false">BJ19*BJ36</f>
        <v>244177600</v>
      </c>
      <c r="BK37" s="59" t="n">
        <f aca="false">BK19*BK36</f>
        <v>244177600</v>
      </c>
      <c r="BL37" s="59" t="n">
        <f aca="false">BL19*BL36</f>
        <v>241760000</v>
      </c>
      <c r="BM37" s="59" t="n">
        <f aca="false">BM19*BM36</f>
        <v>241760000</v>
      </c>
      <c r="BN37" s="59" t="n">
        <f aca="false">BN19*BN36</f>
        <v>241760000</v>
      </c>
      <c r="BO37" s="59" t="n">
        <f aca="false">BO19*BO36</f>
        <v>241760000</v>
      </c>
      <c r="BP37" s="59" t="n">
        <f aca="false">BP19*BP36</f>
        <v>241760000</v>
      </c>
      <c r="BQ37" s="59" t="n">
        <f aca="false">BQ19*BQ36</f>
        <v>241760000</v>
      </c>
      <c r="BR37" s="59" t="n">
        <f aca="false">BR19*BR36</f>
        <v>241760000</v>
      </c>
      <c r="BS37" s="59" t="n">
        <f aca="false">BS19*BS36</f>
        <v>241760000</v>
      </c>
      <c r="BT37" s="59" t="n">
        <f aca="false">BT19*BT36</f>
        <v>241760000</v>
      </c>
      <c r="BU37" s="59" t="n">
        <f aca="false">BU19*BU36</f>
        <v>241760000</v>
      </c>
      <c r="BV37" s="59" t="n">
        <f aca="false">BV19*BV36</f>
        <v>241760000</v>
      </c>
      <c r="BW37" s="59" t="n">
        <f aca="false">BW19*BW36</f>
        <v>241760000</v>
      </c>
      <c r="BX37" s="59" t="n">
        <f aca="false">BX19*BX36</f>
        <v>241760000</v>
      </c>
      <c r="BY37" s="59" t="n">
        <f aca="false">BY19*BY36</f>
        <v>241760000</v>
      </c>
      <c r="BZ37" s="59" t="n">
        <f aca="false">BZ19*BZ36</f>
        <v>241760000</v>
      </c>
      <c r="CA37" s="59" t="n">
        <f aca="false">CA19*CA36</f>
        <v>241760000</v>
      </c>
      <c r="CB37" s="59" t="n">
        <f aca="false">CB19*CB36</f>
        <v>241760000</v>
      </c>
      <c r="CC37" s="59" t="n">
        <f aca="false">CC19*CC36</f>
        <v>241760000</v>
      </c>
      <c r="CD37" s="59" t="n">
        <f aca="false">CD19*CD36</f>
        <v>241760000</v>
      </c>
      <c r="CE37" s="59" t="n">
        <f aca="false">CE19*CE36</f>
        <v>241760000</v>
      </c>
      <c r="CF37" s="59" t="n">
        <f aca="false">CF19*CF36</f>
        <v>241760000</v>
      </c>
      <c r="CG37" s="59" t="n">
        <f aca="false">CG19*CG36</f>
        <v>241760000</v>
      </c>
      <c r="CH37" s="59" t="n">
        <f aca="false">CH19*CH36</f>
        <v>241760000</v>
      </c>
      <c r="CI37" s="59" t="n">
        <f aca="false">CI19*CI36</f>
        <v>241760000</v>
      </c>
      <c r="CJ37" s="59" t="n">
        <f aca="false">CJ19*CJ36</f>
        <v>241760000</v>
      </c>
      <c r="CK37" s="59" t="n">
        <f aca="false">CK19*CK36</f>
        <v>241760000</v>
      </c>
      <c r="CL37" s="59" t="n">
        <f aca="false">CL19*CL36</f>
        <v>241760000</v>
      </c>
      <c r="CM37" s="59" t="n">
        <f aca="false">CM19*CM36</f>
        <v>241760000</v>
      </c>
      <c r="CN37" s="59" t="n">
        <f aca="false">CN19*CN36</f>
        <v>241760000</v>
      </c>
      <c r="CO37" s="59" t="n">
        <f aca="false">CO19*CO36</f>
        <v>241760000</v>
      </c>
      <c r="CP37" s="59" t="n">
        <f aca="false">CP19*CP36</f>
        <v>502500000</v>
      </c>
      <c r="CQ37" s="59" t="n">
        <f aca="false">CQ19*CQ36</f>
        <v>502725000</v>
      </c>
      <c r="CR37" s="59" t="n">
        <f aca="false">CR19*CR36</f>
        <v>502725000</v>
      </c>
      <c r="CS37" s="59" t="n">
        <f aca="false">CS19*CS36</f>
        <v>502725000</v>
      </c>
      <c r="CT37" s="59" t="n">
        <f aca="false">CT19*CT36</f>
        <v>502700000</v>
      </c>
      <c r="CU37" s="59" t="n">
        <f aca="false">CU19*CU36</f>
        <v>502500000</v>
      </c>
      <c r="CV37" s="59" t="n">
        <f aca="false">CV19*CV36</f>
        <v>502500000</v>
      </c>
      <c r="CW37" s="59" t="n">
        <f aca="false">CW19*CW36</f>
        <v>502500000</v>
      </c>
      <c r="CX37" s="59" t="n">
        <f aca="false">CX19*CX36</f>
        <v>502500000</v>
      </c>
      <c r="CY37" s="59" t="n">
        <f aca="false">CY19*CY36</f>
        <v>502500000</v>
      </c>
      <c r="CZ37" s="59" t="n">
        <f aca="false">CZ19*CZ36</f>
        <v>507525000</v>
      </c>
      <c r="DA37" s="59" t="n">
        <f aca="false">DA19*DA36</f>
        <v>507525000</v>
      </c>
      <c r="DB37" s="59" t="n">
        <f aca="false">DB19*DB36</f>
        <v>502500000</v>
      </c>
      <c r="DC37" s="59" t="n">
        <f aca="false">DC19*DC36</f>
        <v>502500000</v>
      </c>
      <c r="DD37" s="59" t="n">
        <f aca="false">DD19*DD36</f>
        <v>502500000</v>
      </c>
      <c r="DE37" s="59" t="n">
        <f aca="false">DE19*DE36</f>
        <v>502500000</v>
      </c>
      <c r="DF37" s="59" t="n">
        <f aca="false">DF19*DF36</f>
        <v>502500000</v>
      </c>
      <c r="DG37" s="59" t="n">
        <f aca="false">DG19*DG36</f>
        <v>502500000</v>
      </c>
      <c r="DH37" s="59" t="n">
        <f aca="false">DH19*DH36</f>
        <v>502500000</v>
      </c>
      <c r="DI37" s="59" t="n">
        <f aca="false">DI19*DI36</f>
        <v>502500000</v>
      </c>
      <c r="DJ37" s="59" t="n">
        <f aca="false">DJ19*DJ36</f>
        <v>502500000</v>
      </c>
      <c r="DK37" s="59" t="n">
        <f aca="false">DK19*DK36</f>
        <v>502500000</v>
      </c>
      <c r="DL37" s="59" t="n">
        <f aca="false">DL19*DL36</f>
        <v>502500000</v>
      </c>
      <c r="DM37" s="59" t="n">
        <f aca="false">DM19*DM36</f>
        <v>502500000</v>
      </c>
      <c r="DN37" s="59" t="n">
        <f aca="false">DN19*DN36</f>
        <v>502500000</v>
      </c>
      <c r="DO37" s="59" t="n">
        <f aca="false">DO19*DO36</f>
        <v>502500000</v>
      </c>
      <c r="DP37" s="59" t="n">
        <f aca="false">DP19*DP36</f>
        <v>502500000</v>
      </c>
      <c r="DQ37" s="59" t="n">
        <f aca="false">DQ19*DQ36</f>
        <v>502500000</v>
      </c>
      <c r="DR37" s="59" t="n">
        <f aca="false">DR19*DR36</f>
        <v>502500000</v>
      </c>
      <c r="DS37" s="59" t="n">
        <f aca="false">DS19*DS36</f>
        <v>502500000</v>
      </c>
      <c r="DT37" s="59" t="n">
        <f aca="false">DT19*DT36</f>
        <v>502500000</v>
      </c>
      <c r="DU37" s="59" t="n">
        <f aca="false">DU19*DU36</f>
        <v>502500000</v>
      </c>
      <c r="DV37" s="59" t="n">
        <f aca="false">DV19*DV36</f>
        <v>502500000</v>
      </c>
      <c r="DW37" s="59" t="n">
        <f aca="false">DW19*DW36</f>
        <v>502500000</v>
      </c>
      <c r="DX37" s="59" t="n">
        <f aca="false">DX19*DX36</f>
        <v>502500000</v>
      </c>
      <c r="DY37" s="59" t="n">
        <f aca="false">DY19*DY36</f>
        <v>502500000</v>
      </c>
      <c r="DZ37" s="59" t="n">
        <f aca="false">DZ19*DZ36</f>
        <v>502500000</v>
      </c>
      <c r="EA37" s="59" t="n">
        <f aca="false">EA19*EA36</f>
        <v>502500000</v>
      </c>
      <c r="EB37" s="59" t="n">
        <f aca="false">EB19*EB36</f>
        <v>502500000</v>
      </c>
      <c r="EC37" s="59" t="n">
        <f aca="false">EC19*EC36</f>
        <v>502500000</v>
      </c>
      <c r="ED37" s="59" t="n">
        <f aca="false">ED19*ED36</f>
        <v>502500000</v>
      </c>
      <c r="EE37" s="59" t="n">
        <f aca="false">EE19*EE36</f>
        <v>502500000</v>
      </c>
      <c r="EF37" s="59" t="n">
        <f aca="false">EF19*EF36</f>
        <v>594000000</v>
      </c>
      <c r="EG37" s="59" t="n">
        <f aca="false">EG19*EG36</f>
        <v>599940000</v>
      </c>
      <c r="EH37" s="59" t="n">
        <f aca="false">EH19*EH36</f>
        <v>599940000</v>
      </c>
      <c r="EI37" s="59" t="n">
        <f aca="false">EI19*EI36</f>
        <v>599940000</v>
      </c>
      <c r="EJ37" s="59" t="n">
        <f aca="false">EJ19*EJ36</f>
        <v>600000000</v>
      </c>
      <c r="EK37" s="59" t="n">
        <f aca="false">EK19*EK36</f>
        <v>594000000</v>
      </c>
      <c r="EL37" s="59" t="n">
        <f aca="false">EL19*EL36</f>
        <v>594000000</v>
      </c>
      <c r="EM37" s="59" t="n">
        <f aca="false">EM19*EM36</f>
        <v>594000000</v>
      </c>
      <c r="EN37" s="59" t="n">
        <f aca="false">EN19*EN36</f>
        <v>594000000</v>
      </c>
      <c r="EO37" s="59" t="n">
        <f aca="false">EO19*EO36</f>
        <v>594000000</v>
      </c>
      <c r="EP37" s="59" t="n">
        <f aca="false">EP19*EP36</f>
        <v>599940000</v>
      </c>
      <c r="EQ37" s="59" t="n">
        <f aca="false">EQ19*EQ36</f>
        <v>599940000</v>
      </c>
      <c r="ER37" s="59" t="n">
        <f aca="false">ER19*ER36</f>
        <v>594000000</v>
      </c>
      <c r="ES37" s="59" t="n">
        <f aca="false">ES19*ES36</f>
        <v>594000000</v>
      </c>
      <c r="ET37" s="59" t="n">
        <f aca="false">ET19*ET36</f>
        <v>594000000</v>
      </c>
      <c r="EU37" s="59" t="n">
        <f aca="false">EU19*EU36</f>
        <v>594000000</v>
      </c>
      <c r="EV37" s="59" t="n">
        <f aca="false">EV19*EV36</f>
        <v>594000000</v>
      </c>
      <c r="EW37" s="59" t="n">
        <f aca="false">EW19*EW36</f>
        <v>594000000</v>
      </c>
      <c r="EX37" s="59" t="n">
        <f aca="false">EX19*EX36</f>
        <v>594000000</v>
      </c>
      <c r="EY37" s="59" t="n">
        <f aca="false">EY19*EY36</f>
        <v>594000000</v>
      </c>
      <c r="EZ37" s="59" t="n">
        <f aca="false">EZ19*EZ36</f>
        <v>594000000</v>
      </c>
      <c r="FA37" s="59" t="n">
        <f aca="false">FA19*FA36</f>
        <v>594000000</v>
      </c>
      <c r="FB37" s="59" t="n">
        <f aca="false">FB19*FB36</f>
        <v>594000000</v>
      </c>
      <c r="FC37" s="59" t="n">
        <f aca="false">FC19*FC36</f>
        <v>594000000</v>
      </c>
      <c r="FD37" s="59" t="n">
        <f aca="false">FD19*FD36</f>
        <v>594000000</v>
      </c>
      <c r="FE37" s="59" t="n">
        <f aca="false">FE19*FE36</f>
        <v>594000000</v>
      </c>
      <c r="FF37" s="59" t="n">
        <f aca="false">FF19*FF36</f>
        <v>594000000</v>
      </c>
      <c r="FG37" s="59" t="n">
        <f aca="false">FG19*FG36</f>
        <v>594000000</v>
      </c>
      <c r="FH37" s="59" t="n">
        <f aca="false">FH19*FH36</f>
        <v>594000000</v>
      </c>
      <c r="FI37" s="59" t="n">
        <f aca="false">FI19*FI36</f>
        <v>594000000</v>
      </c>
      <c r="FJ37" s="59" t="n">
        <f aca="false">FJ19*FJ36</f>
        <v>594000000</v>
      </c>
      <c r="FK37" s="59" t="n">
        <f aca="false">FK19*FK36</f>
        <v>594000000</v>
      </c>
      <c r="FL37" s="59" t="n">
        <f aca="false">FL19*FL36</f>
        <v>594000000</v>
      </c>
      <c r="FM37" s="59" t="n">
        <f aca="false">FM19*FM36</f>
        <v>594000000</v>
      </c>
      <c r="FN37" s="59" t="n">
        <f aca="false">FN19*FN36</f>
        <v>594000000</v>
      </c>
      <c r="FO37" s="59" t="n">
        <f aca="false">FO19*FO36</f>
        <v>594000000</v>
      </c>
      <c r="FP37" s="59" t="n">
        <f aca="false">FP19*FP36</f>
        <v>594000000</v>
      </c>
      <c r="FQ37" s="59" t="n">
        <f aca="false">FQ19*FQ36</f>
        <v>594000000</v>
      </c>
      <c r="FR37" s="59" t="n">
        <f aca="false">FR19*FR36</f>
        <v>594000000</v>
      </c>
      <c r="FS37" s="59" t="n">
        <f aca="false">FS19*FS36</f>
        <v>594000000</v>
      </c>
      <c r="FT37" s="59" t="n">
        <f aca="false">FT19*FT36</f>
        <v>594000000</v>
      </c>
      <c r="FU37" s="59" t="n">
        <f aca="false">FU19*FU36</f>
        <v>594000000</v>
      </c>
      <c r="FV37" s="59" t="n">
        <f aca="false">FV19*FV36</f>
        <v>298666666.666667</v>
      </c>
      <c r="FW37" s="59" t="n">
        <f aca="false">FW19*FW36</f>
        <v>301653333.333333</v>
      </c>
      <c r="FX37" s="59" t="n">
        <f aca="false">FX19*FX36</f>
        <v>301653333.333333</v>
      </c>
      <c r="FY37" s="59" t="n">
        <f aca="false">FY19*FY36</f>
        <v>301653333.333333</v>
      </c>
      <c r="FZ37" s="59" t="n">
        <f aca="false">FZ19*FZ36</f>
        <v>301683501.683502</v>
      </c>
      <c r="GA37" s="59" t="n">
        <f aca="false">GA19*GA36</f>
        <v>298666666.666667</v>
      </c>
      <c r="GB37" s="59" t="n">
        <f aca="false">GB19*GB36</f>
        <v>298666666.666667</v>
      </c>
      <c r="GC37" s="59" t="n">
        <f aca="false">GC19*GC36</f>
        <v>298666666.666667</v>
      </c>
      <c r="GD37" s="59" t="n">
        <f aca="false">GD19*GD36</f>
        <v>298666666.666667</v>
      </c>
      <c r="GE37" s="59" t="n">
        <f aca="false">GE19*GE36</f>
        <v>298666666.666667</v>
      </c>
      <c r="GF37" s="59" t="n">
        <f aca="false">GF19*GF36</f>
        <v>301653333.333333</v>
      </c>
      <c r="GG37" s="59" t="n">
        <f aca="false">GG19*GG36</f>
        <v>301653333.333333</v>
      </c>
      <c r="GH37" s="59" t="n">
        <f aca="false">GH19*GH36</f>
        <v>298666666.666667</v>
      </c>
      <c r="GI37" s="59" t="n">
        <f aca="false">GI19*GI36</f>
        <v>298666666.666667</v>
      </c>
      <c r="GJ37" s="59" t="n">
        <f aca="false">GJ19*GJ36</f>
        <v>298666666.666667</v>
      </c>
      <c r="GK37" s="59" t="n">
        <f aca="false">GK19*GK36</f>
        <v>298666666.666667</v>
      </c>
      <c r="GL37" s="59" t="n">
        <f aca="false">GL19*GL36</f>
        <v>298666666.666667</v>
      </c>
      <c r="GM37" s="59" t="n">
        <f aca="false">GM19*GM36</f>
        <v>298666666.666667</v>
      </c>
      <c r="GN37" s="59" t="n">
        <f aca="false">GN19*GN36</f>
        <v>298666666.666667</v>
      </c>
      <c r="GO37" s="59" t="n">
        <f aca="false">GO19*GO36</f>
        <v>298666666.666667</v>
      </c>
      <c r="GP37" s="59" t="n">
        <f aca="false">GP19*GP36</f>
        <v>298666666.666667</v>
      </c>
      <c r="GQ37" s="59" t="n">
        <f aca="false">GQ19*GQ36</f>
        <v>298666666.666667</v>
      </c>
      <c r="GR37" s="59" t="n">
        <f aca="false">GR19*GR36</f>
        <v>298666666.666667</v>
      </c>
      <c r="GS37" s="59" t="n">
        <f aca="false">GS19*GS36</f>
        <v>298666666.666667</v>
      </c>
      <c r="GT37" s="59" t="n">
        <f aca="false">GT19*GT36</f>
        <v>298666666.666667</v>
      </c>
      <c r="GU37" s="59" t="n">
        <f aca="false">GU19*GU36</f>
        <v>298666666.666667</v>
      </c>
      <c r="GV37" s="59" t="n">
        <f aca="false">GV19*GV36</f>
        <v>298666666.666667</v>
      </c>
      <c r="GW37" s="59" t="n">
        <f aca="false">GW19*GW36</f>
        <v>298666666.666667</v>
      </c>
      <c r="GX37" s="59" t="n">
        <f aca="false">GX19*GX36</f>
        <v>298666666.666667</v>
      </c>
      <c r="GY37" s="59" t="n">
        <f aca="false">GY19*GY36</f>
        <v>298666666.666667</v>
      </c>
      <c r="GZ37" s="59" t="n">
        <f aca="false">GZ19*GZ36</f>
        <v>298666666.666667</v>
      </c>
      <c r="HA37" s="59" t="n">
        <f aca="false">HA19*HA36</f>
        <v>298666666.666667</v>
      </c>
      <c r="HB37" s="59" t="n">
        <f aca="false">HB19*HB36</f>
        <v>298666666.666667</v>
      </c>
      <c r="HC37" s="59" t="n">
        <f aca="false">HC19*HC36</f>
        <v>298666666.666667</v>
      </c>
      <c r="HD37" s="59" t="n">
        <f aca="false">HD19*HD36</f>
        <v>298666666.666667</v>
      </c>
      <c r="HE37" s="59" t="n">
        <f aca="false">HE19*HE36</f>
        <v>298666666.666667</v>
      </c>
      <c r="HF37" s="59" t="n">
        <f aca="false">HF19*HF36</f>
        <v>298666666.666667</v>
      </c>
      <c r="HG37" s="59" t="n">
        <f aca="false">HG19*HG36</f>
        <v>298666666.666667</v>
      </c>
      <c r="HH37" s="59" t="n">
        <f aca="false">HH19*HH36</f>
        <v>298666666.666667</v>
      </c>
      <c r="HI37" s="59" t="n">
        <f aca="false">HI19*HI36</f>
        <v>298666666.666667</v>
      </c>
      <c r="HJ37" s="59" t="n">
        <f aca="false">HJ19*HJ36</f>
        <v>298666666.666667</v>
      </c>
      <c r="HK37" s="59" t="n">
        <f aca="false">HK19*HK36</f>
        <v>298666666.666667</v>
      </c>
      <c r="HL37" s="59" t="n">
        <f aca="false">HL19*HL36</f>
        <v>562500000</v>
      </c>
      <c r="HM37" s="59" t="n">
        <f aca="false">HM19*HM36</f>
        <v>568125000</v>
      </c>
      <c r="HN37" s="59" t="n">
        <f aca="false">HN19*HN36</f>
        <v>568125000</v>
      </c>
      <c r="HO37" s="59" t="n">
        <f aca="false">HO19*HO36</f>
        <v>568125000</v>
      </c>
      <c r="HP37" s="59" t="n">
        <f aca="false">HP19*HP36</f>
        <v>568181818.181818</v>
      </c>
      <c r="HQ37" s="59" t="n">
        <f aca="false">HQ19*HQ36</f>
        <v>562500000</v>
      </c>
      <c r="HR37" s="59" t="n">
        <f aca="false">HR19*HR36</f>
        <v>562500000</v>
      </c>
      <c r="HS37" s="59" t="n">
        <f aca="false">HS19*HS36</f>
        <v>562500000</v>
      </c>
      <c r="HT37" s="59" t="n">
        <f aca="false">HT19*HT36</f>
        <v>562500000</v>
      </c>
      <c r="HU37" s="59" t="n">
        <f aca="false">HU19*HU36</f>
        <v>562500000</v>
      </c>
      <c r="HV37" s="59" t="n">
        <f aca="false">HV19*HV36</f>
        <v>568125000</v>
      </c>
      <c r="HW37" s="59" t="n">
        <f aca="false">HW19*HW36</f>
        <v>568125000</v>
      </c>
      <c r="HX37" s="59" t="n">
        <f aca="false">HX19*HX36</f>
        <v>562500000</v>
      </c>
      <c r="HY37" s="59" t="n">
        <f aca="false">HY19*HY36</f>
        <v>562500000</v>
      </c>
      <c r="HZ37" s="59" t="n">
        <f aca="false">HZ19*HZ36</f>
        <v>562500000</v>
      </c>
      <c r="IA37" s="59" t="n">
        <f aca="false">IA19*IA36</f>
        <v>562500000</v>
      </c>
      <c r="IB37" s="59" t="n">
        <f aca="false">IB19*IB36</f>
        <v>562500000</v>
      </c>
      <c r="IC37" s="59" t="n">
        <f aca="false">IC19*IC36</f>
        <v>562500000</v>
      </c>
      <c r="ID37" s="59" t="n">
        <f aca="false">ID19*ID36</f>
        <v>562500000</v>
      </c>
      <c r="IE37" s="59" t="n">
        <f aca="false">IE19*IE36</f>
        <v>562500000</v>
      </c>
      <c r="IF37" s="59" t="n">
        <f aca="false">IF19*IF36</f>
        <v>562500000</v>
      </c>
      <c r="IG37" s="59" t="n">
        <f aca="false">IG19*IG36</f>
        <v>562500000</v>
      </c>
      <c r="IH37" s="59" t="n">
        <f aca="false">IH19*IH36</f>
        <v>562500000</v>
      </c>
      <c r="II37" s="59" t="n">
        <f aca="false">II19*II36</f>
        <v>562500000</v>
      </c>
      <c r="IJ37" s="59" t="n">
        <f aca="false">IJ19*IJ36</f>
        <v>562500000</v>
      </c>
      <c r="IK37" s="59" t="n">
        <f aca="false">IK19*IK36</f>
        <v>562500000</v>
      </c>
      <c r="IL37" s="59" t="n">
        <f aca="false">IL19*IL36</f>
        <v>562500000</v>
      </c>
      <c r="IM37" s="59" t="n">
        <f aca="false">IM19*IM36</f>
        <v>562500000</v>
      </c>
      <c r="IN37" s="59" t="n">
        <f aca="false">IN19*IN36</f>
        <v>562500000</v>
      </c>
      <c r="IO37" s="59" t="n">
        <f aca="false">IO19*IO36</f>
        <v>562500000</v>
      </c>
      <c r="IP37" s="59" t="n">
        <f aca="false">IP19*IP36</f>
        <v>562500000</v>
      </c>
      <c r="IQ37" s="59" t="n">
        <f aca="false">IQ19*IQ36</f>
        <v>562500000</v>
      </c>
      <c r="IR37" s="59" t="n">
        <f aca="false">IR19*IR36</f>
        <v>562500000</v>
      </c>
      <c r="IS37" s="59" t="n">
        <f aca="false">IS19*IS36</f>
        <v>562500000</v>
      </c>
      <c r="IT37" s="59" t="n">
        <f aca="false">IT19*IT36</f>
        <v>562500000</v>
      </c>
      <c r="IU37" s="59" t="n">
        <f aca="false">IU19*IU36</f>
        <v>562500000</v>
      </c>
      <c r="IV37" s="59" t="n">
        <f aca="false">IV19*IV36</f>
        <v>562500000</v>
      </c>
      <c r="IW37" s="59" t="n">
        <f aca="false">IW19*IW36</f>
        <v>562500000</v>
      </c>
      <c r="IX37" s="59" t="n">
        <f aca="false">IX19*IX36</f>
        <v>562500000</v>
      </c>
      <c r="IY37" s="59" t="n">
        <f aca="false">IY19*IY36</f>
        <v>562500000</v>
      </c>
      <c r="IZ37" s="59" t="n">
        <f aca="false">IZ19*IZ36</f>
        <v>562500000</v>
      </c>
      <c r="JA37" s="59" t="n">
        <f aca="false">JA19*JA36</f>
        <v>562500000</v>
      </c>
    </row>
    <row r="38" customFormat="false" ht="15" hidden="false" customHeight="false" outlineLevel="0" collapsed="false">
      <c r="A38" s="13" t="s">
        <v>219</v>
      </c>
      <c r="B38" s="13" t="s">
        <v>220</v>
      </c>
      <c r="C38" s="13" t="s">
        <v>194</v>
      </c>
      <c r="D38" s="9" t="s">
        <v>36</v>
      </c>
      <c r="E38" s="32" t="n">
        <f aca="false">INDEX(Вводные!$D$13:$F$64,MATCH($A38,Вводные!$A$13:$A$64,0),MATCH(E$3,Вводные!$D$11:$F$11,0))*(1+IF(E$4=$A38,Вводные!$D$5*INDEX(Вводные!$G$13:$G$64,MATCH($A38,Вводные!$A$13:$A$64,0)),0))</f>
        <v>0.05</v>
      </c>
      <c r="F38" s="32" t="n">
        <f aca="false">INDEX(Вводные!$D$13:$F$64,MATCH($A38,Вводные!$A$13:$A$64,0),MATCH(F$3,Вводные!$D$11:$F$11,0))*(1+IF(F$4=$A38,Вводные!$D$5*INDEX(Вводные!$G$13:$G$64,MATCH($A38,Вводные!$A$13:$A$64,0)),0))</f>
        <v>0.05</v>
      </c>
      <c r="G38" s="32" t="n">
        <f aca="false">INDEX(Вводные!$D$13:$F$64,MATCH($A38,Вводные!$A$13:$A$64,0),MATCH(G$3,Вводные!$D$11:$F$11,0))*(1+IF(G$4=$A38,Вводные!$D$5*INDEX(Вводные!$G$13:$G$64,MATCH($A38,Вводные!$A$13:$A$64,0)),0))</f>
        <v>0.05</v>
      </c>
      <c r="H38" s="60"/>
      <c r="J38" s="32" t="n">
        <f aca="false">INDEX(Вводные!$D$13:$F$64,MATCH($A38,Вводные!$A$13:$A$64,0),MATCH(J$3,Вводные!$D$11:$F$11,0))*(1+IF(J$4=$A38,Вводные!$D$5*INDEX(Вводные!$G$13:$G$64,MATCH($A38,Вводные!$A$13:$A$64,0)),0))</f>
        <v>0.05</v>
      </c>
      <c r="K38" s="32" t="n">
        <f aca="false">INDEX(Вводные!$D$13:$F$64,MATCH($A38,Вводные!$A$13:$A$64,0),MATCH(K$3,Вводные!$D$11:$F$11,0))*(1+IF(K$4=$A38,Вводные!$D$5*INDEX(Вводные!$G$13:$G$64,MATCH($A38,Вводные!$A$13:$A$64,0)),0))</f>
        <v>0.05</v>
      </c>
      <c r="L38" s="32" t="n">
        <f aca="false">INDEX(Вводные!$D$13:$F$64,MATCH($A38,Вводные!$A$13:$A$64,0),MATCH(L$3,Вводные!$D$11:$F$11,0))*(1+IF(L$4=$A38,Вводные!$D$5*INDEX(Вводные!$G$13:$G$64,MATCH($A38,Вводные!$A$13:$A$64,0)),0))</f>
        <v>0.05</v>
      </c>
      <c r="M38" s="32" t="n">
        <f aca="false">INDEX(Вводные!$D$13:$F$64,MATCH($A38,Вводные!$A$13:$A$64,0),MATCH(M$3,Вводные!$D$11:$F$11,0))*(1+IF(M$4=$A38,Вводные!$D$5*INDEX(Вводные!$G$13:$G$64,MATCH($A38,Вводные!$A$13:$A$64,0)),0))</f>
        <v>0.05</v>
      </c>
      <c r="N38" s="32" t="n">
        <f aca="false">INDEX(Вводные!$D$13:$F$64,MATCH($A38,Вводные!$A$13:$A$64,0),MATCH(N$3,Вводные!$D$11:$F$11,0))*(1+IF(N$4=$A38,Вводные!$D$5*INDEX(Вводные!$G$13:$G$64,MATCH($A38,Вводные!$A$13:$A$64,0)),0))</f>
        <v>0.05</v>
      </c>
      <c r="O38" s="32" t="n">
        <f aca="false">INDEX(Вводные!$D$13:$F$64,MATCH($A38,Вводные!$A$13:$A$64,0),MATCH(O$3,Вводные!$D$11:$F$11,0))*(1+IF(O$4=$A38,Вводные!$D$5*INDEX(Вводные!$G$13:$G$64,MATCH($A38,Вводные!$A$13:$A$64,0)),0))</f>
        <v>0.05</v>
      </c>
      <c r="P38" s="32" t="n">
        <f aca="false">INDEX(Вводные!$D$13:$F$64,MATCH($A38,Вводные!$A$13:$A$64,0),MATCH(P$3,Вводные!$D$11:$F$11,0))*(1+IF(P$4=$A38,Вводные!$D$5*INDEX(Вводные!$G$13:$G$64,MATCH($A38,Вводные!$A$13:$A$64,0)),0))</f>
        <v>0.05</v>
      </c>
      <c r="Q38" s="32" t="n">
        <f aca="false">INDEX(Вводные!$D$13:$F$64,MATCH($A38,Вводные!$A$13:$A$64,0),MATCH(Q$3,Вводные!$D$11:$F$11,0))*(1+IF(Q$4=$A38,Вводные!$D$5*INDEX(Вводные!$G$13:$G$64,MATCH($A38,Вводные!$A$13:$A$64,0)),0))</f>
        <v>0.05</v>
      </c>
      <c r="R38" s="32" t="n">
        <f aca="false">INDEX(Вводные!$D$13:$F$64,MATCH($A38,Вводные!$A$13:$A$64,0),MATCH(R$3,Вводные!$D$11:$F$11,0))*(1+IF(R$4=$A38,Вводные!$D$5*INDEX(Вводные!$G$13:$G$64,MATCH($A38,Вводные!$A$13:$A$64,0)),0))</f>
        <v>0.05</v>
      </c>
      <c r="S38" s="32" t="n">
        <f aca="false">INDEX(Вводные!$D$13:$F$64,MATCH($A38,Вводные!$A$13:$A$64,0),MATCH(S$3,Вводные!$D$11:$F$11,0))*(1+IF(S$4=$A38,Вводные!$D$5*INDEX(Вводные!$G$13:$G$64,MATCH($A38,Вводные!$A$13:$A$64,0)),0))</f>
        <v>0.05</v>
      </c>
      <c r="T38" s="32" t="n">
        <f aca="false">INDEX(Вводные!$D$13:$F$64,MATCH($A38,Вводные!$A$13:$A$64,0),MATCH(T$3,Вводные!$D$11:$F$11,0))*(1+IF(T$4=$A38,Вводные!$D$5*INDEX(Вводные!$G$13:$G$64,MATCH($A38,Вводные!$A$13:$A$64,0)),0))</f>
        <v>0.05</v>
      </c>
      <c r="U38" s="32" t="n">
        <f aca="false">INDEX(Вводные!$D$13:$F$64,MATCH($A38,Вводные!$A$13:$A$64,0),MATCH(U$3,Вводные!$D$11:$F$11,0))*(1+IF(U$4=$A38,Вводные!$D$5*INDEX(Вводные!$G$13:$G$64,MATCH($A38,Вводные!$A$13:$A$64,0)),0))</f>
        <v>0.05</v>
      </c>
      <c r="V38" s="32" t="n">
        <f aca="false">INDEX(Вводные!$D$13:$F$64,MATCH($A38,Вводные!$A$13:$A$64,0),MATCH(V$3,Вводные!$D$11:$F$11,0))*(1+IF(V$4=$A38,Вводные!$D$5*INDEX(Вводные!$G$13:$G$64,MATCH($A38,Вводные!$A$13:$A$64,0)),0))</f>
        <v>0.0505</v>
      </c>
      <c r="W38" s="32" t="n">
        <f aca="false">INDEX(Вводные!$D$13:$F$64,MATCH($A38,Вводные!$A$13:$A$64,0),MATCH(W$3,Вводные!$D$11:$F$11,0))*(1+IF(W$4=$A38,Вводные!$D$5*INDEX(Вводные!$G$13:$G$64,MATCH($A38,Вводные!$A$13:$A$64,0)),0))</f>
        <v>0.05</v>
      </c>
      <c r="X38" s="32" t="n">
        <f aca="false">INDEX(Вводные!$D$13:$F$64,MATCH($A38,Вводные!$A$13:$A$64,0),MATCH(X$3,Вводные!$D$11:$F$11,0))*(1+IF(X$4=$A38,Вводные!$D$5*INDEX(Вводные!$G$13:$G$64,MATCH($A38,Вводные!$A$13:$A$64,0)),0))</f>
        <v>0.05</v>
      </c>
      <c r="Y38" s="32" t="n">
        <f aca="false">INDEX(Вводные!$D$13:$F$64,MATCH($A38,Вводные!$A$13:$A$64,0),MATCH(Y$3,Вводные!$D$11:$F$11,0))*(1+IF(Y$4=$A38,Вводные!$D$5*INDEX(Вводные!$G$13:$G$64,MATCH($A38,Вводные!$A$13:$A$64,0)),0))</f>
        <v>0.05</v>
      </c>
      <c r="Z38" s="32" t="n">
        <f aca="false">INDEX(Вводные!$D$13:$F$64,MATCH($A38,Вводные!$A$13:$A$64,0),MATCH(Z$3,Вводные!$D$11:$F$11,0))*(1+IF(Z$4=$A38,Вводные!$D$5*INDEX(Вводные!$G$13:$G$64,MATCH($A38,Вводные!$A$13:$A$64,0)),0))</f>
        <v>0.05</v>
      </c>
      <c r="AA38" s="32" t="n">
        <f aca="false">INDEX(Вводные!$D$13:$F$64,MATCH($A38,Вводные!$A$13:$A$64,0),MATCH(AA$3,Вводные!$D$11:$F$11,0))*(1+IF(AA$4=$A38,Вводные!$D$5*INDEX(Вводные!$G$13:$G$64,MATCH($A38,Вводные!$A$13:$A$64,0)),0))</f>
        <v>0.05</v>
      </c>
      <c r="AB38" s="32" t="n">
        <f aca="false">INDEX(Вводные!$D$13:$F$64,MATCH($A38,Вводные!$A$13:$A$64,0),MATCH(AB$3,Вводные!$D$11:$F$11,0))*(1+IF(AB$4=$A38,Вводные!$D$5*INDEX(Вводные!$G$13:$G$64,MATCH($A38,Вводные!$A$13:$A$64,0)),0))</f>
        <v>0.05</v>
      </c>
      <c r="AC38" s="32" t="n">
        <f aca="false">INDEX(Вводные!$D$13:$F$64,MATCH($A38,Вводные!$A$13:$A$64,0),MATCH(AC$3,Вводные!$D$11:$F$11,0))*(1+IF(AC$4=$A38,Вводные!$D$5*INDEX(Вводные!$G$13:$G$64,MATCH($A38,Вводные!$A$13:$A$64,0)),0))</f>
        <v>0.05</v>
      </c>
      <c r="AD38" s="32" t="n">
        <f aca="false">INDEX(Вводные!$D$13:$F$64,MATCH($A38,Вводные!$A$13:$A$64,0),MATCH(AD$3,Вводные!$D$11:$F$11,0))*(1+IF(AD$4=$A38,Вводные!$D$5*INDEX(Вводные!$G$13:$G$64,MATCH($A38,Вводные!$A$13:$A$64,0)),0))</f>
        <v>0.05</v>
      </c>
      <c r="AE38" s="32" t="n">
        <f aca="false">INDEX(Вводные!$D$13:$F$64,MATCH($A38,Вводные!$A$13:$A$64,0),MATCH(AE$3,Вводные!$D$11:$F$11,0))*(1+IF(AE$4=$A38,Вводные!$D$5*INDEX(Вводные!$G$13:$G$64,MATCH($A38,Вводные!$A$13:$A$64,0)),0))</f>
        <v>0.05</v>
      </c>
      <c r="AF38" s="32" t="n">
        <f aca="false">INDEX(Вводные!$D$13:$F$64,MATCH($A38,Вводные!$A$13:$A$64,0),MATCH(AF$3,Вводные!$D$11:$F$11,0))*(1+IF(AF$4=$A38,Вводные!$D$5*INDEX(Вводные!$G$13:$G$64,MATCH($A38,Вводные!$A$13:$A$64,0)),0))</f>
        <v>0.05</v>
      </c>
      <c r="AG38" s="32" t="n">
        <f aca="false">INDEX(Вводные!$D$13:$F$64,MATCH($A38,Вводные!$A$13:$A$64,0),MATCH(AG$3,Вводные!$D$11:$F$11,0))*(1+IF(AG$4=$A38,Вводные!$D$5*INDEX(Вводные!$G$13:$G$64,MATCH($A38,Вводные!$A$13:$A$64,0)),0))</f>
        <v>0.05</v>
      </c>
      <c r="AH38" s="32" t="n">
        <f aca="false">INDEX(Вводные!$D$13:$F$64,MATCH($A38,Вводные!$A$13:$A$64,0),MATCH(AH$3,Вводные!$D$11:$F$11,0))*(1+IF(AH$4=$A38,Вводные!$D$5*INDEX(Вводные!$G$13:$G$64,MATCH($A38,Вводные!$A$13:$A$64,0)),0))</f>
        <v>0.05</v>
      </c>
      <c r="AI38" s="32" t="n">
        <f aca="false">INDEX(Вводные!$D$13:$F$64,MATCH($A38,Вводные!$A$13:$A$64,0),MATCH(AI$3,Вводные!$D$11:$F$11,0))*(1+IF(AI$4=$A38,Вводные!$D$5*INDEX(Вводные!$G$13:$G$64,MATCH($A38,Вводные!$A$13:$A$64,0)),0))</f>
        <v>0.05</v>
      </c>
      <c r="AJ38" s="32" t="n">
        <f aca="false">INDEX(Вводные!$D$13:$F$64,MATCH($A38,Вводные!$A$13:$A$64,0),MATCH(AJ$3,Вводные!$D$11:$F$11,0))*(1+IF(AJ$4=$A38,Вводные!$D$5*INDEX(Вводные!$G$13:$G$64,MATCH($A38,Вводные!$A$13:$A$64,0)),0))</f>
        <v>0.05</v>
      </c>
      <c r="AK38" s="32" t="n">
        <f aca="false">INDEX(Вводные!$D$13:$F$64,MATCH($A38,Вводные!$A$13:$A$64,0),MATCH(AK$3,Вводные!$D$11:$F$11,0))*(1+IF(AK$4=$A38,Вводные!$D$5*INDEX(Вводные!$G$13:$G$64,MATCH($A38,Вводные!$A$13:$A$64,0)),0))</f>
        <v>0.05</v>
      </c>
      <c r="AL38" s="32" t="n">
        <f aca="false">INDEX(Вводные!$D$13:$F$64,MATCH($A38,Вводные!$A$13:$A$64,0),MATCH(AL$3,Вводные!$D$11:$F$11,0))*(1+IF(AL$4=$A38,Вводные!$D$5*INDEX(Вводные!$G$13:$G$64,MATCH($A38,Вводные!$A$13:$A$64,0)),0))</f>
        <v>0.05</v>
      </c>
      <c r="AM38" s="32" t="n">
        <f aca="false">INDEX(Вводные!$D$13:$F$64,MATCH($A38,Вводные!$A$13:$A$64,0),MATCH(AM$3,Вводные!$D$11:$F$11,0))*(1+IF(AM$4=$A38,Вводные!$D$5*INDEX(Вводные!$G$13:$G$64,MATCH($A38,Вводные!$A$13:$A$64,0)),0))</f>
        <v>0.05</v>
      </c>
      <c r="AN38" s="32" t="n">
        <f aca="false">INDEX(Вводные!$D$13:$F$64,MATCH($A38,Вводные!$A$13:$A$64,0),MATCH(AN$3,Вводные!$D$11:$F$11,0))*(1+IF(AN$4=$A38,Вводные!$D$5*INDEX(Вводные!$G$13:$G$64,MATCH($A38,Вводные!$A$13:$A$64,0)),0))</f>
        <v>0.05</v>
      </c>
      <c r="AO38" s="32" t="n">
        <f aca="false">INDEX(Вводные!$D$13:$F$64,MATCH($A38,Вводные!$A$13:$A$64,0),MATCH(AO$3,Вводные!$D$11:$F$11,0))*(1+IF(AO$4=$A38,Вводные!$D$5*INDEX(Вводные!$G$13:$G$64,MATCH($A38,Вводные!$A$13:$A$64,0)),0))</f>
        <v>0.05</v>
      </c>
      <c r="AP38" s="32" t="n">
        <f aca="false">INDEX(Вводные!$D$13:$F$64,MATCH($A38,Вводные!$A$13:$A$64,0),MATCH(AP$3,Вводные!$D$11:$F$11,0))*(1+IF(AP$4=$A38,Вводные!$D$5*INDEX(Вводные!$G$13:$G$64,MATCH($A38,Вводные!$A$13:$A$64,0)),0))</f>
        <v>0.05</v>
      </c>
      <c r="AQ38" s="32" t="n">
        <f aca="false">INDEX(Вводные!$D$13:$F$64,MATCH($A38,Вводные!$A$13:$A$64,0),MATCH(AQ$3,Вводные!$D$11:$F$11,0))*(1+IF(AQ$4=$A38,Вводные!$D$5*INDEX(Вводные!$G$13:$G$64,MATCH($A38,Вводные!$A$13:$A$64,0)),0))</f>
        <v>0.05</v>
      </c>
      <c r="AR38" s="32" t="n">
        <f aca="false">INDEX(Вводные!$D$13:$F$64,MATCH($A38,Вводные!$A$13:$A$64,0),MATCH(AR$3,Вводные!$D$11:$F$11,0))*(1+IF(AR$4=$A38,Вводные!$D$5*INDEX(Вводные!$G$13:$G$64,MATCH($A38,Вводные!$A$13:$A$64,0)),0))</f>
        <v>0.05</v>
      </c>
      <c r="AS38" s="32" t="n">
        <f aca="false">INDEX(Вводные!$D$13:$F$64,MATCH($A38,Вводные!$A$13:$A$64,0),MATCH(AS$3,Вводные!$D$11:$F$11,0))*(1+IF(AS$4=$A38,Вводные!$D$5*INDEX(Вводные!$G$13:$G$64,MATCH($A38,Вводные!$A$13:$A$64,0)),0))</f>
        <v>0.05</v>
      </c>
      <c r="AT38" s="32" t="n">
        <f aca="false">INDEX(Вводные!$D$13:$F$64,MATCH($A38,Вводные!$A$13:$A$64,0),MATCH(AT$3,Вводные!$D$11:$F$11,0))*(1+IF(AT$4=$A38,Вводные!$D$5*INDEX(Вводные!$G$13:$G$64,MATCH($A38,Вводные!$A$13:$A$64,0)),0))</f>
        <v>0.05</v>
      </c>
      <c r="AU38" s="32" t="n">
        <f aca="false">INDEX(Вводные!$D$13:$F$64,MATCH($A38,Вводные!$A$13:$A$64,0),MATCH(AU$3,Вводные!$D$11:$F$11,0))*(1+IF(AU$4=$A38,Вводные!$D$5*INDEX(Вводные!$G$13:$G$64,MATCH($A38,Вводные!$A$13:$A$64,0)),0))</f>
        <v>0.05</v>
      </c>
      <c r="AV38" s="32" t="n">
        <f aca="false">INDEX(Вводные!$D$13:$F$64,MATCH($A38,Вводные!$A$13:$A$64,0),MATCH(AV$3,Вводные!$D$11:$F$11,0))*(1+IF(AV$4=$A38,Вводные!$D$5*INDEX(Вводные!$G$13:$G$64,MATCH($A38,Вводные!$A$13:$A$64,0)),0))</f>
        <v>0.05</v>
      </c>
      <c r="AW38" s="32" t="n">
        <f aca="false">INDEX(Вводные!$D$13:$F$64,MATCH($A38,Вводные!$A$13:$A$64,0),MATCH(AW$3,Вводные!$D$11:$F$11,0))*(1+IF(AW$4=$A38,Вводные!$D$5*INDEX(Вводные!$G$13:$G$64,MATCH($A38,Вводные!$A$13:$A$64,0)),0))</f>
        <v>0.05</v>
      </c>
      <c r="AX38" s="32" t="n">
        <f aca="false">INDEX(Вводные!$D$13:$F$64,MATCH($A38,Вводные!$A$13:$A$64,0),MATCH(AX$3,Вводные!$D$11:$F$11,0))*(1+IF(AX$4=$A38,Вводные!$D$5*INDEX(Вводные!$G$13:$G$64,MATCH($A38,Вводные!$A$13:$A$64,0)),0))</f>
        <v>0.05</v>
      </c>
      <c r="AY38" s="32" t="n">
        <f aca="false">INDEX(Вводные!$D$13:$F$64,MATCH($A38,Вводные!$A$13:$A$64,0),MATCH(AY$3,Вводные!$D$11:$F$11,0))*(1+IF(AY$4=$A38,Вводные!$D$5*INDEX(Вводные!$G$13:$G$64,MATCH($A38,Вводные!$A$13:$A$64,0)),0))</f>
        <v>0.05</v>
      </c>
      <c r="AZ38" s="32" t="n">
        <f aca="false">INDEX(Вводные!$D$13:$F$64,MATCH($A38,Вводные!$A$13:$A$64,0),MATCH(AZ$3,Вводные!$D$11:$F$11,0))*(1+IF(AZ$4=$A38,Вводные!$D$5*INDEX(Вводные!$G$13:$G$64,MATCH($A38,Вводные!$A$13:$A$64,0)),0))</f>
        <v>0.05</v>
      </c>
      <c r="BA38" s="32" t="n">
        <f aca="false">INDEX(Вводные!$D$13:$F$64,MATCH($A38,Вводные!$A$13:$A$64,0),MATCH(BA$3,Вводные!$D$11:$F$11,0))*(1+IF(BA$4=$A38,Вводные!$D$5*INDEX(Вводные!$G$13:$G$64,MATCH($A38,Вводные!$A$13:$A$64,0)),0))</f>
        <v>0.05</v>
      </c>
      <c r="BB38" s="32" t="n">
        <f aca="false">INDEX(Вводные!$D$13:$F$64,MATCH($A38,Вводные!$A$13:$A$64,0),MATCH(BB$3,Вводные!$D$11:$F$11,0))*(1+IF(BB$4=$A38,Вводные!$D$5*INDEX(Вводные!$G$13:$G$64,MATCH($A38,Вводные!$A$13:$A$64,0)),0))</f>
        <v>0.05</v>
      </c>
      <c r="BC38" s="32" t="n">
        <f aca="false">INDEX(Вводные!$D$13:$F$64,MATCH($A38,Вводные!$A$13:$A$64,0),MATCH(BC$3,Вводные!$D$11:$F$11,0))*(1+IF(BC$4=$A38,Вводные!$D$5*INDEX(Вводные!$G$13:$G$64,MATCH($A38,Вводные!$A$13:$A$64,0)),0))</f>
        <v>0.05</v>
      </c>
      <c r="BD38" s="32" t="n">
        <f aca="false">INDEX(Вводные!$D$13:$F$64,MATCH($A38,Вводные!$A$13:$A$64,0),MATCH(BD$3,Вводные!$D$11:$F$11,0))*(1+IF(BD$4=$A38,Вводные!$D$5*INDEX(Вводные!$G$13:$G$64,MATCH($A38,Вводные!$A$13:$A$64,0)),0))</f>
        <v>0.05</v>
      </c>
      <c r="BE38" s="32" t="n">
        <f aca="false">INDEX(Вводные!$D$13:$F$64,MATCH($A38,Вводные!$A$13:$A$64,0),MATCH(BE$3,Вводные!$D$11:$F$11,0))*(1+IF(BE$4=$A38,Вводные!$D$5*INDEX(Вводные!$G$13:$G$64,MATCH($A38,Вводные!$A$13:$A$64,0)),0))</f>
        <v>0.05</v>
      </c>
      <c r="BF38" s="32" t="n">
        <f aca="false">INDEX(Вводные!$D$13:$F$64,MATCH($A38,Вводные!$A$13:$A$64,0),MATCH(BF$3,Вводные!$D$11:$F$11,0))*(1+IF(BF$4=$A38,Вводные!$D$5*INDEX(Вводные!$G$13:$G$64,MATCH($A38,Вводные!$A$13:$A$64,0)),0))</f>
        <v>0.05</v>
      </c>
      <c r="BG38" s="32" t="n">
        <f aca="false">INDEX(Вводные!$D$13:$F$64,MATCH($A38,Вводные!$A$13:$A$64,0),MATCH(BG$3,Вводные!$D$11:$F$11,0))*(1+IF(BG$4=$A38,Вводные!$D$5*INDEX(Вводные!$G$13:$G$64,MATCH($A38,Вводные!$A$13:$A$64,0)),0))</f>
        <v>0.05</v>
      </c>
      <c r="BH38" s="32" t="n">
        <f aca="false">INDEX(Вводные!$D$13:$F$64,MATCH($A38,Вводные!$A$13:$A$64,0),MATCH(BH$3,Вводные!$D$11:$F$11,0))*(1+IF(BH$4=$A38,Вводные!$D$5*INDEX(Вводные!$G$13:$G$64,MATCH($A38,Вводные!$A$13:$A$64,0)),0))</f>
        <v>0.05</v>
      </c>
      <c r="BI38" s="32" t="n">
        <f aca="false">INDEX(Вводные!$D$13:$F$64,MATCH($A38,Вводные!$A$13:$A$64,0),MATCH(BI$3,Вводные!$D$11:$F$11,0))*(1+IF(BI$4=$A38,Вводные!$D$5*INDEX(Вводные!$G$13:$G$64,MATCH($A38,Вводные!$A$13:$A$64,0)),0))</f>
        <v>0.05</v>
      </c>
      <c r="BJ38" s="32" t="n">
        <f aca="false">INDEX(Вводные!$D$13:$F$64,MATCH($A38,Вводные!$A$13:$A$64,0),MATCH(BJ$3,Вводные!$D$11:$F$11,0))*(1+IF(BJ$4=$A38,Вводные!$D$5*INDEX(Вводные!$G$13:$G$64,MATCH($A38,Вводные!$A$13:$A$64,0)),0))</f>
        <v>0.05</v>
      </c>
      <c r="BK38" s="32" t="n">
        <f aca="false">INDEX(Вводные!$D$13:$F$64,MATCH($A38,Вводные!$A$13:$A$64,0),MATCH(BK$3,Вводные!$D$11:$F$11,0))*(1+IF(BK$4=$A38,Вводные!$D$5*INDEX(Вводные!$G$13:$G$64,MATCH($A38,Вводные!$A$13:$A$64,0)),0))</f>
        <v>0.05</v>
      </c>
      <c r="BL38" s="32" t="n">
        <f aca="false">INDEX(Вводные!$D$13:$F$64,MATCH($A38,Вводные!$A$13:$A$64,0),MATCH(BL$3,Вводные!$D$11:$F$11,0))*(1+IF(BL$4=$A38,Вводные!$D$5*INDEX(Вводные!$G$13:$G$64,MATCH($A38,Вводные!$A$13:$A$64,0)),0))</f>
        <v>0.0505</v>
      </c>
      <c r="BM38" s="32" t="n">
        <f aca="false">INDEX(Вводные!$D$13:$F$64,MATCH($A38,Вводные!$A$13:$A$64,0),MATCH(BM$3,Вводные!$D$11:$F$11,0))*(1+IF(BM$4=$A38,Вводные!$D$5*INDEX(Вводные!$G$13:$G$64,MATCH($A38,Вводные!$A$13:$A$64,0)),0))</f>
        <v>0.05</v>
      </c>
      <c r="BN38" s="32" t="n">
        <f aca="false">INDEX(Вводные!$D$13:$F$64,MATCH($A38,Вводные!$A$13:$A$64,0),MATCH(BN$3,Вводные!$D$11:$F$11,0))*(1+IF(BN$4=$A38,Вводные!$D$5*INDEX(Вводные!$G$13:$G$64,MATCH($A38,Вводные!$A$13:$A$64,0)),0))</f>
        <v>0.05</v>
      </c>
      <c r="BO38" s="32" t="n">
        <f aca="false">INDEX(Вводные!$D$13:$F$64,MATCH($A38,Вводные!$A$13:$A$64,0),MATCH(BO$3,Вводные!$D$11:$F$11,0))*(1+IF(BO$4=$A38,Вводные!$D$5*INDEX(Вводные!$G$13:$G$64,MATCH($A38,Вводные!$A$13:$A$64,0)),0))</f>
        <v>0.05</v>
      </c>
      <c r="BP38" s="32" t="n">
        <f aca="false">INDEX(Вводные!$D$13:$F$64,MATCH($A38,Вводные!$A$13:$A$64,0),MATCH(BP$3,Вводные!$D$11:$F$11,0))*(1+IF(BP$4=$A38,Вводные!$D$5*INDEX(Вводные!$G$13:$G$64,MATCH($A38,Вводные!$A$13:$A$64,0)),0))</f>
        <v>0.05</v>
      </c>
      <c r="BQ38" s="32" t="n">
        <f aca="false">INDEX(Вводные!$D$13:$F$64,MATCH($A38,Вводные!$A$13:$A$64,0),MATCH(BQ$3,Вводные!$D$11:$F$11,0))*(1+IF(BQ$4=$A38,Вводные!$D$5*INDEX(Вводные!$G$13:$G$64,MATCH($A38,Вводные!$A$13:$A$64,0)),0))</f>
        <v>0.05</v>
      </c>
      <c r="BR38" s="32" t="n">
        <f aca="false">INDEX(Вводные!$D$13:$F$64,MATCH($A38,Вводные!$A$13:$A$64,0),MATCH(BR$3,Вводные!$D$11:$F$11,0))*(1+IF(BR$4=$A38,Вводные!$D$5*INDEX(Вводные!$G$13:$G$64,MATCH($A38,Вводные!$A$13:$A$64,0)),0))</f>
        <v>0.05</v>
      </c>
      <c r="BS38" s="32" t="n">
        <f aca="false">INDEX(Вводные!$D$13:$F$64,MATCH($A38,Вводные!$A$13:$A$64,0),MATCH(BS$3,Вводные!$D$11:$F$11,0))*(1+IF(BS$4=$A38,Вводные!$D$5*INDEX(Вводные!$G$13:$G$64,MATCH($A38,Вводные!$A$13:$A$64,0)),0))</f>
        <v>0.05</v>
      </c>
      <c r="BT38" s="32" t="n">
        <f aca="false">INDEX(Вводные!$D$13:$F$64,MATCH($A38,Вводные!$A$13:$A$64,0),MATCH(BT$3,Вводные!$D$11:$F$11,0))*(1+IF(BT$4=$A38,Вводные!$D$5*INDEX(Вводные!$G$13:$G$64,MATCH($A38,Вводные!$A$13:$A$64,0)),0))</f>
        <v>0.05</v>
      </c>
      <c r="BU38" s="32" t="n">
        <f aca="false">INDEX(Вводные!$D$13:$F$64,MATCH($A38,Вводные!$A$13:$A$64,0),MATCH(BU$3,Вводные!$D$11:$F$11,0))*(1+IF(BU$4=$A38,Вводные!$D$5*INDEX(Вводные!$G$13:$G$64,MATCH($A38,Вводные!$A$13:$A$64,0)),0))</f>
        <v>0.05</v>
      </c>
      <c r="BV38" s="32" t="n">
        <f aca="false">INDEX(Вводные!$D$13:$F$64,MATCH($A38,Вводные!$A$13:$A$64,0),MATCH(BV$3,Вводные!$D$11:$F$11,0))*(1+IF(BV$4=$A38,Вводные!$D$5*INDEX(Вводные!$G$13:$G$64,MATCH($A38,Вводные!$A$13:$A$64,0)),0))</f>
        <v>0.05</v>
      </c>
      <c r="BW38" s="32" t="n">
        <f aca="false">INDEX(Вводные!$D$13:$F$64,MATCH($A38,Вводные!$A$13:$A$64,0),MATCH(BW$3,Вводные!$D$11:$F$11,0))*(1+IF(BW$4=$A38,Вводные!$D$5*INDEX(Вводные!$G$13:$G$64,MATCH($A38,Вводные!$A$13:$A$64,0)),0))</f>
        <v>0.05</v>
      </c>
      <c r="BX38" s="32" t="n">
        <f aca="false">INDEX(Вводные!$D$13:$F$64,MATCH($A38,Вводные!$A$13:$A$64,0),MATCH(BX$3,Вводные!$D$11:$F$11,0))*(1+IF(BX$4=$A38,Вводные!$D$5*INDEX(Вводные!$G$13:$G$64,MATCH($A38,Вводные!$A$13:$A$64,0)),0))</f>
        <v>0.05</v>
      </c>
      <c r="BY38" s="32" t="n">
        <f aca="false">INDEX(Вводные!$D$13:$F$64,MATCH($A38,Вводные!$A$13:$A$64,0),MATCH(BY$3,Вводные!$D$11:$F$11,0))*(1+IF(BY$4=$A38,Вводные!$D$5*INDEX(Вводные!$G$13:$G$64,MATCH($A38,Вводные!$A$13:$A$64,0)),0))</f>
        <v>0.05</v>
      </c>
      <c r="BZ38" s="32" t="n">
        <f aca="false">INDEX(Вводные!$D$13:$F$64,MATCH($A38,Вводные!$A$13:$A$64,0),MATCH(BZ$3,Вводные!$D$11:$F$11,0))*(1+IF(BZ$4=$A38,Вводные!$D$5*INDEX(Вводные!$G$13:$G$64,MATCH($A38,Вводные!$A$13:$A$64,0)),0))</f>
        <v>0.05</v>
      </c>
      <c r="CA38" s="32" t="n">
        <f aca="false">INDEX(Вводные!$D$13:$F$64,MATCH($A38,Вводные!$A$13:$A$64,0),MATCH(CA$3,Вводные!$D$11:$F$11,0))*(1+IF(CA$4=$A38,Вводные!$D$5*INDEX(Вводные!$G$13:$G$64,MATCH($A38,Вводные!$A$13:$A$64,0)),0))</f>
        <v>0.05</v>
      </c>
      <c r="CB38" s="32" t="n">
        <f aca="false">INDEX(Вводные!$D$13:$F$64,MATCH($A38,Вводные!$A$13:$A$64,0),MATCH(CB$3,Вводные!$D$11:$F$11,0))*(1+IF(CB$4=$A38,Вводные!$D$5*INDEX(Вводные!$G$13:$G$64,MATCH($A38,Вводные!$A$13:$A$64,0)),0))</f>
        <v>0.05</v>
      </c>
      <c r="CC38" s="32" t="n">
        <f aca="false">INDEX(Вводные!$D$13:$F$64,MATCH($A38,Вводные!$A$13:$A$64,0),MATCH(CC$3,Вводные!$D$11:$F$11,0))*(1+IF(CC$4=$A38,Вводные!$D$5*INDEX(Вводные!$G$13:$G$64,MATCH($A38,Вводные!$A$13:$A$64,0)),0))</f>
        <v>0.05</v>
      </c>
      <c r="CD38" s="32" t="n">
        <f aca="false">INDEX(Вводные!$D$13:$F$64,MATCH($A38,Вводные!$A$13:$A$64,0),MATCH(CD$3,Вводные!$D$11:$F$11,0))*(1+IF(CD$4=$A38,Вводные!$D$5*INDEX(Вводные!$G$13:$G$64,MATCH($A38,Вводные!$A$13:$A$64,0)),0))</f>
        <v>0.05</v>
      </c>
      <c r="CE38" s="32" t="n">
        <f aca="false">INDEX(Вводные!$D$13:$F$64,MATCH($A38,Вводные!$A$13:$A$64,0),MATCH(CE$3,Вводные!$D$11:$F$11,0))*(1+IF(CE$4=$A38,Вводные!$D$5*INDEX(Вводные!$G$13:$G$64,MATCH($A38,Вводные!$A$13:$A$64,0)),0))</f>
        <v>0.05</v>
      </c>
      <c r="CF38" s="32" t="n">
        <f aca="false">INDEX(Вводные!$D$13:$F$64,MATCH($A38,Вводные!$A$13:$A$64,0),MATCH(CF$3,Вводные!$D$11:$F$11,0))*(1+IF(CF$4=$A38,Вводные!$D$5*INDEX(Вводные!$G$13:$G$64,MATCH($A38,Вводные!$A$13:$A$64,0)),0))</f>
        <v>0.05</v>
      </c>
      <c r="CG38" s="32" t="n">
        <f aca="false">INDEX(Вводные!$D$13:$F$64,MATCH($A38,Вводные!$A$13:$A$64,0),MATCH(CG$3,Вводные!$D$11:$F$11,0))*(1+IF(CG$4=$A38,Вводные!$D$5*INDEX(Вводные!$G$13:$G$64,MATCH($A38,Вводные!$A$13:$A$64,0)),0))</f>
        <v>0.05</v>
      </c>
      <c r="CH38" s="32" t="n">
        <f aca="false">INDEX(Вводные!$D$13:$F$64,MATCH($A38,Вводные!$A$13:$A$64,0),MATCH(CH$3,Вводные!$D$11:$F$11,0))*(1+IF(CH$4=$A38,Вводные!$D$5*INDEX(Вводные!$G$13:$G$64,MATCH($A38,Вводные!$A$13:$A$64,0)),0))</f>
        <v>0.05</v>
      </c>
      <c r="CI38" s="32" t="n">
        <f aca="false">INDEX(Вводные!$D$13:$F$64,MATCH($A38,Вводные!$A$13:$A$64,0),MATCH(CI$3,Вводные!$D$11:$F$11,0))*(1+IF(CI$4=$A38,Вводные!$D$5*INDEX(Вводные!$G$13:$G$64,MATCH($A38,Вводные!$A$13:$A$64,0)),0))</f>
        <v>0.05</v>
      </c>
      <c r="CJ38" s="32" t="n">
        <f aca="false">INDEX(Вводные!$D$13:$F$64,MATCH($A38,Вводные!$A$13:$A$64,0),MATCH(CJ$3,Вводные!$D$11:$F$11,0))*(1+IF(CJ$4=$A38,Вводные!$D$5*INDEX(Вводные!$G$13:$G$64,MATCH($A38,Вводные!$A$13:$A$64,0)),0))</f>
        <v>0.05</v>
      </c>
      <c r="CK38" s="32" t="n">
        <f aca="false">INDEX(Вводные!$D$13:$F$64,MATCH($A38,Вводные!$A$13:$A$64,0),MATCH(CK$3,Вводные!$D$11:$F$11,0))*(1+IF(CK$4=$A38,Вводные!$D$5*INDEX(Вводные!$G$13:$G$64,MATCH($A38,Вводные!$A$13:$A$64,0)),0))</f>
        <v>0.05</v>
      </c>
      <c r="CL38" s="32" t="n">
        <f aca="false">INDEX(Вводные!$D$13:$F$64,MATCH($A38,Вводные!$A$13:$A$64,0),MATCH(CL$3,Вводные!$D$11:$F$11,0))*(1+IF(CL$4=$A38,Вводные!$D$5*INDEX(Вводные!$G$13:$G$64,MATCH($A38,Вводные!$A$13:$A$64,0)),0))</f>
        <v>0.05</v>
      </c>
      <c r="CM38" s="32" t="n">
        <f aca="false">INDEX(Вводные!$D$13:$F$64,MATCH($A38,Вводные!$A$13:$A$64,0),MATCH(CM$3,Вводные!$D$11:$F$11,0))*(1+IF(CM$4=$A38,Вводные!$D$5*INDEX(Вводные!$G$13:$G$64,MATCH($A38,Вводные!$A$13:$A$64,0)),0))</f>
        <v>0.05</v>
      </c>
      <c r="CN38" s="32" t="n">
        <f aca="false">INDEX(Вводные!$D$13:$F$64,MATCH($A38,Вводные!$A$13:$A$64,0),MATCH(CN$3,Вводные!$D$11:$F$11,0))*(1+IF(CN$4=$A38,Вводные!$D$5*INDEX(Вводные!$G$13:$G$64,MATCH($A38,Вводные!$A$13:$A$64,0)),0))</f>
        <v>0.05</v>
      </c>
      <c r="CO38" s="32" t="n">
        <f aca="false">INDEX(Вводные!$D$13:$F$64,MATCH($A38,Вводные!$A$13:$A$64,0),MATCH(CO$3,Вводные!$D$11:$F$11,0))*(1+IF(CO$4=$A38,Вводные!$D$5*INDEX(Вводные!$G$13:$G$64,MATCH($A38,Вводные!$A$13:$A$64,0)),0))</f>
        <v>0.05</v>
      </c>
      <c r="CP38" s="32" t="n">
        <f aca="false">INDEX(Вводные!$D$13:$F$64,MATCH($A38,Вводные!$A$13:$A$64,0),MATCH(CP$3,Вводные!$D$11:$F$11,0))*(1+IF(CP$4=$A38,Вводные!$D$5*INDEX(Вводные!$G$13:$G$64,MATCH($A38,Вводные!$A$13:$A$64,0)),0))</f>
        <v>0.05</v>
      </c>
      <c r="CQ38" s="32" t="n">
        <f aca="false">INDEX(Вводные!$D$13:$F$64,MATCH($A38,Вводные!$A$13:$A$64,0),MATCH(CQ$3,Вводные!$D$11:$F$11,0))*(1+IF(CQ$4=$A38,Вводные!$D$5*INDEX(Вводные!$G$13:$G$64,MATCH($A38,Вводные!$A$13:$A$64,0)),0))</f>
        <v>0.05</v>
      </c>
      <c r="CR38" s="32" t="n">
        <f aca="false">INDEX(Вводные!$D$13:$F$64,MATCH($A38,Вводные!$A$13:$A$64,0),MATCH(CR$3,Вводные!$D$11:$F$11,0))*(1+IF(CR$4=$A38,Вводные!$D$5*INDEX(Вводные!$G$13:$G$64,MATCH($A38,Вводные!$A$13:$A$64,0)),0))</f>
        <v>0.05</v>
      </c>
      <c r="CS38" s="32" t="n">
        <f aca="false">INDEX(Вводные!$D$13:$F$64,MATCH($A38,Вводные!$A$13:$A$64,0),MATCH(CS$3,Вводные!$D$11:$F$11,0))*(1+IF(CS$4=$A38,Вводные!$D$5*INDEX(Вводные!$G$13:$G$64,MATCH($A38,Вводные!$A$13:$A$64,0)),0))</f>
        <v>0.05</v>
      </c>
      <c r="CT38" s="32" t="n">
        <f aca="false">INDEX(Вводные!$D$13:$F$64,MATCH($A38,Вводные!$A$13:$A$64,0),MATCH(CT$3,Вводные!$D$11:$F$11,0))*(1+IF(CT$4=$A38,Вводные!$D$5*INDEX(Вводные!$G$13:$G$64,MATCH($A38,Вводные!$A$13:$A$64,0)),0))</f>
        <v>0.05</v>
      </c>
      <c r="CU38" s="32" t="n">
        <f aca="false">INDEX(Вводные!$D$13:$F$64,MATCH($A38,Вводные!$A$13:$A$64,0),MATCH(CU$3,Вводные!$D$11:$F$11,0))*(1+IF(CU$4=$A38,Вводные!$D$5*INDEX(Вводные!$G$13:$G$64,MATCH($A38,Вводные!$A$13:$A$64,0)),0))</f>
        <v>0.05</v>
      </c>
      <c r="CV38" s="32" t="n">
        <f aca="false">INDEX(Вводные!$D$13:$F$64,MATCH($A38,Вводные!$A$13:$A$64,0),MATCH(CV$3,Вводные!$D$11:$F$11,0))*(1+IF(CV$4=$A38,Вводные!$D$5*INDEX(Вводные!$G$13:$G$64,MATCH($A38,Вводные!$A$13:$A$64,0)),0))</f>
        <v>0.05</v>
      </c>
      <c r="CW38" s="32" t="n">
        <f aca="false">INDEX(Вводные!$D$13:$F$64,MATCH($A38,Вводные!$A$13:$A$64,0),MATCH(CW$3,Вводные!$D$11:$F$11,0))*(1+IF(CW$4=$A38,Вводные!$D$5*INDEX(Вводные!$G$13:$G$64,MATCH($A38,Вводные!$A$13:$A$64,0)),0))</f>
        <v>0.05</v>
      </c>
      <c r="CX38" s="32" t="n">
        <f aca="false">INDEX(Вводные!$D$13:$F$64,MATCH($A38,Вводные!$A$13:$A$64,0),MATCH(CX$3,Вводные!$D$11:$F$11,0))*(1+IF(CX$4=$A38,Вводные!$D$5*INDEX(Вводные!$G$13:$G$64,MATCH($A38,Вводные!$A$13:$A$64,0)),0))</f>
        <v>0.05</v>
      </c>
      <c r="CY38" s="32" t="n">
        <f aca="false">INDEX(Вводные!$D$13:$F$64,MATCH($A38,Вводные!$A$13:$A$64,0),MATCH(CY$3,Вводные!$D$11:$F$11,0))*(1+IF(CY$4=$A38,Вводные!$D$5*INDEX(Вводные!$G$13:$G$64,MATCH($A38,Вводные!$A$13:$A$64,0)),0))</f>
        <v>0.05</v>
      </c>
      <c r="CZ38" s="32" t="n">
        <f aca="false">INDEX(Вводные!$D$13:$F$64,MATCH($A38,Вводные!$A$13:$A$64,0),MATCH(CZ$3,Вводные!$D$11:$F$11,0))*(1+IF(CZ$4=$A38,Вводные!$D$5*INDEX(Вводные!$G$13:$G$64,MATCH($A38,Вводные!$A$13:$A$64,0)),0))</f>
        <v>0.05</v>
      </c>
      <c r="DA38" s="32" t="n">
        <f aca="false">INDEX(Вводные!$D$13:$F$64,MATCH($A38,Вводные!$A$13:$A$64,0),MATCH(DA$3,Вводные!$D$11:$F$11,0))*(1+IF(DA$4=$A38,Вводные!$D$5*INDEX(Вводные!$G$13:$G$64,MATCH($A38,Вводные!$A$13:$A$64,0)),0))</f>
        <v>0.05</v>
      </c>
      <c r="DB38" s="32" t="n">
        <f aca="false">INDEX(Вводные!$D$13:$F$64,MATCH($A38,Вводные!$A$13:$A$64,0),MATCH(DB$3,Вводные!$D$11:$F$11,0))*(1+IF(DB$4=$A38,Вводные!$D$5*INDEX(Вводные!$G$13:$G$64,MATCH($A38,Вводные!$A$13:$A$64,0)),0))</f>
        <v>0.0505</v>
      </c>
      <c r="DC38" s="32" t="n">
        <f aca="false">INDEX(Вводные!$D$13:$F$64,MATCH($A38,Вводные!$A$13:$A$64,0),MATCH(DC$3,Вводные!$D$11:$F$11,0))*(1+IF(DC$4=$A38,Вводные!$D$5*INDEX(Вводные!$G$13:$G$64,MATCH($A38,Вводные!$A$13:$A$64,0)),0))</f>
        <v>0.05</v>
      </c>
      <c r="DD38" s="32" t="n">
        <f aca="false">INDEX(Вводные!$D$13:$F$64,MATCH($A38,Вводные!$A$13:$A$64,0),MATCH(DD$3,Вводные!$D$11:$F$11,0))*(1+IF(DD$4=$A38,Вводные!$D$5*INDEX(Вводные!$G$13:$G$64,MATCH($A38,Вводные!$A$13:$A$64,0)),0))</f>
        <v>0.05</v>
      </c>
      <c r="DE38" s="32" t="n">
        <f aca="false">INDEX(Вводные!$D$13:$F$64,MATCH($A38,Вводные!$A$13:$A$64,0),MATCH(DE$3,Вводные!$D$11:$F$11,0))*(1+IF(DE$4=$A38,Вводные!$D$5*INDEX(Вводные!$G$13:$G$64,MATCH($A38,Вводные!$A$13:$A$64,0)),0))</f>
        <v>0.05</v>
      </c>
      <c r="DF38" s="32" t="n">
        <f aca="false">INDEX(Вводные!$D$13:$F$64,MATCH($A38,Вводные!$A$13:$A$64,0),MATCH(DF$3,Вводные!$D$11:$F$11,0))*(1+IF(DF$4=$A38,Вводные!$D$5*INDEX(Вводные!$G$13:$G$64,MATCH($A38,Вводные!$A$13:$A$64,0)),0))</f>
        <v>0.05</v>
      </c>
      <c r="DG38" s="32" t="n">
        <f aca="false">INDEX(Вводные!$D$13:$F$64,MATCH($A38,Вводные!$A$13:$A$64,0),MATCH(DG$3,Вводные!$D$11:$F$11,0))*(1+IF(DG$4=$A38,Вводные!$D$5*INDEX(Вводные!$G$13:$G$64,MATCH($A38,Вводные!$A$13:$A$64,0)),0))</f>
        <v>0.05</v>
      </c>
      <c r="DH38" s="32" t="n">
        <f aca="false">INDEX(Вводные!$D$13:$F$64,MATCH($A38,Вводные!$A$13:$A$64,0),MATCH(DH$3,Вводные!$D$11:$F$11,0))*(1+IF(DH$4=$A38,Вводные!$D$5*INDEX(Вводные!$G$13:$G$64,MATCH($A38,Вводные!$A$13:$A$64,0)),0))</f>
        <v>0.05</v>
      </c>
      <c r="DI38" s="32" t="n">
        <f aca="false">INDEX(Вводные!$D$13:$F$64,MATCH($A38,Вводные!$A$13:$A$64,0),MATCH(DI$3,Вводные!$D$11:$F$11,0))*(1+IF(DI$4=$A38,Вводные!$D$5*INDEX(Вводные!$G$13:$G$64,MATCH($A38,Вводные!$A$13:$A$64,0)),0))</f>
        <v>0.05</v>
      </c>
      <c r="DJ38" s="32" t="n">
        <f aca="false">INDEX(Вводные!$D$13:$F$64,MATCH($A38,Вводные!$A$13:$A$64,0),MATCH(DJ$3,Вводные!$D$11:$F$11,0))*(1+IF(DJ$4=$A38,Вводные!$D$5*INDEX(Вводные!$G$13:$G$64,MATCH($A38,Вводные!$A$13:$A$64,0)),0))</f>
        <v>0.05</v>
      </c>
      <c r="DK38" s="32" t="n">
        <f aca="false">INDEX(Вводные!$D$13:$F$64,MATCH($A38,Вводные!$A$13:$A$64,0),MATCH(DK$3,Вводные!$D$11:$F$11,0))*(1+IF(DK$4=$A38,Вводные!$D$5*INDEX(Вводные!$G$13:$G$64,MATCH($A38,Вводные!$A$13:$A$64,0)),0))</f>
        <v>0.05</v>
      </c>
      <c r="DL38" s="32" t="n">
        <f aca="false">INDEX(Вводные!$D$13:$F$64,MATCH($A38,Вводные!$A$13:$A$64,0),MATCH(DL$3,Вводные!$D$11:$F$11,0))*(1+IF(DL$4=$A38,Вводные!$D$5*INDEX(Вводные!$G$13:$G$64,MATCH($A38,Вводные!$A$13:$A$64,0)),0))</f>
        <v>0.05</v>
      </c>
      <c r="DM38" s="32" t="n">
        <f aca="false">INDEX(Вводные!$D$13:$F$64,MATCH($A38,Вводные!$A$13:$A$64,0),MATCH(DM$3,Вводные!$D$11:$F$11,0))*(1+IF(DM$4=$A38,Вводные!$D$5*INDEX(Вводные!$G$13:$G$64,MATCH($A38,Вводные!$A$13:$A$64,0)),0))</f>
        <v>0.05</v>
      </c>
      <c r="DN38" s="32" t="n">
        <f aca="false">INDEX(Вводные!$D$13:$F$64,MATCH($A38,Вводные!$A$13:$A$64,0),MATCH(DN$3,Вводные!$D$11:$F$11,0))*(1+IF(DN$4=$A38,Вводные!$D$5*INDEX(Вводные!$G$13:$G$64,MATCH($A38,Вводные!$A$13:$A$64,0)),0))</f>
        <v>0.05</v>
      </c>
      <c r="DO38" s="32" t="n">
        <f aca="false">INDEX(Вводные!$D$13:$F$64,MATCH($A38,Вводные!$A$13:$A$64,0),MATCH(DO$3,Вводные!$D$11:$F$11,0))*(1+IF(DO$4=$A38,Вводные!$D$5*INDEX(Вводные!$G$13:$G$64,MATCH($A38,Вводные!$A$13:$A$64,0)),0))</f>
        <v>0.05</v>
      </c>
      <c r="DP38" s="32" t="n">
        <f aca="false">INDEX(Вводные!$D$13:$F$64,MATCH($A38,Вводные!$A$13:$A$64,0),MATCH(DP$3,Вводные!$D$11:$F$11,0))*(1+IF(DP$4=$A38,Вводные!$D$5*INDEX(Вводные!$G$13:$G$64,MATCH($A38,Вводные!$A$13:$A$64,0)),0))</f>
        <v>0.05</v>
      </c>
      <c r="DQ38" s="32" t="n">
        <f aca="false">INDEX(Вводные!$D$13:$F$64,MATCH($A38,Вводные!$A$13:$A$64,0),MATCH(DQ$3,Вводные!$D$11:$F$11,0))*(1+IF(DQ$4=$A38,Вводные!$D$5*INDEX(Вводные!$G$13:$G$64,MATCH($A38,Вводные!$A$13:$A$64,0)),0))</f>
        <v>0.05</v>
      </c>
      <c r="DR38" s="32" t="n">
        <f aca="false">INDEX(Вводные!$D$13:$F$64,MATCH($A38,Вводные!$A$13:$A$64,0),MATCH(DR$3,Вводные!$D$11:$F$11,0))*(1+IF(DR$4=$A38,Вводные!$D$5*INDEX(Вводные!$G$13:$G$64,MATCH($A38,Вводные!$A$13:$A$64,0)),0))</f>
        <v>0.05</v>
      </c>
      <c r="DS38" s="32" t="n">
        <f aca="false">INDEX(Вводные!$D$13:$F$64,MATCH($A38,Вводные!$A$13:$A$64,0),MATCH(DS$3,Вводные!$D$11:$F$11,0))*(1+IF(DS$4=$A38,Вводные!$D$5*INDEX(Вводные!$G$13:$G$64,MATCH($A38,Вводные!$A$13:$A$64,0)),0))</f>
        <v>0.05</v>
      </c>
      <c r="DT38" s="32" t="n">
        <f aca="false">INDEX(Вводные!$D$13:$F$64,MATCH($A38,Вводные!$A$13:$A$64,0),MATCH(DT$3,Вводные!$D$11:$F$11,0))*(1+IF(DT$4=$A38,Вводные!$D$5*INDEX(Вводные!$G$13:$G$64,MATCH($A38,Вводные!$A$13:$A$64,0)),0))</f>
        <v>0.05</v>
      </c>
      <c r="DU38" s="32" t="n">
        <f aca="false">INDEX(Вводные!$D$13:$F$64,MATCH($A38,Вводные!$A$13:$A$64,0),MATCH(DU$3,Вводные!$D$11:$F$11,0))*(1+IF(DU$4=$A38,Вводные!$D$5*INDEX(Вводные!$G$13:$G$64,MATCH($A38,Вводные!$A$13:$A$64,0)),0))</f>
        <v>0.05</v>
      </c>
      <c r="DV38" s="32" t="n">
        <f aca="false">INDEX(Вводные!$D$13:$F$64,MATCH($A38,Вводные!$A$13:$A$64,0),MATCH(DV$3,Вводные!$D$11:$F$11,0))*(1+IF(DV$4=$A38,Вводные!$D$5*INDEX(Вводные!$G$13:$G$64,MATCH($A38,Вводные!$A$13:$A$64,0)),0))</f>
        <v>0.05</v>
      </c>
      <c r="DW38" s="32" t="n">
        <f aca="false">INDEX(Вводные!$D$13:$F$64,MATCH($A38,Вводные!$A$13:$A$64,0),MATCH(DW$3,Вводные!$D$11:$F$11,0))*(1+IF(DW$4=$A38,Вводные!$D$5*INDEX(Вводные!$G$13:$G$64,MATCH($A38,Вводные!$A$13:$A$64,0)),0))</f>
        <v>0.05</v>
      </c>
      <c r="DX38" s="32" t="n">
        <f aca="false">INDEX(Вводные!$D$13:$F$64,MATCH($A38,Вводные!$A$13:$A$64,0),MATCH(DX$3,Вводные!$D$11:$F$11,0))*(1+IF(DX$4=$A38,Вводные!$D$5*INDEX(Вводные!$G$13:$G$64,MATCH($A38,Вводные!$A$13:$A$64,0)),0))</f>
        <v>0.05</v>
      </c>
      <c r="DY38" s="32" t="n">
        <f aca="false">INDEX(Вводные!$D$13:$F$64,MATCH($A38,Вводные!$A$13:$A$64,0),MATCH(DY$3,Вводные!$D$11:$F$11,0))*(1+IF(DY$4=$A38,Вводные!$D$5*INDEX(Вводные!$G$13:$G$64,MATCH($A38,Вводные!$A$13:$A$64,0)),0))</f>
        <v>0.05</v>
      </c>
      <c r="DZ38" s="32" t="n">
        <f aca="false">INDEX(Вводные!$D$13:$F$64,MATCH($A38,Вводные!$A$13:$A$64,0),MATCH(DZ$3,Вводные!$D$11:$F$11,0))*(1+IF(DZ$4=$A38,Вводные!$D$5*INDEX(Вводные!$G$13:$G$64,MATCH($A38,Вводные!$A$13:$A$64,0)),0))</f>
        <v>0.05</v>
      </c>
      <c r="EA38" s="32" t="n">
        <f aca="false">INDEX(Вводные!$D$13:$F$64,MATCH($A38,Вводные!$A$13:$A$64,0),MATCH(EA$3,Вводные!$D$11:$F$11,0))*(1+IF(EA$4=$A38,Вводные!$D$5*INDEX(Вводные!$G$13:$G$64,MATCH($A38,Вводные!$A$13:$A$64,0)),0))</f>
        <v>0.05</v>
      </c>
      <c r="EB38" s="32" t="n">
        <f aca="false">INDEX(Вводные!$D$13:$F$64,MATCH($A38,Вводные!$A$13:$A$64,0),MATCH(EB$3,Вводные!$D$11:$F$11,0))*(1+IF(EB$4=$A38,Вводные!$D$5*INDEX(Вводные!$G$13:$G$64,MATCH($A38,Вводные!$A$13:$A$64,0)),0))</f>
        <v>0.05</v>
      </c>
      <c r="EC38" s="32" t="n">
        <f aca="false">INDEX(Вводные!$D$13:$F$64,MATCH($A38,Вводные!$A$13:$A$64,0),MATCH(EC$3,Вводные!$D$11:$F$11,0))*(1+IF(EC$4=$A38,Вводные!$D$5*INDEX(Вводные!$G$13:$G$64,MATCH($A38,Вводные!$A$13:$A$64,0)),0))</f>
        <v>0.05</v>
      </c>
      <c r="ED38" s="32" t="n">
        <f aca="false">INDEX(Вводные!$D$13:$F$64,MATCH($A38,Вводные!$A$13:$A$64,0),MATCH(ED$3,Вводные!$D$11:$F$11,0))*(1+IF(ED$4=$A38,Вводные!$D$5*INDEX(Вводные!$G$13:$G$64,MATCH($A38,Вводные!$A$13:$A$64,0)),0))</f>
        <v>0.05</v>
      </c>
      <c r="EE38" s="32" t="n">
        <f aca="false">INDEX(Вводные!$D$13:$F$64,MATCH($A38,Вводные!$A$13:$A$64,0),MATCH(EE$3,Вводные!$D$11:$F$11,0))*(1+IF(EE$4=$A38,Вводные!$D$5*INDEX(Вводные!$G$13:$G$64,MATCH($A38,Вводные!$A$13:$A$64,0)),0))</f>
        <v>0.05</v>
      </c>
      <c r="EF38" s="32" t="n">
        <f aca="false">INDEX(Вводные!$D$13:$F$64,MATCH($A38,Вводные!$A$13:$A$64,0),MATCH(EF$3,Вводные!$D$11:$F$11,0))*(1+IF(EF$4=$A38,Вводные!$D$5*INDEX(Вводные!$G$13:$G$64,MATCH($A38,Вводные!$A$13:$A$64,0)),0))</f>
        <v>0.05</v>
      </c>
      <c r="EG38" s="32" t="n">
        <f aca="false">INDEX(Вводные!$D$13:$F$64,MATCH($A38,Вводные!$A$13:$A$64,0),MATCH(EG$3,Вводные!$D$11:$F$11,0))*(1+IF(EG$4=$A38,Вводные!$D$5*INDEX(Вводные!$G$13:$G$64,MATCH($A38,Вводные!$A$13:$A$64,0)),0))</f>
        <v>0.05</v>
      </c>
      <c r="EH38" s="32" t="n">
        <f aca="false">INDEX(Вводные!$D$13:$F$64,MATCH($A38,Вводные!$A$13:$A$64,0),MATCH(EH$3,Вводные!$D$11:$F$11,0))*(1+IF(EH$4=$A38,Вводные!$D$5*INDEX(Вводные!$G$13:$G$64,MATCH($A38,Вводные!$A$13:$A$64,0)),0))</f>
        <v>0.05</v>
      </c>
      <c r="EI38" s="32" t="n">
        <f aca="false">INDEX(Вводные!$D$13:$F$64,MATCH($A38,Вводные!$A$13:$A$64,0),MATCH(EI$3,Вводные!$D$11:$F$11,0))*(1+IF(EI$4=$A38,Вводные!$D$5*INDEX(Вводные!$G$13:$G$64,MATCH($A38,Вводные!$A$13:$A$64,0)),0))</f>
        <v>0.05</v>
      </c>
      <c r="EJ38" s="32" t="n">
        <f aca="false">INDEX(Вводные!$D$13:$F$64,MATCH($A38,Вводные!$A$13:$A$64,0),MATCH(EJ$3,Вводные!$D$11:$F$11,0))*(1+IF(EJ$4=$A38,Вводные!$D$5*INDEX(Вводные!$G$13:$G$64,MATCH($A38,Вводные!$A$13:$A$64,0)),0))</f>
        <v>0.05</v>
      </c>
      <c r="EK38" s="32" t="n">
        <f aca="false">INDEX(Вводные!$D$13:$F$64,MATCH($A38,Вводные!$A$13:$A$64,0),MATCH(EK$3,Вводные!$D$11:$F$11,0))*(1+IF(EK$4=$A38,Вводные!$D$5*INDEX(Вводные!$G$13:$G$64,MATCH($A38,Вводные!$A$13:$A$64,0)),0))</f>
        <v>0.05</v>
      </c>
      <c r="EL38" s="32" t="n">
        <f aca="false">INDEX(Вводные!$D$13:$F$64,MATCH($A38,Вводные!$A$13:$A$64,0),MATCH(EL$3,Вводные!$D$11:$F$11,0))*(1+IF(EL$4=$A38,Вводные!$D$5*INDEX(Вводные!$G$13:$G$64,MATCH($A38,Вводные!$A$13:$A$64,0)),0))</f>
        <v>0.05</v>
      </c>
      <c r="EM38" s="32" t="n">
        <f aca="false">INDEX(Вводные!$D$13:$F$64,MATCH($A38,Вводные!$A$13:$A$64,0),MATCH(EM$3,Вводные!$D$11:$F$11,0))*(1+IF(EM$4=$A38,Вводные!$D$5*INDEX(Вводные!$G$13:$G$64,MATCH($A38,Вводные!$A$13:$A$64,0)),0))</f>
        <v>0.05</v>
      </c>
      <c r="EN38" s="32" t="n">
        <f aca="false">INDEX(Вводные!$D$13:$F$64,MATCH($A38,Вводные!$A$13:$A$64,0),MATCH(EN$3,Вводные!$D$11:$F$11,0))*(1+IF(EN$4=$A38,Вводные!$D$5*INDEX(Вводные!$G$13:$G$64,MATCH($A38,Вводные!$A$13:$A$64,0)),0))</f>
        <v>0.05</v>
      </c>
      <c r="EO38" s="32" t="n">
        <f aca="false">INDEX(Вводные!$D$13:$F$64,MATCH($A38,Вводные!$A$13:$A$64,0),MATCH(EO$3,Вводные!$D$11:$F$11,0))*(1+IF(EO$4=$A38,Вводные!$D$5*INDEX(Вводные!$G$13:$G$64,MATCH($A38,Вводные!$A$13:$A$64,0)),0))</f>
        <v>0.05</v>
      </c>
      <c r="EP38" s="32" t="n">
        <f aca="false">INDEX(Вводные!$D$13:$F$64,MATCH($A38,Вводные!$A$13:$A$64,0),MATCH(EP$3,Вводные!$D$11:$F$11,0))*(1+IF(EP$4=$A38,Вводные!$D$5*INDEX(Вводные!$G$13:$G$64,MATCH($A38,Вводные!$A$13:$A$64,0)),0))</f>
        <v>0.05</v>
      </c>
      <c r="EQ38" s="32" t="n">
        <f aca="false">INDEX(Вводные!$D$13:$F$64,MATCH($A38,Вводные!$A$13:$A$64,0),MATCH(EQ$3,Вводные!$D$11:$F$11,0))*(1+IF(EQ$4=$A38,Вводные!$D$5*INDEX(Вводные!$G$13:$G$64,MATCH($A38,Вводные!$A$13:$A$64,0)),0))</f>
        <v>0.05</v>
      </c>
      <c r="ER38" s="32" t="n">
        <f aca="false">INDEX(Вводные!$D$13:$F$64,MATCH($A38,Вводные!$A$13:$A$64,0),MATCH(ER$3,Вводные!$D$11:$F$11,0))*(1+IF(ER$4=$A38,Вводные!$D$5*INDEX(Вводные!$G$13:$G$64,MATCH($A38,Вводные!$A$13:$A$64,0)),0))</f>
        <v>0.0505</v>
      </c>
      <c r="ES38" s="32" t="n">
        <f aca="false">INDEX(Вводные!$D$13:$F$64,MATCH($A38,Вводные!$A$13:$A$64,0),MATCH(ES$3,Вводные!$D$11:$F$11,0))*(1+IF(ES$4=$A38,Вводные!$D$5*INDEX(Вводные!$G$13:$G$64,MATCH($A38,Вводные!$A$13:$A$64,0)),0))</f>
        <v>0.05</v>
      </c>
      <c r="ET38" s="32" t="n">
        <f aca="false">INDEX(Вводные!$D$13:$F$64,MATCH($A38,Вводные!$A$13:$A$64,0),MATCH(ET$3,Вводные!$D$11:$F$11,0))*(1+IF(ET$4=$A38,Вводные!$D$5*INDEX(Вводные!$G$13:$G$64,MATCH($A38,Вводные!$A$13:$A$64,0)),0))</f>
        <v>0.05</v>
      </c>
      <c r="EU38" s="32" t="n">
        <f aca="false">INDEX(Вводные!$D$13:$F$64,MATCH($A38,Вводные!$A$13:$A$64,0),MATCH(EU$3,Вводные!$D$11:$F$11,0))*(1+IF(EU$4=$A38,Вводные!$D$5*INDEX(Вводные!$G$13:$G$64,MATCH($A38,Вводные!$A$13:$A$64,0)),0))</f>
        <v>0.05</v>
      </c>
      <c r="EV38" s="32" t="n">
        <f aca="false">INDEX(Вводные!$D$13:$F$64,MATCH($A38,Вводные!$A$13:$A$64,0),MATCH(EV$3,Вводные!$D$11:$F$11,0))*(1+IF(EV$4=$A38,Вводные!$D$5*INDEX(Вводные!$G$13:$G$64,MATCH($A38,Вводные!$A$13:$A$64,0)),0))</f>
        <v>0.05</v>
      </c>
      <c r="EW38" s="32" t="n">
        <f aca="false">INDEX(Вводные!$D$13:$F$64,MATCH($A38,Вводные!$A$13:$A$64,0),MATCH(EW$3,Вводные!$D$11:$F$11,0))*(1+IF(EW$4=$A38,Вводные!$D$5*INDEX(Вводные!$G$13:$G$64,MATCH($A38,Вводные!$A$13:$A$64,0)),0))</f>
        <v>0.05</v>
      </c>
      <c r="EX38" s="32" t="n">
        <f aca="false">INDEX(Вводные!$D$13:$F$64,MATCH($A38,Вводные!$A$13:$A$64,0),MATCH(EX$3,Вводные!$D$11:$F$11,0))*(1+IF(EX$4=$A38,Вводные!$D$5*INDEX(Вводные!$G$13:$G$64,MATCH($A38,Вводные!$A$13:$A$64,0)),0))</f>
        <v>0.05</v>
      </c>
      <c r="EY38" s="32" t="n">
        <f aca="false">INDEX(Вводные!$D$13:$F$64,MATCH($A38,Вводные!$A$13:$A$64,0),MATCH(EY$3,Вводные!$D$11:$F$11,0))*(1+IF(EY$4=$A38,Вводные!$D$5*INDEX(Вводные!$G$13:$G$64,MATCH($A38,Вводные!$A$13:$A$64,0)),0))</f>
        <v>0.05</v>
      </c>
      <c r="EZ38" s="32" t="n">
        <f aca="false">INDEX(Вводные!$D$13:$F$64,MATCH($A38,Вводные!$A$13:$A$64,0),MATCH(EZ$3,Вводные!$D$11:$F$11,0))*(1+IF(EZ$4=$A38,Вводные!$D$5*INDEX(Вводные!$G$13:$G$64,MATCH($A38,Вводные!$A$13:$A$64,0)),0))</f>
        <v>0.05</v>
      </c>
      <c r="FA38" s="32" t="n">
        <f aca="false">INDEX(Вводные!$D$13:$F$64,MATCH($A38,Вводные!$A$13:$A$64,0),MATCH(FA$3,Вводные!$D$11:$F$11,0))*(1+IF(FA$4=$A38,Вводные!$D$5*INDEX(Вводные!$G$13:$G$64,MATCH($A38,Вводные!$A$13:$A$64,0)),0))</f>
        <v>0.05</v>
      </c>
      <c r="FB38" s="32" t="n">
        <f aca="false">INDEX(Вводные!$D$13:$F$64,MATCH($A38,Вводные!$A$13:$A$64,0),MATCH(FB$3,Вводные!$D$11:$F$11,0))*(1+IF(FB$4=$A38,Вводные!$D$5*INDEX(Вводные!$G$13:$G$64,MATCH($A38,Вводные!$A$13:$A$64,0)),0))</f>
        <v>0.05</v>
      </c>
      <c r="FC38" s="32" t="n">
        <f aca="false">INDEX(Вводные!$D$13:$F$64,MATCH($A38,Вводные!$A$13:$A$64,0),MATCH(FC$3,Вводные!$D$11:$F$11,0))*(1+IF(FC$4=$A38,Вводные!$D$5*INDEX(Вводные!$G$13:$G$64,MATCH($A38,Вводные!$A$13:$A$64,0)),0))</f>
        <v>0.05</v>
      </c>
      <c r="FD38" s="32" t="n">
        <f aca="false">INDEX(Вводные!$D$13:$F$64,MATCH($A38,Вводные!$A$13:$A$64,0),MATCH(FD$3,Вводные!$D$11:$F$11,0))*(1+IF(FD$4=$A38,Вводные!$D$5*INDEX(Вводные!$G$13:$G$64,MATCH($A38,Вводные!$A$13:$A$64,0)),0))</f>
        <v>0.05</v>
      </c>
      <c r="FE38" s="32" t="n">
        <f aca="false">INDEX(Вводные!$D$13:$F$64,MATCH($A38,Вводные!$A$13:$A$64,0),MATCH(FE$3,Вводные!$D$11:$F$11,0))*(1+IF(FE$4=$A38,Вводные!$D$5*INDEX(Вводные!$G$13:$G$64,MATCH($A38,Вводные!$A$13:$A$64,0)),0))</f>
        <v>0.05</v>
      </c>
      <c r="FF38" s="32" t="n">
        <f aca="false">INDEX(Вводные!$D$13:$F$64,MATCH($A38,Вводные!$A$13:$A$64,0),MATCH(FF$3,Вводные!$D$11:$F$11,0))*(1+IF(FF$4=$A38,Вводные!$D$5*INDEX(Вводные!$G$13:$G$64,MATCH($A38,Вводные!$A$13:$A$64,0)),0))</f>
        <v>0.05</v>
      </c>
      <c r="FG38" s="32" t="n">
        <f aca="false">INDEX(Вводные!$D$13:$F$64,MATCH($A38,Вводные!$A$13:$A$64,0),MATCH(FG$3,Вводные!$D$11:$F$11,0))*(1+IF(FG$4=$A38,Вводные!$D$5*INDEX(Вводные!$G$13:$G$64,MATCH($A38,Вводные!$A$13:$A$64,0)),0))</f>
        <v>0.05</v>
      </c>
      <c r="FH38" s="32" t="n">
        <f aca="false">INDEX(Вводные!$D$13:$F$64,MATCH($A38,Вводные!$A$13:$A$64,0),MATCH(FH$3,Вводные!$D$11:$F$11,0))*(1+IF(FH$4=$A38,Вводные!$D$5*INDEX(Вводные!$G$13:$G$64,MATCH($A38,Вводные!$A$13:$A$64,0)),0))</f>
        <v>0.05</v>
      </c>
      <c r="FI38" s="32" t="n">
        <f aca="false">INDEX(Вводные!$D$13:$F$64,MATCH($A38,Вводные!$A$13:$A$64,0),MATCH(FI$3,Вводные!$D$11:$F$11,0))*(1+IF(FI$4=$A38,Вводные!$D$5*INDEX(Вводные!$G$13:$G$64,MATCH($A38,Вводные!$A$13:$A$64,0)),0))</f>
        <v>0.05</v>
      </c>
      <c r="FJ38" s="32" t="n">
        <f aca="false">INDEX(Вводные!$D$13:$F$64,MATCH($A38,Вводные!$A$13:$A$64,0),MATCH(FJ$3,Вводные!$D$11:$F$11,0))*(1+IF(FJ$4=$A38,Вводные!$D$5*INDEX(Вводные!$G$13:$G$64,MATCH($A38,Вводные!$A$13:$A$64,0)),0))</f>
        <v>0.05</v>
      </c>
      <c r="FK38" s="32" t="n">
        <f aca="false">INDEX(Вводные!$D$13:$F$64,MATCH($A38,Вводные!$A$13:$A$64,0),MATCH(FK$3,Вводные!$D$11:$F$11,0))*(1+IF(FK$4=$A38,Вводные!$D$5*INDEX(Вводные!$G$13:$G$64,MATCH($A38,Вводные!$A$13:$A$64,0)),0))</f>
        <v>0.05</v>
      </c>
      <c r="FL38" s="32" t="n">
        <f aca="false">INDEX(Вводные!$D$13:$F$64,MATCH($A38,Вводные!$A$13:$A$64,0),MATCH(FL$3,Вводные!$D$11:$F$11,0))*(1+IF(FL$4=$A38,Вводные!$D$5*INDEX(Вводные!$G$13:$G$64,MATCH($A38,Вводные!$A$13:$A$64,0)),0))</f>
        <v>0.05</v>
      </c>
      <c r="FM38" s="32" t="n">
        <f aca="false">INDEX(Вводные!$D$13:$F$64,MATCH($A38,Вводные!$A$13:$A$64,0),MATCH(FM$3,Вводные!$D$11:$F$11,0))*(1+IF(FM$4=$A38,Вводные!$D$5*INDEX(Вводные!$G$13:$G$64,MATCH($A38,Вводные!$A$13:$A$64,0)),0))</f>
        <v>0.05</v>
      </c>
      <c r="FN38" s="32" t="n">
        <f aca="false">INDEX(Вводные!$D$13:$F$64,MATCH($A38,Вводные!$A$13:$A$64,0),MATCH(FN$3,Вводные!$D$11:$F$11,0))*(1+IF(FN$4=$A38,Вводные!$D$5*INDEX(Вводные!$G$13:$G$64,MATCH($A38,Вводные!$A$13:$A$64,0)),0))</f>
        <v>0.05</v>
      </c>
      <c r="FO38" s="32" t="n">
        <f aca="false">INDEX(Вводные!$D$13:$F$64,MATCH($A38,Вводные!$A$13:$A$64,0),MATCH(FO$3,Вводные!$D$11:$F$11,0))*(1+IF(FO$4=$A38,Вводные!$D$5*INDEX(Вводные!$G$13:$G$64,MATCH($A38,Вводные!$A$13:$A$64,0)),0))</f>
        <v>0.05</v>
      </c>
      <c r="FP38" s="32" t="n">
        <f aca="false">INDEX(Вводные!$D$13:$F$64,MATCH($A38,Вводные!$A$13:$A$64,0),MATCH(FP$3,Вводные!$D$11:$F$11,0))*(1+IF(FP$4=$A38,Вводные!$D$5*INDEX(Вводные!$G$13:$G$64,MATCH($A38,Вводные!$A$13:$A$64,0)),0))</f>
        <v>0.05</v>
      </c>
      <c r="FQ38" s="32" t="n">
        <f aca="false">INDEX(Вводные!$D$13:$F$64,MATCH($A38,Вводные!$A$13:$A$64,0),MATCH(FQ$3,Вводные!$D$11:$F$11,0))*(1+IF(FQ$4=$A38,Вводные!$D$5*INDEX(Вводные!$G$13:$G$64,MATCH($A38,Вводные!$A$13:$A$64,0)),0))</f>
        <v>0.05</v>
      </c>
      <c r="FR38" s="32" t="n">
        <f aca="false">INDEX(Вводные!$D$13:$F$64,MATCH($A38,Вводные!$A$13:$A$64,0),MATCH(FR$3,Вводные!$D$11:$F$11,0))*(1+IF(FR$4=$A38,Вводные!$D$5*INDEX(Вводные!$G$13:$G$64,MATCH($A38,Вводные!$A$13:$A$64,0)),0))</f>
        <v>0.05</v>
      </c>
      <c r="FS38" s="32" t="n">
        <f aca="false">INDEX(Вводные!$D$13:$F$64,MATCH($A38,Вводные!$A$13:$A$64,0),MATCH(FS$3,Вводные!$D$11:$F$11,0))*(1+IF(FS$4=$A38,Вводные!$D$5*INDEX(Вводные!$G$13:$G$64,MATCH($A38,Вводные!$A$13:$A$64,0)),0))</f>
        <v>0.05</v>
      </c>
      <c r="FT38" s="32" t="n">
        <f aca="false">INDEX(Вводные!$D$13:$F$64,MATCH($A38,Вводные!$A$13:$A$64,0),MATCH(FT$3,Вводные!$D$11:$F$11,0))*(1+IF(FT$4=$A38,Вводные!$D$5*INDEX(Вводные!$G$13:$G$64,MATCH($A38,Вводные!$A$13:$A$64,0)),0))</f>
        <v>0.05</v>
      </c>
      <c r="FU38" s="32" t="n">
        <f aca="false">INDEX(Вводные!$D$13:$F$64,MATCH($A38,Вводные!$A$13:$A$64,0),MATCH(FU$3,Вводные!$D$11:$F$11,0))*(1+IF(FU$4=$A38,Вводные!$D$5*INDEX(Вводные!$G$13:$G$64,MATCH($A38,Вводные!$A$13:$A$64,0)),0))</f>
        <v>0.05</v>
      </c>
      <c r="FV38" s="32" t="n">
        <f aca="false">INDEX(Вводные!$D$13:$F$64,MATCH($A38,Вводные!$A$13:$A$64,0),MATCH(FV$3,Вводные!$D$11:$F$11,0))*(1+IF(FV$4=$A38,Вводные!$D$5*INDEX(Вводные!$G$13:$G$64,MATCH($A38,Вводные!$A$13:$A$64,0)),0))</f>
        <v>0.05</v>
      </c>
      <c r="FW38" s="32" t="n">
        <f aca="false">INDEX(Вводные!$D$13:$F$64,MATCH($A38,Вводные!$A$13:$A$64,0),MATCH(FW$3,Вводные!$D$11:$F$11,0))*(1+IF(FW$4=$A38,Вводные!$D$5*INDEX(Вводные!$G$13:$G$64,MATCH($A38,Вводные!$A$13:$A$64,0)),0))</f>
        <v>0.05</v>
      </c>
      <c r="FX38" s="32" t="n">
        <f aca="false">INDEX(Вводные!$D$13:$F$64,MATCH($A38,Вводные!$A$13:$A$64,0),MATCH(FX$3,Вводные!$D$11:$F$11,0))*(1+IF(FX$4=$A38,Вводные!$D$5*INDEX(Вводные!$G$13:$G$64,MATCH($A38,Вводные!$A$13:$A$64,0)),0))</f>
        <v>0.05</v>
      </c>
      <c r="FY38" s="32" t="n">
        <f aca="false">INDEX(Вводные!$D$13:$F$64,MATCH($A38,Вводные!$A$13:$A$64,0),MATCH(FY$3,Вводные!$D$11:$F$11,0))*(1+IF(FY$4=$A38,Вводные!$D$5*INDEX(Вводные!$G$13:$G$64,MATCH($A38,Вводные!$A$13:$A$64,0)),0))</f>
        <v>0.05</v>
      </c>
      <c r="FZ38" s="32" t="n">
        <f aca="false">INDEX(Вводные!$D$13:$F$64,MATCH($A38,Вводные!$A$13:$A$64,0),MATCH(FZ$3,Вводные!$D$11:$F$11,0))*(1+IF(FZ$4=$A38,Вводные!$D$5*INDEX(Вводные!$G$13:$G$64,MATCH($A38,Вводные!$A$13:$A$64,0)),0))</f>
        <v>0.05</v>
      </c>
      <c r="GA38" s="32" t="n">
        <f aca="false">INDEX(Вводные!$D$13:$F$64,MATCH($A38,Вводные!$A$13:$A$64,0),MATCH(GA$3,Вводные!$D$11:$F$11,0))*(1+IF(GA$4=$A38,Вводные!$D$5*INDEX(Вводные!$G$13:$G$64,MATCH($A38,Вводные!$A$13:$A$64,0)),0))</f>
        <v>0.05</v>
      </c>
      <c r="GB38" s="32" t="n">
        <f aca="false">INDEX(Вводные!$D$13:$F$64,MATCH($A38,Вводные!$A$13:$A$64,0),MATCH(GB$3,Вводные!$D$11:$F$11,0))*(1+IF(GB$4=$A38,Вводные!$D$5*INDEX(Вводные!$G$13:$G$64,MATCH($A38,Вводные!$A$13:$A$64,0)),0))</f>
        <v>0.05</v>
      </c>
      <c r="GC38" s="32" t="n">
        <f aca="false">INDEX(Вводные!$D$13:$F$64,MATCH($A38,Вводные!$A$13:$A$64,0),MATCH(GC$3,Вводные!$D$11:$F$11,0))*(1+IF(GC$4=$A38,Вводные!$D$5*INDEX(Вводные!$G$13:$G$64,MATCH($A38,Вводные!$A$13:$A$64,0)),0))</f>
        <v>0.05</v>
      </c>
      <c r="GD38" s="32" t="n">
        <f aca="false">INDEX(Вводные!$D$13:$F$64,MATCH($A38,Вводные!$A$13:$A$64,0),MATCH(GD$3,Вводные!$D$11:$F$11,0))*(1+IF(GD$4=$A38,Вводные!$D$5*INDEX(Вводные!$G$13:$G$64,MATCH($A38,Вводные!$A$13:$A$64,0)),0))</f>
        <v>0.05</v>
      </c>
      <c r="GE38" s="32" t="n">
        <f aca="false">INDEX(Вводные!$D$13:$F$64,MATCH($A38,Вводные!$A$13:$A$64,0),MATCH(GE$3,Вводные!$D$11:$F$11,0))*(1+IF(GE$4=$A38,Вводные!$D$5*INDEX(Вводные!$G$13:$G$64,MATCH($A38,Вводные!$A$13:$A$64,0)),0))</f>
        <v>0.05</v>
      </c>
      <c r="GF38" s="32" t="n">
        <f aca="false">INDEX(Вводные!$D$13:$F$64,MATCH($A38,Вводные!$A$13:$A$64,0),MATCH(GF$3,Вводные!$D$11:$F$11,0))*(1+IF(GF$4=$A38,Вводные!$D$5*INDEX(Вводные!$G$13:$G$64,MATCH($A38,Вводные!$A$13:$A$64,0)),0))</f>
        <v>0.05</v>
      </c>
      <c r="GG38" s="32" t="n">
        <f aca="false">INDEX(Вводные!$D$13:$F$64,MATCH($A38,Вводные!$A$13:$A$64,0),MATCH(GG$3,Вводные!$D$11:$F$11,0))*(1+IF(GG$4=$A38,Вводные!$D$5*INDEX(Вводные!$G$13:$G$64,MATCH($A38,Вводные!$A$13:$A$64,0)),0))</f>
        <v>0.05</v>
      </c>
      <c r="GH38" s="32" t="n">
        <f aca="false">INDEX(Вводные!$D$13:$F$64,MATCH($A38,Вводные!$A$13:$A$64,0),MATCH(GH$3,Вводные!$D$11:$F$11,0))*(1+IF(GH$4=$A38,Вводные!$D$5*INDEX(Вводные!$G$13:$G$64,MATCH($A38,Вводные!$A$13:$A$64,0)),0))</f>
        <v>0.0505</v>
      </c>
      <c r="GI38" s="32" t="n">
        <f aca="false">INDEX(Вводные!$D$13:$F$64,MATCH($A38,Вводные!$A$13:$A$64,0),MATCH(GI$3,Вводные!$D$11:$F$11,0))*(1+IF(GI$4=$A38,Вводные!$D$5*INDEX(Вводные!$G$13:$G$64,MATCH($A38,Вводные!$A$13:$A$64,0)),0))</f>
        <v>0.05</v>
      </c>
      <c r="GJ38" s="32" t="n">
        <f aca="false">INDEX(Вводные!$D$13:$F$64,MATCH($A38,Вводные!$A$13:$A$64,0),MATCH(GJ$3,Вводные!$D$11:$F$11,0))*(1+IF(GJ$4=$A38,Вводные!$D$5*INDEX(Вводные!$G$13:$G$64,MATCH($A38,Вводные!$A$13:$A$64,0)),0))</f>
        <v>0.05</v>
      </c>
      <c r="GK38" s="32" t="n">
        <f aca="false">INDEX(Вводные!$D$13:$F$64,MATCH($A38,Вводные!$A$13:$A$64,0),MATCH(GK$3,Вводные!$D$11:$F$11,0))*(1+IF(GK$4=$A38,Вводные!$D$5*INDEX(Вводные!$G$13:$G$64,MATCH($A38,Вводные!$A$13:$A$64,0)),0))</f>
        <v>0.05</v>
      </c>
      <c r="GL38" s="32" t="n">
        <f aca="false">INDEX(Вводные!$D$13:$F$64,MATCH($A38,Вводные!$A$13:$A$64,0),MATCH(GL$3,Вводные!$D$11:$F$11,0))*(1+IF(GL$4=$A38,Вводные!$D$5*INDEX(Вводные!$G$13:$G$64,MATCH($A38,Вводные!$A$13:$A$64,0)),0))</f>
        <v>0.05</v>
      </c>
      <c r="GM38" s="32" t="n">
        <f aca="false">INDEX(Вводные!$D$13:$F$64,MATCH($A38,Вводные!$A$13:$A$64,0),MATCH(GM$3,Вводные!$D$11:$F$11,0))*(1+IF(GM$4=$A38,Вводные!$D$5*INDEX(Вводные!$G$13:$G$64,MATCH($A38,Вводные!$A$13:$A$64,0)),0))</f>
        <v>0.05</v>
      </c>
      <c r="GN38" s="32" t="n">
        <f aca="false">INDEX(Вводные!$D$13:$F$64,MATCH($A38,Вводные!$A$13:$A$64,0),MATCH(GN$3,Вводные!$D$11:$F$11,0))*(1+IF(GN$4=$A38,Вводные!$D$5*INDEX(Вводные!$G$13:$G$64,MATCH($A38,Вводные!$A$13:$A$64,0)),0))</f>
        <v>0.05</v>
      </c>
      <c r="GO38" s="32" t="n">
        <f aca="false">INDEX(Вводные!$D$13:$F$64,MATCH($A38,Вводные!$A$13:$A$64,0),MATCH(GO$3,Вводные!$D$11:$F$11,0))*(1+IF(GO$4=$A38,Вводные!$D$5*INDEX(Вводные!$G$13:$G$64,MATCH($A38,Вводные!$A$13:$A$64,0)),0))</f>
        <v>0.05</v>
      </c>
      <c r="GP38" s="32" t="n">
        <f aca="false">INDEX(Вводные!$D$13:$F$64,MATCH($A38,Вводные!$A$13:$A$64,0),MATCH(GP$3,Вводные!$D$11:$F$11,0))*(1+IF(GP$4=$A38,Вводные!$D$5*INDEX(Вводные!$G$13:$G$64,MATCH($A38,Вводные!$A$13:$A$64,0)),0))</f>
        <v>0.05</v>
      </c>
      <c r="GQ38" s="32" t="n">
        <f aca="false">INDEX(Вводные!$D$13:$F$64,MATCH($A38,Вводные!$A$13:$A$64,0),MATCH(GQ$3,Вводные!$D$11:$F$11,0))*(1+IF(GQ$4=$A38,Вводные!$D$5*INDEX(Вводные!$G$13:$G$64,MATCH($A38,Вводные!$A$13:$A$64,0)),0))</f>
        <v>0.05</v>
      </c>
      <c r="GR38" s="32" t="n">
        <f aca="false">INDEX(Вводные!$D$13:$F$64,MATCH($A38,Вводные!$A$13:$A$64,0),MATCH(GR$3,Вводные!$D$11:$F$11,0))*(1+IF(GR$4=$A38,Вводные!$D$5*INDEX(Вводные!$G$13:$G$64,MATCH($A38,Вводные!$A$13:$A$64,0)),0))</f>
        <v>0.05</v>
      </c>
      <c r="GS38" s="32" t="n">
        <f aca="false">INDEX(Вводные!$D$13:$F$64,MATCH($A38,Вводные!$A$13:$A$64,0),MATCH(GS$3,Вводные!$D$11:$F$11,0))*(1+IF(GS$4=$A38,Вводные!$D$5*INDEX(Вводные!$G$13:$G$64,MATCH($A38,Вводные!$A$13:$A$64,0)),0))</f>
        <v>0.05</v>
      </c>
      <c r="GT38" s="32" t="n">
        <f aca="false">INDEX(Вводные!$D$13:$F$64,MATCH($A38,Вводные!$A$13:$A$64,0),MATCH(GT$3,Вводные!$D$11:$F$11,0))*(1+IF(GT$4=$A38,Вводные!$D$5*INDEX(Вводные!$G$13:$G$64,MATCH($A38,Вводные!$A$13:$A$64,0)),0))</f>
        <v>0.05</v>
      </c>
      <c r="GU38" s="32" t="n">
        <f aca="false">INDEX(Вводные!$D$13:$F$64,MATCH($A38,Вводные!$A$13:$A$64,0),MATCH(GU$3,Вводные!$D$11:$F$11,0))*(1+IF(GU$4=$A38,Вводные!$D$5*INDEX(Вводные!$G$13:$G$64,MATCH($A38,Вводные!$A$13:$A$64,0)),0))</f>
        <v>0.05</v>
      </c>
      <c r="GV38" s="32" t="n">
        <f aca="false">INDEX(Вводные!$D$13:$F$64,MATCH($A38,Вводные!$A$13:$A$64,0),MATCH(GV$3,Вводные!$D$11:$F$11,0))*(1+IF(GV$4=$A38,Вводные!$D$5*INDEX(Вводные!$G$13:$G$64,MATCH($A38,Вводные!$A$13:$A$64,0)),0))</f>
        <v>0.05</v>
      </c>
      <c r="GW38" s="32" t="n">
        <f aca="false">INDEX(Вводные!$D$13:$F$64,MATCH($A38,Вводные!$A$13:$A$64,0),MATCH(GW$3,Вводные!$D$11:$F$11,0))*(1+IF(GW$4=$A38,Вводные!$D$5*INDEX(Вводные!$G$13:$G$64,MATCH($A38,Вводные!$A$13:$A$64,0)),0))</f>
        <v>0.05</v>
      </c>
      <c r="GX38" s="32" t="n">
        <f aca="false">INDEX(Вводные!$D$13:$F$64,MATCH($A38,Вводные!$A$13:$A$64,0),MATCH(GX$3,Вводные!$D$11:$F$11,0))*(1+IF(GX$4=$A38,Вводные!$D$5*INDEX(Вводные!$G$13:$G$64,MATCH($A38,Вводные!$A$13:$A$64,0)),0))</f>
        <v>0.05</v>
      </c>
      <c r="GY38" s="32" t="n">
        <f aca="false">INDEX(Вводные!$D$13:$F$64,MATCH($A38,Вводные!$A$13:$A$64,0),MATCH(GY$3,Вводные!$D$11:$F$11,0))*(1+IF(GY$4=$A38,Вводные!$D$5*INDEX(Вводные!$G$13:$G$64,MATCH($A38,Вводные!$A$13:$A$64,0)),0))</f>
        <v>0.05</v>
      </c>
      <c r="GZ38" s="32" t="n">
        <f aca="false">INDEX(Вводные!$D$13:$F$64,MATCH($A38,Вводные!$A$13:$A$64,0),MATCH(GZ$3,Вводные!$D$11:$F$11,0))*(1+IF(GZ$4=$A38,Вводные!$D$5*INDEX(Вводные!$G$13:$G$64,MATCH($A38,Вводные!$A$13:$A$64,0)),0))</f>
        <v>0.05</v>
      </c>
      <c r="HA38" s="32" t="n">
        <f aca="false">INDEX(Вводные!$D$13:$F$64,MATCH($A38,Вводные!$A$13:$A$64,0),MATCH(HA$3,Вводные!$D$11:$F$11,0))*(1+IF(HA$4=$A38,Вводные!$D$5*INDEX(Вводные!$G$13:$G$64,MATCH($A38,Вводные!$A$13:$A$64,0)),0))</f>
        <v>0.05</v>
      </c>
      <c r="HB38" s="32" t="n">
        <f aca="false">INDEX(Вводные!$D$13:$F$64,MATCH($A38,Вводные!$A$13:$A$64,0),MATCH(HB$3,Вводные!$D$11:$F$11,0))*(1+IF(HB$4=$A38,Вводные!$D$5*INDEX(Вводные!$G$13:$G$64,MATCH($A38,Вводные!$A$13:$A$64,0)),0))</f>
        <v>0.05</v>
      </c>
      <c r="HC38" s="32" t="n">
        <f aca="false">INDEX(Вводные!$D$13:$F$64,MATCH($A38,Вводные!$A$13:$A$64,0),MATCH(HC$3,Вводные!$D$11:$F$11,0))*(1+IF(HC$4=$A38,Вводные!$D$5*INDEX(Вводные!$G$13:$G$64,MATCH($A38,Вводные!$A$13:$A$64,0)),0))</f>
        <v>0.05</v>
      </c>
      <c r="HD38" s="32" t="n">
        <f aca="false">INDEX(Вводные!$D$13:$F$64,MATCH($A38,Вводные!$A$13:$A$64,0),MATCH(HD$3,Вводные!$D$11:$F$11,0))*(1+IF(HD$4=$A38,Вводные!$D$5*INDEX(Вводные!$G$13:$G$64,MATCH($A38,Вводные!$A$13:$A$64,0)),0))</f>
        <v>0.05</v>
      </c>
      <c r="HE38" s="32" t="n">
        <f aca="false">INDEX(Вводные!$D$13:$F$64,MATCH($A38,Вводные!$A$13:$A$64,0),MATCH(HE$3,Вводные!$D$11:$F$11,0))*(1+IF(HE$4=$A38,Вводные!$D$5*INDEX(Вводные!$G$13:$G$64,MATCH($A38,Вводные!$A$13:$A$64,0)),0))</f>
        <v>0.05</v>
      </c>
      <c r="HF38" s="32" t="n">
        <f aca="false">INDEX(Вводные!$D$13:$F$64,MATCH($A38,Вводные!$A$13:$A$64,0),MATCH(HF$3,Вводные!$D$11:$F$11,0))*(1+IF(HF$4=$A38,Вводные!$D$5*INDEX(Вводные!$G$13:$G$64,MATCH($A38,Вводные!$A$13:$A$64,0)),0))</f>
        <v>0.05</v>
      </c>
      <c r="HG38" s="32" t="n">
        <f aca="false">INDEX(Вводные!$D$13:$F$64,MATCH($A38,Вводные!$A$13:$A$64,0),MATCH(HG$3,Вводные!$D$11:$F$11,0))*(1+IF(HG$4=$A38,Вводные!$D$5*INDEX(Вводные!$G$13:$G$64,MATCH($A38,Вводные!$A$13:$A$64,0)),0))</f>
        <v>0.05</v>
      </c>
      <c r="HH38" s="32" t="n">
        <f aca="false">INDEX(Вводные!$D$13:$F$64,MATCH($A38,Вводные!$A$13:$A$64,0),MATCH(HH$3,Вводные!$D$11:$F$11,0))*(1+IF(HH$4=$A38,Вводные!$D$5*INDEX(Вводные!$G$13:$G$64,MATCH($A38,Вводные!$A$13:$A$64,0)),0))</f>
        <v>0.05</v>
      </c>
      <c r="HI38" s="32" t="n">
        <f aca="false">INDEX(Вводные!$D$13:$F$64,MATCH($A38,Вводные!$A$13:$A$64,0),MATCH(HI$3,Вводные!$D$11:$F$11,0))*(1+IF(HI$4=$A38,Вводные!$D$5*INDEX(Вводные!$G$13:$G$64,MATCH($A38,Вводные!$A$13:$A$64,0)),0))</f>
        <v>0.05</v>
      </c>
      <c r="HJ38" s="32" t="n">
        <f aca="false">INDEX(Вводные!$D$13:$F$64,MATCH($A38,Вводные!$A$13:$A$64,0),MATCH(HJ$3,Вводные!$D$11:$F$11,0))*(1+IF(HJ$4=$A38,Вводные!$D$5*INDEX(Вводные!$G$13:$G$64,MATCH($A38,Вводные!$A$13:$A$64,0)),0))</f>
        <v>0.05</v>
      </c>
      <c r="HK38" s="32" t="n">
        <f aca="false">INDEX(Вводные!$D$13:$F$64,MATCH($A38,Вводные!$A$13:$A$64,0),MATCH(HK$3,Вводные!$D$11:$F$11,0))*(1+IF(HK$4=$A38,Вводные!$D$5*INDEX(Вводные!$G$13:$G$64,MATCH($A38,Вводные!$A$13:$A$64,0)),0))</f>
        <v>0.05</v>
      </c>
      <c r="HL38" s="32" t="n">
        <f aca="false">INDEX(Вводные!$D$13:$F$64,MATCH($A38,Вводные!$A$13:$A$64,0),MATCH(HL$3,Вводные!$D$11:$F$11,0))*(1+IF(HL$4=$A38,Вводные!$D$5*INDEX(Вводные!$G$13:$G$64,MATCH($A38,Вводные!$A$13:$A$64,0)),0))</f>
        <v>0.05</v>
      </c>
      <c r="HM38" s="32" t="n">
        <f aca="false">INDEX(Вводные!$D$13:$F$64,MATCH($A38,Вводные!$A$13:$A$64,0),MATCH(HM$3,Вводные!$D$11:$F$11,0))*(1+IF(HM$4=$A38,Вводные!$D$5*INDEX(Вводные!$G$13:$G$64,MATCH($A38,Вводные!$A$13:$A$64,0)),0))</f>
        <v>0.05</v>
      </c>
      <c r="HN38" s="32" t="n">
        <f aca="false">INDEX(Вводные!$D$13:$F$64,MATCH($A38,Вводные!$A$13:$A$64,0),MATCH(HN$3,Вводные!$D$11:$F$11,0))*(1+IF(HN$4=$A38,Вводные!$D$5*INDEX(Вводные!$G$13:$G$64,MATCH($A38,Вводные!$A$13:$A$64,0)),0))</f>
        <v>0.05</v>
      </c>
      <c r="HO38" s="32" t="n">
        <f aca="false">INDEX(Вводные!$D$13:$F$64,MATCH($A38,Вводные!$A$13:$A$64,0),MATCH(HO$3,Вводные!$D$11:$F$11,0))*(1+IF(HO$4=$A38,Вводные!$D$5*INDEX(Вводные!$G$13:$G$64,MATCH($A38,Вводные!$A$13:$A$64,0)),0))</f>
        <v>0.05</v>
      </c>
      <c r="HP38" s="32" t="n">
        <f aca="false">INDEX(Вводные!$D$13:$F$64,MATCH($A38,Вводные!$A$13:$A$64,0),MATCH(HP$3,Вводные!$D$11:$F$11,0))*(1+IF(HP$4=$A38,Вводные!$D$5*INDEX(Вводные!$G$13:$G$64,MATCH($A38,Вводные!$A$13:$A$64,0)),0))</f>
        <v>0.05</v>
      </c>
      <c r="HQ38" s="32" t="n">
        <f aca="false">INDEX(Вводные!$D$13:$F$64,MATCH($A38,Вводные!$A$13:$A$64,0),MATCH(HQ$3,Вводные!$D$11:$F$11,0))*(1+IF(HQ$4=$A38,Вводные!$D$5*INDEX(Вводные!$G$13:$G$64,MATCH($A38,Вводные!$A$13:$A$64,0)),0))</f>
        <v>0.05</v>
      </c>
      <c r="HR38" s="32" t="n">
        <f aca="false">INDEX(Вводные!$D$13:$F$64,MATCH($A38,Вводные!$A$13:$A$64,0),MATCH(HR$3,Вводные!$D$11:$F$11,0))*(1+IF(HR$4=$A38,Вводные!$D$5*INDEX(Вводные!$G$13:$G$64,MATCH($A38,Вводные!$A$13:$A$64,0)),0))</f>
        <v>0.05</v>
      </c>
      <c r="HS38" s="32" t="n">
        <f aca="false">INDEX(Вводные!$D$13:$F$64,MATCH($A38,Вводные!$A$13:$A$64,0),MATCH(HS$3,Вводные!$D$11:$F$11,0))*(1+IF(HS$4=$A38,Вводные!$D$5*INDEX(Вводные!$G$13:$G$64,MATCH($A38,Вводные!$A$13:$A$64,0)),0))</f>
        <v>0.05</v>
      </c>
      <c r="HT38" s="32" t="n">
        <f aca="false">INDEX(Вводные!$D$13:$F$64,MATCH($A38,Вводные!$A$13:$A$64,0),MATCH(HT$3,Вводные!$D$11:$F$11,0))*(1+IF(HT$4=$A38,Вводные!$D$5*INDEX(Вводные!$G$13:$G$64,MATCH($A38,Вводные!$A$13:$A$64,0)),0))</f>
        <v>0.05</v>
      </c>
      <c r="HU38" s="32" t="n">
        <f aca="false">INDEX(Вводные!$D$13:$F$64,MATCH($A38,Вводные!$A$13:$A$64,0),MATCH(HU$3,Вводные!$D$11:$F$11,0))*(1+IF(HU$4=$A38,Вводные!$D$5*INDEX(Вводные!$G$13:$G$64,MATCH($A38,Вводные!$A$13:$A$64,0)),0))</f>
        <v>0.05</v>
      </c>
      <c r="HV38" s="32" t="n">
        <f aca="false">INDEX(Вводные!$D$13:$F$64,MATCH($A38,Вводные!$A$13:$A$64,0),MATCH(HV$3,Вводные!$D$11:$F$11,0))*(1+IF(HV$4=$A38,Вводные!$D$5*INDEX(Вводные!$G$13:$G$64,MATCH($A38,Вводные!$A$13:$A$64,0)),0))</f>
        <v>0.05</v>
      </c>
      <c r="HW38" s="32" t="n">
        <f aca="false">INDEX(Вводные!$D$13:$F$64,MATCH($A38,Вводные!$A$13:$A$64,0),MATCH(HW$3,Вводные!$D$11:$F$11,0))*(1+IF(HW$4=$A38,Вводные!$D$5*INDEX(Вводные!$G$13:$G$64,MATCH($A38,Вводные!$A$13:$A$64,0)),0))</f>
        <v>0.05</v>
      </c>
      <c r="HX38" s="32" t="n">
        <f aca="false">INDEX(Вводные!$D$13:$F$64,MATCH($A38,Вводные!$A$13:$A$64,0),MATCH(HX$3,Вводные!$D$11:$F$11,0))*(1+IF(HX$4=$A38,Вводные!$D$5*INDEX(Вводные!$G$13:$G$64,MATCH($A38,Вводные!$A$13:$A$64,0)),0))</f>
        <v>0.0505</v>
      </c>
      <c r="HY38" s="32" t="n">
        <f aca="false">INDEX(Вводные!$D$13:$F$64,MATCH($A38,Вводные!$A$13:$A$64,0),MATCH(HY$3,Вводные!$D$11:$F$11,0))*(1+IF(HY$4=$A38,Вводные!$D$5*INDEX(Вводные!$G$13:$G$64,MATCH($A38,Вводные!$A$13:$A$64,0)),0))</f>
        <v>0.05</v>
      </c>
      <c r="HZ38" s="32" t="n">
        <f aca="false">INDEX(Вводные!$D$13:$F$64,MATCH($A38,Вводные!$A$13:$A$64,0),MATCH(HZ$3,Вводные!$D$11:$F$11,0))*(1+IF(HZ$4=$A38,Вводные!$D$5*INDEX(Вводные!$G$13:$G$64,MATCH($A38,Вводные!$A$13:$A$64,0)),0))</f>
        <v>0.05</v>
      </c>
      <c r="IA38" s="32" t="n">
        <f aca="false">INDEX(Вводные!$D$13:$F$64,MATCH($A38,Вводные!$A$13:$A$64,0),MATCH(IA$3,Вводные!$D$11:$F$11,0))*(1+IF(IA$4=$A38,Вводные!$D$5*INDEX(Вводные!$G$13:$G$64,MATCH($A38,Вводные!$A$13:$A$64,0)),0))</f>
        <v>0.05</v>
      </c>
      <c r="IB38" s="32" t="n">
        <f aca="false">INDEX(Вводные!$D$13:$F$64,MATCH($A38,Вводные!$A$13:$A$64,0),MATCH(IB$3,Вводные!$D$11:$F$11,0))*(1+IF(IB$4=$A38,Вводные!$D$5*INDEX(Вводные!$G$13:$G$64,MATCH($A38,Вводные!$A$13:$A$64,0)),0))</f>
        <v>0.05</v>
      </c>
      <c r="IC38" s="32" t="n">
        <f aca="false">INDEX(Вводные!$D$13:$F$64,MATCH($A38,Вводные!$A$13:$A$64,0),MATCH(IC$3,Вводные!$D$11:$F$11,0))*(1+IF(IC$4=$A38,Вводные!$D$5*INDEX(Вводные!$G$13:$G$64,MATCH($A38,Вводные!$A$13:$A$64,0)),0))</f>
        <v>0.05</v>
      </c>
      <c r="ID38" s="32" t="n">
        <f aca="false">INDEX(Вводные!$D$13:$F$64,MATCH($A38,Вводные!$A$13:$A$64,0),MATCH(ID$3,Вводные!$D$11:$F$11,0))*(1+IF(ID$4=$A38,Вводные!$D$5*INDEX(Вводные!$G$13:$G$64,MATCH($A38,Вводные!$A$13:$A$64,0)),0))</f>
        <v>0.05</v>
      </c>
      <c r="IE38" s="32" t="n">
        <f aca="false">INDEX(Вводные!$D$13:$F$64,MATCH($A38,Вводные!$A$13:$A$64,0),MATCH(IE$3,Вводные!$D$11:$F$11,0))*(1+IF(IE$4=$A38,Вводные!$D$5*INDEX(Вводные!$G$13:$G$64,MATCH($A38,Вводные!$A$13:$A$64,0)),0))</f>
        <v>0.05</v>
      </c>
      <c r="IF38" s="32" t="n">
        <f aca="false">INDEX(Вводные!$D$13:$F$64,MATCH($A38,Вводные!$A$13:$A$64,0),MATCH(IF$3,Вводные!$D$11:$F$11,0))*(1+IF(IF$4=$A38,Вводные!$D$5*INDEX(Вводные!$G$13:$G$64,MATCH($A38,Вводные!$A$13:$A$64,0)),0))</f>
        <v>0.05</v>
      </c>
      <c r="IG38" s="32" t="n">
        <f aca="false">INDEX(Вводные!$D$13:$F$64,MATCH($A38,Вводные!$A$13:$A$64,0),MATCH(IG$3,Вводные!$D$11:$F$11,0))*(1+IF(IG$4=$A38,Вводные!$D$5*INDEX(Вводные!$G$13:$G$64,MATCH($A38,Вводные!$A$13:$A$64,0)),0))</f>
        <v>0.05</v>
      </c>
      <c r="IH38" s="32" t="n">
        <f aca="false">INDEX(Вводные!$D$13:$F$64,MATCH($A38,Вводные!$A$13:$A$64,0),MATCH(IH$3,Вводные!$D$11:$F$11,0))*(1+IF(IH$4=$A38,Вводные!$D$5*INDEX(Вводные!$G$13:$G$64,MATCH($A38,Вводные!$A$13:$A$64,0)),0))</f>
        <v>0.05</v>
      </c>
      <c r="II38" s="32" t="n">
        <f aca="false">INDEX(Вводные!$D$13:$F$64,MATCH($A38,Вводные!$A$13:$A$64,0),MATCH(II$3,Вводные!$D$11:$F$11,0))*(1+IF(II$4=$A38,Вводные!$D$5*INDEX(Вводные!$G$13:$G$64,MATCH($A38,Вводные!$A$13:$A$64,0)),0))</f>
        <v>0.05</v>
      </c>
      <c r="IJ38" s="32" t="n">
        <f aca="false">INDEX(Вводные!$D$13:$F$64,MATCH($A38,Вводные!$A$13:$A$64,0),MATCH(IJ$3,Вводные!$D$11:$F$11,0))*(1+IF(IJ$4=$A38,Вводные!$D$5*INDEX(Вводные!$G$13:$G$64,MATCH($A38,Вводные!$A$13:$A$64,0)),0))</f>
        <v>0.05</v>
      </c>
      <c r="IK38" s="32" t="n">
        <f aca="false">INDEX(Вводные!$D$13:$F$64,MATCH($A38,Вводные!$A$13:$A$64,0),MATCH(IK$3,Вводные!$D$11:$F$11,0))*(1+IF(IK$4=$A38,Вводные!$D$5*INDEX(Вводные!$G$13:$G$64,MATCH($A38,Вводные!$A$13:$A$64,0)),0))</f>
        <v>0.05</v>
      </c>
      <c r="IL38" s="32" t="n">
        <f aca="false">INDEX(Вводные!$D$13:$F$64,MATCH($A38,Вводные!$A$13:$A$64,0),MATCH(IL$3,Вводные!$D$11:$F$11,0))*(1+IF(IL$4=$A38,Вводные!$D$5*INDEX(Вводные!$G$13:$G$64,MATCH($A38,Вводные!$A$13:$A$64,0)),0))</f>
        <v>0.05</v>
      </c>
      <c r="IM38" s="32" t="n">
        <f aca="false">INDEX(Вводные!$D$13:$F$64,MATCH($A38,Вводные!$A$13:$A$64,0),MATCH(IM$3,Вводные!$D$11:$F$11,0))*(1+IF(IM$4=$A38,Вводные!$D$5*INDEX(Вводные!$G$13:$G$64,MATCH($A38,Вводные!$A$13:$A$64,0)),0))</f>
        <v>0.05</v>
      </c>
      <c r="IN38" s="32" t="n">
        <f aca="false">INDEX(Вводные!$D$13:$F$64,MATCH($A38,Вводные!$A$13:$A$64,0),MATCH(IN$3,Вводные!$D$11:$F$11,0))*(1+IF(IN$4=$A38,Вводные!$D$5*INDEX(Вводные!$G$13:$G$64,MATCH($A38,Вводные!$A$13:$A$64,0)),0))</f>
        <v>0.05</v>
      </c>
      <c r="IO38" s="32" t="n">
        <f aca="false">INDEX(Вводные!$D$13:$F$64,MATCH($A38,Вводные!$A$13:$A$64,0),MATCH(IO$3,Вводные!$D$11:$F$11,0))*(1+IF(IO$4=$A38,Вводные!$D$5*INDEX(Вводные!$G$13:$G$64,MATCH($A38,Вводные!$A$13:$A$64,0)),0))</f>
        <v>0.05</v>
      </c>
      <c r="IP38" s="32" t="n">
        <f aca="false">INDEX(Вводные!$D$13:$F$64,MATCH($A38,Вводные!$A$13:$A$64,0),MATCH(IP$3,Вводные!$D$11:$F$11,0))*(1+IF(IP$4=$A38,Вводные!$D$5*INDEX(Вводные!$G$13:$G$64,MATCH($A38,Вводные!$A$13:$A$64,0)),0))</f>
        <v>0.05</v>
      </c>
      <c r="IQ38" s="32" t="n">
        <f aca="false">INDEX(Вводные!$D$13:$F$64,MATCH($A38,Вводные!$A$13:$A$64,0),MATCH(IQ$3,Вводные!$D$11:$F$11,0))*(1+IF(IQ$4=$A38,Вводные!$D$5*INDEX(Вводные!$G$13:$G$64,MATCH($A38,Вводные!$A$13:$A$64,0)),0))</f>
        <v>0.05</v>
      </c>
      <c r="IR38" s="32" t="n">
        <f aca="false">INDEX(Вводные!$D$13:$F$64,MATCH($A38,Вводные!$A$13:$A$64,0),MATCH(IR$3,Вводные!$D$11:$F$11,0))*(1+IF(IR$4=$A38,Вводные!$D$5*INDEX(Вводные!$G$13:$G$64,MATCH($A38,Вводные!$A$13:$A$64,0)),0))</f>
        <v>0.05</v>
      </c>
      <c r="IS38" s="32" t="n">
        <f aca="false">INDEX(Вводные!$D$13:$F$64,MATCH($A38,Вводные!$A$13:$A$64,0),MATCH(IS$3,Вводные!$D$11:$F$11,0))*(1+IF(IS$4=$A38,Вводные!$D$5*INDEX(Вводные!$G$13:$G$64,MATCH($A38,Вводные!$A$13:$A$64,0)),0))</f>
        <v>0.05</v>
      </c>
      <c r="IT38" s="32" t="n">
        <f aca="false">INDEX(Вводные!$D$13:$F$64,MATCH($A38,Вводные!$A$13:$A$64,0),MATCH(IT$3,Вводные!$D$11:$F$11,0))*(1+IF(IT$4=$A38,Вводные!$D$5*INDEX(Вводные!$G$13:$G$64,MATCH($A38,Вводные!$A$13:$A$64,0)),0))</f>
        <v>0.05</v>
      </c>
      <c r="IU38" s="32" t="n">
        <f aca="false">INDEX(Вводные!$D$13:$F$64,MATCH($A38,Вводные!$A$13:$A$64,0),MATCH(IU$3,Вводные!$D$11:$F$11,0))*(1+IF(IU$4=$A38,Вводные!$D$5*INDEX(Вводные!$G$13:$G$64,MATCH($A38,Вводные!$A$13:$A$64,0)),0))</f>
        <v>0.05</v>
      </c>
      <c r="IV38" s="32" t="n">
        <f aca="false">INDEX(Вводные!$D$13:$F$64,MATCH($A38,Вводные!$A$13:$A$64,0),MATCH(IV$3,Вводные!$D$11:$F$11,0))*(1+IF(IV$4=$A38,Вводные!$D$5*INDEX(Вводные!$G$13:$G$64,MATCH($A38,Вводные!$A$13:$A$64,0)),0))</f>
        <v>0.05</v>
      </c>
      <c r="IW38" s="32" t="n">
        <f aca="false">INDEX(Вводные!$D$13:$F$64,MATCH($A38,Вводные!$A$13:$A$64,0),MATCH(IW$3,Вводные!$D$11:$F$11,0))*(1+IF(IW$4=$A38,Вводные!$D$5*INDEX(Вводные!$G$13:$G$64,MATCH($A38,Вводные!$A$13:$A$64,0)),0))</f>
        <v>0.05</v>
      </c>
      <c r="IX38" s="32" t="n">
        <f aca="false">INDEX(Вводные!$D$13:$F$64,MATCH($A38,Вводные!$A$13:$A$64,0),MATCH(IX$3,Вводные!$D$11:$F$11,0))*(1+IF(IX$4=$A38,Вводные!$D$5*INDEX(Вводные!$G$13:$G$64,MATCH($A38,Вводные!$A$13:$A$64,0)),0))</f>
        <v>0.05</v>
      </c>
      <c r="IY38" s="32" t="n">
        <f aca="false">INDEX(Вводные!$D$13:$F$64,MATCH($A38,Вводные!$A$13:$A$64,0),MATCH(IY$3,Вводные!$D$11:$F$11,0))*(1+IF(IY$4=$A38,Вводные!$D$5*INDEX(Вводные!$G$13:$G$64,MATCH($A38,Вводные!$A$13:$A$64,0)),0))</f>
        <v>0.05</v>
      </c>
      <c r="IZ38" s="32" t="n">
        <f aca="false">INDEX(Вводные!$D$13:$F$64,MATCH($A38,Вводные!$A$13:$A$64,0),MATCH(IZ$3,Вводные!$D$11:$F$11,0))*(1+IF(IZ$4=$A38,Вводные!$D$5*INDEX(Вводные!$G$13:$G$64,MATCH($A38,Вводные!$A$13:$A$64,0)),0))</f>
        <v>0.05</v>
      </c>
      <c r="JA38" s="32" t="n">
        <f aca="false">INDEX(Вводные!$D$13:$F$64,MATCH($A38,Вводные!$A$13:$A$64,0),MATCH(JA$3,Вводные!$D$11:$F$11,0))*(1+IF(JA$4=$A38,Вводные!$D$5*INDEX(Вводные!$G$13:$G$64,MATCH($A38,Вводные!$A$13:$A$64,0)),0))</f>
        <v>0.05</v>
      </c>
    </row>
    <row r="39" customFormat="false" ht="15" hidden="false" customHeight="false" outlineLevel="0" collapsed="false">
      <c r="A39" s="13" t="s">
        <v>221</v>
      </c>
      <c r="B39" s="13" t="s">
        <v>222</v>
      </c>
      <c r="C39" s="13" t="s">
        <v>194</v>
      </c>
      <c r="D39" s="9" t="s">
        <v>36</v>
      </c>
      <c r="E39" s="32" t="n">
        <f aca="false">INDEX(Вводные!$D$13:$F$64,MATCH($A39,Вводные!$A$13:$A$64,0),MATCH(E$3,Вводные!$D$11:$F$11,0))*(1+IF(E$4=$A39,Вводные!$D$5*INDEX(Вводные!$G$13:$G$64,MATCH($A39,Вводные!$A$13:$A$64,0)),0))</f>
        <v>0.02</v>
      </c>
      <c r="F39" s="32" t="n">
        <f aca="false">INDEX(Вводные!$D$13:$F$64,MATCH($A39,Вводные!$A$13:$A$64,0),MATCH(F$3,Вводные!$D$11:$F$11,0))*(1+IF(F$4=$A39,Вводные!$D$5*INDEX(Вводные!$G$13:$G$64,MATCH($A39,Вводные!$A$13:$A$64,0)),0))</f>
        <v>0.025</v>
      </c>
      <c r="G39" s="32" t="n">
        <f aca="false">INDEX(Вводные!$D$13:$F$64,MATCH($A39,Вводные!$A$13:$A$64,0),MATCH(G$3,Вводные!$D$11:$F$11,0))*(1+IF(G$4=$A39,Вводные!$D$5*INDEX(Вводные!$G$13:$G$64,MATCH($A39,Вводные!$A$13:$A$64,0)),0))</f>
        <v>0.035</v>
      </c>
      <c r="H39" s="60"/>
      <c r="J39" s="32" t="n">
        <f aca="false">INDEX(Вводные!$D$13:$F$64,MATCH($A39,Вводные!$A$13:$A$64,0),MATCH(J$3,Вводные!$D$11:$F$11,0))*(1+IF(J$4=$A39,Вводные!$D$5*INDEX(Вводные!$G$13:$G$64,MATCH($A39,Вводные!$A$13:$A$64,0)),0))</f>
        <v>0.02</v>
      </c>
      <c r="K39" s="32" t="n">
        <f aca="false">INDEX(Вводные!$D$13:$F$64,MATCH($A39,Вводные!$A$13:$A$64,0),MATCH(K$3,Вводные!$D$11:$F$11,0))*(1+IF(K$4=$A39,Вводные!$D$5*INDEX(Вводные!$G$13:$G$64,MATCH($A39,Вводные!$A$13:$A$64,0)),0))</f>
        <v>0.02</v>
      </c>
      <c r="L39" s="32" t="n">
        <f aca="false">INDEX(Вводные!$D$13:$F$64,MATCH($A39,Вводные!$A$13:$A$64,0),MATCH(L$3,Вводные!$D$11:$F$11,0))*(1+IF(L$4=$A39,Вводные!$D$5*INDEX(Вводные!$G$13:$G$64,MATCH($A39,Вводные!$A$13:$A$64,0)),0))</f>
        <v>0.02</v>
      </c>
      <c r="M39" s="32" t="n">
        <f aca="false">INDEX(Вводные!$D$13:$F$64,MATCH($A39,Вводные!$A$13:$A$64,0),MATCH(M$3,Вводные!$D$11:$F$11,0))*(1+IF(M$4=$A39,Вводные!$D$5*INDEX(Вводные!$G$13:$G$64,MATCH($A39,Вводные!$A$13:$A$64,0)),0))</f>
        <v>0.02</v>
      </c>
      <c r="N39" s="32" t="n">
        <f aca="false">INDEX(Вводные!$D$13:$F$64,MATCH($A39,Вводные!$A$13:$A$64,0),MATCH(N$3,Вводные!$D$11:$F$11,0))*(1+IF(N$4=$A39,Вводные!$D$5*INDEX(Вводные!$G$13:$G$64,MATCH($A39,Вводные!$A$13:$A$64,0)),0))</f>
        <v>0.02</v>
      </c>
      <c r="O39" s="32" t="n">
        <f aca="false">INDEX(Вводные!$D$13:$F$64,MATCH($A39,Вводные!$A$13:$A$64,0),MATCH(O$3,Вводные!$D$11:$F$11,0))*(1+IF(O$4=$A39,Вводные!$D$5*INDEX(Вводные!$G$13:$G$64,MATCH($A39,Вводные!$A$13:$A$64,0)),0))</f>
        <v>0.02</v>
      </c>
      <c r="P39" s="32" t="n">
        <f aca="false">INDEX(Вводные!$D$13:$F$64,MATCH($A39,Вводные!$A$13:$A$64,0),MATCH(P$3,Вводные!$D$11:$F$11,0))*(1+IF(P$4=$A39,Вводные!$D$5*INDEX(Вводные!$G$13:$G$64,MATCH($A39,Вводные!$A$13:$A$64,0)),0))</f>
        <v>0.02</v>
      </c>
      <c r="Q39" s="32" t="n">
        <f aca="false">INDEX(Вводные!$D$13:$F$64,MATCH($A39,Вводные!$A$13:$A$64,0),MATCH(Q$3,Вводные!$D$11:$F$11,0))*(1+IF(Q$4=$A39,Вводные!$D$5*INDEX(Вводные!$G$13:$G$64,MATCH($A39,Вводные!$A$13:$A$64,0)),0))</f>
        <v>0.02</v>
      </c>
      <c r="R39" s="32" t="n">
        <f aca="false">INDEX(Вводные!$D$13:$F$64,MATCH($A39,Вводные!$A$13:$A$64,0),MATCH(R$3,Вводные!$D$11:$F$11,0))*(1+IF(R$4=$A39,Вводные!$D$5*INDEX(Вводные!$G$13:$G$64,MATCH($A39,Вводные!$A$13:$A$64,0)),0))</f>
        <v>0.02</v>
      </c>
      <c r="S39" s="32" t="n">
        <f aca="false">INDEX(Вводные!$D$13:$F$64,MATCH($A39,Вводные!$A$13:$A$64,0),MATCH(S$3,Вводные!$D$11:$F$11,0))*(1+IF(S$4=$A39,Вводные!$D$5*INDEX(Вводные!$G$13:$G$64,MATCH($A39,Вводные!$A$13:$A$64,0)),0))</f>
        <v>0.02</v>
      </c>
      <c r="T39" s="32" t="n">
        <f aca="false">INDEX(Вводные!$D$13:$F$64,MATCH($A39,Вводные!$A$13:$A$64,0),MATCH(T$3,Вводные!$D$11:$F$11,0))*(1+IF(T$4=$A39,Вводные!$D$5*INDEX(Вводные!$G$13:$G$64,MATCH($A39,Вводные!$A$13:$A$64,0)),0))</f>
        <v>0.02</v>
      </c>
      <c r="U39" s="32" t="n">
        <f aca="false">INDEX(Вводные!$D$13:$F$64,MATCH($A39,Вводные!$A$13:$A$64,0),MATCH(U$3,Вводные!$D$11:$F$11,0))*(1+IF(U$4=$A39,Вводные!$D$5*INDEX(Вводные!$G$13:$G$64,MATCH($A39,Вводные!$A$13:$A$64,0)),0))</f>
        <v>0.02</v>
      </c>
      <c r="V39" s="32" t="n">
        <f aca="false">INDEX(Вводные!$D$13:$F$64,MATCH($A39,Вводные!$A$13:$A$64,0),MATCH(V$3,Вводные!$D$11:$F$11,0))*(1+IF(V$4=$A39,Вводные!$D$5*INDEX(Вводные!$G$13:$G$64,MATCH($A39,Вводные!$A$13:$A$64,0)),0))</f>
        <v>0.02</v>
      </c>
      <c r="W39" s="32" t="n">
        <f aca="false">INDEX(Вводные!$D$13:$F$64,MATCH($A39,Вводные!$A$13:$A$64,0),MATCH(W$3,Вводные!$D$11:$F$11,0))*(1+IF(W$4=$A39,Вводные!$D$5*INDEX(Вводные!$G$13:$G$64,MATCH($A39,Вводные!$A$13:$A$64,0)),0))</f>
        <v>0.0198</v>
      </c>
      <c r="X39" s="32" t="n">
        <f aca="false">INDEX(Вводные!$D$13:$F$64,MATCH($A39,Вводные!$A$13:$A$64,0),MATCH(X$3,Вводные!$D$11:$F$11,0))*(1+IF(X$4=$A39,Вводные!$D$5*INDEX(Вводные!$G$13:$G$64,MATCH($A39,Вводные!$A$13:$A$64,0)),0))</f>
        <v>0.02</v>
      </c>
      <c r="Y39" s="32" t="n">
        <f aca="false">INDEX(Вводные!$D$13:$F$64,MATCH($A39,Вводные!$A$13:$A$64,0),MATCH(Y$3,Вводные!$D$11:$F$11,0))*(1+IF(Y$4=$A39,Вводные!$D$5*INDEX(Вводные!$G$13:$G$64,MATCH($A39,Вводные!$A$13:$A$64,0)),0))</f>
        <v>0.02</v>
      </c>
      <c r="Z39" s="32" t="n">
        <f aca="false">INDEX(Вводные!$D$13:$F$64,MATCH($A39,Вводные!$A$13:$A$64,0),MATCH(Z$3,Вводные!$D$11:$F$11,0))*(1+IF(Z$4=$A39,Вводные!$D$5*INDEX(Вводные!$G$13:$G$64,MATCH($A39,Вводные!$A$13:$A$64,0)),0))</f>
        <v>0.02</v>
      </c>
      <c r="AA39" s="32" t="n">
        <f aca="false">INDEX(Вводные!$D$13:$F$64,MATCH($A39,Вводные!$A$13:$A$64,0),MATCH(AA$3,Вводные!$D$11:$F$11,0))*(1+IF(AA$4=$A39,Вводные!$D$5*INDEX(Вводные!$G$13:$G$64,MATCH($A39,Вводные!$A$13:$A$64,0)),0))</f>
        <v>0.02</v>
      </c>
      <c r="AB39" s="32" t="n">
        <f aca="false">INDEX(Вводные!$D$13:$F$64,MATCH($A39,Вводные!$A$13:$A$64,0),MATCH(AB$3,Вводные!$D$11:$F$11,0))*(1+IF(AB$4=$A39,Вводные!$D$5*INDEX(Вводные!$G$13:$G$64,MATCH($A39,Вводные!$A$13:$A$64,0)),0))</f>
        <v>0.02</v>
      </c>
      <c r="AC39" s="32" t="n">
        <f aca="false">INDEX(Вводные!$D$13:$F$64,MATCH($A39,Вводные!$A$13:$A$64,0),MATCH(AC$3,Вводные!$D$11:$F$11,0))*(1+IF(AC$4=$A39,Вводные!$D$5*INDEX(Вводные!$G$13:$G$64,MATCH($A39,Вводные!$A$13:$A$64,0)),0))</f>
        <v>0.02</v>
      </c>
      <c r="AD39" s="32" t="n">
        <f aca="false">INDEX(Вводные!$D$13:$F$64,MATCH($A39,Вводные!$A$13:$A$64,0),MATCH(AD$3,Вводные!$D$11:$F$11,0))*(1+IF(AD$4=$A39,Вводные!$D$5*INDEX(Вводные!$G$13:$G$64,MATCH($A39,Вводные!$A$13:$A$64,0)),0))</f>
        <v>0.02</v>
      </c>
      <c r="AE39" s="32" t="n">
        <f aca="false">INDEX(Вводные!$D$13:$F$64,MATCH($A39,Вводные!$A$13:$A$64,0),MATCH(AE$3,Вводные!$D$11:$F$11,0))*(1+IF(AE$4=$A39,Вводные!$D$5*INDEX(Вводные!$G$13:$G$64,MATCH($A39,Вводные!$A$13:$A$64,0)),0))</f>
        <v>0.02</v>
      </c>
      <c r="AF39" s="32" t="n">
        <f aca="false">INDEX(Вводные!$D$13:$F$64,MATCH($A39,Вводные!$A$13:$A$64,0),MATCH(AF$3,Вводные!$D$11:$F$11,0))*(1+IF(AF$4=$A39,Вводные!$D$5*INDEX(Вводные!$G$13:$G$64,MATCH($A39,Вводные!$A$13:$A$64,0)),0))</f>
        <v>0.02</v>
      </c>
      <c r="AG39" s="32" t="n">
        <f aca="false">INDEX(Вводные!$D$13:$F$64,MATCH($A39,Вводные!$A$13:$A$64,0),MATCH(AG$3,Вводные!$D$11:$F$11,0))*(1+IF(AG$4=$A39,Вводные!$D$5*INDEX(Вводные!$G$13:$G$64,MATCH($A39,Вводные!$A$13:$A$64,0)),0))</f>
        <v>0.02</v>
      </c>
      <c r="AH39" s="32" t="n">
        <f aca="false">INDEX(Вводные!$D$13:$F$64,MATCH($A39,Вводные!$A$13:$A$64,0),MATCH(AH$3,Вводные!$D$11:$F$11,0))*(1+IF(AH$4=$A39,Вводные!$D$5*INDEX(Вводные!$G$13:$G$64,MATCH($A39,Вводные!$A$13:$A$64,0)),0))</f>
        <v>0.02</v>
      </c>
      <c r="AI39" s="32" t="n">
        <f aca="false">INDEX(Вводные!$D$13:$F$64,MATCH($A39,Вводные!$A$13:$A$64,0),MATCH(AI$3,Вводные!$D$11:$F$11,0))*(1+IF(AI$4=$A39,Вводные!$D$5*INDEX(Вводные!$G$13:$G$64,MATCH($A39,Вводные!$A$13:$A$64,0)),0))</f>
        <v>0.02</v>
      </c>
      <c r="AJ39" s="32" t="n">
        <f aca="false">INDEX(Вводные!$D$13:$F$64,MATCH($A39,Вводные!$A$13:$A$64,0),MATCH(AJ$3,Вводные!$D$11:$F$11,0))*(1+IF(AJ$4=$A39,Вводные!$D$5*INDEX(Вводные!$G$13:$G$64,MATCH($A39,Вводные!$A$13:$A$64,0)),0))</f>
        <v>0.02</v>
      </c>
      <c r="AK39" s="32" t="n">
        <f aca="false">INDEX(Вводные!$D$13:$F$64,MATCH($A39,Вводные!$A$13:$A$64,0),MATCH(AK$3,Вводные!$D$11:$F$11,0))*(1+IF(AK$4=$A39,Вводные!$D$5*INDEX(Вводные!$G$13:$G$64,MATCH($A39,Вводные!$A$13:$A$64,0)),0))</f>
        <v>0.02</v>
      </c>
      <c r="AL39" s="32" t="n">
        <f aca="false">INDEX(Вводные!$D$13:$F$64,MATCH($A39,Вводные!$A$13:$A$64,0),MATCH(AL$3,Вводные!$D$11:$F$11,0))*(1+IF(AL$4=$A39,Вводные!$D$5*INDEX(Вводные!$G$13:$G$64,MATCH($A39,Вводные!$A$13:$A$64,0)),0))</f>
        <v>0.02</v>
      </c>
      <c r="AM39" s="32" t="n">
        <f aca="false">INDEX(Вводные!$D$13:$F$64,MATCH($A39,Вводные!$A$13:$A$64,0),MATCH(AM$3,Вводные!$D$11:$F$11,0))*(1+IF(AM$4=$A39,Вводные!$D$5*INDEX(Вводные!$G$13:$G$64,MATCH($A39,Вводные!$A$13:$A$64,0)),0))</f>
        <v>0.02</v>
      </c>
      <c r="AN39" s="32" t="n">
        <f aca="false">INDEX(Вводные!$D$13:$F$64,MATCH($A39,Вводные!$A$13:$A$64,0),MATCH(AN$3,Вводные!$D$11:$F$11,0))*(1+IF(AN$4=$A39,Вводные!$D$5*INDEX(Вводные!$G$13:$G$64,MATCH($A39,Вводные!$A$13:$A$64,0)),0))</f>
        <v>0.02</v>
      </c>
      <c r="AO39" s="32" t="n">
        <f aca="false">INDEX(Вводные!$D$13:$F$64,MATCH($A39,Вводные!$A$13:$A$64,0),MATCH(AO$3,Вводные!$D$11:$F$11,0))*(1+IF(AO$4=$A39,Вводные!$D$5*INDEX(Вводные!$G$13:$G$64,MATCH($A39,Вводные!$A$13:$A$64,0)),0))</f>
        <v>0.02</v>
      </c>
      <c r="AP39" s="32" t="n">
        <f aca="false">INDEX(Вводные!$D$13:$F$64,MATCH($A39,Вводные!$A$13:$A$64,0),MATCH(AP$3,Вводные!$D$11:$F$11,0))*(1+IF(AP$4=$A39,Вводные!$D$5*INDEX(Вводные!$G$13:$G$64,MATCH($A39,Вводные!$A$13:$A$64,0)),0))</f>
        <v>0.02</v>
      </c>
      <c r="AQ39" s="32" t="n">
        <f aca="false">INDEX(Вводные!$D$13:$F$64,MATCH($A39,Вводные!$A$13:$A$64,0),MATCH(AQ$3,Вводные!$D$11:$F$11,0))*(1+IF(AQ$4=$A39,Вводные!$D$5*INDEX(Вводные!$G$13:$G$64,MATCH($A39,Вводные!$A$13:$A$64,0)),0))</f>
        <v>0.02</v>
      </c>
      <c r="AR39" s="32" t="n">
        <f aca="false">INDEX(Вводные!$D$13:$F$64,MATCH($A39,Вводные!$A$13:$A$64,0),MATCH(AR$3,Вводные!$D$11:$F$11,0))*(1+IF(AR$4=$A39,Вводные!$D$5*INDEX(Вводные!$G$13:$G$64,MATCH($A39,Вводные!$A$13:$A$64,0)),0))</f>
        <v>0.02</v>
      </c>
      <c r="AS39" s="32" t="n">
        <f aca="false">INDEX(Вводные!$D$13:$F$64,MATCH($A39,Вводные!$A$13:$A$64,0),MATCH(AS$3,Вводные!$D$11:$F$11,0))*(1+IF(AS$4=$A39,Вводные!$D$5*INDEX(Вводные!$G$13:$G$64,MATCH($A39,Вводные!$A$13:$A$64,0)),0))</f>
        <v>0.02</v>
      </c>
      <c r="AT39" s="32" t="n">
        <f aca="false">INDEX(Вводные!$D$13:$F$64,MATCH($A39,Вводные!$A$13:$A$64,0),MATCH(AT$3,Вводные!$D$11:$F$11,0))*(1+IF(AT$4=$A39,Вводные!$D$5*INDEX(Вводные!$G$13:$G$64,MATCH($A39,Вводные!$A$13:$A$64,0)),0))</f>
        <v>0.02</v>
      </c>
      <c r="AU39" s="32" t="n">
        <f aca="false">INDEX(Вводные!$D$13:$F$64,MATCH($A39,Вводные!$A$13:$A$64,0),MATCH(AU$3,Вводные!$D$11:$F$11,0))*(1+IF(AU$4=$A39,Вводные!$D$5*INDEX(Вводные!$G$13:$G$64,MATCH($A39,Вводные!$A$13:$A$64,0)),0))</f>
        <v>0.02</v>
      </c>
      <c r="AV39" s="32" t="n">
        <f aca="false">INDEX(Вводные!$D$13:$F$64,MATCH($A39,Вводные!$A$13:$A$64,0),MATCH(AV$3,Вводные!$D$11:$F$11,0))*(1+IF(AV$4=$A39,Вводные!$D$5*INDEX(Вводные!$G$13:$G$64,MATCH($A39,Вводные!$A$13:$A$64,0)),0))</f>
        <v>0.02</v>
      </c>
      <c r="AW39" s="32" t="n">
        <f aca="false">INDEX(Вводные!$D$13:$F$64,MATCH($A39,Вводные!$A$13:$A$64,0),MATCH(AW$3,Вводные!$D$11:$F$11,0))*(1+IF(AW$4=$A39,Вводные!$D$5*INDEX(Вводные!$G$13:$G$64,MATCH($A39,Вводные!$A$13:$A$64,0)),0))</f>
        <v>0.02</v>
      </c>
      <c r="AX39" s="32" t="n">
        <f aca="false">INDEX(Вводные!$D$13:$F$64,MATCH($A39,Вводные!$A$13:$A$64,0),MATCH(AX$3,Вводные!$D$11:$F$11,0))*(1+IF(AX$4=$A39,Вводные!$D$5*INDEX(Вводные!$G$13:$G$64,MATCH($A39,Вводные!$A$13:$A$64,0)),0))</f>
        <v>0.02</v>
      </c>
      <c r="AY39" s="32" t="n">
        <f aca="false">INDEX(Вводные!$D$13:$F$64,MATCH($A39,Вводные!$A$13:$A$64,0),MATCH(AY$3,Вводные!$D$11:$F$11,0))*(1+IF(AY$4=$A39,Вводные!$D$5*INDEX(Вводные!$G$13:$G$64,MATCH($A39,Вводные!$A$13:$A$64,0)),0))</f>
        <v>0.02</v>
      </c>
      <c r="AZ39" s="32" t="n">
        <f aca="false">INDEX(Вводные!$D$13:$F$64,MATCH($A39,Вводные!$A$13:$A$64,0),MATCH(AZ$3,Вводные!$D$11:$F$11,0))*(1+IF(AZ$4=$A39,Вводные!$D$5*INDEX(Вводные!$G$13:$G$64,MATCH($A39,Вводные!$A$13:$A$64,0)),0))</f>
        <v>0.025</v>
      </c>
      <c r="BA39" s="32" t="n">
        <f aca="false">INDEX(Вводные!$D$13:$F$64,MATCH($A39,Вводные!$A$13:$A$64,0),MATCH(BA$3,Вводные!$D$11:$F$11,0))*(1+IF(BA$4=$A39,Вводные!$D$5*INDEX(Вводные!$G$13:$G$64,MATCH($A39,Вводные!$A$13:$A$64,0)),0))</f>
        <v>0.025</v>
      </c>
      <c r="BB39" s="32" t="n">
        <f aca="false">INDEX(Вводные!$D$13:$F$64,MATCH($A39,Вводные!$A$13:$A$64,0),MATCH(BB$3,Вводные!$D$11:$F$11,0))*(1+IF(BB$4=$A39,Вводные!$D$5*INDEX(Вводные!$G$13:$G$64,MATCH($A39,Вводные!$A$13:$A$64,0)),0))</f>
        <v>0.025</v>
      </c>
      <c r="BC39" s="32" t="n">
        <f aca="false">INDEX(Вводные!$D$13:$F$64,MATCH($A39,Вводные!$A$13:$A$64,0),MATCH(BC$3,Вводные!$D$11:$F$11,0))*(1+IF(BC$4=$A39,Вводные!$D$5*INDEX(Вводные!$G$13:$G$64,MATCH($A39,Вводные!$A$13:$A$64,0)),0))</f>
        <v>0.025</v>
      </c>
      <c r="BD39" s="32" t="n">
        <f aca="false">INDEX(Вводные!$D$13:$F$64,MATCH($A39,Вводные!$A$13:$A$64,0),MATCH(BD$3,Вводные!$D$11:$F$11,0))*(1+IF(BD$4=$A39,Вводные!$D$5*INDEX(Вводные!$G$13:$G$64,MATCH($A39,Вводные!$A$13:$A$64,0)),0))</f>
        <v>0.025</v>
      </c>
      <c r="BE39" s="32" t="n">
        <f aca="false">INDEX(Вводные!$D$13:$F$64,MATCH($A39,Вводные!$A$13:$A$64,0),MATCH(BE$3,Вводные!$D$11:$F$11,0))*(1+IF(BE$4=$A39,Вводные!$D$5*INDEX(Вводные!$G$13:$G$64,MATCH($A39,Вводные!$A$13:$A$64,0)),0))</f>
        <v>0.025</v>
      </c>
      <c r="BF39" s="32" t="n">
        <f aca="false">INDEX(Вводные!$D$13:$F$64,MATCH($A39,Вводные!$A$13:$A$64,0),MATCH(BF$3,Вводные!$D$11:$F$11,0))*(1+IF(BF$4=$A39,Вводные!$D$5*INDEX(Вводные!$G$13:$G$64,MATCH($A39,Вводные!$A$13:$A$64,0)),0))</f>
        <v>0.025</v>
      </c>
      <c r="BG39" s="32" t="n">
        <f aca="false">INDEX(Вводные!$D$13:$F$64,MATCH($A39,Вводные!$A$13:$A$64,0),MATCH(BG$3,Вводные!$D$11:$F$11,0))*(1+IF(BG$4=$A39,Вводные!$D$5*INDEX(Вводные!$G$13:$G$64,MATCH($A39,Вводные!$A$13:$A$64,0)),0))</f>
        <v>0.025</v>
      </c>
      <c r="BH39" s="32" t="n">
        <f aca="false">INDEX(Вводные!$D$13:$F$64,MATCH($A39,Вводные!$A$13:$A$64,0),MATCH(BH$3,Вводные!$D$11:$F$11,0))*(1+IF(BH$4=$A39,Вводные!$D$5*INDEX(Вводные!$G$13:$G$64,MATCH($A39,Вводные!$A$13:$A$64,0)),0))</f>
        <v>0.025</v>
      </c>
      <c r="BI39" s="32" t="n">
        <f aca="false">INDEX(Вводные!$D$13:$F$64,MATCH($A39,Вводные!$A$13:$A$64,0),MATCH(BI$3,Вводные!$D$11:$F$11,0))*(1+IF(BI$4=$A39,Вводные!$D$5*INDEX(Вводные!$G$13:$G$64,MATCH($A39,Вводные!$A$13:$A$64,0)),0))</f>
        <v>0.025</v>
      </c>
      <c r="BJ39" s="32" t="n">
        <f aca="false">INDEX(Вводные!$D$13:$F$64,MATCH($A39,Вводные!$A$13:$A$64,0),MATCH(BJ$3,Вводные!$D$11:$F$11,0))*(1+IF(BJ$4=$A39,Вводные!$D$5*INDEX(Вводные!$G$13:$G$64,MATCH($A39,Вводные!$A$13:$A$64,0)),0))</f>
        <v>0.025</v>
      </c>
      <c r="BK39" s="32" t="n">
        <f aca="false">INDEX(Вводные!$D$13:$F$64,MATCH($A39,Вводные!$A$13:$A$64,0),MATCH(BK$3,Вводные!$D$11:$F$11,0))*(1+IF(BK$4=$A39,Вводные!$D$5*INDEX(Вводные!$G$13:$G$64,MATCH($A39,Вводные!$A$13:$A$64,0)),0))</f>
        <v>0.025</v>
      </c>
      <c r="BL39" s="32" t="n">
        <f aca="false">INDEX(Вводные!$D$13:$F$64,MATCH($A39,Вводные!$A$13:$A$64,0),MATCH(BL$3,Вводные!$D$11:$F$11,0))*(1+IF(BL$4=$A39,Вводные!$D$5*INDEX(Вводные!$G$13:$G$64,MATCH($A39,Вводные!$A$13:$A$64,0)),0))</f>
        <v>0.025</v>
      </c>
      <c r="BM39" s="32" t="n">
        <f aca="false">INDEX(Вводные!$D$13:$F$64,MATCH($A39,Вводные!$A$13:$A$64,0),MATCH(BM$3,Вводные!$D$11:$F$11,0))*(1+IF(BM$4=$A39,Вводные!$D$5*INDEX(Вводные!$G$13:$G$64,MATCH($A39,Вводные!$A$13:$A$64,0)),0))</f>
        <v>0.02475</v>
      </c>
      <c r="BN39" s="32" t="n">
        <f aca="false">INDEX(Вводные!$D$13:$F$64,MATCH($A39,Вводные!$A$13:$A$64,0),MATCH(BN$3,Вводные!$D$11:$F$11,0))*(1+IF(BN$4=$A39,Вводные!$D$5*INDEX(Вводные!$G$13:$G$64,MATCH($A39,Вводные!$A$13:$A$64,0)),0))</f>
        <v>0.025</v>
      </c>
      <c r="BO39" s="32" t="n">
        <f aca="false">INDEX(Вводные!$D$13:$F$64,MATCH($A39,Вводные!$A$13:$A$64,0),MATCH(BO$3,Вводные!$D$11:$F$11,0))*(1+IF(BO$4=$A39,Вводные!$D$5*INDEX(Вводные!$G$13:$G$64,MATCH($A39,Вводные!$A$13:$A$64,0)),0))</f>
        <v>0.025</v>
      </c>
      <c r="BP39" s="32" t="n">
        <f aca="false">INDEX(Вводные!$D$13:$F$64,MATCH($A39,Вводные!$A$13:$A$64,0),MATCH(BP$3,Вводные!$D$11:$F$11,0))*(1+IF(BP$4=$A39,Вводные!$D$5*INDEX(Вводные!$G$13:$G$64,MATCH($A39,Вводные!$A$13:$A$64,0)),0))</f>
        <v>0.025</v>
      </c>
      <c r="BQ39" s="32" t="n">
        <f aca="false">INDEX(Вводные!$D$13:$F$64,MATCH($A39,Вводные!$A$13:$A$64,0),MATCH(BQ$3,Вводные!$D$11:$F$11,0))*(1+IF(BQ$4=$A39,Вводные!$D$5*INDEX(Вводные!$G$13:$G$64,MATCH($A39,Вводные!$A$13:$A$64,0)),0))</f>
        <v>0.025</v>
      </c>
      <c r="BR39" s="32" t="n">
        <f aca="false">INDEX(Вводные!$D$13:$F$64,MATCH($A39,Вводные!$A$13:$A$64,0),MATCH(BR$3,Вводные!$D$11:$F$11,0))*(1+IF(BR$4=$A39,Вводные!$D$5*INDEX(Вводные!$G$13:$G$64,MATCH($A39,Вводные!$A$13:$A$64,0)),0))</f>
        <v>0.025</v>
      </c>
      <c r="BS39" s="32" t="n">
        <f aca="false">INDEX(Вводные!$D$13:$F$64,MATCH($A39,Вводные!$A$13:$A$64,0),MATCH(BS$3,Вводные!$D$11:$F$11,0))*(1+IF(BS$4=$A39,Вводные!$D$5*INDEX(Вводные!$G$13:$G$64,MATCH($A39,Вводные!$A$13:$A$64,0)),0))</f>
        <v>0.025</v>
      </c>
      <c r="BT39" s="32" t="n">
        <f aca="false">INDEX(Вводные!$D$13:$F$64,MATCH($A39,Вводные!$A$13:$A$64,0),MATCH(BT$3,Вводные!$D$11:$F$11,0))*(1+IF(BT$4=$A39,Вводные!$D$5*INDEX(Вводные!$G$13:$G$64,MATCH($A39,Вводные!$A$13:$A$64,0)),0))</f>
        <v>0.025</v>
      </c>
      <c r="BU39" s="32" t="n">
        <f aca="false">INDEX(Вводные!$D$13:$F$64,MATCH($A39,Вводные!$A$13:$A$64,0),MATCH(BU$3,Вводные!$D$11:$F$11,0))*(1+IF(BU$4=$A39,Вводные!$D$5*INDEX(Вводные!$G$13:$G$64,MATCH($A39,Вводные!$A$13:$A$64,0)),0))</f>
        <v>0.025</v>
      </c>
      <c r="BV39" s="32" t="n">
        <f aca="false">INDEX(Вводные!$D$13:$F$64,MATCH($A39,Вводные!$A$13:$A$64,0),MATCH(BV$3,Вводные!$D$11:$F$11,0))*(1+IF(BV$4=$A39,Вводные!$D$5*INDEX(Вводные!$G$13:$G$64,MATCH($A39,Вводные!$A$13:$A$64,0)),0))</f>
        <v>0.025</v>
      </c>
      <c r="BW39" s="32" t="n">
        <f aca="false">INDEX(Вводные!$D$13:$F$64,MATCH($A39,Вводные!$A$13:$A$64,0),MATCH(BW$3,Вводные!$D$11:$F$11,0))*(1+IF(BW$4=$A39,Вводные!$D$5*INDEX(Вводные!$G$13:$G$64,MATCH($A39,Вводные!$A$13:$A$64,0)),0))</f>
        <v>0.025</v>
      </c>
      <c r="BX39" s="32" t="n">
        <f aca="false">INDEX(Вводные!$D$13:$F$64,MATCH($A39,Вводные!$A$13:$A$64,0),MATCH(BX$3,Вводные!$D$11:$F$11,0))*(1+IF(BX$4=$A39,Вводные!$D$5*INDEX(Вводные!$G$13:$G$64,MATCH($A39,Вводные!$A$13:$A$64,0)),0))</f>
        <v>0.025</v>
      </c>
      <c r="BY39" s="32" t="n">
        <f aca="false">INDEX(Вводные!$D$13:$F$64,MATCH($A39,Вводные!$A$13:$A$64,0),MATCH(BY$3,Вводные!$D$11:$F$11,0))*(1+IF(BY$4=$A39,Вводные!$D$5*INDEX(Вводные!$G$13:$G$64,MATCH($A39,Вводные!$A$13:$A$64,0)),0))</f>
        <v>0.025</v>
      </c>
      <c r="BZ39" s="32" t="n">
        <f aca="false">INDEX(Вводные!$D$13:$F$64,MATCH($A39,Вводные!$A$13:$A$64,0),MATCH(BZ$3,Вводные!$D$11:$F$11,0))*(1+IF(BZ$4=$A39,Вводные!$D$5*INDEX(Вводные!$G$13:$G$64,MATCH($A39,Вводные!$A$13:$A$64,0)),0))</f>
        <v>0.025</v>
      </c>
      <c r="CA39" s="32" t="n">
        <f aca="false">INDEX(Вводные!$D$13:$F$64,MATCH($A39,Вводные!$A$13:$A$64,0),MATCH(CA$3,Вводные!$D$11:$F$11,0))*(1+IF(CA$4=$A39,Вводные!$D$5*INDEX(Вводные!$G$13:$G$64,MATCH($A39,Вводные!$A$13:$A$64,0)),0))</f>
        <v>0.025</v>
      </c>
      <c r="CB39" s="32" t="n">
        <f aca="false">INDEX(Вводные!$D$13:$F$64,MATCH($A39,Вводные!$A$13:$A$64,0),MATCH(CB$3,Вводные!$D$11:$F$11,0))*(1+IF(CB$4=$A39,Вводные!$D$5*INDEX(Вводные!$G$13:$G$64,MATCH($A39,Вводные!$A$13:$A$64,0)),0))</f>
        <v>0.025</v>
      </c>
      <c r="CC39" s="32" t="n">
        <f aca="false">INDEX(Вводные!$D$13:$F$64,MATCH($A39,Вводные!$A$13:$A$64,0),MATCH(CC$3,Вводные!$D$11:$F$11,0))*(1+IF(CC$4=$A39,Вводные!$D$5*INDEX(Вводные!$G$13:$G$64,MATCH($A39,Вводные!$A$13:$A$64,0)),0))</f>
        <v>0.025</v>
      </c>
      <c r="CD39" s="32" t="n">
        <f aca="false">INDEX(Вводные!$D$13:$F$64,MATCH($A39,Вводные!$A$13:$A$64,0),MATCH(CD$3,Вводные!$D$11:$F$11,0))*(1+IF(CD$4=$A39,Вводные!$D$5*INDEX(Вводные!$G$13:$G$64,MATCH($A39,Вводные!$A$13:$A$64,0)),0))</f>
        <v>0.025</v>
      </c>
      <c r="CE39" s="32" t="n">
        <f aca="false">INDEX(Вводные!$D$13:$F$64,MATCH($A39,Вводные!$A$13:$A$64,0),MATCH(CE$3,Вводные!$D$11:$F$11,0))*(1+IF(CE$4=$A39,Вводные!$D$5*INDEX(Вводные!$G$13:$G$64,MATCH($A39,Вводные!$A$13:$A$64,0)),0))</f>
        <v>0.025</v>
      </c>
      <c r="CF39" s="32" t="n">
        <f aca="false">INDEX(Вводные!$D$13:$F$64,MATCH($A39,Вводные!$A$13:$A$64,0),MATCH(CF$3,Вводные!$D$11:$F$11,0))*(1+IF(CF$4=$A39,Вводные!$D$5*INDEX(Вводные!$G$13:$G$64,MATCH($A39,Вводные!$A$13:$A$64,0)),0))</f>
        <v>0.025</v>
      </c>
      <c r="CG39" s="32" t="n">
        <f aca="false">INDEX(Вводные!$D$13:$F$64,MATCH($A39,Вводные!$A$13:$A$64,0),MATCH(CG$3,Вводные!$D$11:$F$11,0))*(1+IF(CG$4=$A39,Вводные!$D$5*INDEX(Вводные!$G$13:$G$64,MATCH($A39,Вводные!$A$13:$A$64,0)),0))</f>
        <v>0.025</v>
      </c>
      <c r="CH39" s="32" t="n">
        <f aca="false">INDEX(Вводные!$D$13:$F$64,MATCH($A39,Вводные!$A$13:$A$64,0),MATCH(CH$3,Вводные!$D$11:$F$11,0))*(1+IF(CH$4=$A39,Вводные!$D$5*INDEX(Вводные!$G$13:$G$64,MATCH($A39,Вводные!$A$13:$A$64,0)),0))</f>
        <v>0.025</v>
      </c>
      <c r="CI39" s="32" t="n">
        <f aca="false">INDEX(Вводные!$D$13:$F$64,MATCH($A39,Вводные!$A$13:$A$64,0),MATCH(CI$3,Вводные!$D$11:$F$11,0))*(1+IF(CI$4=$A39,Вводные!$D$5*INDEX(Вводные!$G$13:$G$64,MATCH($A39,Вводные!$A$13:$A$64,0)),0))</f>
        <v>0.025</v>
      </c>
      <c r="CJ39" s="32" t="n">
        <f aca="false">INDEX(Вводные!$D$13:$F$64,MATCH($A39,Вводные!$A$13:$A$64,0),MATCH(CJ$3,Вводные!$D$11:$F$11,0))*(1+IF(CJ$4=$A39,Вводные!$D$5*INDEX(Вводные!$G$13:$G$64,MATCH($A39,Вводные!$A$13:$A$64,0)),0))</f>
        <v>0.025</v>
      </c>
      <c r="CK39" s="32" t="n">
        <f aca="false">INDEX(Вводные!$D$13:$F$64,MATCH($A39,Вводные!$A$13:$A$64,0),MATCH(CK$3,Вводные!$D$11:$F$11,0))*(1+IF(CK$4=$A39,Вводные!$D$5*INDEX(Вводные!$G$13:$G$64,MATCH($A39,Вводные!$A$13:$A$64,0)),0))</f>
        <v>0.025</v>
      </c>
      <c r="CL39" s="32" t="n">
        <f aca="false">INDEX(Вводные!$D$13:$F$64,MATCH($A39,Вводные!$A$13:$A$64,0),MATCH(CL$3,Вводные!$D$11:$F$11,0))*(1+IF(CL$4=$A39,Вводные!$D$5*INDEX(Вводные!$G$13:$G$64,MATCH($A39,Вводные!$A$13:$A$64,0)),0))</f>
        <v>0.025</v>
      </c>
      <c r="CM39" s="32" t="n">
        <f aca="false">INDEX(Вводные!$D$13:$F$64,MATCH($A39,Вводные!$A$13:$A$64,0),MATCH(CM$3,Вводные!$D$11:$F$11,0))*(1+IF(CM$4=$A39,Вводные!$D$5*INDEX(Вводные!$G$13:$G$64,MATCH($A39,Вводные!$A$13:$A$64,0)),0))</f>
        <v>0.025</v>
      </c>
      <c r="CN39" s="32" t="n">
        <f aca="false">INDEX(Вводные!$D$13:$F$64,MATCH($A39,Вводные!$A$13:$A$64,0),MATCH(CN$3,Вводные!$D$11:$F$11,0))*(1+IF(CN$4=$A39,Вводные!$D$5*INDEX(Вводные!$G$13:$G$64,MATCH($A39,Вводные!$A$13:$A$64,0)),0))</f>
        <v>0.025</v>
      </c>
      <c r="CO39" s="32" t="n">
        <f aca="false">INDEX(Вводные!$D$13:$F$64,MATCH($A39,Вводные!$A$13:$A$64,0),MATCH(CO$3,Вводные!$D$11:$F$11,0))*(1+IF(CO$4=$A39,Вводные!$D$5*INDEX(Вводные!$G$13:$G$64,MATCH($A39,Вводные!$A$13:$A$64,0)),0))</f>
        <v>0.025</v>
      </c>
      <c r="CP39" s="32" t="n">
        <f aca="false">INDEX(Вводные!$D$13:$F$64,MATCH($A39,Вводные!$A$13:$A$64,0),MATCH(CP$3,Вводные!$D$11:$F$11,0))*(1+IF(CP$4=$A39,Вводные!$D$5*INDEX(Вводные!$G$13:$G$64,MATCH($A39,Вводные!$A$13:$A$64,0)),0))</f>
        <v>0.035</v>
      </c>
      <c r="CQ39" s="32" t="n">
        <f aca="false">INDEX(Вводные!$D$13:$F$64,MATCH($A39,Вводные!$A$13:$A$64,0),MATCH(CQ$3,Вводные!$D$11:$F$11,0))*(1+IF(CQ$4=$A39,Вводные!$D$5*INDEX(Вводные!$G$13:$G$64,MATCH($A39,Вводные!$A$13:$A$64,0)),0))</f>
        <v>0.035</v>
      </c>
      <c r="CR39" s="32" t="n">
        <f aca="false">INDEX(Вводные!$D$13:$F$64,MATCH($A39,Вводные!$A$13:$A$64,0),MATCH(CR$3,Вводные!$D$11:$F$11,0))*(1+IF(CR$4=$A39,Вводные!$D$5*INDEX(Вводные!$G$13:$G$64,MATCH($A39,Вводные!$A$13:$A$64,0)),0))</f>
        <v>0.035</v>
      </c>
      <c r="CS39" s="32" t="n">
        <f aca="false">INDEX(Вводные!$D$13:$F$64,MATCH($A39,Вводные!$A$13:$A$64,0),MATCH(CS$3,Вводные!$D$11:$F$11,0))*(1+IF(CS$4=$A39,Вводные!$D$5*INDEX(Вводные!$G$13:$G$64,MATCH($A39,Вводные!$A$13:$A$64,0)),0))</f>
        <v>0.035</v>
      </c>
      <c r="CT39" s="32" t="n">
        <f aca="false">INDEX(Вводные!$D$13:$F$64,MATCH($A39,Вводные!$A$13:$A$64,0),MATCH(CT$3,Вводные!$D$11:$F$11,0))*(1+IF(CT$4=$A39,Вводные!$D$5*INDEX(Вводные!$G$13:$G$64,MATCH($A39,Вводные!$A$13:$A$64,0)),0))</f>
        <v>0.035</v>
      </c>
      <c r="CU39" s="32" t="n">
        <f aca="false">INDEX(Вводные!$D$13:$F$64,MATCH($A39,Вводные!$A$13:$A$64,0),MATCH(CU$3,Вводные!$D$11:$F$11,0))*(1+IF(CU$4=$A39,Вводные!$D$5*INDEX(Вводные!$G$13:$G$64,MATCH($A39,Вводные!$A$13:$A$64,0)),0))</f>
        <v>0.035</v>
      </c>
      <c r="CV39" s="32" t="n">
        <f aca="false">INDEX(Вводные!$D$13:$F$64,MATCH($A39,Вводные!$A$13:$A$64,0),MATCH(CV$3,Вводные!$D$11:$F$11,0))*(1+IF(CV$4=$A39,Вводные!$D$5*INDEX(Вводные!$G$13:$G$64,MATCH($A39,Вводные!$A$13:$A$64,0)),0))</f>
        <v>0.035</v>
      </c>
      <c r="CW39" s="32" t="n">
        <f aca="false">INDEX(Вводные!$D$13:$F$64,MATCH($A39,Вводные!$A$13:$A$64,0),MATCH(CW$3,Вводные!$D$11:$F$11,0))*(1+IF(CW$4=$A39,Вводные!$D$5*INDEX(Вводные!$G$13:$G$64,MATCH($A39,Вводные!$A$13:$A$64,0)),0))</f>
        <v>0.035</v>
      </c>
      <c r="CX39" s="32" t="n">
        <f aca="false">INDEX(Вводные!$D$13:$F$64,MATCH($A39,Вводные!$A$13:$A$64,0),MATCH(CX$3,Вводные!$D$11:$F$11,0))*(1+IF(CX$4=$A39,Вводные!$D$5*INDEX(Вводные!$G$13:$G$64,MATCH($A39,Вводные!$A$13:$A$64,0)),0))</f>
        <v>0.035</v>
      </c>
      <c r="CY39" s="32" t="n">
        <f aca="false">INDEX(Вводные!$D$13:$F$64,MATCH($A39,Вводные!$A$13:$A$64,0),MATCH(CY$3,Вводные!$D$11:$F$11,0))*(1+IF(CY$4=$A39,Вводные!$D$5*INDEX(Вводные!$G$13:$G$64,MATCH($A39,Вводные!$A$13:$A$64,0)),0))</f>
        <v>0.035</v>
      </c>
      <c r="CZ39" s="32" t="n">
        <f aca="false">INDEX(Вводные!$D$13:$F$64,MATCH($A39,Вводные!$A$13:$A$64,0),MATCH(CZ$3,Вводные!$D$11:$F$11,0))*(1+IF(CZ$4=$A39,Вводные!$D$5*INDEX(Вводные!$G$13:$G$64,MATCH($A39,Вводные!$A$13:$A$64,0)),0))</f>
        <v>0.035</v>
      </c>
      <c r="DA39" s="32" t="n">
        <f aca="false">INDEX(Вводные!$D$13:$F$64,MATCH($A39,Вводные!$A$13:$A$64,0),MATCH(DA$3,Вводные!$D$11:$F$11,0))*(1+IF(DA$4=$A39,Вводные!$D$5*INDEX(Вводные!$G$13:$G$64,MATCH($A39,Вводные!$A$13:$A$64,0)),0))</f>
        <v>0.035</v>
      </c>
      <c r="DB39" s="32" t="n">
        <f aca="false">INDEX(Вводные!$D$13:$F$64,MATCH($A39,Вводные!$A$13:$A$64,0),MATCH(DB$3,Вводные!$D$11:$F$11,0))*(1+IF(DB$4=$A39,Вводные!$D$5*INDEX(Вводные!$G$13:$G$64,MATCH($A39,Вводные!$A$13:$A$64,0)),0))</f>
        <v>0.035</v>
      </c>
      <c r="DC39" s="32" t="n">
        <f aca="false">INDEX(Вводные!$D$13:$F$64,MATCH($A39,Вводные!$A$13:$A$64,0),MATCH(DC$3,Вводные!$D$11:$F$11,0))*(1+IF(DC$4=$A39,Вводные!$D$5*INDEX(Вводные!$G$13:$G$64,MATCH($A39,Вводные!$A$13:$A$64,0)),0))</f>
        <v>0.03465</v>
      </c>
      <c r="DD39" s="32" t="n">
        <f aca="false">INDEX(Вводные!$D$13:$F$64,MATCH($A39,Вводные!$A$13:$A$64,0),MATCH(DD$3,Вводные!$D$11:$F$11,0))*(1+IF(DD$4=$A39,Вводные!$D$5*INDEX(Вводные!$G$13:$G$64,MATCH($A39,Вводные!$A$13:$A$64,0)),0))</f>
        <v>0.035</v>
      </c>
      <c r="DE39" s="32" t="n">
        <f aca="false">INDEX(Вводные!$D$13:$F$64,MATCH($A39,Вводные!$A$13:$A$64,0),MATCH(DE$3,Вводные!$D$11:$F$11,0))*(1+IF(DE$4=$A39,Вводные!$D$5*INDEX(Вводные!$G$13:$G$64,MATCH($A39,Вводные!$A$13:$A$64,0)),0))</f>
        <v>0.035</v>
      </c>
      <c r="DF39" s="32" t="n">
        <f aca="false">INDEX(Вводные!$D$13:$F$64,MATCH($A39,Вводные!$A$13:$A$64,0),MATCH(DF$3,Вводные!$D$11:$F$11,0))*(1+IF(DF$4=$A39,Вводные!$D$5*INDEX(Вводные!$G$13:$G$64,MATCH($A39,Вводные!$A$13:$A$64,0)),0))</f>
        <v>0.035</v>
      </c>
      <c r="DG39" s="32" t="n">
        <f aca="false">INDEX(Вводные!$D$13:$F$64,MATCH($A39,Вводные!$A$13:$A$64,0),MATCH(DG$3,Вводные!$D$11:$F$11,0))*(1+IF(DG$4=$A39,Вводные!$D$5*INDEX(Вводные!$G$13:$G$64,MATCH($A39,Вводные!$A$13:$A$64,0)),0))</f>
        <v>0.035</v>
      </c>
      <c r="DH39" s="32" t="n">
        <f aca="false">INDEX(Вводные!$D$13:$F$64,MATCH($A39,Вводные!$A$13:$A$64,0),MATCH(DH$3,Вводные!$D$11:$F$11,0))*(1+IF(DH$4=$A39,Вводные!$D$5*INDEX(Вводные!$G$13:$G$64,MATCH($A39,Вводные!$A$13:$A$64,0)),0))</f>
        <v>0.035</v>
      </c>
      <c r="DI39" s="32" t="n">
        <f aca="false">INDEX(Вводные!$D$13:$F$64,MATCH($A39,Вводные!$A$13:$A$64,0),MATCH(DI$3,Вводные!$D$11:$F$11,0))*(1+IF(DI$4=$A39,Вводные!$D$5*INDEX(Вводные!$G$13:$G$64,MATCH($A39,Вводные!$A$13:$A$64,0)),0))</f>
        <v>0.035</v>
      </c>
      <c r="DJ39" s="32" t="n">
        <f aca="false">INDEX(Вводные!$D$13:$F$64,MATCH($A39,Вводные!$A$13:$A$64,0),MATCH(DJ$3,Вводные!$D$11:$F$11,0))*(1+IF(DJ$4=$A39,Вводные!$D$5*INDEX(Вводные!$G$13:$G$64,MATCH($A39,Вводные!$A$13:$A$64,0)),0))</f>
        <v>0.035</v>
      </c>
      <c r="DK39" s="32" t="n">
        <f aca="false">INDEX(Вводные!$D$13:$F$64,MATCH($A39,Вводные!$A$13:$A$64,0),MATCH(DK$3,Вводные!$D$11:$F$11,0))*(1+IF(DK$4=$A39,Вводные!$D$5*INDEX(Вводные!$G$13:$G$64,MATCH($A39,Вводные!$A$13:$A$64,0)),0))</f>
        <v>0.035</v>
      </c>
      <c r="DL39" s="32" t="n">
        <f aca="false">INDEX(Вводные!$D$13:$F$64,MATCH($A39,Вводные!$A$13:$A$64,0),MATCH(DL$3,Вводные!$D$11:$F$11,0))*(1+IF(DL$4=$A39,Вводные!$D$5*INDEX(Вводные!$G$13:$G$64,MATCH($A39,Вводные!$A$13:$A$64,0)),0))</f>
        <v>0.035</v>
      </c>
      <c r="DM39" s="32" t="n">
        <f aca="false">INDEX(Вводные!$D$13:$F$64,MATCH($A39,Вводные!$A$13:$A$64,0),MATCH(DM$3,Вводные!$D$11:$F$11,0))*(1+IF(DM$4=$A39,Вводные!$D$5*INDEX(Вводные!$G$13:$G$64,MATCH($A39,Вводные!$A$13:$A$64,0)),0))</f>
        <v>0.035</v>
      </c>
      <c r="DN39" s="32" t="n">
        <f aca="false">INDEX(Вводные!$D$13:$F$64,MATCH($A39,Вводные!$A$13:$A$64,0),MATCH(DN$3,Вводные!$D$11:$F$11,0))*(1+IF(DN$4=$A39,Вводные!$D$5*INDEX(Вводные!$G$13:$G$64,MATCH($A39,Вводные!$A$13:$A$64,0)),0))</f>
        <v>0.035</v>
      </c>
      <c r="DO39" s="32" t="n">
        <f aca="false">INDEX(Вводные!$D$13:$F$64,MATCH($A39,Вводные!$A$13:$A$64,0),MATCH(DO$3,Вводные!$D$11:$F$11,0))*(1+IF(DO$4=$A39,Вводные!$D$5*INDEX(Вводные!$G$13:$G$64,MATCH($A39,Вводные!$A$13:$A$64,0)),0))</f>
        <v>0.035</v>
      </c>
      <c r="DP39" s="32" t="n">
        <f aca="false">INDEX(Вводные!$D$13:$F$64,MATCH($A39,Вводные!$A$13:$A$64,0),MATCH(DP$3,Вводные!$D$11:$F$11,0))*(1+IF(DP$4=$A39,Вводные!$D$5*INDEX(Вводные!$G$13:$G$64,MATCH($A39,Вводные!$A$13:$A$64,0)),0))</f>
        <v>0.035</v>
      </c>
      <c r="DQ39" s="32" t="n">
        <f aca="false">INDEX(Вводные!$D$13:$F$64,MATCH($A39,Вводные!$A$13:$A$64,0),MATCH(DQ$3,Вводные!$D$11:$F$11,0))*(1+IF(DQ$4=$A39,Вводные!$D$5*INDEX(Вводные!$G$13:$G$64,MATCH($A39,Вводные!$A$13:$A$64,0)),0))</f>
        <v>0.035</v>
      </c>
      <c r="DR39" s="32" t="n">
        <f aca="false">INDEX(Вводные!$D$13:$F$64,MATCH($A39,Вводные!$A$13:$A$64,0),MATCH(DR$3,Вводные!$D$11:$F$11,0))*(1+IF(DR$4=$A39,Вводные!$D$5*INDEX(Вводные!$G$13:$G$64,MATCH($A39,Вводные!$A$13:$A$64,0)),0))</f>
        <v>0.035</v>
      </c>
      <c r="DS39" s="32" t="n">
        <f aca="false">INDEX(Вводные!$D$13:$F$64,MATCH($A39,Вводные!$A$13:$A$64,0),MATCH(DS$3,Вводные!$D$11:$F$11,0))*(1+IF(DS$4=$A39,Вводные!$D$5*INDEX(Вводные!$G$13:$G$64,MATCH($A39,Вводные!$A$13:$A$64,0)),0))</f>
        <v>0.035</v>
      </c>
      <c r="DT39" s="32" t="n">
        <f aca="false">INDEX(Вводные!$D$13:$F$64,MATCH($A39,Вводные!$A$13:$A$64,0),MATCH(DT$3,Вводные!$D$11:$F$11,0))*(1+IF(DT$4=$A39,Вводные!$D$5*INDEX(Вводные!$G$13:$G$64,MATCH($A39,Вводные!$A$13:$A$64,0)),0))</f>
        <v>0.035</v>
      </c>
      <c r="DU39" s="32" t="n">
        <f aca="false">INDEX(Вводные!$D$13:$F$64,MATCH($A39,Вводные!$A$13:$A$64,0),MATCH(DU$3,Вводные!$D$11:$F$11,0))*(1+IF(DU$4=$A39,Вводные!$D$5*INDEX(Вводные!$G$13:$G$64,MATCH($A39,Вводные!$A$13:$A$64,0)),0))</f>
        <v>0.035</v>
      </c>
      <c r="DV39" s="32" t="n">
        <f aca="false">INDEX(Вводные!$D$13:$F$64,MATCH($A39,Вводные!$A$13:$A$64,0),MATCH(DV$3,Вводные!$D$11:$F$11,0))*(1+IF(DV$4=$A39,Вводные!$D$5*INDEX(Вводные!$G$13:$G$64,MATCH($A39,Вводные!$A$13:$A$64,0)),0))</f>
        <v>0.035</v>
      </c>
      <c r="DW39" s="32" t="n">
        <f aca="false">INDEX(Вводные!$D$13:$F$64,MATCH($A39,Вводные!$A$13:$A$64,0),MATCH(DW$3,Вводные!$D$11:$F$11,0))*(1+IF(DW$4=$A39,Вводные!$D$5*INDEX(Вводные!$G$13:$G$64,MATCH($A39,Вводные!$A$13:$A$64,0)),0))</f>
        <v>0.035</v>
      </c>
      <c r="DX39" s="32" t="n">
        <f aca="false">INDEX(Вводные!$D$13:$F$64,MATCH($A39,Вводные!$A$13:$A$64,0),MATCH(DX$3,Вводные!$D$11:$F$11,0))*(1+IF(DX$4=$A39,Вводные!$D$5*INDEX(Вводные!$G$13:$G$64,MATCH($A39,Вводные!$A$13:$A$64,0)),0))</f>
        <v>0.035</v>
      </c>
      <c r="DY39" s="32" t="n">
        <f aca="false">INDEX(Вводные!$D$13:$F$64,MATCH($A39,Вводные!$A$13:$A$64,0),MATCH(DY$3,Вводные!$D$11:$F$11,0))*(1+IF(DY$4=$A39,Вводные!$D$5*INDEX(Вводные!$G$13:$G$64,MATCH($A39,Вводные!$A$13:$A$64,0)),0))</f>
        <v>0.035</v>
      </c>
      <c r="DZ39" s="32" t="n">
        <f aca="false">INDEX(Вводные!$D$13:$F$64,MATCH($A39,Вводные!$A$13:$A$64,0),MATCH(DZ$3,Вводные!$D$11:$F$11,0))*(1+IF(DZ$4=$A39,Вводные!$D$5*INDEX(Вводные!$G$13:$G$64,MATCH($A39,Вводные!$A$13:$A$64,0)),0))</f>
        <v>0.035</v>
      </c>
      <c r="EA39" s="32" t="n">
        <f aca="false">INDEX(Вводные!$D$13:$F$64,MATCH($A39,Вводные!$A$13:$A$64,0),MATCH(EA$3,Вводные!$D$11:$F$11,0))*(1+IF(EA$4=$A39,Вводные!$D$5*INDEX(Вводные!$G$13:$G$64,MATCH($A39,Вводные!$A$13:$A$64,0)),0))</f>
        <v>0.035</v>
      </c>
      <c r="EB39" s="32" t="n">
        <f aca="false">INDEX(Вводные!$D$13:$F$64,MATCH($A39,Вводные!$A$13:$A$64,0),MATCH(EB$3,Вводные!$D$11:$F$11,0))*(1+IF(EB$4=$A39,Вводные!$D$5*INDEX(Вводные!$G$13:$G$64,MATCH($A39,Вводные!$A$13:$A$64,0)),0))</f>
        <v>0.035</v>
      </c>
      <c r="EC39" s="32" t="n">
        <f aca="false">INDEX(Вводные!$D$13:$F$64,MATCH($A39,Вводные!$A$13:$A$64,0),MATCH(EC$3,Вводные!$D$11:$F$11,0))*(1+IF(EC$4=$A39,Вводные!$D$5*INDEX(Вводные!$G$13:$G$64,MATCH($A39,Вводные!$A$13:$A$64,0)),0))</f>
        <v>0.035</v>
      </c>
      <c r="ED39" s="32" t="n">
        <f aca="false">INDEX(Вводные!$D$13:$F$64,MATCH($A39,Вводные!$A$13:$A$64,0),MATCH(ED$3,Вводные!$D$11:$F$11,0))*(1+IF(ED$4=$A39,Вводные!$D$5*INDEX(Вводные!$G$13:$G$64,MATCH($A39,Вводные!$A$13:$A$64,0)),0))</f>
        <v>0.035</v>
      </c>
      <c r="EE39" s="32" t="n">
        <f aca="false">INDEX(Вводные!$D$13:$F$64,MATCH($A39,Вводные!$A$13:$A$64,0),MATCH(EE$3,Вводные!$D$11:$F$11,0))*(1+IF(EE$4=$A39,Вводные!$D$5*INDEX(Вводные!$G$13:$G$64,MATCH($A39,Вводные!$A$13:$A$64,0)),0))</f>
        <v>0.035</v>
      </c>
      <c r="EF39" s="32" t="n">
        <f aca="false">INDEX(Вводные!$D$13:$F$64,MATCH($A39,Вводные!$A$13:$A$64,0),MATCH(EF$3,Вводные!$D$11:$F$11,0))*(1+IF(EF$4=$A39,Вводные!$D$5*INDEX(Вводные!$G$13:$G$64,MATCH($A39,Вводные!$A$13:$A$64,0)),0))</f>
        <v>0.02</v>
      </c>
      <c r="EG39" s="32" t="n">
        <f aca="false">INDEX(Вводные!$D$13:$F$64,MATCH($A39,Вводные!$A$13:$A$64,0),MATCH(EG$3,Вводные!$D$11:$F$11,0))*(1+IF(EG$4=$A39,Вводные!$D$5*INDEX(Вводные!$G$13:$G$64,MATCH($A39,Вводные!$A$13:$A$64,0)),0))</f>
        <v>0.02</v>
      </c>
      <c r="EH39" s="32" t="n">
        <f aca="false">INDEX(Вводные!$D$13:$F$64,MATCH($A39,Вводные!$A$13:$A$64,0),MATCH(EH$3,Вводные!$D$11:$F$11,0))*(1+IF(EH$4=$A39,Вводные!$D$5*INDEX(Вводные!$G$13:$G$64,MATCH($A39,Вводные!$A$13:$A$64,0)),0))</f>
        <v>0.02</v>
      </c>
      <c r="EI39" s="32" t="n">
        <f aca="false">INDEX(Вводные!$D$13:$F$64,MATCH($A39,Вводные!$A$13:$A$64,0),MATCH(EI$3,Вводные!$D$11:$F$11,0))*(1+IF(EI$4=$A39,Вводные!$D$5*INDEX(Вводные!$G$13:$G$64,MATCH($A39,Вводные!$A$13:$A$64,0)),0))</f>
        <v>0.02</v>
      </c>
      <c r="EJ39" s="32" t="n">
        <f aca="false">INDEX(Вводные!$D$13:$F$64,MATCH($A39,Вводные!$A$13:$A$64,0),MATCH(EJ$3,Вводные!$D$11:$F$11,0))*(1+IF(EJ$4=$A39,Вводные!$D$5*INDEX(Вводные!$G$13:$G$64,MATCH($A39,Вводные!$A$13:$A$64,0)),0))</f>
        <v>0.02</v>
      </c>
      <c r="EK39" s="32" t="n">
        <f aca="false">INDEX(Вводные!$D$13:$F$64,MATCH($A39,Вводные!$A$13:$A$64,0),MATCH(EK$3,Вводные!$D$11:$F$11,0))*(1+IF(EK$4=$A39,Вводные!$D$5*INDEX(Вводные!$G$13:$G$64,MATCH($A39,Вводные!$A$13:$A$64,0)),0))</f>
        <v>0.02</v>
      </c>
      <c r="EL39" s="32" t="n">
        <f aca="false">INDEX(Вводные!$D$13:$F$64,MATCH($A39,Вводные!$A$13:$A$64,0),MATCH(EL$3,Вводные!$D$11:$F$11,0))*(1+IF(EL$4=$A39,Вводные!$D$5*INDEX(Вводные!$G$13:$G$64,MATCH($A39,Вводные!$A$13:$A$64,0)),0))</f>
        <v>0.02</v>
      </c>
      <c r="EM39" s="32" t="n">
        <f aca="false">INDEX(Вводные!$D$13:$F$64,MATCH($A39,Вводные!$A$13:$A$64,0),MATCH(EM$3,Вводные!$D$11:$F$11,0))*(1+IF(EM$4=$A39,Вводные!$D$5*INDEX(Вводные!$G$13:$G$64,MATCH($A39,Вводные!$A$13:$A$64,0)),0))</f>
        <v>0.02</v>
      </c>
      <c r="EN39" s="32" t="n">
        <f aca="false">INDEX(Вводные!$D$13:$F$64,MATCH($A39,Вводные!$A$13:$A$64,0),MATCH(EN$3,Вводные!$D$11:$F$11,0))*(1+IF(EN$4=$A39,Вводные!$D$5*INDEX(Вводные!$G$13:$G$64,MATCH($A39,Вводные!$A$13:$A$64,0)),0))</f>
        <v>0.02</v>
      </c>
      <c r="EO39" s="32" t="n">
        <f aca="false">INDEX(Вводные!$D$13:$F$64,MATCH($A39,Вводные!$A$13:$A$64,0),MATCH(EO$3,Вводные!$D$11:$F$11,0))*(1+IF(EO$4=$A39,Вводные!$D$5*INDEX(Вводные!$G$13:$G$64,MATCH($A39,Вводные!$A$13:$A$64,0)),0))</f>
        <v>0.02</v>
      </c>
      <c r="EP39" s="32" t="n">
        <f aca="false">INDEX(Вводные!$D$13:$F$64,MATCH($A39,Вводные!$A$13:$A$64,0),MATCH(EP$3,Вводные!$D$11:$F$11,0))*(1+IF(EP$4=$A39,Вводные!$D$5*INDEX(Вводные!$G$13:$G$64,MATCH($A39,Вводные!$A$13:$A$64,0)),0))</f>
        <v>0.02</v>
      </c>
      <c r="EQ39" s="32" t="n">
        <f aca="false">INDEX(Вводные!$D$13:$F$64,MATCH($A39,Вводные!$A$13:$A$64,0),MATCH(EQ$3,Вводные!$D$11:$F$11,0))*(1+IF(EQ$4=$A39,Вводные!$D$5*INDEX(Вводные!$G$13:$G$64,MATCH($A39,Вводные!$A$13:$A$64,0)),0))</f>
        <v>0.02</v>
      </c>
      <c r="ER39" s="32" t="n">
        <f aca="false">INDEX(Вводные!$D$13:$F$64,MATCH($A39,Вводные!$A$13:$A$64,0),MATCH(ER$3,Вводные!$D$11:$F$11,0))*(1+IF(ER$4=$A39,Вводные!$D$5*INDEX(Вводные!$G$13:$G$64,MATCH($A39,Вводные!$A$13:$A$64,0)),0))</f>
        <v>0.02</v>
      </c>
      <c r="ES39" s="32" t="n">
        <f aca="false">INDEX(Вводные!$D$13:$F$64,MATCH($A39,Вводные!$A$13:$A$64,0),MATCH(ES$3,Вводные!$D$11:$F$11,0))*(1+IF(ES$4=$A39,Вводные!$D$5*INDEX(Вводные!$G$13:$G$64,MATCH($A39,Вводные!$A$13:$A$64,0)),0))</f>
        <v>0.0198</v>
      </c>
      <c r="ET39" s="32" t="n">
        <f aca="false">INDEX(Вводные!$D$13:$F$64,MATCH($A39,Вводные!$A$13:$A$64,0),MATCH(ET$3,Вводные!$D$11:$F$11,0))*(1+IF(ET$4=$A39,Вводные!$D$5*INDEX(Вводные!$G$13:$G$64,MATCH($A39,Вводные!$A$13:$A$64,0)),0))</f>
        <v>0.02</v>
      </c>
      <c r="EU39" s="32" t="n">
        <f aca="false">INDEX(Вводные!$D$13:$F$64,MATCH($A39,Вводные!$A$13:$A$64,0),MATCH(EU$3,Вводные!$D$11:$F$11,0))*(1+IF(EU$4=$A39,Вводные!$D$5*INDEX(Вводные!$G$13:$G$64,MATCH($A39,Вводные!$A$13:$A$64,0)),0))</f>
        <v>0.02</v>
      </c>
      <c r="EV39" s="32" t="n">
        <f aca="false">INDEX(Вводные!$D$13:$F$64,MATCH($A39,Вводные!$A$13:$A$64,0),MATCH(EV$3,Вводные!$D$11:$F$11,0))*(1+IF(EV$4=$A39,Вводные!$D$5*INDEX(Вводные!$G$13:$G$64,MATCH($A39,Вводные!$A$13:$A$64,0)),0))</f>
        <v>0.02</v>
      </c>
      <c r="EW39" s="32" t="n">
        <f aca="false">INDEX(Вводные!$D$13:$F$64,MATCH($A39,Вводные!$A$13:$A$64,0),MATCH(EW$3,Вводные!$D$11:$F$11,0))*(1+IF(EW$4=$A39,Вводные!$D$5*INDEX(Вводные!$G$13:$G$64,MATCH($A39,Вводные!$A$13:$A$64,0)),0))</f>
        <v>0.02</v>
      </c>
      <c r="EX39" s="32" t="n">
        <f aca="false">INDEX(Вводные!$D$13:$F$64,MATCH($A39,Вводные!$A$13:$A$64,0),MATCH(EX$3,Вводные!$D$11:$F$11,0))*(1+IF(EX$4=$A39,Вводные!$D$5*INDEX(Вводные!$G$13:$G$64,MATCH($A39,Вводные!$A$13:$A$64,0)),0))</f>
        <v>0.02</v>
      </c>
      <c r="EY39" s="32" t="n">
        <f aca="false">INDEX(Вводные!$D$13:$F$64,MATCH($A39,Вводные!$A$13:$A$64,0),MATCH(EY$3,Вводные!$D$11:$F$11,0))*(1+IF(EY$4=$A39,Вводные!$D$5*INDEX(Вводные!$G$13:$G$64,MATCH($A39,Вводные!$A$13:$A$64,0)),0))</f>
        <v>0.02</v>
      </c>
      <c r="EZ39" s="32" t="n">
        <f aca="false">INDEX(Вводные!$D$13:$F$64,MATCH($A39,Вводные!$A$13:$A$64,0),MATCH(EZ$3,Вводные!$D$11:$F$11,0))*(1+IF(EZ$4=$A39,Вводные!$D$5*INDEX(Вводные!$G$13:$G$64,MATCH($A39,Вводные!$A$13:$A$64,0)),0))</f>
        <v>0.02</v>
      </c>
      <c r="FA39" s="32" t="n">
        <f aca="false">INDEX(Вводные!$D$13:$F$64,MATCH($A39,Вводные!$A$13:$A$64,0),MATCH(FA$3,Вводные!$D$11:$F$11,0))*(1+IF(FA$4=$A39,Вводные!$D$5*INDEX(Вводные!$G$13:$G$64,MATCH($A39,Вводные!$A$13:$A$64,0)),0))</f>
        <v>0.02</v>
      </c>
      <c r="FB39" s="32" t="n">
        <f aca="false">INDEX(Вводные!$D$13:$F$64,MATCH($A39,Вводные!$A$13:$A$64,0),MATCH(FB$3,Вводные!$D$11:$F$11,0))*(1+IF(FB$4=$A39,Вводные!$D$5*INDEX(Вводные!$G$13:$G$64,MATCH($A39,Вводные!$A$13:$A$64,0)),0))</f>
        <v>0.02</v>
      </c>
      <c r="FC39" s="32" t="n">
        <f aca="false">INDEX(Вводные!$D$13:$F$64,MATCH($A39,Вводные!$A$13:$A$64,0),MATCH(FC$3,Вводные!$D$11:$F$11,0))*(1+IF(FC$4=$A39,Вводные!$D$5*INDEX(Вводные!$G$13:$G$64,MATCH($A39,Вводные!$A$13:$A$64,0)),0))</f>
        <v>0.02</v>
      </c>
      <c r="FD39" s="32" t="n">
        <f aca="false">INDEX(Вводные!$D$13:$F$64,MATCH($A39,Вводные!$A$13:$A$64,0),MATCH(FD$3,Вводные!$D$11:$F$11,0))*(1+IF(FD$4=$A39,Вводные!$D$5*INDEX(Вводные!$G$13:$G$64,MATCH($A39,Вводные!$A$13:$A$64,0)),0))</f>
        <v>0.02</v>
      </c>
      <c r="FE39" s="32" t="n">
        <f aca="false">INDEX(Вводные!$D$13:$F$64,MATCH($A39,Вводные!$A$13:$A$64,0),MATCH(FE$3,Вводные!$D$11:$F$11,0))*(1+IF(FE$4=$A39,Вводные!$D$5*INDEX(Вводные!$G$13:$G$64,MATCH($A39,Вводные!$A$13:$A$64,0)),0))</f>
        <v>0.02</v>
      </c>
      <c r="FF39" s="32" t="n">
        <f aca="false">INDEX(Вводные!$D$13:$F$64,MATCH($A39,Вводные!$A$13:$A$64,0),MATCH(FF$3,Вводные!$D$11:$F$11,0))*(1+IF(FF$4=$A39,Вводные!$D$5*INDEX(Вводные!$G$13:$G$64,MATCH($A39,Вводные!$A$13:$A$64,0)),0))</f>
        <v>0.02</v>
      </c>
      <c r="FG39" s="32" t="n">
        <f aca="false">INDEX(Вводные!$D$13:$F$64,MATCH($A39,Вводные!$A$13:$A$64,0),MATCH(FG$3,Вводные!$D$11:$F$11,0))*(1+IF(FG$4=$A39,Вводные!$D$5*INDEX(Вводные!$G$13:$G$64,MATCH($A39,Вводные!$A$13:$A$64,0)),0))</f>
        <v>0.02</v>
      </c>
      <c r="FH39" s="32" t="n">
        <f aca="false">INDEX(Вводные!$D$13:$F$64,MATCH($A39,Вводные!$A$13:$A$64,0),MATCH(FH$3,Вводные!$D$11:$F$11,0))*(1+IF(FH$4=$A39,Вводные!$D$5*INDEX(Вводные!$G$13:$G$64,MATCH($A39,Вводные!$A$13:$A$64,0)),0))</f>
        <v>0.02</v>
      </c>
      <c r="FI39" s="32" t="n">
        <f aca="false">INDEX(Вводные!$D$13:$F$64,MATCH($A39,Вводные!$A$13:$A$64,0),MATCH(FI$3,Вводные!$D$11:$F$11,0))*(1+IF(FI$4=$A39,Вводные!$D$5*INDEX(Вводные!$G$13:$G$64,MATCH($A39,Вводные!$A$13:$A$64,0)),0))</f>
        <v>0.02</v>
      </c>
      <c r="FJ39" s="32" t="n">
        <f aca="false">INDEX(Вводные!$D$13:$F$64,MATCH($A39,Вводные!$A$13:$A$64,0),MATCH(FJ$3,Вводные!$D$11:$F$11,0))*(1+IF(FJ$4=$A39,Вводные!$D$5*INDEX(Вводные!$G$13:$G$64,MATCH($A39,Вводные!$A$13:$A$64,0)),0))</f>
        <v>0.02</v>
      </c>
      <c r="FK39" s="32" t="n">
        <f aca="false">INDEX(Вводные!$D$13:$F$64,MATCH($A39,Вводные!$A$13:$A$64,0),MATCH(FK$3,Вводные!$D$11:$F$11,0))*(1+IF(FK$4=$A39,Вводные!$D$5*INDEX(Вводные!$G$13:$G$64,MATCH($A39,Вводные!$A$13:$A$64,0)),0))</f>
        <v>0.02</v>
      </c>
      <c r="FL39" s="32" t="n">
        <f aca="false">INDEX(Вводные!$D$13:$F$64,MATCH($A39,Вводные!$A$13:$A$64,0),MATCH(FL$3,Вводные!$D$11:$F$11,0))*(1+IF(FL$4=$A39,Вводные!$D$5*INDEX(Вводные!$G$13:$G$64,MATCH($A39,Вводные!$A$13:$A$64,0)),0))</f>
        <v>0.02</v>
      </c>
      <c r="FM39" s="32" t="n">
        <f aca="false">INDEX(Вводные!$D$13:$F$64,MATCH($A39,Вводные!$A$13:$A$64,0),MATCH(FM$3,Вводные!$D$11:$F$11,0))*(1+IF(FM$4=$A39,Вводные!$D$5*INDEX(Вводные!$G$13:$G$64,MATCH($A39,Вводные!$A$13:$A$64,0)),0))</f>
        <v>0.02</v>
      </c>
      <c r="FN39" s="32" t="n">
        <f aca="false">INDEX(Вводные!$D$13:$F$64,MATCH($A39,Вводные!$A$13:$A$64,0),MATCH(FN$3,Вводные!$D$11:$F$11,0))*(1+IF(FN$4=$A39,Вводные!$D$5*INDEX(Вводные!$G$13:$G$64,MATCH($A39,Вводные!$A$13:$A$64,0)),0))</f>
        <v>0.02</v>
      </c>
      <c r="FO39" s="32" t="n">
        <f aca="false">INDEX(Вводные!$D$13:$F$64,MATCH($A39,Вводные!$A$13:$A$64,0),MATCH(FO$3,Вводные!$D$11:$F$11,0))*(1+IF(FO$4=$A39,Вводные!$D$5*INDEX(Вводные!$G$13:$G$64,MATCH($A39,Вводные!$A$13:$A$64,0)),0))</f>
        <v>0.02</v>
      </c>
      <c r="FP39" s="32" t="n">
        <f aca="false">INDEX(Вводные!$D$13:$F$64,MATCH($A39,Вводные!$A$13:$A$64,0),MATCH(FP$3,Вводные!$D$11:$F$11,0))*(1+IF(FP$4=$A39,Вводные!$D$5*INDEX(Вводные!$G$13:$G$64,MATCH($A39,Вводные!$A$13:$A$64,0)),0))</f>
        <v>0.02</v>
      </c>
      <c r="FQ39" s="32" t="n">
        <f aca="false">INDEX(Вводные!$D$13:$F$64,MATCH($A39,Вводные!$A$13:$A$64,0),MATCH(FQ$3,Вводные!$D$11:$F$11,0))*(1+IF(FQ$4=$A39,Вводные!$D$5*INDEX(Вводные!$G$13:$G$64,MATCH($A39,Вводные!$A$13:$A$64,0)),0))</f>
        <v>0.02</v>
      </c>
      <c r="FR39" s="32" t="n">
        <f aca="false">INDEX(Вводные!$D$13:$F$64,MATCH($A39,Вводные!$A$13:$A$64,0),MATCH(FR$3,Вводные!$D$11:$F$11,0))*(1+IF(FR$4=$A39,Вводные!$D$5*INDEX(Вводные!$G$13:$G$64,MATCH($A39,Вводные!$A$13:$A$64,0)),0))</f>
        <v>0.02</v>
      </c>
      <c r="FS39" s="32" t="n">
        <f aca="false">INDEX(Вводные!$D$13:$F$64,MATCH($A39,Вводные!$A$13:$A$64,0),MATCH(FS$3,Вводные!$D$11:$F$11,0))*(1+IF(FS$4=$A39,Вводные!$D$5*INDEX(Вводные!$G$13:$G$64,MATCH($A39,Вводные!$A$13:$A$64,0)),0))</f>
        <v>0.02</v>
      </c>
      <c r="FT39" s="32" t="n">
        <f aca="false">INDEX(Вводные!$D$13:$F$64,MATCH($A39,Вводные!$A$13:$A$64,0),MATCH(FT$3,Вводные!$D$11:$F$11,0))*(1+IF(FT$4=$A39,Вводные!$D$5*INDEX(Вводные!$G$13:$G$64,MATCH($A39,Вводные!$A$13:$A$64,0)),0))</f>
        <v>0.02</v>
      </c>
      <c r="FU39" s="32" t="n">
        <f aca="false">INDEX(Вводные!$D$13:$F$64,MATCH($A39,Вводные!$A$13:$A$64,0),MATCH(FU$3,Вводные!$D$11:$F$11,0))*(1+IF(FU$4=$A39,Вводные!$D$5*INDEX(Вводные!$G$13:$G$64,MATCH($A39,Вводные!$A$13:$A$64,0)),0))</f>
        <v>0.02</v>
      </c>
      <c r="FV39" s="32" t="n">
        <f aca="false">INDEX(Вводные!$D$13:$F$64,MATCH($A39,Вводные!$A$13:$A$64,0),MATCH(FV$3,Вводные!$D$11:$F$11,0))*(1+IF(FV$4=$A39,Вводные!$D$5*INDEX(Вводные!$G$13:$G$64,MATCH($A39,Вводные!$A$13:$A$64,0)),0))</f>
        <v>0.025</v>
      </c>
      <c r="FW39" s="32" t="n">
        <f aca="false">INDEX(Вводные!$D$13:$F$64,MATCH($A39,Вводные!$A$13:$A$64,0),MATCH(FW$3,Вводные!$D$11:$F$11,0))*(1+IF(FW$4=$A39,Вводные!$D$5*INDEX(Вводные!$G$13:$G$64,MATCH($A39,Вводные!$A$13:$A$64,0)),0))</f>
        <v>0.025</v>
      </c>
      <c r="FX39" s="32" t="n">
        <f aca="false">INDEX(Вводные!$D$13:$F$64,MATCH($A39,Вводные!$A$13:$A$64,0),MATCH(FX$3,Вводные!$D$11:$F$11,0))*(1+IF(FX$4=$A39,Вводные!$D$5*INDEX(Вводные!$G$13:$G$64,MATCH($A39,Вводные!$A$13:$A$64,0)),0))</f>
        <v>0.025</v>
      </c>
      <c r="FY39" s="32" t="n">
        <f aca="false">INDEX(Вводные!$D$13:$F$64,MATCH($A39,Вводные!$A$13:$A$64,0),MATCH(FY$3,Вводные!$D$11:$F$11,0))*(1+IF(FY$4=$A39,Вводные!$D$5*INDEX(Вводные!$G$13:$G$64,MATCH($A39,Вводные!$A$13:$A$64,0)),0))</f>
        <v>0.025</v>
      </c>
      <c r="FZ39" s="32" t="n">
        <f aca="false">INDEX(Вводные!$D$13:$F$64,MATCH($A39,Вводные!$A$13:$A$64,0),MATCH(FZ$3,Вводные!$D$11:$F$11,0))*(1+IF(FZ$4=$A39,Вводные!$D$5*INDEX(Вводные!$G$13:$G$64,MATCH($A39,Вводные!$A$13:$A$64,0)),0))</f>
        <v>0.025</v>
      </c>
      <c r="GA39" s="32" t="n">
        <f aca="false">INDEX(Вводные!$D$13:$F$64,MATCH($A39,Вводные!$A$13:$A$64,0),MATCH(GA$3,Вводные!$D$11:$F$11,0))*(1+IF(GA$4=$A39,Вводные!$D$5*INDEX(Вводные!$G$13:$G$64,MATCH($A39,Вводные!$A$13:$A$64,0)),0))</f>
        <v>0.025</v>
      </c>
      <c r="GB39" s="32" t="n">
        <f aca="false">INDEX(Вводные!$D$13:$F$64,MATCH($A39,Вводные!$A$13:$A$64,0),MATCH(GB$3,Вводные!$D$11:$F$11,0))*(1+IF(GB$4=$A39,Вводные!$D$5*INDEX(Вводные!$G$13:$G$64,MATCH($A39,Вводные!$A$13:$A$64,0)),0))</f>
        <v>0.025</v>
      </c>
      <c r="GC39" s="32" t="n">
        <f aca="false">INDEX(Вводные!$D$13:$F$64,MATCH($A39,Вводные!$A$13:$A$64,0),MATCH(GC$3,Вводные!$D$11:$F$11,0))*(1+IF(GC$4=$A39,Вводные!$D$5*INDEX(Вводные!$G$13:$G$64,MATCH($A39,Вводные!$A$13:$A$64,0)),0))</f>
        <v>0.025</v>
      </c>
      <c r="GD39" s="32" t="n">
        <f aca="false">INDEX(Вводные!$D$13:$F$64,MATCH($A39,Вводные!$A$13:$A$64,0),MATCH(GD$3,Вводные!$D$11:$F$11,0))*(1+IF(GD$4=$A39,Вводные!$D$5*INDEX(Вводные!$G$13:$G$64,MATCH($A39,Вводные!$A$13:$A$64,0)),0))</f>
        <v>0.025</v>
      </c>
      <c r="GE39" s="32" t="n">
        <f aca="false">INDEX(Вводные!$D$13:$F$64,MATCH($A39,Вводные!$A$13:$A$64,0),MATCH(GE$3,Вводные!$D$11:$F$11,0))*(1+IF(GE$4=$A39,Вводные!$D$5*INDEX(Вводные!$G$13:$G$64,MATCH($A39,Вводные!$A$13:$A$64,0)),0))</f>
        <v>0.025</v>
      </c>
      <c r="GF39" s="32" t="n">
        <f aca="false">INDEX(Вводные!$D$13:$F$64,MATCH($A39,Вводные!$A$13:$A$64,0),MATCH(GF$3,Вводные!$D$11:$F$11,0))*(1+IF(GF$4=$A39,Вводные!$D$5*INDEX(Вводные!$G$13:$G$64,MATCH($A39,Вводные!$A$13:$A$64,0)),0))</f>
        <v>0.025</v>
      </c>
      <c r="GG39" s="32" t="n">
        <f aca="false">INDEX(Вводные!$D$13:$F$64,MATCH($A39,Вводные!$A$13:$A$64,0),MATCH(GG$3,Вводные!$D$11:$F$11,0))*(1+IF(GG$4=$A39,Вводные!$D$5*INDEX(Вводные!$G$13:$G$64,MATCH($A39,Вводные!$A$13:$A$64,0)),0))</f>
        <v>0.025</v>
      </c>
      <c r="GH39" s="32" t="n">
        <f aca="false">INDEX(Вводные!$D$13:$F$64,MATCH($A39,Вводные!$A$13:$A$64,0),MATCH(GH$3,Вводные!$D$11:$F$11,0))*(1+IF(GH$4=$A39,Вводные!$D$5*INDEX(Вводные!$G$13:$G$64,MATCH($A39,Вводные!$A$13:$A$64,0)),0))</f>
        <v>0.025</v>
      </c>
      <c r="GI39" s="32" t="n">
        <f aca="false">INDEX(Вводные!$D$13:$F$64,MATCH($A39,Вводные!$A$13:$A$64,0),MATCH(GI$3,Вводные!$D$11:$F$11,0))*(1+IF(GI$4=$A39,Вводные!$D$5*INDEX(Вводные!$G$13:$G$64,MATCH($A39,Вводные!$A$13:$A$64,0)),0))</f>
        <v>0.02475</v>
      </c>
      <c r="GJ39" s="32" t="n">
        <f aca="false">INDEX(Вводные!$D$13:$F$64,MATCH($A39,Вводные!$A$13:$A$64,0),MATCH(GJ$3,Вводные!$D$11:$F$11,0))*(1+IF(GJ$4=$A39,Вводные!$D$5*INDEX(Вводные!$G$13:$G$64,MATCH($A39,Вводные!$A$13:$A$64,0)),0))</f>
        <v>0.025</v>
      </c>
      <c r="GK39" s="32" t="n">
        <f aca="false">INDEX(Вводные!$D$13:$F$64,MATCH($A39,Вводные!$A$13:$A$64,0),MATCH(GK$3,Вводные!$D$11:$F$11,0))*(1+IF(GK$4=$A39,Вводные!$D$5*INDEX(Вводные!$G$13:$G$64,MATCH($A39,Вводные!$A$13:$A$64,0)),0))</f>
        <v>0.025</v>
      </c>
      <c r="GL39" s="32" t="n">
        <f aca="false">INDEX(Вводные!$D$13:$F$64,MATCH($A39,Вводные!$A$13:$A$64,0),MATCH(GL$3,Вводные!$D$11:$F$11,0))*(1+IF(GL$4=$A39,Вводные!$D$5*INDEX(Вводные!$G$13:$G$64,MATCH($A39,Вводные!$A$13:$A$64,0)),0))</f>
        <v>0.025</v>
      </c>
      <c r="GM39" s="32" t="n">
        <f aca="false">INDEX(Вводные!$D$13:$F$64,MATCH($A39,Вводные!$A$13:$A$64,0),MATCH(GM$3,Вводные!$D$11:$F$11,0))*(1+IF(GM$4=$A39,Вводные!$D$5*INDEX(Вводные!$G$13:$G$64,MATCH($A39,Вводные!$A$13:$A$64,0)),0))</f>
        <v>0.025</v>
      </c>
      <c r="GN39" s="32" t="n">
        <f aca="false">INDEX(Вводные!$D$13:$F$64,MATCH($A39,Вводные!$A$13:$A$64,0),MATCH(GN$3,Вводные!$D$11:$F$11,0))*(1+IF(GN$4=$A39,Вводные!$D$5*INDEX(Вводные!$G$13:$G$64,MATCH($A39,Вводные!$A$13:$A$64,0)),0))</f>
        <v>0.025</v>
      </c>
      <c r="GO39" s="32" t="n">
        <f aca="false">INDEX(Вводные!$D$13:$F$64,MATCH($A39,Вводные!$A$13:$A$64,0),MATCH(GO$3,Вводные!$D$11:$F$11,0))*(1+IF(GO$4=$A39,Вводные!$D$5*INDEX(Вводные!$G$13:$G$64,MATCH($A39,Вводные!$A$13:$A$64,0)),0))</f>
        <v>0.025</v>
      </c>
      <c r="GP39" s="32" t="n">
        <f aca="false">INDEX(Вводные!$D$13:$F$64,MATCH($A39,Вводные!$A$13:$A$64,0),MATCH(GP$3,Вводные!$D$11:$F$11,0))*(1+IF(GP$4=$A39,Вводные!$D$5*INDEX(Вводные!$G$13:$G$64,MATCH($A39,Вводные!$A$13:$A$64,0)),0))</f>
        <v>0.025</v>
      </c>
      <c r="GQ39" s="32" t="n">
        <f aca="false">INDEX(Вводные!$D$13:$F$64,MATCH($A39,Вводные!$A$13:$A$64,0),MATCH(GQ$3,Вводные!$D$11:$F$11,0))*(1+IF(GQ$4=$A39,Вводные!$D$5*INDEX(Вводные!$G$13:$G$64,MATCH($A39,Вводные!$A$13:$A$64,0)),0))</f>
        <v>0.025</v>
      </c>
      <c r="GR39" s="32" t="n">
        <f aca="false">INDEX(Вводные!$D$13:$F$64,MATCH($A39,Вводные!$A$13:$A$64,0),MATCH(GR$3,Вводные!$D$11:$F$11,0))*(1+IF(GR$4=$A39,Вводные!$D$5*INDEX(Вводные!$G$13:$G$64,MATCH($A39,Вводные!$A$13:$A$64,0)),0))</f>
        <v>0.025</v>
      </c>
      <c r="GS39" s="32" t="n">
        <f aca="false">INDEX(Вводные!$D$13:$F$64,MATCH($A39,Вводные!$A$13:$A$64,0),MATCH(GS$3,Вводные!$D$11:$F$11,0))*(1+IF(GS$4=$A39,Вводные!$D$5*INDEX(Вводные!$G$13:$G$64,MATCH($A39,Вводные!$A$13:$A$64,0)),0))</f>
        <v>0.025</v>
      </c>
      <c r="GT39" s="32" t="n">
        <f aca="false">INDEX(Вводные!$D$13:$F$64,MATCH($A39,Вводные!$A$13:$A$64,0),MATCH(GT$3,Вводные!$D$11:$F$11,0))*(1+IF(GT$4=$A39,Вводные!$D$5*INDEX(Вводные!$G$13:$G$64,MATCH($A39,Вводные!$A$13:$A$64,0)),0))</f>
        <v>0.025</v>
      </c>
      <c r="GU39" s="32" t="n">
        <f aca="false">INDEX(Вводные!$D$13:$F$64,MATCH($A39,Вводные!$A$13:$A$64,0),MATCH(GU$3,Вводные!$D$11:$F$11,0))*(1+IF(GU$4=$A39,Вводные!$D$5*INDEX(Вводные!$G$13:$G$64,MATCH($A39,Вводные!$A$13:$A$64,0)),0))</f>
        <v>0.025</v>
      </c>
      <c r="GV39" s="32" t="n">
        <f aca="false">INDEX(Вводные!$D$13:$F$64,MATCH($A39,Вводные!$A$13:$A$64,0),MATCH(GV$3,Вводные!$D$11:$F$11,0))*(1+IF(GV$4=$A39,Вводные!$D$5*INDEX(Вводные!$G$13:$G$64,MATCH($A39,Вводные!$A$13:$A$64,0)),0))</f>
        <v>0.025</v>
      </c>
      <c r="GW39" s="32" t="n">
        <f aca="false">INDEX(Вводные!$D$13:$F$64,MATCH($A39,Вводные!$A$13:$A$64,0),MATCH(GW$3,Вводные!$D$11:$F$11,0))*(1+IF(GW$4=$A39,Вводные!$D$5*INDEX(Вводные!$G$13:$G$64,MATCH($A39,Вводные!$A$13:$A$64,0)),0))</f>
        <v>0.025</v>
      </c>
      <c r="GX39" s="32" t="n">
        <f aca="false">INDEX(Вводные!$D$13:$F$64,MATCH($A39,Вводные!$A$13:$A$64,0),MATCH(GX$3,Вводные!$D$11:$F$11,0))*(1+IF(GX$4=$A39,Вводные!$D$5*INDEX(Вводные!$G$13:$G$64,MATCH($A39,Вводные!$A$13:$A$64,0)),0))</f>
        <v>0.025</v>
      </c>
      <c r="GY39" s="32" t="n">
        <f aca="false">INDEX(Вводные!$D$13:$F$64,MATCH($A39,Вводные!$A$13:$A$64,0),MATCH(GY$3,Вводные!$D$11:$F$11,0))*(1+IF(GY$4=$A39,Вводные!$D$5*INDEX(Вводные!$G$13:$G$64,MATCH($A39,Вводные!$A$13:$A$64,0)),0))</f>
        <v>0.025</v>
      </c>
      <c r="GZ39" s="32" t="n">
        <f aca="false">INDEX(Вводные!$D$13:$F$64,MATCH($A39,Вводные!$A$13:$A$64,0),MATCH(GZ$3,Вводные!$D$11:$F$11,0))*(1+IF(GZ$4=$A39,Вводные!$D$5*INDEX(Вводные!$G$13:$G$64,MATCH($A39,Вводные!$A$13:$A$64,0)),0))</f>
        <v>0.025</v>
      </c>
      <c r="HA39" s="32" t="n">
        <f aca="false">INDEX(Вводные!$D$13:$F$64,MATCH($A39,Вводные!$A$13:$A$64,0),MATCH(HA$3,Вводные!$D$11:$F$11,0))*(1+IF(HA$4=$A39,Вводные!$D$5*INDEX(Вводные!$G$13:$G$64,MATCH($A39,Вводные!$A$13:$A$64,0)),0))</f>
        <v>0.025</v>
      </c>
      <c r="HB39" s="32" t="n">
        <f aca="false">INDEX(Вводные!$D$13:$F$64,MATCH($A39,Вводные!$A$13:$A$64,0),MATCH(HB$3,Вводные!$D$11:$F$11,0))*(1+IF(HB$4=$A39,Вводные!$D$5*INDEX(Вводные!$G$13:$G$64,MATCH($A39,Вводные!$A$13:$A$64,0)),0))</f>
        <v>0.025</v>
      </c>
      <c r="HC39" s="32" t="n">
        <f aca="false">INDEX(Вводные!$D$13:$F$64,MATCH($A39,Вводные!$A$13:$A$64,0),MATCH(HC$3,Вводные!$D$11:$F$11,0))*(1+IF(HC$4=$A39,Вводные!$D$5*INDEX(Вводные!$G$13:$G$64,MATCH($A39,Вводные!$A$13:$A$64,0)),0))</f>
        <v>0.025</v>
      </c>
      <c r="HD39" s="32" t="n">
        <f aca="false">INDEX(Вводные!$D$13:$F$64,MATCH($A39,Вводные!$A$13:$A$64,0),MATCH(HD$3,Вводные!$D$11:$F$11,0))*(1+IF(HD$4=$A39,Вводные!$D$5*INDEX(Вводные!$G$13:$G$64,MATCH($A39,Вводные!$A$13:$A$64,0)),0))</f>
        <v>0.025</v>
      </c>
      <c r="HE39" s="32" t="n">
        <f aca="false">INDEX(Вводные!$D$13:$F$64,MATCH($A39,Вводные!$A$13:$A$64,0),MATCH(HE$3,Вводные!$D$11:$F$11,0))*(1+IF(HE$4=$A39,Вводные!$D$5*INDEX(Вводные!$G$13:$G$64,MATCH($A39,Вводные!$A$13:$A$64,0)),0))</f>
        <v>0.025</v>
      </c>
      <c r="HF39" s="32" t="n">
        <f aca="false">INDEX(Вводные!$D$13:$F$64,MATCH($A39,Вводные!$A$13:$A$64,0),MATCH(HF$3,Вводные!$D$11:$F$11,0))*(1+IF(HF$4=$A39,Вводные!$D$5*INDEX(Вводные!$G$13:$G$64,MATCH($A39,Вводные!$A$13:$A$64,0)),0))</f>
        <v>0.025</v>
      </c>
      <c r="HG39" s="32" t="n">
        <f aca="false">INDEX(Вводные!$D$13:$F$64,MATCH($A39,Вводные!$A$13:$A$64,0),MATCH(HG$3,Вводные!$D$11:$F$11,0))*(1+IF(HG$4=$A39,Вводные!$D$5*INDEX(Вводные!$G$13:$G$64,MATCH($A39,Вводные!$A$13:$A$64,0)),0))</f>
        <v>0.025</v>
      </c>
      <c r="HH39" s="32" t="n">
        <f aca="false">INDEX(Вводные!$D$13:$F$64,MATCH($A39,Вводные!$A$13:$A$64,0),MATCH(HH$3,Вводные!$D$11:$F$11,0))*(1+IF(HH$4=$A39,Вводные!$D$5*INDEX(Вводные!$G$13:$G$64,MATCH($A39,Вводные!$A$13:$A$64,0)),0))</f>
        <v>0.025</v>
      </c>
      <c r="HI39" s="32" t="n">
        <f aca="false">INDEX(Вводные!$D$13:$F$64,MATCH($A39,Вводные!$A$13:$A$64,0),MATCH(HI$3,Вводные!$D$11:$F$11,0))*(1+IF(HI$4=$A39,Вводные!$D$5*INDEX(Вводные!$G$13:$G$64,MATCH($A39,Вводные!$A$13:$A$64,0)),0))</f>
        <v>0.025</v>
      </c>
      <c r="HJ39" s="32" t="n">
        <f aca="false">INDEX(Вводные!$D$13:$F$64,MATCH($A39,Вводные!$A$13:$A$64,0),MATCH(HJ$3,Вводные!$D$11:$F$11,0))*(1+IF(HJ$4=$A39,Вводные!$D$5*INDEX(Вводные!$G$13:$G$64,MATCH($A39,Вводные!$A$13:$A$64,0)),0))</f>
        <v>0.025</v>
      </c>
      <c r="HK39" s="32" t="n">
        <f aca="false">INDEX(Вводные!$D$13:$F$64,MATCH($A39,Вводные!$A$13:$A$64,0),MATCH(HK$3,Вводные!$D$11:$F$11,0))*(1+IF(HK$4=$A39,Вводные!$D$5*INDEX(Вводные!$G$13:$G$64,MATCH($A39,Вводные!$A$13:$A$64,0)),0))</f>
        <v>0.025</v>
      </c>
      <c r="HL39" s="32" t="n">
        <f aca="false">INDEX(Вводные!$D$13:$F$64,MATCH($A39,Вводные!$A$13:$A$64,0),MATCH(HL$3,Вводные!$D$11:$F$11,0))*(1+IF(HL$4=$A39,Вводные!$D$5*INDEX(Вводные!$G$13:$G$64,MATCH($A39,Вводные!$A$13:$A$64,0)),0))</f>
        <v>0.035</v>
      </c>
      <c r="HM39" s="32" t="n">
        <f aca="false">INDEX(Вводные!$D$13:$F$64,MATCH($A39,Вводные!$A$13:$A$64,0),MATCH(HM$3,Вводные!$D$11:$F$11,0))*(1+IF(HM$4=$A39,Вводные!$D$5*INDEX(Вводные!$G$13:$G$64,MATCH($A39,Вводные!$A$13:$A$64,0)),0))</f>
        <v>0.035</v>
      </c>
      <c r="HN39" s="32" t="n">
        <f aca="false">INDEX(Вводные!$D$13:$F$64,MATCH($A39,Вводные!$A$13:$A$64,0),MATCH(HN$3,Вводные!$D$11:$F$11,0))*(1+IF(HN$4=$A39,Вводные!$D$5*INDEX(Вводные!$G$13:$G$64,MATCH($A39,Вводные!$A$13:$A$64,0)),0))</f>
        <v>0.035</v>
      </c>
      <c r="HO39" s="32" t="n">
        <f aca="false">INDEX(Вводные!$D$13:$F$64,MATCH($A39,Вводные!$A$13:$A$64,0),MATCH(HO$3,Вводные!$D$11:$F$11,0))*(1+IF(HO$4=$A39,Вводные!$D$5*INDEX(Вводные!$G$13:$G$64,MATCH($A39,Вводные!$A$13:$A$64,0)),0))</f>
        <v>0.035</v>
      </c>
      <c r="HP39" s="32" t="n">
        <f aca="false">INDEX(Вводные!$D$13:$F$64,MATCH($A39,Вводные!$A$13:$A$64,0),MATCH(HP$3,Вводные!$D$11:$F$11,0))*(1+IF(HP$4=$A39,Вводные!$D$5*INDEX(Вводные!$G$13:$G$64,MATCH($A39,Вводные!$A$13:$A$64,0)),0))</f>
        <v>0.035</v>
      </c>
      <c r="HQ39" s="32" t="n">
        <f aca="false">INDEX(Вводные!$D$13:$F$64,MATCH($A39,Вводные!$A$13:$A$64,0),MATCH(HQ$3,Вводные!$D$11:$F$11,0))*(1+IF(HQ$4=$A39,Вводные!$D$5*INDEX(Вводные!$G$13:$G$64,MATCH($A39,Вводные!$A$13:$A$64,0)),0))</f>
        <v>0.035</v>
      </c>
      <c r="HR39" s="32" t="n">
        <f aca="false">INDEX(Вводные!$D$13:$F$64,MATCH($A39,Вводные!$A$13:$A$64,0),MATCH(HR$3,Вводные!$D$11:$F$11,0))*(1+IF(HR$4=$A39,Вводные!$D$5*INDEX(Вводные!$G$13:$G$64,MATCH($A39,Вводные!$A$13:$A$64,0)),0))</f>
        <v>0.035</v>
      </c>
      <c r="HS39" s="32" t="n">
        <f aca="false">INDEX(Вводные!$D$13:$F$64,MATCH($A39,Вводные!$A$13:$A$64,0),MATCH(HS$3,Вводные!$D$11:$F$11,0))*(1+IF(HS$4=$A39,Вводные!$D$5*INDEX(Вводные!$G$13:$G$64,MATCH($A39,Вводные!$A$13:$A$64,0)),0))</f>
        <v>0.035</v>
      </c>
      <c r="HT39" s="32" t="n">
        <f aca="false">INDEX(Вводные!$D$13:$F$64,MATCH($A39,Вводные!$A$13:$A$64,0),MATCH(HT$3,Вводные!$D$11:$F$11,0))*(1+IF(HT$4=$A39,Вводные!$D$5*INDEX(Вводные!$G$13:$G$64,MATCH($A39,Вводные!$A$13:$A$64,0)),0))</f>
        <v>0.035</v>
      </c>
      <c r="HU39" s="32" t="n">
        <f aca="false">INDEX(Вводные!$D$13:$F$64,MATCH($A39,Вводные!$A$13:$A$64,0),MATCH(HU$3,Вводные!$D$11:$F$11,0))*(1+IF(HU$4=$A39,Вводные!$D$5*INDEX(Вводные!$G$13:$G$64,MATCH($A39,Вводные!$A$13:$A$64,0)),0))</f>
        <v>0.035</v>
      </c>
      <c r="HV39" s="32" t="n">
        <f aca="false">INDEX(Вводные!$D$13:$F$64,MATCH($A39,Вводные!$A$13:$A$64,0),MATCH(HV$3,Вводные!$D$11:$F$11,0))*(1+IF(HV$4=$A39,Вводные!$D$5*INDEX(Вводные!$G$13:$G$64,MATCH($A39,Вводные!$A$13:$A$64,0)),0))</f>
        <v>0.035</v>
      </c>
      <c r="HW39" s="32" t="n">
        <f aca="false">INDEX(Вводные!$D$13:$F$64,MATCH($A39,Вводные!$A$13:$A$64,0),MATCH(HW$3,Вводные!$D$11:$F$11,0))*(1+IF(HW$4=$A39,Вводные!$D$5*INDEX(Вводные!$G$13:$G$64,MATCH($A39,Вводные!$A$13:$A$64,0)),0))</f>
        <v>0.035</v>
      </c>
      <c r="HX39" s="32" t="n">
        <f aca="false">INDEX(Вводные!$D$13:$F$64,MATCH($A39,Вводные!$A$13:$A$64,0),MATCH(HX$3,Вводные!$D$11:$F$11,0))*(1+IF(HX$4=$A39,Вводные!$D$5*INDEX(Вводные!$G$13:$G$64,MATCH($A39,Вводные!$A$13:$A$64,0)),0))</f>
        <v>0.035</v>
      </c>
      <c r="HY39" s="32" t="n">
        <f aca="false">INDEX(Вводные!$D$13:$F$64,MATCH($A39,Вводные!$A$13:$A$64,0),MATCH(HY$3,Вводные!$D$11:$F$11,0))*(1+IF(HY$4=$A39,Вводные!$D$5*INDEX(Вводные!$G$13:$G$64,MATCH($A39,Вводные!$A$13:$A$64,0)),0))</f>
        <v>0.03465</v>
      </c>
      <c r="HZ39" s="32" t="n">
        <f aca="false">INDEX(Вводные!$D$13:$F$64,MATCH($A39,Вводные!$A$13:$A$64,0),MATCH(HZ$3,Вводные!$D$11:$F$11,0))*(1+IF(HZ$4=$A39,Вводные!$D$5*INDEX(Вводные!$G$13:$G$64,MATCH($A39,Вводные!$A$13:$A$64,0)),0))</f>
        <v>0.035</v>
      </c>
      <c r="IA39" s="32" t="n">
        <f aca="false">INDEX(Вводные!$D$13:$F$64,MATCH($A39,Вводные!$A$13:$A$64,0),MATCH(IA$3,Вводные!$D$11:$F$11,0))*(1+IF(IA$4=$A39,Вводные!$D$5*INDEX(Вводные!$G$13:$G$64,MATCH($A39,Вводные!$A$13:$A$64,0)),0))</f>
        <v>0.035</v>
      </c>
      <c r="IB39" s="32" t="n">
        <f aca="false">INDEX(Вводные!$D$13:$F$64,MATCH($A39,Вводные!$A$13:$A$64,0),MATCH(IB$3,Вводные!$D$11:$F$11,0))*(1+IF(IB$4=$A39,Вводные!$D$5*INDEX(Вводные!$G$13:$G$64,MATCH($A39,Вводные!$A$13:$A$64,0)),0))</f>
        <v>0.035</v>
      </c>
      <c r="IC39" s="32" t="n">
        <f aca="false">INDEX(Вводные!$D$13:$F$64,MATCH($A39,Вводные!$A$13:$A$64,0),MATCH(IC$3,Вводные!$D$11:$F$11,0))*(1+IF(IC$4=$A39,Вводные!$D$5*INDEX(Вводные!$G$13:$G$64,MATCH($A39,Вводные!$A$13:$A$64,0)),0))</f>
        <v>0.035</v>
      </c>
      <c r="ID39" s="32" t="n">
        <f aca="false">INDEX(Вводные!$D$13:$F$64,MATCH($A39,Вводные!$A$13:$A$64,0),MATCH(ID$3,Вводные!$D$11:$F$11,0))*(1+IF(ID$4=$A39,Вводные!$D$5*INDEX(Вводные!$G$13:$G$64,MATCH($A39,Вводные!$A$13:$A$64,0)),0))</f>
        <v>0.035</v>
      </c>
      <c r="IE39" s="32" t="n">
        <f aca="false">INDEX(Вводные!$D$13:$F$64,MATCH($A39,Вводные!$A$13:$A$64,0),MATCH(IE$3,Вводные!$D$11:$F$11,0))*(1+IF(IE$4=$A39,Вводные!$D$5*INDEX(Вводные!$G$13:$G$64,MATCH($A39,Вводные!$A$13:$A$64,0)),0))</f>
        <v>0.035</v>
      </c>
      <c r="IF39" s="32" t="n">
        <f aca="false">INDEX(Вводные!$D$13:$F$64,MATCH($A39,Вводные!$A$13:$A$64,0),MATCH(IF$3,Вводные!$D$11:$F$11,0))*(1+IF(IF$4=$A39,Вводные!$D$5*INDEX(Вводные!$G$13:$G$64,MATCH($A39,Вводные!$A$13:$A$64,0)),0))</f>
        <v>0.035</v>
      </c>
      <c r="IG39" s="32" t="n">
        <f aca="false">INDEX(Вводные!$D$13:$F$64,MATCH($A39,Вводные!$A$13:$A$64,0),MATCH(IG$3,Вводные!$D$11:$F$11,0))*(1+IF(IG$4=$A39,Вводные!$D$5*INDEX(Вводные!$G$13:$G$64,MATCH($A39,Вводные!$A$13:$A$64,0)),0))</f>
        <v>0.035</v>
      </c>
      <c r="IH39" s="32" t="n">
        <f aca="false">INDEX(Вводные!$D$13:$F$64,MATCH($A39,Вводные!$A$13:$A$64,0),MATCH(IH$3,Вводные!$D$11:$F$11,0))*(1+IF(IH$4=$A39,Вводные!$D$5*INDEX(Вводные!$G$13:$G$64,MATCH($A39,Вводные!$A$13:$A$64,0)),0))</f>
        <v>0.035</v>
      </c>
      <c r="II39" s="32" t="n">
        <f aca="false">INDEX(Вводные!$D$13:$F$64,MATCH($A39,Вводные!$A$13:$A$64,0),MATCH(II$3,Вводные!$D$11:$F$11,0))*(1+IF(II$4=$A39,Вводные!$D$5*INDEX(Вводные!$G$13:$G$64,MATCH($A39,Вводные!$A$13:$A$64,0)),0))</f>
        <v>0.035</v>
      </c>
      <c r="IJ39" s="32" t="n">
        <f aca="false">INDEX(Вводные!$D$13:$F$64,MATCH($A39,Вводные!$A$13:$A$64,0),MATCH(IJ$3,Вводные!$D$11:$F$11,0))*(1+IF(IJ$4=$A39,Вводные!$D$5*INDEX(Вводные!$G$13:$G$64,MATCH($A39,Вводные!$A$13:$A$64,0)),0))</f>
        <v>0.035</v>
      </c>
      <c r="IK39" s="32" t="n">
        <f aca="false">INDEX(Вводные!$D$13:$F$64,MATCH($A39,Вводные!$A$13:$A$64,0),MATCH(IK$3,Вводные!$D$11:$F$11,0))*(1+IF(IK$4=$A39,Вводные!$D$5*INDEX(Вводные!$G$13:$G$64,MATCH($A39,Вводные!$A$13:$A$64,0)),0))</f>
        <v>0.035</v>
      </c>
      <c r="IL39" s="32" t="n">
        <f aca="false">INDEX(Вводные!$D$13:$F$64,MATCH($A39,Вводные!$A$13:$A$64,0),MATCH(IL$3,Вводные!$D$11:$F$11,0))*(1+IF(IL$4=$A39,Вводные!$D$5*INDEX(Вводные!$G$13:$G$64,MATCH($A39,Вводные!$A$13:$A$64,0)),0))</f>
        <v>0.035</v>
      </c>
      <c r="IM39" s="32" t="n">
        <f aca="false">INDEX(Вводные!$D$13:$F$64,MATCH($A39,Вводные!$A$13:$A$64,0),MATCH(IM$3,Вводные!$D$11:$F$11,0))*(1+IF(IM$4=$A39,Вводные!$D$5*INDEX(Вводные!$G$13:$G$64,MATCH($A39,Вводные!$A$13:$A$64,0)),0))</f>
        <v>0.035</v>
      </c>
      <c r="IN39" s="32" t="n">
        <f aca="false">INDEX(Вводные!$D$13:$F$64,MATCH($A39,Вводные!$A$13:$A$64,0),MATCH(IN$3,Вводные!$D$11:$F$11,0))*(1+IF(IN$4=$A39,Вводные!$D$5*INDEX(Вводные!$G$13:$G$64,MATCH($A39,Вводные!$A$13:$A$64,0)),0))</f>
        <v>0.035</v>
      </c>
      <c r="IO39" s="32" t="n">
        <f aca="false">INDEX(Вводные!$D$13:$F$64,MATCH($A39,Вводные!$A$13:$A$64,0),MATCH(IO$3,Вводные!$D$11:$F$11,0))*(1+IF(IO$4=$A39,Вводные!$D$5*INDEX(Вводные!$G$13:$G$64,MATCH($A39,Вводные!$A$13:$A$64,0)),0))</f>
        <v>0.035</v>
      </c>
      <c r="IP39" s="32" t="n">
        <f aca="false">INDEX(Вводные!$D$13:$F$64,MATCH($A39,Вводные!$A$13:$A$64,0),MATCH(IP$3,Вводные!$D$11:$F$11,0))*(1+IF(IP$4=$A39,Вводные!$D$5*INDEX(Вводные!$G$13:$G$64,MATCH($A39,Вводные!$A$13:$A$64,0)),0))</f>
        <v>0.035</v>
      </c>
      <c r="IQ39" s="32" t="n">
        <f aca="false">INDEX(Вводные!$D$13:$F$64,MATCH($A39,Вводные!$A$13:$A$64,0),MATCH(IQ$3,Вводные!$D$11:$F$11,0))*(1+IF(IQ$4=$A39,Вводные!$D$5*INDEX(Вводные!$G$13:$G$64,MATCH($A39,Вводные!$A$13:$A$64,0)),0))</f>
        <v>0.035</v>
      </c>
      <c r="IR39" s="32" t="n">
        <f aca="false">INDEX(Вводные!$D$13:$F$64,MATCH($A39,Вводные!$A$13:$A$64,0),MATCH(IR$3,Вводные!$D$11:$F$11,0))*(1+IF(IR$4=$A39,Вводные!$D$5*INDEX(Вводные!$G$13:$G$64,MATCH($A39,Вводные!$A$13:$A$64,0)),0))</f>
        <v>0.035</v>
      </c>
      <c r="IS39" s="32" t="n">
        <f aca="false">INDEX(Вводные!$D$13:$F$64,MATCH($A39,Вводные!$A$13:$A$64,0),MATCH(IS$3,Вводные!$D$11:$F$11,0))*(1+IF(IS$4=$A39,Вводные!$D$5*INDEX(Вводные!$G$13:$G$64,MATCH($A39,Вводные!$A$13:$A$64,0)),0))</f>
        <v>0.035</v>
      </c>
      <c r="IT39" s="32" t="n">
        <f aca="false">INDEX(Вводные!$D$13:$F$64,MATCH($A39,Вводные!$A$13:$A$64,0),MATCH(IT$3,Вводные!$D$11:$F$11,0))*(1+IF(IT$4=$A39,Вводные!$D$5*INDEX(Вводные!$G$13:$G$64,MATCH($A39,Вводные!$A$13:$A$64,0)),0))</f>
        <v>0.035</v>
      </c>
      <c r="IU39" s="32" t="n">
        <f aca="false">INDEX(Вводные!$D$13:$F$64,MATCH($A39,Вводные!$A$13:$A$64,0),MATCH(IU$3,Вводные!$D$11:$F$11,0))*(1+IF(IU$4=$A39,Вводные!$D$5*INDEX(Вводные!$G$13:$G$64,MATCH($A39,Вводные!$A$13:$A$64,0)),0))</f>
        <v>0.035</v>
      </c>
      <c r="IV39" s="32" t="n">
        <f aca="false">INDEX(Вводные!$D$13:$F$64,MATCH($A39,Вводные!$A$13:$A$64,0),MATCH(IV$3,Вводные!$D$11:$F$11,0))*(1+IF(IV$4=$A39,Вводные!$D$5*INDEX(Вводные!$G$13:$G$64,MATCH($A39,Вводные!$A$13:$A$64,0)),0))</f>
        <v>0.035</v>
      </c>
      <c r="IW39" s="32" t="n">
        <f aca="false">INDEX(Вводные!$D$13:$F$64,MATCH($A39,Вводные!$A$13:$A$64,0),MATCH(IW$3,Вводные!$D$11:$F$11,0))*(1+IF(IW$4=$A39,Вводные!$D$5*INDEX(Вводные!$G$13:$G$64,MATCH($A39,Вводные!$A$13:$A$64,0)),0))</f>
        <v>0.035</v>
      </c>
      <c r="IX39" s="32" t="n">
        <f aca="false">INDEX(Вводные!$D$13:$F$64,MATCH($A39,Вводные!$A$13:$A$64,0),MATCH(IX$3,Вводные!$D$11:$F$11,0))*(1+IF(IX$4=$A39,Вводные!$D$5*INDEX(Вводные!$G$13:$G$64,MATCH($A39,Вводные!$A$13:$A$64,0)),0))</f>
        <v>0.035</v>
      </c>
      <c r="IY39" s="32" t="n">
        <f aca="false">INDEX(Вводные!$D$13:$F$64,MATCH($A39,Вводные!$A$13:$A$64,0),MATCH(IY$3,Вводные!$D$11:$F$11,0))*(1+IF(IY$4=$A39,Вводные!$D$5*INDEX(Вводные!$G$13:$G$64,MATCH($A39,Вводные!$A$13:$A$64,0)),0))</f>
        <v>0.035</v>
      </c>
      <c r="IZ39" s="32" t="n">
        <f aca="false">INDEX(Вводные!$D$13:$F$64,MATCH($A39,Вводные!$A$13:$A$64,0),MATCH(IZ$3,Вводные!$D$11:$F$11,0))*(1+IF(IZ$4=$A39,Вводные!$D$5*INDEX(Вводные!$G$13:$G$64,MATCH($A39,Вводные!$A$13:$A$64,0)),0))</f>
        <v>0.035</v>
      </c>
      <c r="JA39" s="32" t="n">
        <f aca="false">INDEX(Вводные!$D$13:$F$64,MATCH($A39,Вводные!$A$13:$A$64,0),MATCH(JA$3,Вводные!$D$11:$F$11,0))*(1+IF(JA$4=$A39,Вводные!$D$5*INDEX(Вводные!$G$13:$G$64,MATCH($A39,Вводные!$A$13:$A$64,0)),0))</f>
        <v>0.035</v>
      </c>
    </row>
    <row r="40" customFormat="false" ht="15" hidden="false" customHeight="false" outlineLevel="0" collapsed="false">
      <c r="A40" s="2" t="s">
        <v>101</v>
      </c>
      <c r="B40" s="13" t="s">
        <v>102</v>
      </c>
      <c r="C40" s="13" t="s">
        <v>179</v>
      </c>
      <c r="D40" s="9" t="s">
        <v>210</v>
      </c>
      <c r="E40" s="59" t="n">
        <f aca="false">E37*((E38+Вводные!$D$7)-MAX(0,E39+Вводные!$D$7*Вводные!$D$9))</f>
        <v>12171000</v>
      </c>
      <c r="F40" s="59" t="n">
        <f aca="false">F37*((F38+Вводные!$D$7)-MAX(0,F39+Вводные!$D$7*Вводные!$D$9))</f>
        <v>4835200</v>
      </c>
      <c r="G40" s="59" t="n">
        <f aca="false">G37*((G38+Вводные!$D$7)-MAX(0,G39+Вводные!$D$7*Вводные!$D$9))</f>
        <v>5025000</v>
      </c>
      <c r="H40" s="59" t="n">
        <f aca="false">SUM(E40:G40)</f>
        <v>22031200</v>
      </c>
      <c r="J40" s="59" t="n">
        <f aca="false">J37*((J38+Вводные!$D$7)-MAX(0,J39+Вводные!$D$7*Вводные!$D$9))</f>
        <v>12171000</v>
      </c>
      <c r="K40" s="59" t="n">
        <f aca="false">K37*((K38+Вводные!$D$7)-MAX(0,K39+Вводные!$D$7*Вводные!$D$9))</f>
        <v>12179910</v>
      </c>
      <c r="L40" s="59" t="n">
        <f aca="false">L37*((L38+Вводные!$D$7)-MAX(0,L39+Вводные!$D$7*Вводные!$D$9))</f>
        <v>12179910</v>
      </c>
      <c r="M40" s="59" t="n">
        <f aca="false">M37*((M38+Вводные!$D$7)-MAX(0,M39+Вводные!$D$7*Вводные!$D$9))</f>
        <v>12179910</v>
      </c>
      <c r="N40" s="59" t="n">
        <f aca="false">N37*((N38+Вводные!$D$7)-MAX(0,N39+Вводные!$D$7*Вводные!$D$9))</f>
        <v>12178200</v>
      </c>
      <c r="O40" s="59" t="n">
        <f aca="false">O37*((O38+Вводные!$D$7)-MAX(0,O39+Вводные!$D$7*Вводные!$D$9))</f>
        <v>12171000</v>
      </c>
      <c r="P40" s="59" t="n">
        <f aca="false">P37*((P38+Вводные!$D$7)-MAX(0,P39+Вводные!$D$7*Вводные!$D$9))</f>
        <v>12171000</v>
      </c>
      <c r="Q40" s="59" t="n">
        <f aca="false">Q37*((Q38+Вводные!$D$7)-MAX(0,Q39+Вводные!$D$7*Вводные!$D$9))</f>
        <v>12171000</v>
      </c>
      <c r="R40" s="59" t="n">
        <f aca="false">R37*((R38+Вводные!$D$7)-MAX(0,R39+Вводные!$D$7*Вводные!$D$9))</f>
        <v>12171000</v>
      </c>
      <c r="S40" s="59" t="n">
        <f aca="false">S37*((S38+Вводные!$D$7)-MAX(0,S39+Вводные!$D$7*Вводные!$D$9))</f>
        <v>12171000</v>
      </c>
      <c r="T40" s="59" t="n">
        <f aca="false">T37*((T38+Вводные!$D$7)-MAX(0,T39+Вводные!$D$7*Вводные!$D$9))</f>
        <v>12292710</v>
      </c>
      <c r="U40" s="59" t="n">
        <f aca="false">U37*((U38+Вводные!$D$7)-MAX(0,U39+Вводные!$D$7*Вводные!$D$9))</f>
        <v>12292710</v>
      </c>
      <c r="V40" s="59" t="n">
        <f aca="false">V37*((V38+Вводные!$D$7)-MAX(0,V39+Вводные!$D$7*Вводные!$D$9))</f>
        <v>12414420</v>
      </c>
      <c r="W40" s="59" t="n">
        <f aca="false">W37*((W38+Вводные!$D$7)-MAX(0,W39+Вводные!$D$7*Вводные!$D$9))</f>
        <v>12268368</v>
      </c>
      <c r="X40" s="59" t="n">
        <f aca="false">X37*((X38+Вводные!$D$7)-MAX(0,X39+Вводные!$D$7*Вводные!$D$9))</f>
        <v>12171000</v>
      </c>
      <c r="Y40" s="59" t="n">
        <f aca="false">Y37*((Y38+Вводные!$D$7)-MAX(0,Y39+Вводные!$D$7*Вводные!$D$9))</f>
        <v>12171000</v>
      </c>
      <c r="Z40" s="59" t="n">
        <f aca="false">Z37*((Z38+Вводные!$D$7)-MAX(0,Z39+Вводные!$D$7*Вводные!$D$9))</f>
        <v>12171000</v>
      </c>
      <c r="AA40" s="59" t="n">
        <f aca="false">AA37*((AA38+Вводные!$D$7)-MAX(0,AA39+Вводные!$D$7*Вводные!$D$9))</f>
        <v>12171000</v>
      </c>
      <c r="AB40" s="59" t="n">
        <f aca="false">AB37*((AB38+Вводные!$D$7)-MAX(0,AB39+Вводные!$D$7*Вводные!$D$9))</f>
        <v>12171000</v>
      </c>
      <c r="AC40" s="59" t="n">
        <f aca="false">AC37*((AC38+Вводные!$D$7)-MAX(0,AC39+Вводные!$D$7*Вводные!$D$9))</f>
        <v>12171000</v>
      </c>
      <c r="AD40" s="59" t="n">
        <f aca="false">AD37*((AD38+Вводные!$D$7)-MAX(0,AD39+Вводные!$D$7*Вводные!$D$9))</f>
        <v>12171000</v>
      </c>
      <c r="AE40" s="59" t="n">
        <f aca="false">AE37*((AE38+Вводные!$D$7)-MAX(0,AE39+Вводные!$D$7*Вводные!$D$9))</f>
        <v>12171000</v>
      </c>
      <c r="AF40" s="59" t="n">
        <f aca="false">AF37*((AF38+Вводные!$D$7)-MAX(0,AF39+Вводные!$D$7*Вводные!$D$9))</f>
        <v>12171000</v>
      </c>
      <c r="AG40" s="59" t="n">
        <f aca="false">AG37*((AG38+Вводные!$D$7)-MAX(0,AG39+Вводные!$D$7*Вводные!$D$9))</f>
        <v>12171000</v>
      </c>
      <c r="AH40" s="59" t="n">
        <f aca="false">AH37*((AH38+Вводные!$D$7)-MAX(0,AH39+Вводные!$D$7*Вводные!$D$9))</f>
        <v>12171000</v>
      </c>
      <c r="AI40" s="59" t="n">
        <f aca="false">AI37*((AI38+Вводные!$D$7)-MAX(0,AI39+Вводные!$D$7*Вводные!$D$9))</f>
        <v>12171000</v>
      </c>
      <c r="AJ40" s="59" t="n">
        <f aca="false">AJ37*((AJ38+Вводные!$D$7)-MAX(0,AJ39+Вводные!$D$7*Вводные!$D$9))</f>
        <v>12171000</v>
      </c>
      <c r="AK40" s="59" t="n">
        <f aca="false">AK37*((AK38+Вводные!$D$7)-MAX(0,AK39+Вводные!$D$7*Вводные!$D$9))</f>
        <v>12171000</v>
      </c>
      <c r="AL40" s="59" t="n">
        <f aca="false">AL37*((AL38+Вводные!$D$7)-MAX(0,AL39+Вводные!$D$7*Вводные!$D$9))</f>
        <v>12171000</v>
      </c>
      <c r="AM40" s="59" t="n">
        <f aca="false">AM37*((AM38+Вводные!$D$7)-MAX(0,AM39+Вводные!$D$7*Вводные!$D$9))</f>
        <v>12171000</v>
      </c>
      <c r="AN40" s="59" t="n">
        <f aca="false">AN37*((AN38+Вводные!$D$7)-MAX(0,AN39+Вводные!$D$7*Вводные!$D$9))</f>
        <v>12171000</v>
      </c>
      <c r="AO40" s="59" t="n">
        <f aca="false">AO37*((AO38+Вводные!$D$7)-MAX(0,AO39+Вводные!$D$7*Вводные!$D$9))</f>
        <v>12171000</v>
      </c>
      <c r="AP40" s="59" t="n">
        <f aca="false">AP37*((AP38+Вводные!$D$7)-MAX(0,AP39+Вводные!$D$7*Вводные!$D$9))</f>
        <v>12171000</v>
      </c>
      <c r="AQ40" s="59" t="n">
        <f aca="false">AQ37*((AQ38+Вводные!$D$7)-MAX(0,AQ39+Вводные!$D$7*Вводные!$D$9))</f>
        <v>12171000</v>
      </c>
      <c r="AR40" s="59" t="n">
        <f aca="false">AR37*((AR38+Вводные!$D$7)-MAX(0,AR39+Вводные!$D$7*Вводные!$D$9))</f>
        <v>12171000</v>
      </c>
      <c r="AS40" s="59" t="n">
        <f aca="false">AS37*((AS38+Вводные!$D$7)-MAX(0,AS39+Вводные!$D$7*Вводные!$D$9))</f>
        <v>12171000</v>
      </c>
      <c r="AT40" s="59" t="n">
        <f aca="false">AT37*((AT38+Вводные!$D$7)-MAX(0,AT39+Вводные!$D$7*Вводные!$D$9))</f>
        <v>12171000</v>
      </c>
      <c r="AU40" s="59" t="n">
        <f aca="false">AU37*((AU38+Вводные!$D$7)-MAX(0,AU39+Вводные!$D$7*Вводные!$D$9))</f>
        <v>12171000</v>
      </c>
      <c r="AV40" s="59" t="n">
        <f aca="false">AV37*((AV38+Вводные!$D$7)-MAX(0,AV39+Вводные!$D$7*Вводные!$D$9))</f>
        <v>12171000</v>
      </c>
      <c r="AW40" s="59" t="n">
        <f aca="false">AW37*((AW38+Вводные!$D$7)-MAX(0,AW39+Вводные!$D$7*Вводные!$D$9))</f>
        <v>12171000</v>
      </c>
      <c r="AX40" s="59" t="n">
        <f aca="false">AX37*((AX38+Вводные!$D$7)-MAX(0,AX39+Вводные!$D$7*Вводные!$D$9))</f>
        <v>12171000</v>
      </c>
      <c r="AY40" s="59" t="n">
        <f aca="false">AY37*((AY38+Вводные!$D$7)-MAX(0,AY39+Вводные!$D$7*Вводные!$D$9))</f>
        <v>12171000</v>
      </c>
      <c r="AZ40" s="59" t="n">
        <f aca="false">AZ37*((AZ38+Вводные!$D$7)-MAX(0,AZ39+Вводные!$D$7*Вводные!$D$9))</f>
        <v>4835200</v>
      </c>
      <c r="BA40" s="59" t="n">
        <f aca="false">BA37*((BA38+Вводные!$D$7)-MAX(0,BA39+Вводные!$D$7*Вводные!$D$9))</f>
        <v>4836992</v>
      </c>
      <c r="BB40" s="59" t="n">
        <f aca="false">BB37*((BB38+Вводные!$D$7)-MAX(0,BB39+Вводные!$D$7*Вводные!$D$9))</f>
        <v>4836992</v>
      </c>
      <c r="BC40" s="59" t="n">
        <f aca="false">BC37*((BC38+Вводные!$D$7)-MAX(0,BC39+Вводные!$D$7*Вводные!$D$9))</f>
        <v>4836992</v>
      </c>
      <c r="BD40" s="59" t="n">
        <f aca="false">BD37*((BD38+Вводные!$D$7)-MAX(0,BD39+Вводные!$D$7*Вводные!$D$9))</f>
        <v>4836640</v>
      </c>
      <c r="BE40" s="59" t="n">
        <f aca="false">BE37*((BE38+Вводные!$D$7)-MAX(0,BE39+Вводные!$D$7*Вводные!$D$9))</f>
        <v>4835200</v>
      </c>
      <c r="BF40" s="59" t="n">
        <f aca="false">BF37*((BF38+Вводные!$D$7)-MAX(0,BF39+Вводные!$D$7*Вводные!$D$9))</f>
        <v>4835200</v>
      </c>
      <c r="BG40" s="59" t="n">
        <f aca="false">BG37*((BG38+Вводные!$D$7)-MAX(0,BG39+Вводные!$D$7*Вводные!$D$9))</f>
        <v>4835200</v>
      </c>
      <c r="BH40" s="59" t="n">
        <f aca="false">BH37*((BH38+Вводные!$D$7)-MAX(0,BH39+Вводные!$D$7*Вводные!$D$9))</f>
        <v>4835200</v>
      </c>
      <c r="BI40" s="59" t="n">
        <f aca="false">BI37*((BI38+Вводные!$D$7)-MAX(0,BI39+Вводные!$D$7*Вводные!$D$9))</f>
        <v>4835200</v>
      </c>
      <c r="BJ40" s="59" t="n">
        <f aca="false">BJ37*((BJ38+Вводные!$D$7)-MAX(0,BJ39+Вводные!$D$7*Вводные!$D$9))</f>
        <v>4883552</v>
      </c>
      <c r="BK40" s="59" t="n">
        <f aca="false">BK37*((BK38+Вводные!$D$7)-MAX(0,BK39+Вводные!$D$7*Вводные!$D$9))</f>
        <v>4883552</v>
      </c>
      <c r="BL40" s="59" t="n">
        <f aca="false">BL37*((BL38+Вводные!$D$7)-MAX(0,BL39+Вводные!$D$7*Вводные!$D$9))</f>
        <v>4956080</v>
      </c>
      <c r="BM40" s="59" t="n">
        <f aca="false">BM37*((BM38+Вводные!$D$7)-MAX(0,BM39+Вводные!$D$7*Вводные!$D$9))</f>
        <v>4895640</v>
      </c>
      <c r="BN40" s="59" t="n">
        <f aca="false">BN37*((BN38+Вводные!$D$7)-MAX(0,BN39+Вводные!$D$7*Вводные!$D$9))</f>
        <v>4835200</v>
      </c>
      <c r="BO40" s="59" t="n">
        <f aca="false">BO37*((BO38+Вводные!$D$7)-MAX(0,BO39+Вводные!$D$7*Вводные!$D$9))</f>
        <v>4835200</v>
      </c>
      <c r="BP40" s="59" t="n">
        <f aca="false">BP37*((BP38+Вводные!$D$7)-MAX(0,BP39+Вводные!$D$7*Вводные!$D$9))</f>
        <v>4835200</v>
      </c>
      <c r="BQ40" s="59" t="n">
        <f aca="false">BQ37*((BQ38+Вводные!$D$7)-MAX(0,BQ39+Вводные!$D$7*Вводные!$D$9))</f>
        <v>4835200</v>
      </c>
      <c r="BR40" s="59" t="n">
        <f aca="false">BR37*((BR38+Вводные!$D$7)-MAX(0,BR39+Вводные!$D$7*Вводные!$D$9))</f>
        <v>4835200</v>
      </c>
      <c r="BS40" s="59" t="n">
        <f aca="false">BS37*((BS38+Вводные!$D$7)-MAX(0,BS39+Вводные!$D$7*Вводные!$D$9))</f>
        <v>4835200</v>
      </c>
      <c r="BT40" s="59" t="n">
        <f aca="false">BT37*((BT38+Вводные!$D$7)-MAX(0,BT39+Вводные!$D$7*Вводные!$D$9))</f>
        <v>4835200</v>
      </c>
      <c r="BU40" s="59" t="n">
        <f aca="false">BU37*((BU38+Вводные!$D$7)-MAX(0,BU39+Вводные!$D$7*Вводные!$D$9))</f>
        <v>4835200</v>
      </c>
      <c r="BV40" s="59" t="n">
        <f aca="false">BV37*((BV38+Вводные!$D$7)-MAX(0,BV39+Вводные!$D$7*Вводные!$D$9))</f>
        <v>4835200</v>
      </c>
      <c r="BW40" s="59" t="n">
        <f aca="false">BW37*((BW38+Вводные!$D$7)-MAX(0,BW39+Вводные!$D$7*Вводные!$D$9))</f>
        <v>4835200</v>
      </c>
      <c r="BX40" s="59" t="n">
        <f aca="false">BX37*((BX38+Вводные!$D$7)-MAX(0,BX39+Вводные!$D$7*Вводные!$D$9))</f>
        <v>4835200</v>
      </c>
      <c r="BY40" s="59" t="n">
        <f aca="false">BY37*((BY38+Вводные!$D$7)-MAX(0,BY39+Вводные!$D$7*Вводные!$D$9))</f>
        <v>4835200</v>
      </c>
      <c r="BZ40" s="59" t="n">
        <f aca="false">BZ37*((BZ38+Вводные!$D$7)-MAX(0,BZ39+Вводные!$D$7*Вводные!$D$9))</f>
        <v>4835200</v>
      </c>
      <c r="CA40" s="59" t="n">
        <f aca="false">CA37*((CA38+Вводные!$D$7)-MAX(0,CA39+Вводные!$D$7*Вводные!$D$9))</f>
        <v>4835200</v>
      </c>
      <c r="CB40" s="59" t="n">
        <f aca="false">CB37*((CB38+Вводные!$D$7)-MAX(0,CB39+Вводные!$D$7*Вводные!$D$9))</f>
        <v>4835200</v>
      </c>
      <c r="CC40" s="59" t="n">
        <f aca="false">CC37*((CC38+Вводные!$D$7)-MAX(0,CC39+Вводные!$D$7*Вводные!$D$9))</f>
        <v>4835200</v>
      </c>
      <c r="CD40" s="59" t="n">
        <f aca="false">CD37*((CD38+Вводные!$D$7)-MAX(0,CD39+Вводные!$D$7*Вводные!$D$9))</f>
        <v>4835200</v>
      </c>
      <c r="CE40" s="59" t="n">
        <f aca="false">CE37*((CE38+Вводные!$D$7)-MAX(0,CE39+Вводные!$D$7*Вводные!$D$9))</f>
        <v>4835200</v>
      </c>
      <c r="CF40" s="59" t="n">
        <f aca="false">CF37*((CF38+Вводные!$D$7)-MAX(0,CF39+Вводные!$D$7*Вводные!$D$9))</f>
        <v>4835200</v>
      </c>
      <c r="CG40" s="59" t="n">
        <f aca="false">CG37*((CG38+Вводные!$D$7)-MAX(0,CG39+Вводные!$D$7*Вводные!$D$9))</f>
        <v>4835200</v>
      </c>
      <c r="CH40" s="59" t="n">
        <f aca="false">CH37*((CH38+Вводные!$D$7)-MAX(0,CH39+Вводные!$D$7*Вводные!$D$9))</f>
        <v>4835200</v>
      </c>
      <c r="CI40" s="59" t="n">
        <f aca="false">CI37*((CI38+Вводные!$D$7)-MAX(0,CI39+Вводные!$D$7*Вводные!$D$9))</f>
        <v>4835200</v>
      </c>
      <c r="CJ40" s="59" t="n">
        <f aca="false">CJ37*((CJ38+Вводные!$D$7)-MAX(0,CJ39+Вводные!$D$7*Вводные!$D$9))</f>
        <v>4835200</v>
      </c>
      <c r="CK40" s="59" t="n">
        <f aca="false">CK37*((CK38+Вводные!$D$7)-MAX(0,CK39+Вводные!$D$7*Вводные!$D$9))</f>
        <v>4835200</v>
      </c>
      <c r="CL40" s="59" t="n">
        <f aca="false">CL37*((CL38+Вводные!$D$7)-MAX(0,CL39+Вводные!$D$7*Вводные!$D$9))</f>
        <v>4835200</v>
      </c>
      <c r="CM40" s="59" t="n">
        <f aca="false">CM37*((CM38+Вводные!$D$7)-MAX(0,CM39+Вводные!$D$7*Вводные!$D$9))</f>
        <v>4835200</v>
      </c>
      <c r="CN40" s="59" t="n">
        <f aca="false">CN37*((CN38+Вводные!$D$7)-MAX(0,CN39+Вводные!$D$7*Вводные!$D$9))</f>
        <v>4835200</v>
      </c>
      <c r="CO40" s="59" t="n">
        <f aca="false">CO37*((CO38+Вводные!$D$7)-MAX(0,CO39+Вводные!$D$7*Вводные!$D$9))</f>
        <v>4835200</v>
      </c>
      <c r="CP40" s="59" t="n">
        <f aca="false">CP37*((CP38+Вводные!$D$7)-MAX(0,CP39+Вводные!$D$7*Вводные!$D$9))</f>
        <v>5025000</v>
      </c>
      <c r="CQ40" s="59" t="n">
        <f aca="false">CQ37*((CQ38+Вводные!$D$7)-MAX(0,CQ39+Вводные!$D$7*Вводные!$D$9))</f>
        <v>5027250</v>
      </c>
      <c r="CR40" s="59" t="n">
        <f aca="false">CR37*((CR38+Вводные!$D$7)-MAX(0,CR39+Вводные!$D$7*Вводные!$D$9))</f>
        <v>5027250</v>
      </c>
      <c r="CS40" s="59" t="n">
        <f aca="false">CS37*((CS38+Вводные!$D$7)-MAX(0,CS39+Вводные!$D$7*Вводные!$D$9))</f>
        <v>5027250</v>
      </c>
      <c r="CT40" s="59" t="n">
        <f aca="false">CT37*((CT38+Вводные!$D$7)-MAX(0,CT39+Вводные!$D$7*Вводные!$D$9))</f>
        <v>5027000</v>
      </c>
      <c r="CU40" s="59" t="n">
        <f aca="false">CU37*((CU38+Вводные!$D$7)-MAX(0,CU39+Вводные!$D$7*Вводные!$D$9))</f>
        <v>5025000</v>
      </c>
      <c r="CV40" s="59" t="n">
        <f aca="false">CV37*((CV38+Вводные!$D$7)-MAX(0,CV39+Вводные!$D$7*Вводные!$D$9))</f>
        <v>5025000</v>
      </c>
      <c r="CW40" s="59" t="n">
        <f aca="false">CW37*((CW38+Вводные!$D$7)-MAX(0,CW39+Вводные!$D$7*Вводные!$D$9))</f>
        <v>5025000</v>
      </c>
      <c r="CX40" s="59" t="n">
        <f aca="false">CX37*((CX38+Вводные!$D$7)-MAX(0,CX39+Вводные!$D$7*Вводные!$D$9))</f>
        <v>5025000</v>
      </c>
      <c r="CY40" s="59" t="n">
        <f aca="false">CY37*((CY38+Вводные!$D$7)-MAX(0,CY39+Вводные!$D$7*Вводные!$D$9))</f>
        <v>5025000</v>
      </c>
      <c r="CZ40" s="59" t="n">
        <f aca="false">CZ37*((CZ38+Вводные!$D$7)-MAX(0,CZ39+Вводные!$D$7*Вводные!$D$9))</f>
        <v>5075250</v>
      </c>
      <c r="DA40" s="59" t="n">
        <f aca="false">DA37*((DA38+Вводные!$D$7)-MAX(0,DA39+Вводные!$D$7*Вводные!$D$9))</f>
        <v>5075250</v>
      </c>
      <c r="DB40" s="59" t="n">
        <f aca="false">DB37*((DB38+Вводные!$D$7)-MAX(0,DB39+Вводные!$D$7*Вводные!$D$9))</f>
        <v>5276250</v>
      </c>
      <c r="DC40" s="59" t="n">
        <f aca="false">DC37*((DC38+Вводные!$D$7)-MAX(0,DC39+Вводные!$D$7*Вводные!$D$9))</f>
        <v>5200875</v>
      </c>
      <c r="DD40" s="59" t="n">
        <f aca="false">DD37*((DD38+Вводные!$D$7)-MAX(0,DD39+Вводные!$D$7*Вводные!$D$9))</f>
        <v>5025000</v>
      </c>
      <c r="DE40" s="59" t="n">
        <f aca="false">DE37*((DE38+Вводные!$D$7)-MAX(0,DE39+Вводные!$D$7*Вводные!$D$9))</f>
        <v>5025000</v>
      </c>
      <c r="DF40" s="59" t="n">
        <f aca="false">DF37*((DF38+Вводные!$D$7)-MAX(0,DF39+Вводные!$D$7*Вводные!$D$9))</f>
        <v>5025000</v>
      </c>
      <c r="DG40" s="59" t="n">
        <f aca="false">DG37*((DG38+Вводные!$D$7)-MAX(0,DG39+Вводные!$D$7*Вводные!$D$9))</f>
        <v>5025000</v>
      </c>
      <c r="DH40" s="59" t="n">
        <f aca="false">DH37*((DH38+Вводные!$D$7)-MAX(0,DH39+Вводные!$D$7*Вводные!$D$9))</f>
        <v>5025000</v>
      </c>
      <c r="DI40" s="59" t="n">
        <f aca="false">DI37*((DI38+Вводные!$D$7)-MAX(0,DI39+Вводные!$D$7*Вводные!$D$9))</f>
        <v>5025000</v>
      </c>
      <c r="DJ40" s="59" t="n">
        <f aca="false">DJ37*((DJ38+Вводные!$D$7)-MAX(0,DJ39+Вводные!$D$7*Вводные!$D$9))</f>
        <v>5025000</v>
      </c>
      <c r="DK40" s="59" t="n">
        <f aca="false">DK37*((DK38+Вводные!$D$7)-MAX(0,DK39+Вводные!$D$7*Вводные!$D$9))</f>
        <v>5025000</v>
      </c>
      <c r="DL40" s="59" t="n">
        <f aca="false">DL37*((DL38+Вводные!$D$7)-MAX(0,DL39+Вводные!$D$7*Вводные!$D$9))</f>
        <v>5025000</v>
      </c>
      <c r="DM40" s="59" t="n">
        <f aca="false">DM37*((DM38+Вводные!$D$7)-MAX(0,DM39+Вводные!$D$7*Вводные!$D$9))</f>
        <v>5025000</v>
      </c>
      <c r="DN40" s="59" t="n">
        <f aca="false">DN37*((DN38+Вводные!$D$7)-MAX(0,DN39+Вводные!$D$7*Вводные!$D$9))</f>
        <v>5025000</v>
      </c>
      <c r="DO40" s="59" t="n">
        <f aca="false">DO37*((DO38+Вводные!$D$7)-MAX(0,DO39+Вводные!$D$7*Вводные!$D$9))</f>
        <v>5025000</v>
      </c>
      <c r="DP40" s="59" t="n">
        <f aca="false">DP37*((DP38+Вводные!$D$7)-MAX(0,DP39+Вводные!$D$7*Вводные!$D$9))</f>
        <v>5025000</v>
      </c>
      <c r="DQ40" s="59" t="n">
        <f aca="false">DQ37*((DQ38+Вводные!$D$7)-MAX(0,DQ39+Вводные!$D$7*Вводные!$D$9))</f>
        <v>5025000</v>
      </c>
      <c r="DR40" s="59" t="n">
        <f aca="false">DR37*((DR38+Вводные!$D$7)-MAX(0,DR39+Вводные!$D$7*Вводные!$D$9))</f>
        <v>5025000</v>
      </c>
      <c r="DS40" s="59" t="n">
        <f aca="false">DS37*((DS38+Вводные!$D$7)-MAX(0,DS39+Вводные!$D$7*Вводные!$D$9))</f>
        <v>5025000</v>
      </c>
      <c r="DT40" s="59" t="n">
        <f aca="false">DT37*((DT38+Вводные!$D$7)-MAX(0,DT39+Вводные!$D$7*Вводные!$D$9))</f>
        <v>5025000</v>
      </c>
      <c r="DU40" s="59" t="n">
        <f aca="false">DU37*((DU38+Вводные!$D$7)-MAX(0,DU39+Вводные!$D$7*Вводные!$D$9))</f>
        <v>5025000</v>
      </c>
      <c r="DV40" s="59" t="n">
        <f aca="false">DV37*((DV38+Вводные!$D$7)-MAX(0,DV39+Вводные!$D$7*Вводные!$D$9))</f>
        <v>5025000</v>
      </c>
      <c r="DW40" s="59" t="n">
        <f aca="false">DW37*((DW38+Вводные!$D$7)-MAX(0,DW39+Вводные!$D$7*Вводные!$D$9))</f>
        <v>5025000</v>
      </c>
      <c r="DX40" s="59" t="n">
        <f aca="false">DX37*((DX38+Вводные!$D$7)-MAX(0,DX39+Вводные!$D$7*Вводные!$D$9))</f>
        <v>5025000</v>
      </c>
      <c r="DY40" s="59" t="n">
        <f aca="false">DY37*((DY38+Вводные!$D$7)-MAX(0,DY39+Вводные!$D$7*Вводные!$D$9))</f>
        <v>5025000</v>
      </c>
      <c r="DZ40" s="59" t="n">
        <f aca="false">DZ37*((DZ38+Вводные!$D$7)-MAX(0,DZ39+Вводные!$D$7*Вводные!$D$9))</f>
        <v>5025000</v>
      </c>
      <c r="EA40" s="59" t="n">
        <f aca="false">EA37*((EA38+Вводные!$D$7)-MAX(0,EA39+Вводные!$D$7*Вводные!$D$9))</f>
        <v>5025000</v>
      </c>
      <c r="EB40" s="59" t="n">
        <f aca="false">EB37*((EB38+Вводные!$D$7)-MAX(0,EB39+Вводные!$D$7*Вводные!$D$9))</f>
        <v>5025000</v>
      </c>
      <c r="EC40" s="59" t="n">
        <f aca="false">EC37*((EC38+Вводные!$D$7)-MAX(0,EC39+Вводные!$D$7*Вводные!$D$9))</f>
        <v>5025000</v>
      </c>
      <c r="ED40" s="59" t="n">
        <f aca="false">ED37*((ED38+Вводные!$D$7)-MAX(0,ED39+Вводные!$D$7*Вводные!$D$9))</f>
        <v>5025000</v>
      </c>
      <c r="EE40" s="59" t="n">
        <f aca="false">EE37*((EE38+Вводные!$D$7)-MAX(0,EE39+Вводные!$D$7*Вводные!$D$9))</f>
        <v>5025000</v>
      </c>
      <c r="EF40" s="59" t="n">
        <f aca="false">EF37*((EF38+Вводные!$D$7)-MAX(0,EF39+Вводные!$D$7*Вводные!$D$9))</f>
        <v>14850000</v>
      </c>
      <c r="EG40" s="59" t="n">
        <f aca="false">EG37*((EG38+Вводные!$D$7)-MAX(0,EG39+Вводные!$D$7*Вводные!$D$9))</f>
        <v>14998500</v>
      </c>
      <c r="EH40" s="59" t="n">
        <f aca="false">EH37*((EH38+Вводные!$D$7)-MAX(0,EH39+Вводные!$D$7*Вводные!$D$9))</f>
        <v>14998500</v>
      </c>
      <c r="EI40" s="59" t="n">
        <f aca="false">EI37*((EI38+Вводные!$D$7)-MAX(0,EI39+Вводные!$D$7*Вводные!$D$9))</f>
        <v>14998500</v>
      </c>
      <c r="EJ40" s="59" t="n">
        <f aca="false">EJ37*((EJ38+Вводные!$D$7)-MAX(0,EJ39+Вводные!$D$7*Вводные!$D$9))</f>
        <v>15000000</v>
      </c>
      <c r="EK40" s="59" t="n">
        <f aca="false">EK37*((EK38+Вводные!$D$7)-MAX(0,EK39+Вводные!$D$7*Вводные!$D$9))</f>
        <v>14850000</v>
      </c>
      <c r="EL40" s="59" t="n">
        <f aca="false">EL37*((EL38+Вводные!$D$7)-MAX(0,EL39+Вводные!$D$7*Вводные!$D$9))</f>
        <v>14850000</v>
      </c>
      <c r="EM40" s="59" t="n">
        <f aca="false">EM37*((EM38+Вводные!$D$7)-MAX(0,EM39+Вводные!$D$7*Вводные!$D$9))</f>
        <v>14850000</v>
      </c>
      <c r="EN40" s="59" t="n">
        <f aca="false">EN37*((EN38+Вводные!$D$7)-MAX(0,EN39+Вводные!$D$7*Вводные!$D$9))</f>
        <v>14850000</v>
      </c>
      <c r="EO40" s="59" t="n">
        <f aca="false">EO37*((EO38+Вводные!$D$7)-MAX(0,EO39+Вводные!$D$7*Вводные!$D$9))</f>
        <v>14850000</v>
      </c>
      <c r="EP40" s="59" t="n">
        <f aca="false">EP37*((EP38+Вводные!$D$7)-MAX(0,EP39+Вводные!$D$7*Вводные!$D$9))</f>
        <v>14998500</v>
      </c>
      <c r="EQ40" s="59" t="n">
        <f aca="false">EQ37*((EQ38+Вводные!$D$7)-MAX(0,EQ39+Вводные!$D$7*Вводные!$D$9))</f>
        <v>14998500</v>
      </c>
      <c r="ER40" s="59" t="n">
        <f aca="false">ER37*((ER38+Вводные!$D$7)-MAX(0,ER39+Вводные!$D$7*Вводные!$D$9))</f>
        <v>15147000</v>
      </c>
      <c r="ES40" s="59" t="n">
        <f aca="false">ES37*((ES38+Вводные!$D$7)-MAX(0,ES39+Вводные!$D$7*Вводные!$D$9))</f>
        <v>14968800</v>
      </c>
      <c r="ET40" s="59" t="n">
        <f aca="false">ET37*((ET38+Вводные!$D$7)-MAX(0,ET39+Вводные!$D$7*Вводные!$D$9))</f>
        <v>14850000</v>
      </c>
      <c r="EU40" s="59" t="n">
        <f aca="false">EU37*((EU38+Вводные!$D$7)-MAX(0,EU39+Вводные!$D$7*Вводные!$D$9))</f>
        <v>14850000</v>
      </c>
      <c r="EV40" s="59" t="n">
        <f aca="false">EV37*((EV38+Вводные!$D$7)-MAX(0,EV39+Вводные!$D$7*Вводные!$D$9))</f>
        <v>14850000</v>
      </c>
      <c r="EW40" s="59" t="n">
        <f aca="false">EW37*((EW38+Вводные!$D$7)-MAX(0,EW39+Вводные!$D$7*Вводные!$D$9))</f>
        <v>14850000</v>
      </c>
      <c r="EX40" s="59" t="n">
        <f aca="false">EX37*((EX38+Вводные!$D$7)-MAX(0,EX39+Вводные!$D$7*Вводные!$D$9))</f>
        <v>14850000</v>
      </c>
      <c r="EY40" s="59" t="n">
        <f aca="false">EY37*((EY38+Вводные!$D$7)-MAX(0,EY39+Вводные!$D$7*Вводные!$D$9))</f>
        <v>14850000</v>
      </c>
      <c r="EZ40" s="59" t="n">
        <f aca="false">EZ37*((EZ38+Вводные!$D$7)-MAX(0,EZ39+Вводные!$D$7*Вводные!$D$9))</f>
        <v>14850000</v>
      </c>
      <c r="FA40" s="59" t="n">
        <f aca="false">FA37*((FA38+Вводные!$D$7)-MAX(0,FA39+Вводные!$D$7*Вводные!$D$9))</f>
        <v>14850000</v>
      </c>
      <c r="FB40" s="59" t="n">
        <f aca="false">FB37*((FB38+Вводные!$D$7)-MAX(0,FB39+Вводные!$D$7*Вводные!$D$9))</f>
        <v>14850000</v>
      </c>
      <c r="FC40" s="59" t="n">
        <f aca="false">FC37*((FC38+Вводные!$D$7)-MAX(0,FC39+Вводные!$D$7*Вводные!$D$9))</f>
        <v>14850000</v>
      </c>
      <c r="FD40" s="59" t="n">
        <f aca="false">FD37*((FD38+Вводные!$D$7)-MAX(0,FD39+Вводные!$D$7*Вводные!$D$9))</f>
        <v>14850000</v>
      </c>
      <c r="FE40" s="59" t="n">
        <f aca="false">FE37*((FE38+Вводные!$D$7)-MAX(0,FE39+Вводные!$D$7*Вводные!$D$9))</f>
        <v>14850000</v>
      </c>
      <c r="FF40" s="59" t="n">
        <f aca="false">FF37*((FF38+Вводные!$D$7)-MAX(0,FF39+Вводные!$D$7*Вводные!$D$9))</f>
        <v>14850000</v>
      </c>
      <c r="FG40" s="59" t="n">
        <f aca="false">FG37*((FG38+Вводные!$D$7)-MAX(0,FG39+Вводные!$D$7*Вводные!$D$9))</f>
        <v>14850000</v>
      </c>
      <c r="FH40" s="59" t="n">
        <f aca="false">FH37*((FH38+Вводные!$D$7)-MAX(0,FH39+Вводные!$D$7*Вводные!$D$9))</f>
        <v>14850000</v>
      </c>
      <c r="FI40" s="59" t="n">
        <f aca="false">FI37*((FI38+Вводные!$D$7)-MAX(0,FI39+Вводные!$D$7*Вводные!$D$9))</f>
        <v>14850000</v>
      </c>
      <c r="FJ40" s="59" t="n">
        <f aca="false">FJ37*((FJ38+Вводные!$D$7)-MAX(0,FJ39+Вводные!$D$7*Вводные!$D$9))</f>
        <v>14850000</v>
      </c>
      <c r="FK40" s="59" t="n">
        <f aca="false">FK37*((FK38+Вводные!$D$7)-MAX(0,FK39+Вводные!$D$7*Вводные!$D$9))</f>
        <v>14850000</v>
      </c>
      <c r="FL40" s="59" t="n">
        <f aca="false">FL37*((FL38+Вводные!$D$7)-MAX(0,FL39+Вводные!$D$7*Вводные!$D$9))</f>
        <v>14850000</v>
      </c>
      <c r="FM40" s="59" t="n">
        <f aca="false">FM37*((FM38+Вводные!$D$7)-MAX(0,FM39+Вводные!$D$7*Вводные!$D$9))</f>
        <v>14850000</v>
      </c>
      <c r="FN40" s="59" t="n">
        <f aca="false">FN37*((FN38+Вводные!$D$7)-MAX(0,FN39+Вводные!$D$7*Вводные!$D$9))</f>
        <v>14850000</v>
      </c>
      <c r="FO40" s="59" t="n">
        <f aca="false">FO37*((FO38+Вводные!$D$7)-MAX(0,FO39+Вводные!$D$7*Вводные!$D$9))</f>
        <v>14850000</v>
      </c>
      <c r="FP40" s="59" t="n">
        <f aca="false">FP37*((FP38+Вводные!$D$7)-MAX(0,FP39+Вводные!$D$7*Вводные!$D$9))</f>
        <v>14850000</v>
      </c>
      <c r="FQ40" s="59" t="n">
        <f aca="false">FQ37*((FQ38+Вводные!$D$7)-MAX(0,FQ39+Вводные!$D$7*Вводные!$D$9))</f>
        <v>14850000</v>
      </c>
      <c r="FR40" s="59" t="n">
        <f aca="false">FR37*((FR38+Вводные!$D$7)-MAX(0,FR39+Вводные!$D$7*Вводные!$D$9))</f>
        <v>14850000</v>
      </c>
      <c r="FS40" s="59" t="n">
        <f aca="false">FS37*((FS38+Вводные!$D$7)-MAX(0,FS39+Вводные!$D$7*Вводные!$D$9))</f>
        <v>14850000</v>
      </c>
      <c r="FT40" s="59" t="n">
        <f aca="false">FT37*((FT38+Вводные!$D$7)-MAX(0,FT39+Вводные!$D$7*Вводные!$D$9))</f>
        <v>14850000</v>
      </c>
      <c r="FU40" s="59" t="n">
        <f aca="false">FU37*((FU38+Вводные!$D$7)-MAX(0,FU39+Вводные!$D$7*Вводные!$D$9))</f>
        <v>14850000</v>
      </c>
      <c r="FV40" s="59" t="n">
        <f aca="false">FV37*((FV38+Вводные!$D$7)-MAX(0,FV39+Вводные!$D$7*Вводные!$D$9))</f>
        <v>5973333.33333333</v>
      </c>
      <c r="FW40" s="59" t="n">
        <f aca="false">FW37*((FW38+Вводные!$D$7)-MAX(0,FW39+Вводные!$D$7*Вводные!$D$9))</f>
        <v>6033066.66666667</v>
      </c>
      <c r="FX40" s="59" t="n">
        <f aca="false">FX37*((FX38+Вводные!$D$7)-MAX(0,FX39+Вводные!$D$7*Вводные!$D$9))</f>
        <v>6033066.66666667</v>
      </c>
      <c r="FY40" s="59" t="n">
        <f aca="false">FY37*((FY38+Вводные!$D$7)-MAX(0,FY39+Вводные!$D$7*Вводные!$D$9))</f>
        <v>6033066.66666667</v>
      </c>
      <c r="FZ40" s="59" t="n">
        <f aca="false">FZ37*((FZ38+Вводные!$D$7)-MAX(0,FZ39+Вводные!$D$7*Вводные!$D$9))</f>
        <v>6033670.03367003</v>
      </c>
      <c r="GA40" s="59" t="n">
        <f aca="false">GA37*((GA38+Вводные!$D$7)-MAX(0,GA39+Вводные!$D$7*Вводные!$D$9))</f>
        <v>5973333.33333333</v>
      </c>
      <c r="GB40" s="59" t="n">
        <f aca="false">GB37*((GB38+Вводные!$D$7)-MAX(0,GB39+Вводные!$D$7*Вводные!$D$9))</f>
        <v>5973333.33333333</v>
      </c>
      <c r="GC40" s="59" t="n">
        <f aca="false">GC37*((GC38+Вводные!$D$7)-MAX(0,GC39+Вводные!$D$7*Вводные!$D$9))</f>
        <v>5973333.33333333</v>
      </c>
      <c r="GD40" s="59" t="n">
        <f aca="false">GD37*((GD38+Вводные!$D$7)-MAX(0,GD39+Вводные!$D$7*Вводные!$D$9))</f>
        <v>5973333.33333333</v>
      </c>
      <c r="GE40" s="59" t="n">
        <f aca="false">GE37*((GE38+Вводные!$D$7)-MAX(0,GE39+Вводные!$D$7*Вводные!$D$9))</f>
        <v>5973333.33333333</v>
      </c>
      <c r="GF40" s="59" t="n">
        <f aca="false">GF37*((GF38+Вводные!$D$7)-MAX(0,GF39+Вводные!$D$7*Вводные!$D$9))</f>
        <v>6033066.66666667</v>
      </c>
      <c r="GG40" s="59" t="n">
        <f aca="false">GG37*((GG38+Вводные!$D$7)-MAX(0,GG39+Вводные!$D$7*Вводные!$D$9))</f>
        <v>6033066.66666667</v>
      </c>
      <c r="GH40" s="59" t="n">
        <f aca="false">GH37*((GH38+Вводные!$D$7)-MAX(0,GH39+Вводные!$D$7*Вводные!$D$9))</f>
        <v>6122666.66666667</v>
      </c>
      <c r="GI40" s="59" t="n">
        <f aca="false">GI37*((GI38+Вводные!$D$7)-MAX(0,GI39+Вводные!$D$7*Вводные!$D$9))</f>
        <v>6048000</v>
      </c>
      <c r="GJ40" s="59" t="n">
        <f aca="false">GJ37*((GJ38+Вводные!$D$7)-MAX(0,GJ39+Вводные!$D$7*Вводные!$D$9))</f>
        <v>5973333.33333333</v>
      </c>
      <c r="GK40" s="59" t="n">
        <f aca="false">GK37*((GK38+Вводные!$D$7)-MAX(0,GK39+Вводные!$D$7*Вводные!$D$9))</f>
        <v>5973333.33333333</v>
      </c>
      <c r="GL40" s="59" t="n">
        <f aca="false">GL37*((GL38+Вводные!$D$7)-MAX(0,GL39+Вводные!$D$7*Вводные!$D$9))</f>
        <v>5973333.33333333</v>
      </c>
      <c r="GM40" s="59" t="n">
        <f aca="false">GM37*((GM38+Вводные!$D$7)-MAX(0,GM39+Вводные!$D$7*Вводные!$D$9))</f>
        <v>5973333.33333333</v>
      </c>
      <c r="GN40" s="59" t="n">
        <f aca="false">GN37*((GN38+Вводные!$D$7)-MAX(0,GN39+Вводные!$D$7*Вводные!$D$9))</f>
        <v>5973333.33333333</v>
      </c>
      <c r="GO40" s="59" t="n">
        <f aca="false">GO37*((GO38+Вводные!$D$7)-MAX(0,GO39+Вводные!$D$7*Вводные!$D$9))</f>
        <v>5973333.33333333</v>
      </c>
      <c r="GP40" s="59" t="n">
        <f aca="false">GP37*((GP38+Вводные!$D$7)-MAX(0,GP39+Вводные!$D$7*Вводные!$D$9))</f>
        <v>5973333.33333333</v>
      </c>
      <c r="GQ40" s="59" t="n">
        <f aca="false">GQ37*((GQ38+Вводные!$D$7)-MAX(0,GQ39+Вводные!$D$7*Вводные!$D$9))</f>
        <v>5973333.33333333</v>
      </c>
      <c r="GR40" s="59" t="n">
        <f aca="false">GR37*((GR38+Вводные!$D$7)-MAX(0,GR39+Вводные!$D$7*Вводные!$D$9))</f>
        <v>5973333.33333333</v>
      </c>
      <c r="GS40" s="59" t="n">
        <f aca="false">GS37*((GS38+Вводные!$D$7)-MAX(0,GS39+Вводные!$D$7*Вводные!$D$9))</f>
        <v>5973333.33333333</v>
      </c>
      <c r="GT40" s="59" t="n">
        <f aca="false">GT37*((GT38+Вводные!$D$7)-MAX(0,GT39+Вводные!$D$7*Вводные!$D$9))</f>
        <v>5973333.33333333</v>
      </c>
      <c r="GU40" s="59" t="n">
        <f aca="false">GU37*((GU38+Вводные!$D$7)-MAX(0,GU39+Вводные!$D$7*Вводные!$D$9))</f>
        <v>5973333.33333333</v>
      </c>
      <c r="GV40" s="59" t="n">
        <f aca="false">GV37*((GV38+Вводные!$D$7)-MAX(0,GV39+Вводные!$D$7*Вводные!$D$9))</f>
        <v>5973333.33333333</v>
      </c>
      <c r="GW40" s="59" t="n">
        <f aca="false">GW37*((GW38+Вводные!$D$7)-MAX(0,GW39+Вводные!$D$7*Вводные!$D$9))</f>
        <v>5973333.33333333</v>
      </c>
      <c r="GX40" s="59" t="n">
        <f aca="false">GX37*((GX38+Вводные!$D$7)-MAX(0,GX39+Вводные!$D$7*Вводные!$D$9))</f>
        <v>5973333.33333333</v>
      </c>
      <c r="GY40" s="59" t="n">
        <f aca="false">GY37*((GY38+Вводные!$D$7)-MAX(0,GY39+Вводные!$D$7*Вводные!$D$9))</f>
        <v>5973333.33333333</v>
      </c>
      <c r="GZ40" s="59" t="n">
        <f aca="false">GZ37*((GZ38+Вводные!$D$7)-MAX(0,GZ39+Вводные!$D$7*Вводные!$D$9))</f>
        <v>5973333.33333333</v>
      </c>
      <c r="HA40" s="59" t="n">
        <f aca="false">HA37*((HA38+Вводные!$D$7)-MAX(0,HA39+Вводные!$D$7*Вводные!$D$9))</f>
        <v>5973333.33333333</v>
      </c>
      <c r="HB40" s="59" t="n">
        <f aca="false">HB37*((HB38+Вводные!$D$7)-MAX(0,HB39+Вводные!$D$7*Вводные!$D$9))</f>
        <v>5973333.33333333</v>
      </c>
      <c r="HC40" s="59" t="n">
        <f aca="false">HC37*((HC38+Вводные!$D$7)-MAX(0,HC39+Вводные!$D$7*Вводные!$D$9))</f>
        <v>5973333.33333333</v>
      </c>
      <c r="HD40" s="59" t="n">
        <f aca="false">HD37*((HD38+Вводные!$D$7)-MAX(0,HD39+Вводные!$D$7*Вводные!$D$9))</f>
        <v>5973333.33333333</v>
      </c>
      <c r="HE40" s="59" t="n">
        <f aca="false">HE37*((HE38+Вводные!$D$7)-MAX(0,HE39+Вводные!$D$7*Вводные!$D$9))</f>
        <v>5973333.33333333</v>
      </c>
      <c r="HF40" s="59" t="n">
        <f aca="false">HF37*((HF38+Вводные!$D$7)-MAX(0,HF39+Вводные!$D$7*Вводные!$D$9))</f>
        <v>5973333.33333333</v>
      </c>
      <c r="HG40" s="59" t="n">
        <f aca="false">HG37*((HG38+Вводные!$D$7)-MAX(0,HG39+Вводные!$D$7*Вводные!$D$9))</f>
        <v>5973333.33333333</v>
      </c>
      <c r="HH40" s="59" t="n">
        <f aca="false">HH37*((HH38+Вводные!$D$7)-MAX(0,HH39+Вводные!$D$7*Вводные!$D$9))</f>
        <v>5973333.33333333</v>
      </c>
      <c r="HI40" s="59" t="n">
        <f aca="false">HI37*((HI38+Вводные!$D$7)-MAX(0,HI39+Вводные!$D$7*Вводные!$D$9))</f>
        <v>5973333.33333333</v>
      </c>
      <c r="HJ40" s="59" t="n">
        <f aca="false">HJ37*((HJ38+Вводные!$D$7)-MAX(0,HJ39+Вводные!$D$7*Вводные!$D$9))</f>
        <v>5973333.33333333</v>
      </c>
      <c r="HK40" s="59" t="n">
        <f aca="false">HK37*((HK38+Вводные!$D$7)-MAX(0,HK39+Вводные!$D$7*Вводные!$D$9))</f>
        <v>5973333.33333333</v>
      </c>
      <c r="HL40" s="59" t="n">
        <f aca="false">HL37*((HL38+Вводные!$D$7)-MAX(0,HL39+Вводные!$D$7*Вводные!$D$9))</f>
        <v>5625000</v>
      </c>
      <c r="HM40" s="59" t="n">
        <f aca="false">HM37*((HM38+Вводные!$D$7)-MAX(0,HM39+Вводные!$D$7*Вводные!$D$9))</f>
        <v>5681250</v>
      </c>
      <c r="HN40" s="59" t="n">
        <f aca="false">HN37*((HN38+Вводные!$D$7)-MAX(0,HN39+Вводные!$D$7*Вводные!$D$9))</f>
        <v>5681250</v>
      </c>
      <c r="HO40" s="59" t="n">
        <f aca="false">HO37*((HO38+Вводные!$D$7)-MAX(0,HO39+Вводные!$D$7*Вводные!$D$9))</f>
        <v>5681250</v>
      </c>
      <c r="HP40" s="59" t="n">
        <f aca="false">HP37*((HP38+Вводные!$D$7)-MAX(0,HP39+Вводные!$D$7*Вводные!$D$9))</f>
        <v>5681818.18181818</v>
      </c>
      <c r="HQ40" s="59" t="n">
        <f aca="false">HQ37*((HQ38+Вводные!$D$7)-MAX(0,HQ39+Вводные!$D$7*Вводные!$D$9))</f>
        <v>5625000</v>
      </c>
      <c r="HR40" s="59" t="n">
        <f aca="false">HR37*((HR38+Вводные!$D$7)-MAX(0,HR39+Вводные!$D$7*Вводные!$D$9))</f>
        <v>5625000</v>
      </c>
      <c r="HS40" s="59" t="n">
        <f aca="false">HS37*((HS38+Вводные!$D$7)-MAX(0,HS39+Вводные!$D$7*Вводные!$D$9))</f>
        <v>5625000</v>
      </c>
      <c r="HT40" s="59" t="n">
        <f aca="false">HT37*((HT38+Вводные!$D$7)-MAX(0,HT39+Вводные!$D$7*Вводные!$D$9))</f>
        <v>5625000</v>
      </c>
      <c r="HU40" s="59" t="n">
        <f aca="false">HU37*((HU38+Вводные!$D$7)-MAX(0,HU39+Вводные!$D$7*Вводные!$D$9))</f>
        <v>5625000</v>
      </c>
      <c r="HV40" s="59" t="n">
        <f aca="false">HV37*((HV38+Вводные!$D$7)-MAX(0,HV39+Вводные!$D$7*Вводные!$D$9))</f>
        <v>5681250</v>
      </c>
      <c r="HW40" s="59" t="n">
        <f aca="false">HW37*((HW38+Вводные!$D$7)-MAX(0,HW39+Вводные!$D$7*Вводные!$D$9))</f>
        <v>5681250</v>
      </c>
      <c r="HX40" s="59" t="n">
        <f aca="false">HX37*((HX38+Вводные!$D$7)-MAX(0,HX39+Вводные!$D$7*Вводные!$D$9))</f>
        <v>5906250</v>
      </c>
      <c r="HY40" s="59" t="n">
        <f aca="false">HY37*((HY38+Вводные!$D$7)-MAX(0,HY39+Вводные!$D$7*Вводные!$D$9))</f>
        <v>5821875</v>
      </c>
      <c r="HZ40" s="59" t="n">
        <f aca="false">HZ37*((HZ38+Вводные!$D$7)-MAX(0,HZ39+Вводные!$D$7*Вводные!$D$9))</f>
        <v>5625000</v>
      </c>
      <c r="IA40" s="59" t="n">
        <f aca="false">IA37*((IA38+Вводные!$D$7)-MAX(0,IA39+Вводные!$D$7*Вводные!$D$9))</f>
        <v>5625000</v>
      </c>
      <c r="IB40" s="59" t="n">
        <f aca="false">IB37*((IB38+Вводные!$D$7)-MAX(0,IB39+Вводные!$D$7*Вводные!$D$9))</f>
        <v>5625000</v>
      </c>
      <c r="IC40" s="59" t="n">
        <f aca="false">IC37*((IC38+Вводные!$D$7)-MAX(0,IC39+Вводные!$D$7*Вводные!$D$9))</f>
        <v>5625000</v>
      </c>
      <c r="ID40" s="59" t="n">
        <f aca="false">ID37*((ID38+Вводные!$D$7)-MAX(0,ID39+Вводные!$D$7*Вводные!$D$9))</f>
        <v>5625000</v>
      </c>
      <c r="IE40" s="59" t="n">
        <f aca="false">IE37*((IE38+Вводные!$D$7)-MAX(0,IE39+Вводные!$D$7*Вводные!$D$9))</f>
        <v>5625000</v>
      </c>
      <c r="IF40" s="59" t="n">
        <f aca="false">IF37*((IF38+Вводные!$D$7)-MAX(0,IF39+Вводные!$D$7*Вводные!$D$9))</f>
        <v>5625000</v>
      </c>
      <c r="IG40" s="59" t="n">
        <f aca="false">IG37*((IG38+Вводные!$D$7)-MAX(0,IG39+Вводные!$D$7*Вводные!$D$9))</f>
        <v>5625000</v>
      </c>
      <c r="IH40" s="59" t="n">
        <f aca="false">IH37*((IH38+Вводные!$D$7)-MAX(0,IH39+Вводные!$D$7*Вводные!$D$9))</f>
        <v>5625000</v>
      </c>
      <c r="II40" s="59" t="n">
        <f aca="false">II37*((II38+Вводные!$D$7)-MAX(0,II39+Вводные!$D$7*Вводные!$D$9))</f>
        <v>5625000</v>
      </c>
      <c r="IJ40" s="59" t="n">
        <f aca="false">IJ37*((IJ38+Вводные!$D$7)-MAX(0,IJ39+Вводные!$D$7*Вводные!$D$9))</f>
        <v>5625000</v>
      </c>
      <c r="IK40" s="59" t="n">
        <f aca="false">IK37*((IK38+Вводные!$D$7)-MAX(0,IK39+Вводные!$D$7*Вводные!$D$9))</f>
        <v>5625000</v>
      </c>
      <c r="IL40" s="59" t="n">
        <f aca="false">IL37*((IL38+Вводные!$D$7)-MAX(0,IL39+Вводные!$D$7*Вводные!$D$9))</f>
        <v>5625000</v>
      </c>
      <c r="IM40" s="59" t="n">
        <f aca="false">IM37*((IM38+Вводные!$D$7)-MAX(0,IM39+Вводные!$D$7*Вводные!$D$9))</f>
        <v>5625000</v>
      </c>
      <c r="IN40" s="59" t="n">
        <f aca="false">IN37*((IN38+Вводные!$D$7)-MAX(0,IN39+Вводные!$D$7*Вводные!$D$9))</f>
        <v>5625000</v>
      </c>
      <c r="IO40" s="59" t="n">
        <f aca="false">IO37*((IO38+Вводные!$D$7)-MAX(0,IO39+Вводные!$D$7*Вводные!$D$9))</f>
        <v>5625000</v>
      </c>
      <c r="IP40" s="59" t="n">
        <f aca="false">IP37*((IP38+Вводные!$D$7)-MAX(0,IP39+Вводные!$D$7*Вводные!$D$9))</f>
        <v>5625000</v>
      </c>
      <c r="IQ40" s="59" t="n">
        <f aca="false">IQ37*((IQ38+Вводные!$D$7)-MAX(0,IQ39+Вводные!$D$7*Вводные!$D$9))</f>
        <v>5625000</v>
      </c>
      <c r="IR40" s="59" t="n">
        <f aca="false">IR37*((IR38+Вводные!$D$7)-MAX(0,IR39+Вводные!$D$7*Вводные!$D$9))</f>
        <v>5625000</v>
      </c>
      <c r="IS40" s="59" t="n">
        <f aca="false">IS37*((IS38+Вводные!$D$7)-MAX(0,IS39+Вводные!$D$7*Вводные!$D$9))</f>
        <v>5625000</v>
      </c>
      <c r="IT40" s="59" t="n">
        <f aca="false">IT37*((IT38+Вводные!$D$7)-MAX(0,IT39+Вводные!$D$7*Вводные!$D$9))</f>
        <v>5625000</v>
      </c>
      <c r="IU40" s="59" t="n">
        <f aca="false">IU37*((IU38+Вводные!$D$7)-MAX(0,IU39+Вводные!$D$7*Вводные!$D$9))</f>
        <v>5625000</v>
      </c>
      <c r="IV40" s="59" t="n">
        <f aca="false">IV37*((IV38+Вводные!$D$7)-MAX(0,IV39+Вводные!$D$7*Вводные!$D$9))</f>
        <v>5625000</v>
      </c>
      <c r="IW40" s="59" t="n">
        <f aca="false">IW37*((IW38+Вводные!$D$7)-MAX(0,IW39+Вводные!$D$7*Вводные!$D$9))</f>
        <v>5625000</v>
      </c>
      <c r="IX40" s="59" t="n">
        <f aca="false">IX37*((IX38+Вводные!$D$7)-MAX(0,IX39+Вводные!$D$7*Вводные!$D$9))</f>
        <v>5625000</v>
      </c>
      <c r="IY40" s="59" t="n">
        <f aca="false">IY37*((IY38+Вводные!$D$7)-MAX(0,IY39+Вводные!$D$7*Вводные!$D$9))</f>
        <v>5625000</v>
      </c>
      <c r="IZ40" s="59" t="n">
        <f aca="false">IZ37*((IZ38+Вводные!$D$7)-MAX(0,IZ39+Вводные!$D$7*Вводные!$D$9))</f>
        <v>5625000</v>
      </c>
      <c r="JA40" s="59" t="n">
        <f aca="false">JA37*((JA38+Вводные!$D$7)-MAX(0,JA39+Вводные!$D$7*Вводные!$D$9))</f>
        <v>5625000</v>
      </c>
    </row>
    <row r="41" customFormat="false" ht="15" hidden="false" customHeight="false" outlineLevel="0" collapsed="false">
      <c r="A41" s="4" t="s">
        <v>727</v>
      </c>
      <c r="B41" s="5"/>
      <c r="C41" s="5"/>
      <c r="D41" s="5"/>
      <c r="E41" s="5"/>
      <c r="F41" s="5"/>
      <c r="G41" s="5"/>
      <c r="H41" s="5"/>
    </row>
    <row r="42" customFormat="false" ht="15" hidden="false" customHeight="false" outlineLevel="0" collapsed="false">
      <c r="A42" s="13" t="s">
        <v>227</v>
      </c>
      <c r="B42" s="13" t="s">
        <v>228</v>
      </c>
      <c r="C42" s="13" t="s">
        <v>194</v>
      </c>
      <c r="D42" s="9" t="s">
        <v>36</v>
      </c>
      <c r="E42" s="32" t="n">
        <f aca="false">INDEX(Вводные!$D$13:$F$64,MATCH($A42,Вводные!$A$13:$A$64,0),MATCH(E$3,Вводные!$D$11:$F$11,0))*(1+IF(E$4=$A42,Вводные!$D$5*INDEX(Вводные!$G$13:$G$64,MATCH($A42,Вводные!$A$13:$A$64,0)),0))</f>
        <v>0.3</v>
      </c>
      <c r="F42" s="32" t="n">
        <f aca="false">INDEX(Вводные!$D$13:$F$64,MATCH($A42,Вводные!$A$13:$A$64,0),MATCH(F$3,Вводные!$D$11:$F$11,0))*(1+IF(F$4=$A42,Вводные!$D$5*INDEX(Вводные!$G$13:$G$64,MATCH($A42,Вводные!$A$13:$A$64,0)),0))</f>
        <v>0.5</v>
      </c>
      <c r="G42" s="32" t="n">
        <f aca="false">INDEX(Вводные!$D$13:$F$64,MATCH($A42,Вводные!$A$13:$A$64,0),MATCH(G$3,Вводные!$D$11:$F$11,0))*(1+IF(G$4=$A42,Вводные!$D$5*INDEX(Вводные!$G$13:$G$64,MATCH($A42,Вводные!$A$13:$A$64,0)),0))</f>
        <v>0.4</v>
      </c>
      <c r="H42" s="60"/>
      <c r="J42" s="32" t="n">
        <f aca="false">INDEX(Вводные!$D$13:$F$64,MATCH($A42,Вводные!$A$13:$A$64,0),MATCH(J$3,Вводные!$D$11:$F$11,0))*(1+IF(J$4=$A42,Вводные!$D$5*INDEX(Вводные!$G$13:$G$64,MATCH($A42,Вводные!$A$13:$A$64,0)),0))</f>
        <v>0.3</v>
      </c>
      <c r="K42" s="32" t="n">
        <f aca="false">INDEX(Вводные!$D$13:$F$64,MATCH($A42,Вводные!$A$13:$A$64,0),MATCH(K$3,Вводные!$D$11:$F$11,0))*(1+IF(K$4=$A42,Вводные!$D$5*INDEX(Вводные!$G$13:$G$64,MATCH($A42,Вводные!$A$13:$A$64,0)),0))</f>
        <v>0.3</v>
      </c>
      <c r="L42" s="32" t="n">
        <f aca="false">INDEX(Вводные!$D$13:$F$64,MATCH($A42,Вводные!$A$13:$A$64,0),MATCH(L$3,Вводные!$D$11:$F$11,0))*(1+IF(L$4=$A42,Вводные!$D$5*INDEX(Вводные!$G$13:$G$64,MATCH($A42,Вводные!$A$13:$A$64,0)),0))</f>
        <v>0.3</v>
      </c>
      <c r="M42" s="32" t="n">
        <f aca="false">INDEX(Вводные!$D$13:$F$64,MATCH($A42,Вводные!$A$13:$A$64,0),MATCH(M$3,Вводные!$D$11:$F$11,0))*(1+IF(M$4=$A42,Вводные!$D$5*INDEX(Вводные!$G$13:$G$64,MATCH($A42,Вводные!$A$13:$A$64,0)),0))</f>
        <v>0.3</v>
      </c>
      <c r="N42" s="32" t="n">
        <f aca="false">INDEX(Вводные!$D$13:$F$64,MATCH($A42,Вводные!$A$13:$A$64,0),MATCH(N$3,Вводные!$D$11:$F$11,0))*(1+IF(N$4=$A42,Вводные!$D$5*INDEX(Вводные!$G$13:$G$64,MATCH($A42,Вводные!$A$13:$A$64,0)),0))</f>
        <v>0.3</v>
      </c>
      <c r="O42" s="32" t="n">
        <f aca="false">INDEX(Вводные!$D$13:$F$64,MATCH($A42,Вводные!$A$13:$A$64,0),MATCH(O$3,Вводные!$D$11:$F$11,0))*(1+IF(O$4=$A42,Вводные!$D$5*INDEX(Вводные!$G$13:$G$64,MATCH($A42,Вводные!$A$13:$A$64,0)),0))</f>
        <v>0.3</v>
      </c>
      <c r="P42" s="32" t="n">
        <f aca="false">INDEX(Вводные!$D$13:$F$64,MATCH($A42,Вводные!$A$13:$A$64,0),MATCH(P$3,Вводные!$D$11:$F$11,0))*(1+IF(P$4=$A42,Вводные!$D$5*INDEX(Вводные!$G$13:$G$64,MATCH($A42,Вводные!$A$13:$A$64,0)),0))</f>
        <v>0.3</v>
      </c>
      <c r="Q42" s="32" t="n">
        <f aca="false">INDEX(Вводные!$D$13:$F$64,MATCH($A42,Вводные!$A$13:$A$64,0),MATCH(Q$3,Вводные!$D$11:$F$11,0))*(1+IF(Q$4=$A42,Вводные!$D$5*INDEX(Вводные!$G$13:$G$64,MATCH($A42,Вводные!$A$13:$A$64,0)),0))</f>
        <v>0.3</v>
      </c>
      <c r="R42" s="32" t="n">
        <f aca="false">INDEX(Вводные!$D$13:$F$64,MATCH($A42,Вводные!$A$13:$A$64,0),MATCH(R$3,Вводные!$D$11:$F$11,0))*(1+IF(R$4=$A42,Вводные!$D$5*INDEX(Вводные!$G$13:$G$64,MATCH($A42,Вводные!$A$13:$A$64,0)),0))</f>
        <v>0.3</v>
      </c>
      <c r="S42" s="32" t="n">
        <f aca="false">INDEX(Вводные!$D$13:$F$64,MATCH($A42,Вводные!$A$13:$A$64,0),MATCH(S$3,Вводные!$D$11:$F$11,0))*(1+IF(S$4=$A42,Вводные!$D$5*INDEX(Вводные!$G$13:$G$64,MATCH($A42,Вводные!$A$13:$A$64,0)),0))</f>
        <v>0.3</v>
      </c>
      <c r="T42" s="32" t="n">
        <f aca="false">INDEX(Вводные!$D$13:$F$64,MATCH($A42,Вводные!$A$13:$A$64,0),MATCH(T$3,Вводные!$D$11:$F$11,0))*(1+IF(T$4=$A42,Вводные!$D$5*INDEX(Вводные!$G$13:$G$64,MATCH($A42,Вводные!$A$13:$A$64,0)),0))</f>
        <v>0.3</v>
      </c>
      <c r="U42" s="32" t="n">
        <f aca="false">INDEX(Вводные!$D$13:$F$64,MATCH($A42,Вводные!$A$13:$A$64,0),MATCH(U$3,Вводные!$D$11:$F$11,0))*(1+IF(U$4=$A42,Вводные!$D$5*INDEX(Вводные!$G$13:$G$64,MATCH($A42,Вводные!$A$13:$A$64,0)),0))</f>
        <v>0.3</v>
      </c>
      <c r="V42" s="32" t="n">
        <f aca="false">INDEX(Вводные!$D$13:$F$64,MATCH($A42,Вводные!$A$13:$A$64,0),MATCH(V$3,Вводные!$D$11:$F$11,0))*(1+IF(V$4=$A42,Вводные!$D$5*INDEX(Вводные!$G$13:$G$64,MATCH($A42,Вводные!$A$13:$A$64,0)),0))</f>
        <v>0.3</v>
      </c>
      <c r="W42" s="32" t="n">
        <f aca="false">INDEX(Вводные!$D$13:$F$64,MATCH($A42,Вводные!$A$13:$A$64,0),MATCH(W$3,Вводные!$D$11:$F$11,0))*(1+IF(W$4=$A42,Вводные!$D$5*INDEX(Вводные!$G$13:$G$64,MATCH($A42,Вводные!$A$13:$A$64,0)),0))</f>
        <v>0.3</v>
      </c>
      <c r="X42" s="32" t="n">
        <f aca="false">INDEX(Вводные!$D$13:$F$64,MATCH($A42,Вводные!$A$13:$A$64,0),MATCH(X$3,Вводные!$D$11:$F$11,0))*(1+IF(X$4=$A42,Вводные!$D$5*INDEX(Вводные!$G$13:$G$64,MATCH($A42,Вводные!$A$13:$A$64,0)),0))</f>
        <v>0.3</v>
      </c>
      <c r="Y42" s="32" t="n">
        <f aca="false">INDEX(Вводные!$D$13:$F$64,MATCH($A42,Вводные!$A$13:$A$64,0),MATCH(Y$3,Вводные!$D$11:$F$11,0))*(1+IF(Y$4=$A42,Вводные!$D$5*INDEX(Вводные!$G$13:$G$64,MATCH($A42,Вводные!$A$13:$A$64,0)),0))</f>
        <v>0.3</v>
      </c>
      <c r="Z42" s="32" t="n">
        <f aca="false">INDEX(Вводные!$D$13:$F$64,MATCH($A42,Вводные!$A$13:$A$64,0),MATCH(Z$3,Вводные!$D$11:$F$11,0))*(1+IF(Z$4=$A42,Вводные!$D$5*INDEX(Вводные!$G$13:$G$64,MATCH($A42,Вводные!$A$13:$A$64,0)),0))</f>
        <v>0.3</v>
      </c>
      <c r="AA42" s="32" t="n">
        <f aca="false">INDEX(Вводные!$D$13:$F$64,MATCH($A42,Вводные!$A$13:$A$64,0),MATCH(AA$3,Вводные!$D$11:$F$11,0))*(1+IF(AA$4=$A42,Вводные!$D$5*INDEX(Вводные!$G$13:$G$64,MATCH($A42,Вводные!$A$13:$A$64,0)),0))</f>
        <v>0.3</v>
      </c>
      <c r="AB42" s="32" t="n">
        <f aca="false">INDEX(Вводные!$D$13:$F$64,MATCH($A42,Вводные!$A$13:$A$64,0),MATCH(AB$3,Вводные!$D$11:$F$11,0))*(1+IF(AB$4=$A42,Вводные!$D$5*INDEX(Вводные!$G$13:$G$64,MATCH($A42,Вводные!$A$13:$A$64,0)),0))</f>
        <v>0.3</v>
      </c>
      <c r="AC42" s="32" t="n">
        <f aca="false">INDEX(Вводные!$D$13:$F$64,MATCH($A42,Вводные!$A$13:$A$64,0),MATCH(AC$3,Вводные!$D$11:$F$11,0))*(1+IF(AC$4=$A42,Вводные!$D$5*INDEX(Вводные!$G$13:$G$64,MATCH($A42,Вводные!$A$13:$A$64,0)),0))</f>
        <v>0.303</v>
      </c>
      <c r="AD42" s="32" t="n">
        <f aca="false">INDEX(Вводные!$D$13:$F$64,MATCH($A42,Вводные!$A$13:$A$64,0),MATCH(AD$3,Вводные!$D$11:$F$11,0))*(1+IF(AD$4=$A42,Вводные!$D$5*INDEX(Вводные!$G$13:$G$64,MATCH($A42,Вводные!$A$13:$A$64,0)),0))</f>
        <v>0.3</v>
      </c>
      <c r="AE42" s="32" t="n">
        <f aca="false">INDEX(Вводные!$D$13:$F$64,MATCH($A42,Вводные!$A$13:$A$64,0),MATCH(AE$3,Вводные!$D$11:$F$11,0))*(1+IF(AE$4=$A42,Вводные!$D$5*INDEX(Вводные!$G$13:$G$64,MATCH($A42,Вводные!$A$13:$A$64,0)),0))</f>
        <v>0.3</v>
      </c>
      <c r="AF42" s="32" t="n">
        <f aca="false">INDEX(Вводные!$D$13:$F$64,MATCH($A42,Вводные!$A$13:$A$64,0),MATCH(AF$3,Вводные!$D$11:$F$11,0))*(1+IF(AF$4=$A42,Вводные!$D$5*INDEX(Вводные!$G$13:$G$64,MATCH($A42,Вводные!$A$13:$A$64,0)),0))</f>
        <v>0.3</v>
      </c>
      <c r="AG42" s="32" t="n">
        <f aca="false">INDEX(Вводные!$D$13:$F$64,MATCH($A42,Вводные!$A$13:$A$64,0),MATCH(AG$3,Вводные!$D$11:$F$11,0))*(1+IF(AG$4=$A42,Вводные!$D$5*INDEX(Вводные!$G$13:$G$64,MATCH($A42,Вводные!$A$13:$A$64,0)),0))</f>
        <v>0.3</v>
      </c>
      <c r="AH42" s="32" t="n">
        <f aca="false">INDEX(Вводные!$D$13:$F$64,MATCH($A42,Вводные!$A$13:$A$64,0),MATCH(AH$3,Вводные!$D$11:$F$11,0))*(1+IF(AH$4=$A42,Вводные!$D$5*INDEX(Вводные!$G$13:$G$64,MATCH($A42,Вводные!$A$13:$A$64,0)),0))</f>
        <v>0.3</v>
      </c>
      <c r="AI42" s="32" t="n">
        <f aca="false">INDEX(Вводные!$D$13:$F$64,MATCH($A42,Вводные!$A$13:$A$64,0),MATCH(AI$3,Вводные!$D$11:$F$11,0))*(1+IF(AI$4=$A42,Вводные!$D$5*INDEX(Вводные!$G$13:$G$64,MATCH($A42,Вводные!$A$13:$A$64,0)),0))</f>
        <v>0.3</v>
      </c>
      <c r="AJ42" s="32" t="n">
        <f aca="false">INDEX(Вводные!$D$13:$F$64,MATCH($A42,Вводные!$A$13:$A$64,0),MATCH(AJ$3,Вводные!$D$11:$F$11,0))*(1+IF(AJ$4=$A42,Вводные!$D$5*INDEX(Вводные!$G$13:$G$64,MATCH($A42,Вводные!$A$13:$A$64,0)),0))</f>
        <v>0.3</v>
      </c>
      <c r="AK42" s="32" t="n">
        <f aca="false">INDEX(Вводные!$D$13:$F$64,MATCH($A42,Вводные!$A$13:$A$64,0),MATCH(AK$3,Вводные!$D$11:$F$11,0))*(1+IF(AK$4=$A42,Вводные!$D$5*INDEX(Вводные!$G$13:$G$64,MATCH($A42,Вводные!$A$13:$A$64,0)),0))</f>
        <v>0.3</v>
      </c>
      <c r="AL42" s="32" t="n">
        <f aca="false">INDEX(Вводные!$D$13:$F$64,MATCH($A42,Вводные!$A$13:$A$64,0),MATCH(AL$3,Вводные!$D$11:$F$11,0))*(1+IF(AL$4=$A42,Вводные!$D$5*INDEX(Вводные!$G$13:$G$64,MATCH($A42,Вводные!$A$13:$A$64,0)),0))</f>
        <v>0.3</v>
      </c>
      <c r="AM42" s="32" t="n">
        <f aca="false">INDEX(Вводные!$D$13:$F$64,MATCH($A42,Вводные!$A$13:$A$64,0),MATCH(AM$3,Вводные!$D$11:$F$11,0))*(1+IF(AM$4=$A42,Вводные!$D$5*INDEX(Вводные!$G$13:$G$64,MATCH($A42,Вводные!$A$13:$A$64,0)),0))</f>
        <v>0.3</v>
      </c>
      <c r="AN42" s="32" t="n">
        <f aca="false">INDEX(Вводные!$D$13:$F$64,MATCH($A42,Вводные!$A$13:$A$64,0),MATCH(AN$3,Вводные!$D$11:$F$11,0))*(1+IF(AN$4=$A42,Вводные!$D$5*INDEX(Вводные!$G$13:$G$64,MATCH($A42,Вводные!$A$13:$A$64,0)),0))</f>
        <v>0.3</v>
      </c>
      <c r="AO42" s="32" t="n">
        <f aca="false">INDEX(Вводные!$D$13:$F$64,MATCH($A42,Вводные!$A$13:$A$64,0),MATCH(AO$3,Вводные!$D$11:$F$11,0))*(1+IF(AO$4=$A42,Вводные!$D$5*INDEX(Вводные!$G$13:$G$64,MATCH($A42,Вводные!$A$13:$A$64,0)),0))</f>
        <v>0.3</v>
      </c>
      <c r="AP42" s="32" t="n">
        <f aca="false">INDEX(Вводные!$D$13:$F$64,MATCH($A42,Вводные!$A$13:$A$64,0),MATCH(AP$3,Вводные!$D$11:$F$11,0))*(1+IF(AP$4=$A42,Вводные!$D$5*INDEX(Вводные!$G$13:$G$64,MATCH($A42,Вводные!$A$13:$A$64,0)),0))</f>
        <v>0.3</v>
      </c>
      <c r="AQ42" s="32" t="n">
        <f aca="false">INDEX(Вводные!$D$13:$F$64,MATCH($A42,Вводные!$A$13:$A$64,0),MATCH(AQ$3,Вводные!$D$11:$F$11,0))*(1+IF(AQ$4=$A42,Вводные!$D$5*INDEX(Вводные!$G$13:$G$64,MATCH($A42,Вводные!$A$13:$A$64,0)),0))</f>
        <v>0.3</v>
      </c>
      <c r="AR42" s="32" t="n">
        <f aca="false">INDEX(Вводные!$D$13:$F$64,MATCH($A42,Вводные!$A$13:$A$64,0),MATCH(AR$3,Вводные!$D$11:$F$11,0))*(1+IF(AR$4=$A42,Вводные!$D$5*INDEX(Вводные!$G$13:$G$64,MATCH($A42,Вводные!$A$13:$A$64,0)),0))</f>
        <v>0.3</v>
      </c>
      <c r="AS42" s="32" t="n">
        <f aca="false">INDEX(Вводные!$D$13:$F$64,MATCH($A42,Вводные!$A$13:$A$64,0),MATCH(AS$3,Вводные!$D$11:$F$11,0))*(1+IF(AS$4=$A42,Вводные!$D$5*INDEX(Вводные!$G$13:$G$64,MATCH($A42,Вводные!$A$13:$A$64,0)),0))</f>
        <v>0.3</v>
      </c>
      <c r="AT42" s="32" t="n">
        <f aca="false">INDEX(Вводные!$D$13:$F$64,MATCH($A42,Вводные!$A$13:$A$64,0),MATCH(AT$3,Вводные!$D$11:$F$11,0))*(1+IF(AT$4=$A42,Вводные!$D$5*INDEX(Вводные!$G$13:$G$64,MATCH($A42,Вводные!$A$13:$A$64,0)),0))</f>
        <v>0.3</v>
      </c>
      <c r="AU42" s="32" t="n">
        <f aca="false">INDEX(Вводные!$D$13:$F$64,MATCH($A42,Вводные!$A$13:$A$64,0),MATCH(AU$3,Вводные!$D$11:$F$11,0))*(1+IF(AU$4=$A42,Вводные!$D$5*INDEX(Вводные!$G$13:$G$64,MATCH($A42,Вводные!$A$13:$A$64,0)),0))</f>
        <v>0.3</v>
      </c>
      <c r="AV42" s="32" t="n">
        <f aca="false">INDEX(Вводные!$D$13:$F$64,MATCH($A42,Вводные!$A$13:$A$64,0),MATCH(AV$3,Вводные!$D$11:$F$11,0))*(1+IF(AV$4=$A42,Вводные!$D$5*INDEX(Вводные!$G$13:$G$64,MATCH($A42,Вводные!$A$13:$A$64,0)),0))</f>
        <v>0.3</v>
      </c>
      <c r="AW42" s="32" t="n">
        <f aca="false">INDEX(Вводные!$D$13:$F$64,MATCH($A42,Вводные!$A$13:$A$64,0),MATCH(AW$3,Вводные!$D$11:$F$11,0))*(1+IF(AW$4=$A42,Вводные!$D$5*INDEX(Вводные!$G$13:$G$64,MATCH($A42,Вводные!$A$13:$A$64,0)),0))</f>
        <v>0.3</v>
      </c>
      <c r="AX42" s="32" t="n">
        <f aca="false">INDEX(Вводные!$D$13:$F$64,MATCH($A42,Вводные!$A$13:$A$64,0),MATCH(AX$3,Вводные!$D$11:$F$11,0))*(1+IF(AX$4=$A42,Вводные!$D$5*INDEX(Вводные!$G$13:$G$64,MATCH($A42,Вводные!$A$13:$A$64,0)),0))</f>
        <v>0.3</v>
      </c>
      <c r="AY42" s="32" t="n">
        <f aca="false">INDEX(Вводные!$D$13:$F$64,MATCH($A42,Вводные!$A$13:$A$64,0),MATCH(AY$3,Вводные!$D$11:$F$11,0))*(1+IF(AY$4=$A42,Вводные!$D$5*INDEX(Вводные!$G$13:$G$64,MATCH($A42,Вводные!$A$13:$A$64,0)),0))</f>
        <v>0.3</v>
      </c>
      <c r="AZ42" s="32" t="n">
        <f aca="false">INDEX(Вводные!$D$13:$F$64,MATCH($A42,Вводные!$A$13:$A$64,0),MATCH(AZ$3,Вводные!$D$11:$F$11,0))*(1+IF(AZ$4=$A42,Вводные!$D$5*INDEX(Вводные!$G$13:$G$64,MATCH($A42,Вводные!$A$13:$A$64,0)),0))</f>
        <v>0.5</v>
      </c>
      <c r="BA42" s="32" t="n">
        <f aca="false">INDEX(Вводные!$D$13:$F$64,MATCH($A42,Вводные!$A$13:$A$64,0),MATCH(BA$3,Вводные!$D$11:$F$11,0))*(1+IF(BA$4=$A42,Вводные!$D$5*INDEX(Вводные!$G$13:$G$64,MATCH($A42,Вводные!$A$13:$A$64,0)),0))</f>
        <v>0.5</v>
      </c>
      <c r="BB42" s="32" t="n">
        <f aca="false">INDEX(Вводные!$D$13:$F$64,MATCH($A42,Вводные!$A$13:$A$64,0),MATCH(BB$3,Вводные!$D$11:$F$11,0))*(1+IF(BB$4=$A42,Вводные!$D$5*INDEX(Вводные!$G$13:$G$64,MATCH($A42,Вводные!$A$13:$A$64,0)),0))</f>
        <v>0.5</v>
      </c>
      <c r="BC42" s="32" t="n">
        <f aca="false">INDEX(Вводные!$D$13:$F$64,MATCH($A42,Вводные!$A$13:$A$64,0),MATCH(BC$3,Вводные!$D$11:$F$11,0))*(1+IF(BC$4=$A42,Вводные!$D$5*INDEX(Вводные!$G$13:$G$64,MATCH($A42,Вводные!$A$13:$A$64,0)),0))</f>
        <v>0.5</v>
      </c>
      <c r="BD42" s="32" t="n">
        <f aca="false">INDEX(Вводные!$D$13:$F$64,MATCH($A42,Вводные!$A$13:$A$64,0),MATCH(BD$3,Вводные!$D$11:$F$11,0))*(1+IF(BD$4=$A42,Вводные!$D$5*INDEX(Вводные!$G$13:$G$64,MATCH($A42,Вводные!$A$13:$A$64,0)),0))</f>
        <v>0.5</v>
      </c>
      <c r="BE42" s="32" t="n">
        <f aca="false">INDEX(Вводные!$D$13:$F$64,MATCH($A42,Вводные!$A$13:$A$64,0),MATCH(BE$3,Вводные!$D$11:$F$11,0))*(1+IF(BE$4=$A42,Вводные!$D$5*INDEX(Вводные!$G$13:$G$64,MATCH($A42,Вводные!$A$13:$A$64,0)),0))</f>
        <v>0.5</v>
      </c>
      <c r="BF42" s="32" t="n">
        <f aca="false">INDEX(Вводные!$D$13:$F$64,MATCH($A42,Вводные!$A$13:$A$64,0),MATCH(BF$3,Вводные!$D$11:$F$11,0))*(1+IF(BF$4=$A42,Вводные!$D$5*INDEX(Вводные!$G$13:$G$64,MATCH($A42,Вводные!$A$13:$A$64,0)),0))</f>
        <v>0.5</v>
      </c>
      <c r="BG42" s="32" t="n">
        <f aca="false">INDEX(Вводные!$D$13:$F$64,MATCH($A42,Вводные!$A$13:$A$64,0),MATCH(BG$3,Вводные!$D$11:$F$11,0))*(1+IF(BG$4=$A42,Вводные!$D$5*INDEX(Вводные!$G$13:$G$64,MATCH($A42,Вводные!$A$13:$A$64,0)),0))</f>
        <v>0.5</v>
      </c>
      <c r="BH42" s="32" t="n">
        <f aca="false">INDEX(Вводные!$D$13:$F$64,MATCH($A42,Вводные!$A$13:$A$64,0),MATCH(BH$3,Вводные!$D$11:$F$11,0))*(1+IF(BH$4=$A42,Вводные!$D$5*INDEX(Вводные!$G$13:$G$64,MATCH($A42,Вводные!$A$13:$A$64,0)),0))</f>
        <v>0.5</v>
      </c>
      <c r="BI42" s="32" t="n">
        <f aca="false">INDEX(Вводные!$D$13:$F$64,MATCH($A42,Вводные!$A$13:$A$64,0),MATCH(BI$3,Вводные!$D$11:$F$11,0))*(1+IF(BI$4=$A42,Вводные!$D$5*INDEX(Вводные!$G$13:$G$64,MATCH($A42,Вводные!$A$13:$A$64,0)),0))</f>
        <v>0.5</v>
      </c>
      <c r="BJ42" s="32" t="n">
        <f aca="false">INDEX(Вводные!$D$13:$F$64,MATCH($A42,Вводные!$A$13:$A$64,0),MATCH(BJ$3,Вводные!$D$11:$F$11,0))*(1+IF(BJ$4=$A42,Вводные!$D$5*INDEX(Вводные!$G$13:$G$64,MATCH($A42,Вводные!$A$13:$A$64,0)),0))</f>
        <v>0.5</v>
      </c>
      <c r="BK42" s="32" t="n">
        <f aca="false">INDEX(Вводные!$D$13:$F$64,MATCH($A42,Вводные!$A$13:$A$64,0),MATCH(BK$3,Вводные!$D$11:$F$11,0))*(1+IF(BK$4=$A42,Вводные!$D$5*INDEX(Вводные!$G$13:$G$64,MATCH($A42,Вводные!$A$13:$A$64,0)),0))</f>
        <v>0.5</v>
      </c>
      <c r="BL42" s="32" t="n">
        <f aca="false">INDEX(Вводные!$D$13:$F$64,MATCH($A42,Вводные!$A$13:$A$64,0),MATCH(BL$3,Вводные!$D$11:$F$11,0))*(1+IF(BL$4=$A42,Вводные!$D$5*INDEX(Вводные!$G$13:$G$64,MATCH($A42,Вводные!$A$13:$A$64,0)),0))</f>
        <v>0.5</v>
      </c>
      <c r="BM42" s="32" t="n">
        <f aca="false">INDEX(Вводные!$D$13:$F$64,MATCH($A42,Вводные!$A$13:$A$64,0),MATCH(BM$3,Вводные!$D$11:$F$11,0))*(1+IF(BM$4=$A42,Вводные!$D$5*INDEX(Вводные!$G$13:$G$64,MATCH($A42,Вводные!$A$13:$A$64,0)),0))</f>
        <v>0.5</v>
      </c>
      <c r="BN42" s="32" t="n">
        <f aca="false">INDEX(Вводные!$D$13:$F$64,MATCH($A42,Вводные!$A$13:$A$64,0),MATCH(BN$3,Вводные!$D$11:$F$11,0))*(1+IF(BN$4=$A42,Вводные!$D$5*INDEX(Вводные!$G$13:$G$64,MATCH($A42,Вводные!$A$13:$A$64,0)),0))</f>
        <v>0.5</v>
      </c>
      <c r="BO42" s="32" t="n">
        <f aca="false">INDEX(Вводные!$D$13:$F$64,MATCH($A42,Вводные!$A$13:$A$64,0),MATCH(BO$3,Вводные!$D$11:$F$11,0))*(1+IF(BO$4=$A42,Вводные!$D$5*INDEX(Вводные!$G$13:$G$64,MATCH($A42,Вводные!$A$13:$A$64,0)),0))</f>
        <v>0.5</v>
      </c>
      <c r="BP42" s="32" t="n">
        <f aca="false">INDEX(Вводные!$D$13:$F$64,MATCH($A42,Вводные!$A$13:$A$64,0),MATCH(BP$3,Вводные!$D$11:$F$11,0))*(1+IF(BP$4=$A42,Вводные!$D$5*INDEX(Вводные!$G$13:$G$64,MATCH($A42,Вводные!$A$13:$A$64,0)),0))</f>
        <v>0.5</v>
      </c>
      <c r="BQ42" s="32" t="n">
        <f aca="false">INDEX(Вводные!$D$13:$F$64,MATCH($A42,Вводные!$A$13:$A$64,0),MATCH(BQ$3,Вводные!$D$11:$F$11,0))*(1+IF(BQ$4=$A42,Вводные!$D$5*INDEX(Вводные!$G$13:$G$64,MATCH($A42,Вводные!$A$13:$A$64,0)),0))</f>
        <v>0.5</v>
      </c>
      <c r="BR42" s="32" t="n">
        <f aca="false">INDEX(Вводные!$D$13:$F$64,MATCH($A42,Вводные!$A$13:$A$64,0),MATCH(BR$3,Вводные!$D$11:$F$11,0))*(1+IF(BR$4=$A42,Вводные!$D$5*INDEX(Вводные!$G$13:$G$64,MATCH($A42,Вводные!$A$13:$A$64,0)),0))</f>
        <v>0.5</v>
      </c>
      <c r="BS42" s="32" t="n">
        <f aca="false">INDEX(Вводные!$D$13:$F$64,MATCH($A42,Вводные!$A$13:$A$64,0),MATCH(BS$3,Вводные!$D$11:$F$11,0))*(1+IF(BS$4=$A42,Вводные!$D$5*INDEX(Вводные!$G$13:$G$64,MATCH($A42,Вводные!$A$13:$A$64,0)),0))</f>
        <v>0.505</v>
      </c>
      <c r="BT42" s="32" t="n">
        <f aca="false">INDEX(Вводные!$D$13:$F$64,MATCH($A42,Вводные!$A$13:$A$64,0),MATCH(BT$3,Вводные!$D$11:$F$11,0))*(1+IF(BT$4=$A42,Вводные!$D$5*INDEX(Вводные!$G$13:$G$64,MATCH($A42,Вводные!$A$13:$A$64,0)),0))</f>
        <v>0.5</v>
      </c>
      <c r="BU42" s="32" t="n">
        <f aca="false">INDEX(Вводные!$D$13:$F$64,MATCH($A42,Вводные!$A$13:$A$64,0),MATCH(BU$3,Вводные!$D$11:$F$11,0))*(1+IF(BU$4=$A42,Вводные!$D$5*INDEX(Вводные!$G$13:$G$64,MATCH($A42,Вводные!$A$13:$A$64,0)),0))</f>
        <v>0.5</v>
      </c>
      <c r="BV42" s="32" t="n">
        <f aca="false">INDEX(Вводные!$D$13:$F$64,MATCH($A42,Вводные!$A$13:$A$64,0),MATCH(BV$3,Вводные!$D$11:$F$11,0))*(1+IF(BV$4=$A42,Вводные!$D$5*INDEX(Вводные!$G$13:$G$64,MATCH($A42,Вводные!$A$13:$A$64,0)),0))</f>
        <v>0.5</v>
      </c>
      <c r="BW42" s="32" t="n">
        <f aca="false">INDEX(Вводные!$D$13:$F$64,MATCH($A42,Вводные!$A$13:$A$64,0),MATCH(BW$3,Вводные!$D$11:$F$11,0))*(1+IF(BW$4=$A42,Вводные!$D$5*INDEX(Вводные!$G$13:$G$64,MATCH($A42,Вводные!$A$13:$A$64,0)),0))</f>
        <v>0.5</v>
      </c>
      <c r="BX42" s="32" t="n">
        <f aca="false">INDEX(Вводные!$D$13:$F$64,MATCH($A42,Вводные!$A$13:$A$64,0),MATCH(BX$3,Вводные!$D$11:$F$11,0))*(1+IF(BX$4=$A42,Вводные!$D$5*INDEX(Вводные!$G$13:$G$64,MATCH($A42,Вводные!$A$13:$A$64,0)),0))</f>
        <v>0.5</v>
      </c>
      <c r="BY42" s="32" t="n">
        <f aca="false">INDEX(Вводные!$D$13:$F$64,MATCH($A42,Вводные!$A$13:$A$64,0),MATCH(BY$3,Вводные!$D$11:$F$11,0))*(1+IF(BY$4=$A42,Вводные!$D$5*INDEX(Вводные!$G$13:$G$64,MATCH($A42,Вводные!$A$13:$A$64,0)),0))</f>
        <v>0.5</v>
      </c>
      <c r="BZ42" s="32" t="n">
        <f aca="false">INDEX(Вводные!$D$13:$F$64,MATCH($A42,Вводные!$A$13:$A$64,0),MATCH(BZ$3,Вводные!$D$11:$F$11,0))*(1+IF(BZ$4=$A42,Вводные!$D$5*INDEX(Вводные!$G$13:$G$64,MATCH($A42,Вводные!$A$13:$A$64,0)),0))</f>
        <v>0.5</v>
      </c>
      <c r="CA42" s="32" t="n">
        <f aca="false">INDEX(Вводные!$D$13:$F$64,MATCH($A42,Вводные!$A$13:$A$64,0),MATCH(CA$3,Вводные!$D$11:$F$11,0))*(1+IF(CA$4=$A42,Вводные!$D$5*INDEX(Вводные!$G$13:$G$64,MATCH($A42,Вводные!$A$13:$A$64,0)),0))</f>
        <v>0.5</v>
      </c>
      <c r="CB42" s="32" t="n">
        <f aca="false">INDEX(Вводные!$D$13:$F$64,MATCH($A42,Вводные!$A$13:$A$64,0),MATCH(CB$3,Вводные!$D$11:$F$11,0))*(1+IF(CB$4=$A42,Вводные!$D$5*INDEX(Вводные!$G$13:$G$64,MATCH($A42,Вводные!$A$13:$A$64,0)),0))</f>
        <v>0.5</v>
      </c>
      <c r="CC42" s="32" t="n">
        <f aca="false">INDEX(Вводные!$D$13:$F$64,MATCH($A42,Вводные!$A$13:$A$64,0),MATCH(CC$3,Вводные!$D$11:$F$11,0))*(1+IF(CC$4=$A42,Вводные!$D$5*INDEX(Вводные!$G$13:$G$64,MATCH($A42,Вводные!$A$13:$A$64,0)),0))</f>
        <v>0.5</v>
      </c>
      <c r="CD42" s="32" t="n">
        <f aca="false">INDEX(Вводные!$D$13:$F$64,MATCH($A42,Вводные!$A$13:$A$64,0),MATCH(CD$3,Вводные!$D$11:$F$11,0))*(1+IF(CD$4=$A42,Вводные!$D$5*INDEX(Вводные!$G$13:$G$64,MATCH($A42,Вводные!$A$13:$A$64,0)),0))</f>
        <v>0.5</v>
      </c>
      <c r="CE42" s="32" t="n">
        <f aca="false">INDEX(Вводные!$D$13:$F$64,MATCH($A42,Вводные!$A$13:$A$64,0),MATCH(CE$3,Вводные!$D$11:$F$11,0))*(1+IF(CE$4=$A42,Вводные!$D$5*INDEX(Вводные!$G$13:$G$64,MATCH($A42,Вводные!$A$13:$A$64,0)),0))</f>
        <v>0.5</v>
      </c>
      <c r="CF42" s="32" t="n">
        <f aca="false">INDEX(Вводные!$D$13:$F$64,MATCH($A42,Вводные!$A$13:$A$64,0),MATCH(CF$3,Вводные!$D$11:$F$11,0))*(1+IF(CF$4=$A42,Вводные!$D$5*INDEX(Вводные!$G$13:$G$64,MATCH($A42,Вводные!$A$13:$A$64,0)),0))</f>
        <v>0.5</v>
      </c>
      <c r="CG42" s="32" t="n">
        <f aca="false">INDEX(Вводные!$D$13:$F$64,MATCH($A42,Вводные!$A$13:$A$64,0),MATCH(CG$3,Вводные!$D$11:$F$11,0))*(1+IF(CG$4=$A42,Вводные!$D$5*INDEX(Вводные!$G$13:$G$64,MATCH($A42,Вводные!$A$13:$A$64,0)),0))</f>
        <v>0.5</v>
      </c>
      <c r="CH42" s="32" t="n">
        <f aca="false">INDEX(Вводные!$D$13:$F$64,MATCH($A42,Вводные!$A$13:$A$64,0),MATCH(CH$3,Вводные!$D$11:$F$11,0))*(1+IF(CH$4=$A42,Вводные!$D$5*INDEX(Вводные!$G$13:$G$64,MATCH($A42,Вводные!$A$13:$A$64,0)),0))</f>
        <v>0.5</v>
      </c>
      <c r="CI42" s="32" t="n">
        <f aca="false">INDEX(Вводные!$D$13:$F$64,MATCH($A42,Вводные!$A$13:$A$64,0),MATCH(CI$3,Вводные!$D$11:$F$11,0))*(1+IF(CI$4=$A42,Вводные!$D$5*INDEX(Вводные!$G$13:$G$64,MATCH($A42,Вводные!$A$13:$A$64,0)),0))</f>
        <v>0.5</v>
      </c>
      <c r="CJ42" s="32" t="n">
        <f aca="false">INDEX(Вводные!$D$13:$F$64,MATCH($A42,Вводные!$A$13:$A$64,0),MATCH(CJ$3,Вводные!$D$11:$F$11,0))*(1+IF(CJ$4=$A42,Вводные!$D$5*INDEX(Вводные!$G$13:$G$64,MATCH($A42,Вводные!$A$13:$A$64,0)),0))</f>
        <v>0.5</v>
      </c>
      <c r="CK42" s="32" t="n">
        <f aca="false">INDEX(Вводные!$D$13:$F$64,MATCH($A42,Вводные!$A$13:$A$64,0),MATCH(CK$3,Вводные!$D$11:$F$11,0))*(1+IF(CK$4=$A42,Вводные!$D$5*INDEX(Вводные!$G$13:$G$64,MATCH($A42,Вводные!$A$13:$A$64,0)),0))</f>
        <v>0.5</v>
      </c>
      <c r="CL42" s="32" t="n">
        <f aca="false">INDEX(Вводные!$D$13:$F$64,MATCH($A42,Вводные!$A$13:$A$64,0),MATCH(CL$3,Вводные!$D$11:$F$11,0))*(1+IF(CL$4=$A42,Вводные!$D$5*INDEX(Вводные!$G$13:$G$64,MATCH($A42,Вводные!$A$13:$A$64,0)),0))</f>
        <v>0.5</v>
      </c>
      <c r="CM42" s="32" t="n">
        <f aca="false">INDEX(Вводные!$D$13:$F$64,MATCH($A42,Вводные!$A$13:$A$64,0),MATCH(CM$3,Вводные!$D$11:$F$11,0))*(1+IF(CM$4=$A42,Вводные!$D$5*INDEX(Вводные!$G$13:$G$64,MATCH($A42,Вводные!$A$13:$A$64,0)),0))</f>
        <v>0.5</v>
      </c>
      <c r="CN42" s="32" t="n">
        <f aca="false">INDEX(Вводные!$D$13:$F$64,MATCH($A42,Вводные!$A$13:$A$64,0),MATCH(CN$3,Вводные!$D$11:$F$11,0))*(1+IF(CN$4=$A42,Вводные!$D$5*INDEX(Вводные!$G$13:$G$64,MATCH($A42,Вводные!$A$13:$A$64,0)),0))</f>
        <v>0.5</v>
      </c>
      <c r="CO42" s="32" t="n">
        <f aca="false">INDEX(Вводные!$D$13:$F$64,MATCH($A42,Вводные!$A$13:$A$64,0),MATCH(CO$3,Вводные!$D$11:$F$11,0))*(1+IF(CO$4=$A42,Вводные!$D$5*INDEX(Вводные!$G$13:$G$64,MATCH($A42,Вводные!$A$13:$A$64,0)),0))</f>
        <v>0.5</v>
      </c>
      <c r="CP42" s="32" t="n">
        <f aca="false">INDEX(Вводные!$D$13:$F$64,MATCH($A42,Вводные!$A$13:$A$64,0),MATCH(CP$3,Вводные!$D$11:$F$11,0))*(1+IF(CP$4=$A42,Вводные!$D$5*INDEX(Вводные!$G$13:$G$64,MATCH($A42,Вводные!$A$13:$A$64,0)),0))</f>
        <v>0.4</v>
      </c>
      <c r="CQ42" s="32" t="n">
        <f aca="false">INDEX(Вводные!$D$13:$F$64,MATCH($A42,Вводные!$A$13:$A$64,0),MATCH(CQ$3,Вводные!$D$11:$F$11,0))*(1+IF(CQ$4=$A42,Вводные!$D$5*INDEX(Вводные!$G$13:$G$64,MATCH($A42,Вводные!$A$13:$A$64,0)),0))</f>
        <v>0.4</v>
      </c>
      <c r="CR42" s="32" t="n">
        <f aca="false">INDEX(Вводные!$D$13:$F$64,MATCH($A42,Вводные!$A$13:$A$64,0),MATCH(CR$3,Вводные!$D$11:$F$11,0))*(1+IF(CR$4=$A42,Вводные!$D$5*INDEX(Вводные!$G$13:$G$64,MATCH($A42,Вводные!$A$13:$A$64,0)),0))</f>
        <v>0.4</v>
      </c>
      <c r="CS42" s="32" t="n">
        <f aca="false">INDEX(Вводные!$D$13:$F$64,MATCH($A42,Вводные!$A$13:$A$64,0),MATCH(CS$3,Вводные!$D$11:$F$11,0))*(1+IF(CS$4=$A42,Вводные!$D$5*INDEX(Вводные!$G$13:$G$64,MATCH($A42,Вводные!$A$13:$A$64,0)),0))</f>
        <v>0.4</v>
      </c>
      <c r="CT42" s="32" t="n">
        <f aca="false">INDEX(Вводные!$D$13:$F$64,MATCH($A42,Вводные!$A$13:$A$64,0),MATCH(CT$3,Вводные!$D$11:$F$11,0))*(1+IF(CT$4=$A42,Вводные!$D$5*INDEX(Вводные!$G$13:$G$64,MATCH($A42,Вводные!$A$13:$A$64,0)),0))</f>
        <v>0.4</v>
      </c>
      <c r="CU42" s="32" t="n">
        <f aca="false">INDEX(Вводные!$D$13:$F$64,MATCH($A42,Вводные!$A$13:$A$64,0),MATCH(CU$3,Вводные!$D$11:$F$11,0))*(1+IF(CU$4=$A42,Вводные!$D$5*INDEX(Вводные!$G$13:$G$64,MATCH($A42,Вводные!$A$13:$A$64,0)),0))</f>
        <v>0.4</v>
      </c>
      <c r="CV42" s="32" t="n">
        <f aca="false">INDEX(Вводные!$D$13:$F$64,MATCH($A42,Вводные!$A$13:$A$64,0),MATCH(CV$3,Вводные!$D$11:$F$11,0))*(1+IF(CV$4=$A42,Вводные!$D$5*INDEX(Вводные!$G$13:$G$64,MATCH($A42,Вводные!$A$13:$A$64,0)),0))</f>
        <v>0.4</v>
      </c>
      <c r="CW42" s="32" t="n">
        <f aca="false">INDEX(Вводные!$D$13:$F$64,MATCH($A42,Вводные!$A$13:$A$64,0),MATCH(CW$3,Вводные!$D$11:$F$11,0))*(1+IF(CW$4=$A42,Вводные!$D$5*INDEX(Вводные!$G$13:$G$64,MATCH($A42,Вводные!$A$13:$A$64,0)),0))</f>
        <v>0.4</v>
      </c>
      <c r="CX42" s="32" t="n">
        <f aca="false">INDEX(Вводные!$D$13:$F$64,MATCH($A42,Вводные!$A$13:$A$64,0),MATCH(CX$3,Вводные!$D$11:$F$11,0))*(1+IF(CX$4=$A42,Вводные!$D$5*INDEX(Вводные!$G$13:$G$64,MATCH($A42,Вводные!$A$13:$A$64,0)),0))</f>
        <v>0.4</v>
      </c>
      <c r="CY42" s="32" t="n">
        <f aca="false">INDEX(Вводные!$D$13:$F$64,MATCH($A42,Вводные!$A$13:$A$64,0),MATCH(CY$3,Вводные!$D$11:$F$11,0))*(1+IF(CY$4=$A42,Вводные!$D$5*INDEX(Вводные!$G$13:$G$64,MATCH($A42,Вводные!$A$13:$A$64,0)),0))</f>
        <v>0.4</v>
      </c>
      <c r="CZ42" s="32" t="n">
        <f aca="false">INDEX(Вводные!$D$13:$F$64,MATCH($A42,Вводные!$A$13:$A$64,0),MATCH(CZ$3,Вводные!$D$11:$F$11,0))*(1+IF(CZ$4=$A42,Вводные!$D$5*INDEX(Вводные!$G$13:$G$64,MATCH($A42,Вводные!$A$13:$A$64,0)),0))</f>
        <v>0.4</v>
      </c>
      <c r="DA42" s="32" t="n">
        <f aca="false">INDEX(Вводные!$D$13:$F$64,MATCH($A42,Вводные!$A$13:$A$64,0),MATCH(DA$3,Вводные!$D$11:$F$11,0))*(1+IF(DA$4=$A42,Вводные!$D$5*INDEX(Вводные!$G$13:$G$64,MATCH($A42,Вводные!$A$13:$A$64,0)),0))</f>
        <v>0.4</v>
      </c>
      <c r="DB42" s="32" t="n">
        <f aca="false">INDEX(Вводные!$D$13:$F$64,MATCH($A42,Вводные!$A$13:$A$64,0),MATCH(DB$3,Вводные!$D$11:$F$11,0))*(1+IF(DB$4=$A42,Вводные!$D$5*INDEX(Вводные!$G$13:$G$64,MATCH($A42,Вводные!$A$13:$A$64,0)),0))</f>
        <v>0.4</v>
      </c>
      <c r="DC42" s="32" t="n">
        <f aca="false">INDEX(Вводные!$D$13:$F$64,MATCH($A42,Вводные!$A$13:$A$64,0),MATCH(DC$3,Вводные!$D$11:$F$11,0))*(1+IF(DC$4=$A42,Вводные!$D$5*INDEX(Вводные!$G$13:$G$64,MATCH($A42,Вводные!$A$13:$A$64,0)),0))</f>
        <v>0.4</v>
      </c>
      <c r="DD42" s="32" t="n">
        <f aca="false">INDEX(Вводные!$D$13:$F$64,MATCH($A42,Вводные!$A$13:$A$64,0),MATCH(DD$3,Вводные!$D$11:$F$11,0))*(1+IF(DD$4=$A42,Вводные!$D$5*INDEX(Вводные!$G$13:$G$64,MATCH($A42,Вводные!$A$13:$A$64,0)),0))</f>
        <v>0.4</v>
      </c>
      <c r="DE42" s="32" t="n">
        <f aca="false">INDEX(Вводные!$D$13:$F$64,MATCH($A42,Вводные!$A$13:$A$64,0),MATCH(DE$3,Вводные!$D$11:$F$11,0))*(1+IF(DE$4=$A42,Вводные!$D$5*INDEX(Вводные!$G$13:$G$64,MATCH($A42,Вводные!$A$13:$A$64,0)),0))</f>
        <v>0.4</v>
      </c>
      <c r="DF42" s="32" t="n">
        <f aca="false">INDEX(Вводные!$D$13:$F$64,MATCH($A42,Вводные!$A$13:$A$64,0),MATCH(DF$3,Вводные!$D$11:$F$11,0))*(1+IF(DF$4=$A42,Вводные!$D$5*INDEX(Вводные!$G$13:$G$64,MATCH($A42,Вводные!$A$13:$A$64,0)),0))</f>
        <v>0.4</v>
      </c>
      <c r="DG42" s="32" t="n">
        <f aca="false">INDEX(Вводные!$D$13:$F$64,MATCH($A42,Вводные!$A$13:$A$64,0),MATCH(DG$3,Вводные!$D$11:$F$11,0))*(1+IF(DG$4=$A42,Вводные!$D$5*INDEX(Вводные!$G$13:$G$64,MATCH($A42,Вводные!$A$13:$A$64,0)),0))</f>
        <v>0.4</v>
      </c>
      <c r="DH42" s="32" t="n">
        <f aca="false">INDEX(Вводные!$D$13:$F$64,MATCH($A42,Вводные!$A$13:$A$64,0),MATCH(DH$3,Вводные!$D$11:$F$11,0))*(1+IF(DH$4=$A42,Вводные!$D$5*INDEX(Вводные!$G$13:$G$64,MATCH($A42,Вводные!$A$13:$A$64,0)),0))</f>
        <v>0.4</v>
      </c>
      <c r="DI42" s="32" t="n">
        <f aca="false">INDEX(Вводные!$D$13:$F$64,MATCH($A42,Вводные!$A$13:$A$64,0),MATCH(DI$3,Вводные!$D$11:$F$11,0))*(1+IF(DI$4=$A42,Вводные!$D$5*INDEX(Вводные!$G$13:$G$64,MATCH($A42,Вводные!$A$13:$A$64,0)),0))</f>
        <v>0.404</v>
      </c>
      <c r="DJ42" s="32" t="n">
        <f aca="false">INDEX(Вводные!$D$13:$F$64,MATCH($A42,Вводные!$A$13:$A$64,0),MATCH(DJ$3,Вводные!$D$11:$F$11,0))*(1+IF(DJ$4=$A42,Вводные!$D$5*INDEX(Вводные!$G$13:$G$64,MATCH($A42,Вводные!$A$13:$A$64,0)),0))</f>
        <v>0.4</v>
      </c>
      <c r="DK42" s="32" t="n">
        <f aca="false">INDEX(Вводные!$D$13:$F$64,MATCH($A42,Вводные!$A$13:$A$64,0),MATCH(DK$3,Вводные!$D$11:$F$11,0))*(1+IF(DK$4=$A42,Вводные!$D$5*INDEX(Вводные!$G$13:$G$64,MATCH($A42,Вводные!$A$13:$A$64,0)),0))</f>
        <v>0.4</v>
      </c>
      <c r="DL42" s="32" t="n">
        <f aca="false">INDEX(Вводные!$D$13:$F$64,MATCH($A42,Вводные!$A$13:$A$64,0),MATCH(DL$3,Вводные!$D$11:$F$11,0))*(1+IF(DL$4=$A42,Вводные!$D$5*INDEX(Вводные!$G$13:$G$64,MATCH($A42,Вводные!$A$13:$A$64,0)),0))</f>
        <v>0.4</v>
      </c>
      <c r="DM42" s="32" t="n">
        <f aca="false">INDEX(Вводные!$D$13:$F$64,MATCH($A42,Вводные!$A$13:$A$64,0),MATCH(DM$3,Вводные!$D$11:$F$11,0))*(1+IF(DM$4=$A42,Вводные!$D$5*INDEX(Вводные!$G$13:$G$64,MATCH($A42,Вводные!$A$13:$A$64,0)),0))</f>
        <v>0.4</v>
      </c>
      <c r="DN42" s="32" t="n">
        <f aca="false">INDEX(Вводные!$D$13:$F$64,MATCH($A42,Вводные!$A$13:$A$64,0),MATCH(DN$3,Вводные!$D$11:$F$11,0))*(1+IF(DN$4=$A42,Вводные!$D$5*INDEX(Вводные!$G$13:$G$64,MATCH($A42,Вводные!$A$13:$A$64,0)),0))</f>
        <v>0.4</v>
      </c>
      <c r="DO42" s="32" t="n">
        <f aca="false">INDEX(Вводные!$D$13:$F$64,MATCH($A42,Вводные!$A$13:$A$64,0),MATCH(DO$3,Вводные!$D$11:$F$11,0))*(1+IF(DO$4=$A42,Вводные!$D$5*INDEX(Вводные!$G$13:$G$64,MATCH($A42,Вводные!$A$13:$A$64,0)),0))</f>
        <v>0.4</v>
      </c>
      <c r="DP42" s="32" t="n">
        <f aca="false">INDEX(Вводные!$D$13:$F$64,MATCH($A42,Вводные!$A$13:$A$64,0),MATCH(DP$3,Вводные!$D$11:$F$11,0))*(1+IF(DP$4=$A42,Вводные!$D$5*INDEX(Вводные!$G$13:$G$64,MATCH($A42,Вводные!$A$13:$A$64,0)),0))</f>
        <v>0.4</v>
      </c>
      <c r="DQ42" s="32" t="n">
        <f aca="false">INDEX(Вводные!$D$13:$F$64,MATCH($A42,Вводные!$A$13:$A$64,0),MATCH(DQ$3,Вводные!$D$11:$F$11,0))*(1+IF(DQ$4=$A42,Вводные!$D$5*INDEX(Вводные!$G$13:$G$64,MATCH($A42,Вводные!$A$13:$A$64,0)),0))</f>
        <v>0.4</v>
      </c>
      <c r="DR42" s="32" t="n">
        <f aca="false">INDEX(Вводные!$D$13:$F$64,MATCH($A42,Вводные!$A$13:$A$64,0),MATCH(DR$3,Вводные!$D$11:$F$11,0))*(1+IF(DR$4=$A42,Вводные!$D$5*INDEX(Вводные!$G$13:$G$64,MATCH($A42,Вводные!$A$13:$A$64,0)),0))</f>
        <v>0.4</v>
      </c>
      <c r="DS42" s="32" t="n">
        <f aca="false">INDEX(Вводные!$D$13:$F$64,MATCH($A42,Вводные!$A$13:$A$64,0),MATCH(DS$3,Вводные!$D$11:$F$11,0))*(1+IF(DS$4=$A42,Вводные!$D$5*INDEX(Вводные!$G$13:$G$64,MATCH($A42,Вводные!$A$13:$A$64,0)),0))</f>
        <v>0.4</v>
      </c>
      <c r="DT42" s="32" t="n">
        <f aca="false">INDEX(Вводные!$D$13:$F$64,MATCH($A42,Вводные!$A$13:$A$64,0),MATCH(DT$3,Вводные!$D$11:$F$11,0))*(1+IF(DT$4=$A42,Вводные!$D$5*INDEX(Вводные!$G$13:$G$64,MATCH($A42,Вводные!$A$13:$A$64,0)),0))</f>
        <v>0.4</v>
      </c>
      <c r="DU42" s="32" t="n">
        <f aca="false">INDEX(Вводные!$D$13:$F$64,MATCH($A42,Вводные!$A$13:$A$64,0),MATCH(DU$3,Вводные!$D$11:$F$11,0))*(1+IF(DU$4=$A42,Вводные!$D$5*INDEX(Вводные!$G$13:$G$64,MATCH($A42,Вводные!$A$13:$A$64,0)),0))</f>
        <v>0.4</v>
      </c>
      <c r="DV42" s="32" t="n">
        <f aca="false">INDEX(Вводные!$D$13:$F$64,MATCH($A42,Вводные!$A$13:$A$64,0),MATCH(DV$3,Вводные!$D$11:$F$11,0))*(1+IF(DV$4=$A42,Вводные!$D$5*INDEX(Вводные!$G$13:$G$64,MATCH($A42,Вводные!$A$13:$A$64,0)),0))</f>
        <v>0.4</v>
      </c>
      <c r="DW42" s="32" t="n">
        <f aca="false">INDEX(Вводные!$D$13:$F$64,MATCH($A42,Вводные!$A$13:$A$64,0),MATCH(DW$3,Вводные!$D$11:$F$11,0))*(1+IF(DW$4=$A42,Вводные!$D$5*INDEX(Вводные!$G$13:$G$64,MATCH($A42,Вводные!$A$13:$A$64,0)),0))</f>
        <v>0.4</v>
      </c>
      <c r="DX42" s="32" t="n">
        <f aca="false">INDEX(Вводные!$D$13:$F$64,MATCH($A42,Вводные!$A$13:$A$64,0),MATCH(DX$3,Вводные!$D$11:$F$11,0))*(1+IF(DX$4=$A42,Вводные!$D$5*INDEX(Вводные!$G$13:$G$64,MATCH($A42,Вводные!$A$13:$A$64,0)),0))</f>
        <v>0.4</v>
      </c>
      <c r="DY42" s="32" t="n">
        <f aca="false">INDEX(Вводные!$D$13:$F$64,MATCH($A42,Вводные!$A$13:$A$64,0),MATCH(DY$3,Вводные!$D$11:$F$11,0))*(1+IF(DY$4=$A42,Вводные!$D$5*INDEX(Вводные!$G$13:$G$64,MATCH($A42,Вводные!$A$13:$A$64,0)),0))</f>
        <v>0.4</v>
      </c>
      <c r="DZ42" s="32" t="n">
        <f aca="false">INDEX(Вводные!$D$13:$F$64,MATCH($A42,Вводные!$A$13:$A$64,0),MATCH(DZ$3,Вводные!$D$11:$F$11,0))*(1+IF(DZ$4=$A42,Вводные!$D$5*INDEX(Вводные!$G$13:$G$64,MATCH($A42,Вводные!$A$13:$A$64,0)),0))</f>
        <v>0.4</v>
      </c>
      <c r="EA42" s="32" t="n">
        <f aca="false">INDEX(Вводные!$D$13:$F$64,MATCH($A42,Вводные!$A$13:$A$64,0),MATCH(EA$3,Вводные!$D$11:$F$11,0))*(1+IF(EA$4=$A42,Вводные!$D$5*INDEX(Вводные!$G$13:$G$64,MATCH($A42,Вводные!$A$13:$A$64,0)),0))</f>
        <v>0.4</v>
      </c>
      <c r="EB42" s="32" t="n">
        <f aca="false">INDEX(Вводные!$D$13:$F$64,MATCH($A42,Вводные!$A$13:$A$64,0),MATCH(EB$3,Вводные!$D$11:$F$11,0))*(1+IF(EB$4=$A42,Вводные!$D$5*INDEX(Вводные!$G$13:$G$64,MATCH($A42,Вводные!$A$13:$A$64,0)),0))</f>
        <v>0.4</v>
      </c>
      <c r="EC42" s="32" t="n">
        <f aca="false">INDEX(Вводные!$D$13:$F$64,MATCH($A42,Вводные!$A$13:$A$64,0),MATCH(EC$3,Вводные!$D$11:$F$11,0))*(1+IF(EC$4=$A42,Вводные!$D$5*INDEX(Вводные!$G$13:$G$64,MATCH($A42,Вводные!$A$13:$A$64,0)),0))</f>
        <v>0.4</v>
      </c>
      <c r="ED42" s="32" t="n">
        <f aca="false">INDEX(Вводные!$D$13:$F$64,MATCH($A42,Вводные!$A$13:$A$64,0),MATCH(ED$3,Вводные!$D$11:$F$11,0))*(1+IF(ED$4=$A42,Вводные!$D$5*INDEX(Вводные!$G$13:$G$64,MATCH($A42,Вводные!$A$13:$A$64,0)),0))</f>
        <v>0.4</v>
      </c>
      <c r="EE42" s="32" t="n">
        <f aca="false">INDEX(Вводные!$D$13:$F$64,MATCH($A42,Вводные!$A$13:$A$64,0),MATCH(EE$3,Вводные!$D$11:$F$11,0))*(1+IF(EE$4=$A42,Вводные!$D$5*INDEX(Вводные!$G$13:$G$64,MATCH($A42,Вводные!$A$13:$A$64,0)),0))</f>
        <v>0.4</v>
      </c>
      <c r="EF42" s="32" t="n">
        <f aca="false">INDEX(Вводные!$D$13:$F$64,MATCH($A42,Вводные!$A$13:$A$64,0),MATCH(EF$3,Вводные!$D$11:$F$11,0))*(1+IF(EF$4=$A42,Вводные!$D$5*INDEX(Вводные!$G$13:$G$64,MATCH($A42,Вводные!$A$13:$A$64,0)),0))</f>
        <v>0.3</v>
      </c>
      <c r="EG42" s="32" t="n">
        <f aca="false">INDEX(Вводные!$D$13:$F$64,MATCH($A42,Вводные!$A$13:$A$64,0),MATCH(EG$3,Вводные!$D$11:$F$11,0))*(1+IF(EG$4=$A42,Вводные!$D$5*INDEX(Вводные!$G$13:$G$64,MATCH($A42,Вводные!$A$13:$A$64,0)),0))</f>
        <v>0.3</v>
      </c>
      <c r="EH42" s="32" t="n">
        <f aca="false">INDEX(Вводные!$D$13:$F$64,MATCH($A42,Вводные!$A$13:$A$64,0),MATCH(EH$3,Вводные!$D$11:$F$11,0))*(1+IF(EH$4=$A42,Вводные!$D$5*INDEX(Вводные!$G$13:$G$64,MATCH($A42,Вводные!$A$13:$A$64,0)),0))</f>
        <v>0.3</v>
      </c>
      <c r="EI42" s="32" t="n">
        <f aca="false">INDEX(Вводные!$D$13:$F$64,MATCH($A42,Вводные!$A$13:$A$64,0),MATCH(EI$3,Вводные!$D$11:$F$11,0))*(1+IF(EI$4=$A42,Вводные!$D$5*INDEX(Вводные!$G$13:$G$64,MATCH($A42,Вводные!$A$13:$A$64,0)),0))</f>
        <v>0.3</v>
      </c>
      <c r="EJ42" s="32" t="n">
        <f aca="false">INDEX(Вводные!$D$13:$F$64,MATCH($A42,Вводные!$A$13:$A$64,0),MATCH(EJ$3,Вводные!$D$11:$F$11,0))*(1+IF(EJ$4=$A42,Вводные!$D$5*INDEX(Вводные!$G$13:$G$64,MATCH($A42,Вводные!$A$13:$A$64,0)),0))</f>
        <v>0.3</v>
      </c>
      <c r="EK42" s="32" t="n">
        <f aca="false">INDEX(Вводные!$D$13:$F$64,MATCH($A42,Вводные!$A$13:$A$64,0),MATCH(EK$3,Вводные!$D$11:$F$11,0))*(1+IF(EK$4=$A42,Вводные!$D$5*INDEX(Вводные!$G$13:$G$64,MATCH($A42,Вводные!$A$13:$A$64,0)),0))</f>
        <v>0.3</v>
      </c>
      <c r="EL42" s="32" t="n">
        <f aca="false">INDEX(Вводные!$D$13:$F$64,MATCH($A42,Вводные!$A$13:$A$64,0),MATCH(EL$3,Вводные!$D$11:$F$11,0))*(1+IF(EL$4=$A42,Вводные!$D$5*INDEX(Вводные!$G$13:$G$64,MATCH($A42,Вводные!$A$13:$A$64,0)),0))</f>
        <v>0.3</v>
      </c>
      <c r="EM42" s="32" t="n">
        <f aca="false">INDEX(Вводные!$D$13:$F$64,MATCH($A42,Вводные!$A$13:$A$64,0),MATCH(EM$3,Вводные!$D$11:$F$11,0))*(1+IF(EM$4=$A42,Вводные!$D$5*INDEX(Вводные!$G$13:$G$64,MATCH($A42,Вводные!$A$13:$A$64,0)),0))</f>
        <v>0.3</v>
      </c>
      <c r="EN42" s="32" t="n">
        <f aca="false">INDEX(Вводные!$D$13:$F$64,MATCH($A42,Вводные!$A$13:$A$64,0),MATCH(EN$3,Вводные!$D$11:$F$11,0))*(1+IF(EN$4=$A42,Вводные!$D$5*INDEX(Вводные!$G$13:$G$64,MATCH($A42,Вводные!$A$13:$A$64,0)),0))</f>
        <v>0.3</v>
      </c>
      <c r="EO42" s="32" t="n">
        <f aca="false">INDEX(Вводные!$D$13:$F$64,MATCH($A42,Вводные!$A$13:$A$64,0),MATCH(EO$3,Вводные!$D$11:$F$11,0))*(1+IF(EO$4=$A42,Вводные!$D$5*INDEX(Вводные!$G$13:$G$64,MATCH($A42,Вводные!$A$13:$A$64,0)),0))</f>
        <v>0.3</v>
      </c>
      <c r="EP42" s="32" t="n">
        <f aca="false">INDEX(Вводные!$D$13:$F$64,MATCH($A42,Вводные!$A$13:$A$64,0),MATCH(EP$3,Вводные!$D$11:$F$11,0))*(1+IF(EP$4=$A42,Вводные!$D$5*INDEX(Вводные!$G$13:$G$64,MATCH($A42,Вводные!$A$13:$A$64,0)),0))</f>
        <v>0.3</v>
      </c>
      <c r="EQ42" s="32" t="n">
        <f aca="false">INDEX(Вводные!$D$13:$F$64,MATCH($A42,Вводные!$A$13:$A$64,0),MATCH(EQ$3,Вводные!$D$11:$F$11,0))*(1+IF(EQ$4=$A42,Вводные!$D$5*INDEX(Вводные!$G$13:$G$64,MATCH($A42,Вводные!$A$13:$A$64,0)),0))</f>
        <v>0.3</v>
      </c>
      <c r="ER42" s="32" t="n">
        <f aca="false">INDEX(Вводные!$D$13:$F$64,MATCH($A42,Вводные!$A$13:$A$64,0),MATCH(ER$3,Вводные!$D$11:$F$11,0))*(1+IF(ER$4=$A42,Вводные!$D$5*INDEX(Вводные!$G$13:$G$64,MATCH($A42,Вводные!$A$13:$A$64,0)),0))</f>
        <v>0.3</v>
      </c>
      <c r="ES42" s="32" t="n">
        <f aca="false">INDEX(Вводные!$D$13:$F$64,MATCH($A42,Вводные!$A$13:$A$64,0),MATCH(ES$3,Вводные!$D$11:$F$11,0))*(1+IF(ES$4=$A42,Вводные!$D$5*INDEX(Вводные!$G$13:$G$64,MATCH($A42,Вводные!$A$13:$A$64,0)),0))</f>
        <v>0.3</v>
      </c>
      <c r="ET42" s="32" t="n">
        <f aca="false">INDEX(Вводные!$D$13:$F$64,MATCH($A42,Вводные!$A$13:$A$64,0),MATCH(ET$3,Вводные!$D$11:$F$11,0))*(1+IF(ET$4=$A42,Вводные!$D$5*INDEX(Вводные!$G$13:$G$64,MATCH($A42,Вводные!$A$13:$A$64,0)),0))</f>
        <v>0.3</v>
      </c>
      <c r="EU42" s="32" t="n">
        <f aca="false">INDEX(Вводные!$D$13:$F$64,MATCH($A42,Вводные!$A$13:$A$64,0),MATCH(EU$3,Вводные!$D$11:$F$11,0))*(1+IF(EU$4=$A42,Вводные!$D$5*INDEX(Вводные!$G$13:$G$64,MATCH($A42,Вводные!$A$13:$A$64,0)),0))</f>
        <v>0.3</v>
      </c>
      <c r="EV42" s="32" t="n">
        <f aca="false">INDEX(Вводные!$D$13:$F$64,MATCH($A42,Вводные!$A$13:$A$64,0),MATCH(EV$3,Вводные!$D$11:$F$11,0))*(1+IF(EV$4=$A42,Вводные!$D$5*INDEX(Вводные!$G$13:$G$64,MATCH($A42,Вводные!$A$13:$A$64,0)),0))</f>
        <v>0.3</v>
      </c>
      <c r="EW42" s="32" t="n">
        <f aca="false">INDEX(Вводные!$D$13:$F$64,MATCH($A42,Вводные!$A$13:$A$64,0),MATCH(EW$3,Вводные!$D$11:$F$11,0))*(1+IF(EW$4=$A42,Вводные!$D$5*INDEX(Вводные!$G$13:$G$64,MATCH($A42,Вводные!$A$13:$A$64,0)),0))</f>
        <v>0.3</v>
      </c>
      <c r="EX42" s="32" t="n">
        <f aca="false">INDEX(Вводные!$D$13:$F$64,MATCH($A42,Вводные!$A$13:$A$64,0),MATCH(EX$3,Вводные!$D$11:$F$11,0))*(1+IF(EX$4=$A42,Вводные!$D$5*INDEX(Вводные!$G$13:$G$64,MATCH($A42,Вводные!$A$13:$A$64,0)),0))</f>
        <v>0.3</v>
      </c>
      <c r="EY42" s="32" t="n">
        <f aca="false">INDEX(Вводные!$D$13:$F$64,MATCH($A42,Вводные!$A$13:$A$64,0),MATCH(EY$3,Вводные!$D$11:$F$11,0))*(1+IF(EY$4=$A42,Вводные!$D$5*INDEX(Вводные!$G$13:$G$64,MATCH($A42,Вводные!$A$13:$A$64,0)),0))</f>
        <v>0.303</v>
      </c>
      <c r="EZ42" s="32" t="n">
        <f aca="false">INDEX(Вводные!$D$13:$F$64,MATCH($A42,Вводные!$A$13:$A$64,0),MATCH(EZ$3,Вводные!$D$11:$F$11,0))*(1+IF(EZ$4=$A42,Вводные!$D$5*INDEX(Вводные!$G$13:$G$64,MATCH($A42,Вводные!$A$13:$A$64,0)),0))</f>
        <v>0.3</v>
      </c>
      <c r="FA42" s="32" t="n">
        <f aca="false">INDEX(Вводные!$D$13:$F$64,MATCH($A42,Вводные!$A$13:$A$64,0),MATCH(FA$3,Вводные!$D$11:$F$11,0))*(1+IF(FA$4=$A42,Вводные!$D$5*INDEX(Вводные!$G$13:$G$64,MATCH($A42,Вводные!$A$13:$A$64,0)),0))</f>
        <v>0.3</v>
      </c>
      <c r="FB42" s="32" t="n">
        <f aca="false">INDEX(Вводные!$D$13:$F$64,MATCH($A42,Вводные!$A$13:$A$64,0),MATCH(FB$3,Вводные!$D$11:$F$11,0))*(1+IF(FB$4=$A42,Вводные!$D$5*INDEX(Вводные!$G$13:$G$64,MATCH($A42,Вводные!$A$13:$A$64,0)),0))</f>
        <v>0.3</v>
      </c>
      <c r="FC42" s="32" t="n">
        <f aca="false">INDEX(Вводные!$D$13:$F$64,MATCH($A42,Вводные!$A$13:$A$64,0),MATCH(FC$3,Вводные!$D$11:$F$11,0))*(1+IF(FC$4=$A42,Вводные!$D$5*INDEX(Вводные!$G$13:$G$64,MATCH($A42,Вводные!$A$13:$A$64,0)),0))</f>
        <v>0.3</v>
      </c>
      <c r="FD42" s="32" t="n">
        <f aca="false">INDEX(Вводные!$D$13:$F$64,MATCH($A42,Вводные!$A$13:$A$64,0),MATCH(FD$3,Вводные!$D$11:$F$11,0))*(1+IF(FD$4=$A42,Вводные!$D$5*INDEX(Вводные!$G$13:$G$64,MATCH($A42,Вводные!$A$13:$A$64,0)),0))</f>
        <v>0.3</v>
      </c>
      <c r="FE42" s="32" t="n">
        <f aca="false">INDEX(Вводные!$D$13:$F$64,MATCH($A42,Вводные!$A$13:$A$64,0),MATCH(FE$3,Вводные!$D$11:$F$11,0))*(1+IF(FE$4=$A42,Вводные!$D$5*INDEX(Вводные!$G$13:$G$64,MATCH($A42,Вводные!$A$13:$A$64,0)),0))</f>
        <v>0.3</v>
      </c>
      <c r="FF42" s="32" t="n">
        <f aca="false">INDEX(Вводные!$D$13:$F$64,MATCH($A42,Вводные!$A$13:$A$64,0),MATCH(FF$3,Вводные!$D$11:$F$11,0))*(1+IF(FF$4=$A42,Вводные!$D$5*INDEX(Вводные!$G$13:$G$64,MATCH($A42,Вводные!$A$13:$A$64,0)),0))</f>
        <v>0.3</v>
      </c>
      <c r="FG42" s="32" t="n">
        <f aca="false">INDEX(Вводные!$D$13:$F$64,MATCH($A42,Вводные!$A$13:$A$64,0),MATCH(FG$3,Вводные!$D$11:$F$11,0))*(1+IF(FG$4=$A42,Вводные!$D$5*INDEX(Вводные!$G$13:$G$64,MATCH($A42,Вводные!$A$13:$A$64,0)),0))</f>
        <v>0.3</v>
      </c>
      <c r="FH42" s="32" t="n">
        <f aca="false">INDEX(Вводные!$D$13:$F$64,MATCH($A42,Вводные!$A$13:$A$64,0),MATCH(FH$3,Вводные!$D$11:$F$11,0))*(1+IF(FH$4=$A42,Вводные!$D$5*INDEX(Вводные!$G$13:$G$64,MATCH($A42,Вводные!$A$13:$A$64,0)),0))</f>
        <v>0.3</v>
      </c>
      <c r="FI42" s="32" t="n">
        <f aca="false">INDEX(Вводные!$D$13:$F$64,MATCH($A42,Вводные!$A$13:$A$64,0),MATCH(FI$3,Вводные!$D$11:$F$11,0))*(1+IF(FI$4=$A42,Вводные!$D$5*INDEX(Вводные!$G$13:$G$64,MATCH($A42,Вводные!$A$13:$A$64,0)),0))</f>
        <v>0.3</v>
      </c>
      <c r="FJ42" s="32" t="n">
        <f aca="false">INDEX(Вводные!$D$13:$F$64,MATCH($A42,Вводные!$A$13:$A$64,0),MATCH(FJ$3,Вводные!$D$11:$F$11,0))*(1+IF(FJ$4=$A42,Вводные!$D$5*INDEX(Вводные!$G$13:$G$64,MATCH($A42,Вводные!$A$13:$A$64,0)),0))</f>
        <v>0.3</v>
      </c>
      <c r="FK42" s="32" t="n">
        <f aca="false">INDEX(Вводные!$D$13:$F$64,MATCH($A42,Вводные!$A$13:$A$64,0),MATCH(FK$3,Вводные!$D$11:$F$11,0))*(1+IF(FK$4=$A42,Вводные!$D$5*INDEX(Вводные!$G$13:$G$64,MATCH($A42,Вводные!$A$13:$A$64,0)),0))</f>
        <v>0.3</v>
      </c>
      <c r="FL42" s="32" t="n">
        <f aca="false">INDEX(Вводные!$D$13:$F$64,MATCH($A42,Вводные!$A$13:$A$64,0),MATCH(FL$3,Вводные!$D$11:$F$11,0))*(1+IF(FL$4=$A42,Вводные!$D$5*INDEX(Вводные!$G$13:$G$64,MATCH($A42,Вводные!$A$13:$A$64,0)),0))</f>
        <v>0.3</v>
      </c>
      <c r="FM42" s="32" t="n">
        <f aca="false">INDEX(Вводные!$D$13:$F$64,MATCH($A42,Вводные!$A$13:$A$64,0),MATCH(FM$3,Вводные!$D$11:$F$11,0))*(1+IF(FM$4=$A42,Вводные!$D$5*INDEX(Вводные!$G$13:$G$64,MATCH($A42,Вводные!$A$13:$A$64,0)),0))</f>
        <v>0.3</v>
      </c>
      <c r="FN42" s="32" t="n">
        <f aca="false">INDEX(Вводные!$D$13:$F$64,MATCH($A42,Вводные!$A$13:$A$64,0),MATCH(FN$3,Вводные!$D$11:$F$11,0))*(1+IF(FN$4=$A42,Вводные!$D$5*INDEX(Вводные!$G$13:$G$64,MATCH($A42,Вводные!$A$13:$A$64,0)),0))</f>
        <v>0.3</v>
      </c>
      <c r="FO42" s="32" t="n">
        <f aca="false">INDEX(Вводные!$D$13:$F$64,MATCH($A42,Вводные!$A$13:$A$64,0),MATCH(FO$3,Вводные!$D$11:$F$11,0))*(1+IF(FO$4=$A42,Вводные!$D$5*INDEX(Вводные!$G$13:$G$64,MATCH($A42,Вводные!$A$13:$A$64,0)),0))</f>
        <v>0.3</v>
      </c>
      <c r="FP42" s="32" t="n">
        <f aca="false">INDEX(Вводные!$D$13:$F$64,MATCH($A42,Вводные!$A$13:$A$64,0),MATCH(FP$3,Вводные!$D$11:$F$11,0))*(1+IF(FP$4=$A42,Вводные!$D$5*INDEX(Вводные!$G$13:$G$64,MATCH($A42,Вводные!$A$13:$A$64,0)),0))</f>
        <v>0.3</v>
      </c>
      <c r="FQ42" s="32" t="n">
        <f aca="false">INDEX(Вводные!$D$13:$F$64,MATCH($A42,Вводные!$A$13:$A$64,0),MATCH(FQ$3,Вводные!$D$11:$F$11,0))*(1+IF(FQ$4=$A42,Вводные!$D$5*INDEX(Вводные!$G$13:$G$64,MATCH($A42,Вводные!$A$13:$A$64,0)),0))</f>
        <v>0.3</v>
      </c>
      <c r="FR42" s="32" t="n">
        <f aca="false">INDEX(Вводные!$D$13:$F$64,MATCH($A42,Вводные!$A$13:$A$64,0),MATCH(FR$3,Вводные!$D$11:$F$11,0))*(1+IF(FR$4=$A42,Вводные!$D$5*INDEX(Вводные!$G$13:$G$64,MATCH($A42,Вводные!$A$13:$A$64,0)),0))</f>
        <v>0.3</v>
      </c>
      <c r="FS42" s="32" t="n">
        <f aca="false">INDEX(Вводные!$D$13:$F$64,MATCH($A42,Вводные!$A$13:$A$64,0),MATCH(FS$3,Вводные!$D$11:$F$11,0))*(1+IF(FS$4=$A42,Вводные!$D$5*INDEX(Вводные!$G$13:$G$64,MATCH($A42,Вводные!$A$13:$A$64,0)),0))</f>
        <v>0.3</v>
      </c>
      <c r="FT42" s="32" t="n">
        <f aca="false">INDEX(Вводные!$D$13:$F$64,MATCH($A42,Вводные!$A$13:$A$64,0),MATCH(FT$3,Вводные!$D$11:$F$11,0))*(1+IF(FT$4=$A42,Вводные!$D$5*INDEX(Вводные!$G$13:$G$64,MATCH($A42,Вводные!$A$13:$A$64,0)),0))</f>
        <v>0.3</v>
      </c>
      <c r="FU42" s="32" t="n">
        <f aca="false">INDEX(Вводные!$D$13:$F$64,MATCH($A42,Вводные!$A$13:$A$64,0),MATCH(FU$3,Вводные!$D$11:$F$11,0))*(1+IF(FU$4=$A42,Вводные!$D$5*INDEX(Вводные!$G$13:$G$64,MATCH($A42,Вводные!$A$13:$A$64,0)),0))</f>
        <v>0.3</v>
      </c>
      <c r="FV42" s="32" t="n">
        <f aca="false">INDEX(Вводные!$D$13:$F$64,MATCH($A42,Вводные!$A$13:$A$64,0),MATCH(FV$3,Вводные!$D$11:$F$11,0))*(1+IF(FV$4=$A42,Вводные!$D$5*INDEX(Вводные!$G$13:$G$64,MATCH($A42,Вводные!$A$13:$A$64,0)),0))</f>
        <v>0.5</v>
      </c>
      <c r="FW42" s="32" t="n">
        <f aca="false">INDEX(Вводные!$D$13:$F$64,MATCH($A42,Вводные!$A$13:$A$64,0),MATCH(FW$3,Вводные!$D$11:$F$11,0))*(1+IF(FW$4=$A42,Вводные!$D$5*INDEX(Вводные!$G$13:$G$64,MATCH($A42,Вводные!$A$13:$A$64,0)),0))</f>
        <v>0.5</v>
      </c>
      <c r="FX42" s="32" t="n">
        <f aca="false">INDEX(Вводные!$D$13:$F$64,MATCH($A42,Вводные!$A$13:$A$64,0),MATCH(FX$3,Вводные!$D$11:$F$11,0))*(1+IF(FX$4=$A42,Вводные!$D$5*INDEX(Вводные!$G$13:$G$64,MATCH($A42,Вводные!$A$13:$A$64,0)),0))</f>
        <v>0.5</v>
      </c>
      <c r="FY42" s="32" t="n">
        <f aca="false">INDEX(Вводные!$D$13:$F$64,MATCH($A42,Вводные!$A$13:$A$64,0),MATCH(FY$3,Вводные!$D$11:$F$11,0))*(1+IF(FY$4=$A42,Вводные!$D$5*INDEX(Вводные!$G$13:$G$64,MATCH($A42,Вводные!$A$13:$A$64,0)),0))</f>
        <v>0.5</v>
      </c>
      <c r="FZ42" s="32" t="n">
        <f aca="false">INDEX(Вводные!$D$13:$F$64,MATCH($A42,Вводные!$A$13:$A$64,0),MATCH(FZ$3,Вводные!$D$11:$F$11,0))*(1+IF(FZ$4=$A42,Вводные!$D$5*INDEX(Вводные!$G$13:$G$64,MATCH($A42,Вводные!$A$13:$A$64,0)),0))</f>
        <v>0.5</v>
      </c>
      <c r="GA42" s="32" t="n">
        <f aca="false">INDEX(Вводные!$D$13:$F$64,MATCH($A42,Вводные!$A$13:$A$64,0),MATCH(GA$3,Вводные!$D$11:$F$11,0))*(1+IF(GA$4=$A42,Вводные!$D$5*INDEX(Вводные!$G$13:$G$64,MATCH($A42,Вводные!$A$13:$A$64,0)),0))</f>
        <v>0.5</v>
      </c>
      <c r="GB42" s="32" t="n">
        <f aca="false">INDEX(Вводные!$D$13:$F$64,MATCH($A42,Вводные!$A$13:$A$64,0),MATCH(GB$3,Вводные!$D$11:$F$11,0))*(1+IF(GB$4=$A42,Вводные!$D$5*INDEX(Вводные!$G$13:$G$64,MATCH($A42,Вводные!$A$13:$A$64,0)),0))</f>
        <v>0.5</v>
      </c>
      <c r="GC42" s="32" t="n">
        <f aca="false">INDEX(Вводные!$D$13:$F$64,MATCH($A42,Вводные!$A$13:$A$64,0),MATCH(GC$3,Вводные!$D$11:$F$11,0))*(1+IF(GC$4=$A42,Вводные!$D$5*INDEX(Вводные!$G$13:$G$64,MATCH($A42,Вводные!$A$13:$A$64,0)),0))</f>
        <v>0.5</v>
      </c>
      <c r="GD42" s="32" t="n">
        <f aca="false">INDEX(Вводные!$D$13:$F$64,MATCH($A42,Вводные!$A$13:$A$64,0),MATCH(GD$3,Вводные!$D$11:$F$11,0))*(1+IF(GD$4=$A42,Вводные!$D$5*INDEX(Вводные!$G$13:$G$64,MATCH($A42,Вводные!$A$13:$A$64,0)),0))</f>
        <v>0.5</v>
      </c>
      <c r="GE42" s="32" t="n">
        <f aca="false">INDEX(Вводные!$D$13:$F$64,MATCH($A42,Вводные!$A$13:$A$64,0),MATCH(GE$3,Вводные!$D$11:$F$11,0))*(1+IF(GE$4=$A42,Вводные!$D$5*INDEX(Вводные!$G$13:$G$64,MATCH($A42,Вводные!$A$13:$A$64,0)),0))</f>
        <v>0.5</v>
      </c>
      <c r="GF42" s="32" t="n">
        <f aca="false">INDEX(Вводные!$D$13:$F$64,MATCH($A42,Вводные!$A$13:$A$64,0),MATCH(GF$3,Вводные!$D$11:$F$11,0))*(1+IF(GF$4=$A42,Вводные!$D$5*INDEX(Вводные!$G$13:$G$64,MATCH($A42,Вводные!$A$13:$A$64,0)),0))</f>
        <v>0.5</v>
      </c>
      <c r="GG42" s="32" t="n">
        <f aca="false">INDEX(Вводные!$D$13:$F$64,MATCH($A42,Вводные!$A$13:$A$64,0),MATCH(GG$3,Вводные!$D$11:$F$11,0))*(1+IF(GG$4=$A42,Вводные!$D$5*INDEX(Вводные!$G$13:$G$64,MATCH($A42,Вводные!$A$13:$A$64,0)),0))</f>
        <v>0.5</v>
      </c>
      <c r="GH42" s="32" t="n">
        <f aca="false">INDEX(Вводные!$D$13:$F$64,MATCH($A42,Вводные!$A$13:$A$64,0),MATCH(GH$3,Вводные!$D$11:$F$11,0))*(1+IF(GH$4=$A42,Вводные!$D$5*INDEX(Вводные!$G$13:$G$64,MATCH($A42,Вводные!$A$13:$A$64,0)),0))</f>
        <v>0.5</v>
      </c>
      <c r="GI42" s="32" t="n">
        <f aca="false">INDEX(Вводные!$D$13:$F$64,MATCH($A42,Вводные!$A$13:$A$64,0),MATCH(GI$3,Вводные!$D$11:$F$11,0))*(1+IF(GI$4=$A42,Вводные!$D$5*INDEX(Вводные!$G$13:$G$64,MATCH($A42,Вводные!$A$13:$A$64,0)),0))</f>
        <v>0.5</v>
      </c>
      <c r="GJ42" s="32" t="n">
        <f aca="false">INDEX(Вводные!$D$13:$F$64,MATCH($A42,Вводные!$A$13:$A$64,0),MATCH(GJ$3,Вводные!$D$11:$F$11,0))*(1+IF(GJ$4=$A42,Вводные!$D$5*INDEX(Вводные!$G$13:$G$64,MATCH($A42,Вводные!$A$13:$A$64,0)),0))</f>
        <v>0.5</v>
      </c>
      <c r="GK42" s="32" t="n">
        <f aca="false">INDEX(Вводные!$D$13:$F$64,MATCH($A42,Вводные!$A$13:$A$64,0),MATCH(GK$3,Вводные!$D$11:$F$11,0))*(1+IF(GK$4=$A42,Вводные!$D$5*INDEX(Вводные!$G$13:$G$64,MATCH($A42,Вводные!$A$13:$A$64,0)),0))</f>
        <v>0.5</v>
      </c>
      <c r="GL42" s="32" t="n">
        <f aca="false">INDEX(Вводные!$D$13:$F$64,MATCH($A42,Вводные!$A$13:$A$64,0),MATCH(GL$3,Вводные!$D$11:$F$11,0))*(1+IF(GL$4=$A42,Вводные!$D$5*INDEX(Вводные!$G$13:$G$64,MATCH($A42,Вводные!$A$13:$A$64,0)),0))</f>
        <v>0.5</v>
      </c>
      <c r="GM42" s="32" t="n">
        <f aca="false">INDEX(Вводные!$D$13:$F$64,MATCH($A42,Вводные!$A$13:$A$64,0),MATCH(GM$3,Вводные!$D$11:$F$11,0))*(1+IF(GM$4=$A42,Вводные!$D$5*INDEX(Вводные!$G$13:$G$64,MATCH($A42,Вводные!$A$13:$A$64,0)),0))</f>
        <v>0.5</v>
      </c>
      <c r="GN42" s="32" t="n">
        <f aca="false">INDEX(Вводные!$D$13:$F$64,MATCH($A42,Вводные!$A$13:$A$64,0),MATCH(GN$3,Вводные!$D$11:$F$11,0))*(1+IF(GN$4=$A42,Вводные!$D$5*INDEX(Вводные!$G$13:$G$64,MATCH($A42,Вводные!$A$13:$A$64,0)),0))</f>
        <v>0.5</v>
      </c>
      <c r="GO42" s="32" t="n">
        <f aca="false">INDEX(Вводные!$D$13:$F$64,MATCH($A42,Вводные!$A$13:$A$64,0),MATCH(GO$3,Вводные!$D$11:$F$11,0))*(1+IF(GO$4=$A42,Вводные!$D$5*INDEX(Вводные!$G$13:$G$64,MATCH($A42,Вводные!$A$13:$A$64,0)),0))</f>
        <v>0.505</v>
      </c>
      <c r="GP42" s="32" t="n">
        <f aca="false">INDEX(Вводные!$D$13:$F$64,MATCH($A42,Вводные!$A$13:$A$64,0),MATCH(GP$3,Вводные!$D$11:$F$11,0))*(1+IF(GP$4=$A42,Вводные!$D$5*INDEX(Вводные!$G$13:$G$64,MATCH($A42,Вводные!$A$13:$A$64,0)),0))</f>
        <v>0.5</v>
      </c>
      <c r="GQ42" s="32" t="n">
        <f aca="false">INDEX(Вводные!$D$13:$F$64,MATCH($A42,Вводные!$A$13:$A$64,0),MATCH(GQ$3,Вводные!$D$11:$F$11,0))*(1+IF(GQ$4=$A42,Вводные!$D$5*INDEX(Вводные!$G$13:$G$64,MATCH($A42,Вводные!$A$13:$A$64,0)),0))</f>
        <v>0.5</v>
      </c>
      <c r="GR42" s="32" t="n">
        <f aca="false">INDEX(Вводные!$D$13:$F$64,MATCH($A42,Вводные!$A$13:$A$64,0),MATCH(GR$3,Вводные!$D$11:$F$11,0))*(1+IF(GR$4=$A42,Вводные!$D$5*INDEX(Вводные!$G$13:$G$64,MATCH($A42,Вводные!$A$13:$A$64,0)),0))</f>
        <v>0.5</v>
      </c>
      <c r="GS42" s="32" t="n">
        <f aca="false">INDEX(Вводные!$D$13:$F$64,MATCH($A42,Вводные!$A$13:$A$64,0),MATCH(GS$3,Вводные!$D$11:$F$11,0))*(1+IF(GS$4=$A42,Вводные!$D$5*INDEX(Вводные!$G$13:$G$64,MATCH($A42,Вводные!$A$13:$A$64,0)),0))</f>
        <v>0.5</v>
      </c>
      <c r="GT42" s="32" t="n">
        <f aca="false">INDEX(Вводные!$D$13:$F$64,MATCH($A42,Вводные!$A$13:$A$64,0),MATCH(GT$3,Вводные!$D$11:$F$11,0))*(1+IF(GT$4=$A42,Вводные!$D$5*INDEX(Вводные!$G$13:$G$64,MATCH($A42,Вводные!$A$13:$A$64,0)),0))</f>
        <v>0.5</v>
      </c>
      <c r="GU42" s="32" t="n">
        <f aca="false">INDEX(Вводные!$D$13:$F$64,MATCH($A42,Вводные!$A$13:$A$64,0),MATCH(GU$3,Вводные!$D$11:$F$11,0))*(1+IF(GU$4=$A42,Вводные!$D$5*INDEX(Вводные!$G$13:$G$64,MATCH($A42,Вводные!$A$13:$A$64,0)),0))</f>
        <v>0.5</v>
      </c>
      <c r="GV42" s="32" t="n">
        <f aca="false">INDEX(Вводные!$D$13:$F$64,MATCH($A42,Вводные!$A$13:$A$64,0),MATCH(GV$3,Вводные!$D$11:$F$11,0))*(1+IF(GV$4=$A42,Вводные!$D$5*INDEX(Вводные!$G$13:$G$64,MATCH($A42,Вводные!$A$13:$A$64,0)),0))</f>
        <v>0.5</v>
      </c>
      <c r="GW42" s="32" t="n">
        <f aca="false">INDEX(Вводные!$D$13:$F$64,MATCH($A42,Вводные!$A$13:$A$64,0),MATCH(GW$3,Вводные!$D$11:$F$11,0))*(1+IF(GW$4=$A42,Вводные!$D$5*INDEX(Вводные!$G$13:$G$64,MATCH($A42,Вводные!$A$13:$A$64,0)),0))</f>
        <v>0.5</v>
      </c>
      <c r="GX42" s="32" t="n">
        <f aca="false">INDEX(Вводные!$D$13:$F$64,MATCH($A42,Вводные!$A$13:$A$64,0),MATCH(GX$3,Вводные!$D$11:$F$11,0))*(1+IF(GX$4=$A42,Вводные!$D$5*INDEX(Вводные!$G$13:$G$64,MATCH($A42,Вводные!$A$13:$A$64,0)),0))</f>
        <v>0.5</v>
      </c>
      <c r="GY42" s="32" t="n">
        <f aca="false">INDEX(Вводные!$D$13:$F$64,MATCH($A42,Вводные!$A$13:$A$64,0),MATCH(GY$3,Вводные!$D$11:$F$11,0))*(1+IF(GY$4=$A42,Вводные!$D$5*INDEX(Вводные!$G$13:$G$64,MATCH($A42,Вводные!$A$13:$A$64,0)),0))</f>
        <v>0.5</v>
      </c>
      <c r="GZ42" s="32" t="n">
        <f aca="false">INDEX(Вводные!$D$13:$F$64,MATCH($A42,Вводные!$A$13:$A$64,0),MATCH(GZ$3,Вводные!$D$11:$F$11,0))*(1+IF(GZ$4=$A42,Вводные!$D$5*INDEX(Вводные!$G$13:$G$64,MATCH($A42,Вводные!$A$13:$A$64,0)),0))</f>
        <v>0.5</v>
      </c>
      <c r="HA42" s="32" t="n">
        <f aca="false">INDEX(Вводные!$D$13:$F$64,MATCH($A42,Вводные!$A$13:$A$64,0),MATCH(HA$3,Вводные!$D$11:$F$11,0))*(1+IF(HA$4=$A42,Вводные!$D$5*INDEX(Вводные!$G$13:$G$64,MATCH($A42,Вводные!$A$13:$A$64,0)),0))</f>
        <v>0.5</v>
      </c>
      <c r="HB42" s="32" t="n">
        <f aca="false">INDEX(Вводные!$D$13:$F$64,MATCH($A42,Вводные!$A$13:$A$64,0),MATCH(HB$3,Вводные!$D$11:$F$11,0))*(1+IF(HB$4=$A42,Вводные!$D$5*INDEX(Вводные!$G$13:$G$64,MATCH($A42,Вводные!$A$13:$A$64,0)),0))</f>
        <v>0.5</v>
      </c>
      <c r="HC42" s="32" t="n">
        <f aca="false">INDEX(Вводные!$D$13:$F$64,MATCH($A42,Вводные!$A$13:$A$64,0),MATCH(HC$3,Вводные!$D$11:$F$11,0))*(1+IF(HC$4=$A42,Вводные!$D$5*INDEX(Вводные!$G$13:$G$64,MATCH($A42,Вводные!$A$13:$A$64,0)),0))</f>
        <v>0.5</v>
      </c>
      <c r="HD42" s="32" t="n">
        <f aca="false">INDEX(Вводные!$D$13:$F$64,MATCH($A42,Вводные!$A$13:$A$64,0),MATCH(HD$3,Вводные!$D$11:$F$11,0))*(1+IF(HD$4=$A42,Вводные!$D$5*INDEX(Вводные!$G$13:$G$64,MATCH($A42,Вводные!$A$13:$A$64,0)),0))</f>
        <v>0.5</v>
      </c>
      <c r="HE42" s="32" t="n">
        <f aca="false">INDEX(Вводные!$D$13:$F$64,MATCH($A42,Вводные!$A$13:$A$64,0),MATCH(HE$3,Вводные!$D$11:$F$11,0))*(1+IF(HE$4=$A42,Вводные!$D$5*INDEX(Вводные!$G$13:$G$64,MATCH($A42,Вводные!$A$13:$A$64,0)),0))</f>
        <v>0.5</v>
      </c>
      <c r="HF42" s="32" t="n">
        <f aca="false">INDEX(Вводные!$D$13:$F$64,MATCH($A42,Вводные!$A$13:$A$64,0),MATCH(HF$3,Вводные!$D$11:$F$11,0))*(1+IF(HF$4=$A42,Вводные!$D$5*INDEX(Вводные!$G$13:$G$64,MATCH($A42,Вводные!$A$13:$A$64,0)),0))</f>
        <v>0.5</v>
      </c>
      <c r="HG42" s="32" t="n">
        <f aca="false">INDEX(Вводные!$D$13:$F$64,MATCH($A42,Вводные!$A$13:$A$64,0),MATCH(HG$3,Вводные!$D$11:$F$11,0))*(1+IF(HG$4=$A42,Вводные!$D$5*INDEX(Вводные!$G$13:$G$64,MATCH($A42,Вводные!$A$13:$A$64,0)),0))</f>
        <v>0.5</v>
      </c>
      <c r="HH42" s="32" t="n">
        <f aca="false">INDEX(Вводные!$D$13:$F$64,MATCH($A42,Вводные!$A$13:$A$64,0),MATCH(HH$3,Вводные!$D$11:$F$11,0))*(1+IF(HH$4=$A42,Вводные!$D$5*INDEX(Вводные!$G$13:$G$64,MATCH($A42,Вводные!$A$13:$A$64,0)),0))</f>
        <v>0.5</v>
      </c>
      <c r="HI42" s="32" t="n">
        <f aca="false">INDEX(Вводные!$D$13:$F$64,MATCH($A42,Вводные!$A$13:$A$64,0),MATCH(HI$3,Вводные!$D$11:$F$11,0))*(1+IF(HI$4=$A42,Вводные!$D$5*INDEX(Вводные!$G$13:$G$64,MATCH($A42,Вводные!$A$13:$A$64,0)),0))</f>
        <v>0.5</v>
      </c>
      <c r="HJ42" s="32" t="n">
        <f aca="false">INDEX(Вводные!$D$13:$F$64,MATCH($A42,Вводные!$A$13:$A$64,0),MATCH(HJ$3,Вводные!$D$11:$F$11,0))*(1+IF(HJ$4=$A42,Вводные!$D$5*INDEX(Вводные!$G$13:$G$64,MATCH($A42,Вводные!$A$13:$A$64,0)),0))</f>
        <v>0.5</v>
      </c>
      <c r="HK42" s="32" t="n">
        <f aca="false">INDEX(Вводные!$D$13:$F$64,MATCH($A42,Вводные!$A$13:$A$64,0),MATCH(HK$3,Вводные!$D$11:$F$11,0))*(1+IF(HK$4=$A42,Вводные!$D$5*INDEX(Вводные!$G$13:$G$64,MATCH($A42,Вводные!$A$13:$A$64,0)),0))</f>
        <v>0.5</v>
      </c>
      <c r="HL42" s="32" t="n">
        <f aca="false">INDEX(Вводные!$D$13:$F$64,MATCH($A42,Вводные!$A$13:$A$64,0),MATCH(HL$3,Вводные!$D$11:$F$11,0))*(1+IF(HL$4=$A42,Вводные!$D$5*INDEX(Вводные!$G$13:$G$64,MATCH($A42,Вводные!$A$13:$A$64,0)),0))</f>
        <v>0.4</v>
      </c>
      <c r="HM42" s="32" t="n">
        <f aca="false">INDEX(Вводные!$D$13:$F$64,MATCH($A42,Вводные!$A$13:$A$64,0),MATCH(HM$3,Вводные!$D$11:$F$11,0))*(1+IF(HM$4=$A42,Вводные!$D$5*INDEX(Вводные!$G$13:$G$64,MATCH($A42,Вводные!$A$13:$A$64,0)),0))</f>
        <v>0.4</v>
      </c>
      <c r="HN42" s="32" t="n">
        <f aca="false">INDEX(Вводные!$D$13:$F$64,MATCH($A42,Вводные!$A$13:$A$64,0),MATCH(HN$3,Вводные!$D$11:$F$11,0))*(1+IF(HN$4=$A42,Вводные!$D$5*INDEX(Вводные!$G$13:$G$64,MATCH($A42,Вводные!$A$13:$A$64,0)),0))</f>
        <v>0.4</v>
      </c>
      <c r="HO42" s="32" t="n">
        <f aca="false">INDEX(Вводные!$D$13:$F$64,MATCH($A42,Вводные!$A$13:$A$64,0),MATCH(HO$3,Вводные!$D$11:$F$11,0))*(1+IF(HO$4=$A42,Вводные!$D$5*INDEX(Вводные!$G$13:$G$64,MATCH($A42,Вводные!$A$13:$A$64,0)),0))</f>
        <v>0.4</v>
      </c>
      <c r="HP42" s="32" t="n">
        <f aca="false">INDEX(Вводные!$D$13:$F$64,MATCH($A42,Вводные!$A$13:$A$64,0),MATCH(HP$3,Вводные!$D$11:$F$11,0))*(1+IF(HP$4=$A42,Вводные!$D$5*INDEX(Вводные!$G$13:$G$64,MATCH($A42,Вводные!$A$13:$A$64,0)),0))</f>
        <v>0.4</v>
      </c>
      <c r="HQ42" s="32" t="n">
        <f aca="false">INDEX(Вводные!$D$13:$F$64,MATCH($A42,Вводные!$A$13:$A$64,0),MATCH(HQ$3,Вводные!$D$11:$F$11,0))*(1+IF(HQ$4=$A42,Вводные!$D$5*INDEX(Вводные!$G$13:$G$64,MATCH($A42,Вводные!$A$13:$A$64,0)),0))</f>
        <v>0.4</v>
      </c>
      <c r="HR42" s="32" t="n">
        <f aca="false">INDEX(Вводные!$D$13:$F$64,MATCH($A42,Вводные!$A$13:$A$64,0),MATCH(HR$3,Вводные!$D$11:$F$11,0))*(1+IF(HR$4=$A42,Вводные!$D$5*INDEX(Вводные!$G$13:$G$64,MATCH($A42,Вводные!$A$13:$A$64,0)),0))</f>
        <v>0.4</v>
      </c>
      <c r="HS42" s="32" t="n">
        <f aca="false">INDEX(Вводные!$D$13:$F$64,MATCH($A42,Вводные!$A$13:$A$64,0),MATCH(HS$3,Вводные!$D$11:$F$11,0))*(1+IF(HS$4=$A42,Вводные!$D$5*INDEX(Вводные!$G$13:$G$64,MATCH($A42,Вводные!$A$13:$A$64,0)),0))</f>
        <v>0.4</v>
      </c>
      <c r="HT42" s="32" t="n">
        <f aca="false">INDEX(Вводные!$D$13:$F$64,MATCH($A42,Вводные!$A$13:$A$64,0),MATCH(HT$3,Вводные!$D$11:$F$11,0))*(1+IF(HT$4=$A42,Вводные!$D$5*INDEX(Вводные!$G$13:$G$64,MATCH($A42,Вводные!$A$13:$A$64,0)),0))</f>
        <v>0.4</v>
      </c>
      <c r="HU42" s="32" t="n">
        <f aca="false">INDEX(Вводные!$D$13:$F$64,MATCH($A42,Вводные!$A$13:$A$64,0),MATCH(HU$3,Вводные!$D$11:$F$11,0))*(1+IF(HU$4=$A42,Вводные!$D$5*INDEX(Вводные!$G$13:$G$64,MATCH($A42,Вводные!$A$13:$A$64,0)),0))</f>
        <v>0.4</v>
      </c>
      <c r="HV42" s="32" t="n">
        <f aca="false">INDEX(Вводные!$D$13:$F$64,MATCH($A42,Вводные!$A$13:$A$64,0),MATCH(HV$3,Вводные!$D$11:$F$11,0))*(1+IF(HV$4=$A42,Вводные!$D$5*INDEX(Вводные!$G$13:$G$64,MATCH($A42,Вводные!$A$13:$A$64,0)),0))</f>
        <v>0.4</v>
      </c>
      <c r="HW42" s="32" t="n">
        <f aca="false">INDEX(Вводные!$D$13:$F$64,MATCH($A42,Вводные!$A$13:$A$64,0),MATCH(HW$3,Вводные!$D$11:$F$11,0))*(1+IF(HW$4=$A42,Вводные!$D$5*INDEX(Вводные!$G$13:$G$64,MATCH($A42,Вводные!$A$13:$A$64,0)),0))</f>
        <v>0.4</v>
      </c>
      <c r="HX42" s="32" t="n">
        <f aca="false">INDEX(Вводные!$D$13:$F$64,MATCH($A42,Вводные!$A$13:$A$64,0),MATCH(HX$3,Вводные!$D$11:$F$11,0))*(1+IF(HX$4=$A42,Вводные!$D$5*INDEX(Вводные!$G$13:$G$64,MATCH($A42,Вводные!$A$13:$A$64,0)),0))</f>
        <v>0.4</v>
      </c>
      <c r="HY42" s="32" t="n">
        <f aca="false">INDEX(Вводные!$D$13:$F$64,MATCH($A42,Вводные!$A$13:$A$64,0),MATCH(HY$3,Вводные!$D$11:$F$11,0))*(1+IF(HY$4=$A42,Вводные!$D$5*INDEX(Вводные!$G$13:$G$64,MATCH($A42,Вводные!$A$13:$A$64,0)),0))</f>
        <v>0.4</v>
      </c>
      <c r="HZ42" s="32" t="n">
        <f aca="false">INDEX(Вводные!$D$13:$F$64,MATCH($A42,Вводные!$A$13:$A$64,0),MATCH(HZ$3,Вводные!$D$11:$F$11,0))*(1+IF(HZ$4=$A42,Вводные!$D$5*INDEX(Вводные!$G$13:$G$64,MATCH($A42,Вводные!$A$13:$A$64,0)),0))</f>
        <v>0.4</v>
      </c>
      <c r="IA42" s="32" t="n">
        <f aca="false">INDEX(Вводные!$D$13:$F$64,MATCH($A42,Вводные!$A$13:$A$64,0),MATCH(IA$3,Вводные!$D$11:$F$11,0))*(1+IF(IA$4=$A42,Вводные!$D$5*INDEX(Вводные!$G$13:$G$64,MATCH($A42,Вводные!$A$13:$A$64,0)),0))</f>
        <v>0.4</v>
      </c>
      <c r="IB42" s="32" t="n">
        <f aca="false">INDEX(Вводные!$D$13:$F$64,MATCH($A42,Вводные!$A$13:$A$64,0),MATCH(IB$3,Вводные!$D$11:$F$11,0))*(1+IF(IB$4=$A42,Вводные!$D$5*INDEX(Вводные!$G$13:$G$64,MATCH($A42,Вводные!$A$13:$A$64,0)),0))</f>
        <v>0.4</v>
      </c>
      <c r="IC42" s="32" t="n">
        <f aca="false">INDEX(Вводные!$D$13:$F$64,MATCH($A42,Вводные!$A$13:$A$64,0),MATCH(IC$3,Вводные!$D$11:$F$11,0))*(1+IF(IC$4=$A42,Вводные!$D$5*INDEX(Вводные!$G$13:$G$64,MATCH($A42,Вводные!$A$13:$A$64,0)),0))</f>
        <v>0.4</v>
      </c>
      <c r="ID42" s="32" t="n">
        <f aca="false">INDEX(Вводные!$D$13:$F$64,MATCH($A42,Вводные!$A$13:$A$64,0),MATCH(ID$3,Вводные!$D$11:$F$11,0))*(1+IF(ID$4=$A42,Вводные!$D$5*INDEX(Вводные!$G$13:$G$64,MATCH($A42,Вводные!$A$13:$A$64,0)),0))</f>
        <v>0.4</v>
      </c>
      <c r="IE42" s="32" t="n">
        <f aca="false">INDEX(Вводные!$D$13:$F$64,MATCH($A42,Вводные!$A$13:$A$64,0),MATCH(IE$3,Вводные!$D$11:$F$11,0))*(1+IF(IE$4=$A42,Вводные!$D$5*INDEX(Вводные!$G$13:$G$64,MATCH($A42,Вводные!$A$13:$A$64,0)),0))</f>
        <v>0.404</v>
      </c>
      <c r="IF42" s="32" t="n">
        <f aca="false">INDEX(Вводные!$D$13:$F$64,MATCH($A42,Вводные!$A$13:$A$64,0),MATCH(IF$3,Вводные!$D$11:$F$11,0))*(1+IF(IF$4=$A42,Вводные!$D$5*INDEX(Вводные!$G$13:$G$64,MATCH($A42,Вводные!$A$13:$A$64,0)),0))</f>
        <v>0.4</v>
      </c>
      <c r="IG42" s="32" t="n">
        <f aca="false">INDEX(Вводные!$D$13:$F$64,MATCH($A42,Вводные!$A$13:$A$64,0),MATCH(IG$3,Вводные!$D$11:$F$11,0))*(1+IF(IG$4=$A42,Вводные!$D$5*INDEX(Вводные!$G$13:$G$64,MATCH($A42,Вводные!$A$13:$A$64,0)),0))</f>
        <v>0.4</v>
      </c>
      <c r="IH42" s="32" t="n">
        <f aca="false">INDEX(Вводные!$D$13:$F$64,MATCH($A42,Вводные!$A$13:$A$64,0),MATCH(IH$3,Вводные!$D$11:$F$11,0))*(1+IF(IH$4=$A42,Вводные!$D$5*INDEX(Вводные!$G$13:$G$64,MATCH($A42,Вводные!$A$13:$A$64,0)),0))</f>
        <v>0.4</v>
      </c>
      <c r="II42" s="32" t="n">
        <f aca="false">INDEX(Вводные!$D$13:$F$64,MATCH($A42,Вводные!$A$13:$A$64,0),MATCH(II$3,Вводные!$D$11:$F$11,0))*(1+IF(II$4=$A42,Вводные!$D$5*INDEX(Вводные!$G$13:$G$64,MATCH($A42,Вводные!$A$13:$A$64,0)),0))</f>
        <v>0.4</v>
      </c>
      <c r="IJ42" s="32" t="n">
        <f aca="false">INDEX(Вводные!$D$13:$F$64,MATCH($A42,Вводные!$A$13:$A$64,0),MATCH(IJ$3,Вводные!$D$11:$F$11,0))*(1+IF(IJ$4=$A42,Вводные!$D$5*INDEX(Вводные!$G$13:$G$64,MATCH($A42,Вводные!$A$13:$A$64,0)),0))</f>
        <v>0.4</v>
      </c>
      <c r="IK42" s="32" t="n">
        <f aca="false">INDEX(Вводные!$D$13:$F$64,MATCH($A42,Вводные!$A$13:$A$64,0),MATCH(IK$3,Вводные!$D$11:$F$11,0))*(1+IF(IK$4=$A42,Вводные!$D$5*INDEX(Вводные!$G$13:$G$64,MATCH($A42,Вводные!$A$13:$A$64,0)),0))</f>
        <v>0.4</v>
      </c>
      <c r="IL42" s="32" t="n">
        <f aca="false">INDEX(Вводные!$D$13:$F$64,MATCH($A42,Вводные!$A$13:$A$64,0),MATCH(IL$3,Вводные!$D$11:$F$11,0))*(1+IF(IL$4=$A42,Вводные!$D$5*INDEX(Вводные!$G$13:$G$64,MATCH($A42,Вводные!$A$13:$A$64,0)),0))</f>
        <v>0.4</v>
      </c>
      <c r="IM42" s="32" t="n">
        <f aca="false">INDEX(Вводные!$D$13:$F$64,MATCH($A42,Вводные!$A$13:$A$64,0),MATCH(IM$3,Вводные!$D$11:$F$11,0))*(1+IF(IM$4=$A42,Вводные!$D$5*INDEX(Вводные!$G$13:$G$64,MATCH($A42,Вводные!$A$13:$A$64,0)),0))</f>
        <v>0.4</v>
      </c>
      <c r="IN42" s="32" t="n">
        <f aca="false">INDEX(Вводные!$D$13:$F$64,MATCH($A42,Вводные!$A$13:$A$64,0),MATCH(IN$3,Вводные!$D$11:$F$11,0))*(1+IF(IN$4=$A42,Вводные!$D$5*INDEX(Вводные!$G$13:$G$64,MATCH($A42,Вводные!$A$13:$A$64,0)),0))</f>
        <v>0.4</v>
      </c>
      <c r="IO42" s="32" t="n">
        <f aca="false">INDEX(Вводные!$D$13:$F$64,MATCH($A42,Вводные!$A$13:$A$64,0),MATCH(IO$3,Вводные!$D$11:$F$11,0))*(1+IF(IO$4=$A42,Вводные!$D$5*INDEX(Вводные!$G$13:$G$64,MATCH($A42,Вводные!$A$13:$A$64,0)),0))</f>
        <v>0.4</v>
      </c>
      <c r="IP42" s="32" t="n">
        <f aca="false">INDEX(Вводные!$D$13:$F$64,MATCH($A42,Вводные!$A$13:$A$64,0),MATCH(IP$3,Вводные!$D$11:$F$11,0))*(1+IF(IP$4=$A42,Вводные!$D$5*INDEX(Вводные!$G$13:$G$64,MATCH($A42,Вводные!$A$13:$A$64,0)),0))</f>
        <v>0.4</v>
      </c>
      <c r="IQ42" s="32" t="n">
        <f aca="false">INDEX(Вводные!$D$13:$F$64,MATCH($A42,Вводные!$A$13:$A$64,0),MATCH(IQ$3,Вводные!$D$11:$F$11,0))*(1+IF(IQ$4=$A42,Вводные!$D$5*INDEX(Вводные!$G$13:$G$64,MATCH($A42,Вводные!$A$13:$A$64,0)),0))</f>
        <v>0.4</v>
      </c>
      <c r="IR42" s="32" t="n">
        <f aca="false">INDEX(Вводные!$D$13:$F$64,MATCH($A42,Вводные!$A$13:$A$64,0),MATCH(IR$3,Вводные!$D$11:$F$11,0))*(1+IF(IR$4=$A42,Вводные!$D$5*INDEX(Вводные!$G$13:$G$64,MATCH($A42,Вводные!$A$13:$A$64,0)),0))</f>
        <v>0.4</v>
      </c>
      <c r="IS42" s="32" t="n">
        <f aca="false">INDEX(Вводные!$D$13:$F$64,MATCH($A42,Вводные!$A$13:$A$64,0),MATCH(IS$3,Вводные!$D$11:$F$11,0))*(1+IF(IS$4=$A42,Вводные!$D$5*INDEX(Вводные!$G$13:$G$64,MATCH($A42,Вводные!$A$13:$A$64,0)),0))</f>
        <v>0.4</v>
      </c>
      <c r="IT42" s="32" t="n">
        <f aca="false">INDEX(Вводные!$D$13:$F$64,MATCH($A42,Вводные!$A$13:$A$64,0),MATCH(IT$3,Вводные!$D$11:$F$11,0))*(1+IF(IT$4=$A42,Вводные!$D$5*INDEX(Вводные!$G$13:$G$64,MATCH($A42,Вводные!$A$13:$A$64,0)),0))</f>
        <v>0.4</v>
      </c>
      <c r="IU42" s="32" t="n">
        <f aca="false">INDEX(Вводные!$D$13:$F$64,MATCH($A42,Вводные!$A$13:$A$64,0),MATCH(IU$3,Вводные!$D$11:$F$11,0))*(1+IF(IU$4=$A42,Вводные!$D$5*INDEX(Вводные!$G$13:$G$64,MATCH($A42,Вводные!$A$13:$A$64,0)),0))</f>
        <v>0.4</v>
      </c>
      <c r="IV42" s="32" t="n">
        <f aca="false">INDEX(Вводные!$D$13:$F$64,MATCH($A42,Вводные!$A$13:$A$64,0),MATCH(IV$3,Вводные!$D$11:$F$11,0))*(1+IF(IV$4=$A42,Вводные!$D$5*INDEX(Вводные!$G$13:$G$64,MATCH($A42,Вводные!$A$13:$A$64,0)),0))</f>
        <v>0.4</v>
      </c>
      <c r="IW42" s="32" t="n">
        <f aca="false">INDEX(Вводные!$D$13:$F$64,MATCH($A42,Вводные!$A$13:$A$64,0),MATCH(IW$3,Вводные!$D$11:$F$11,0))*(1+IF(IW$4=$A42,Вводные!$D$5*INDEX(Вводные!$G$13:$G$64,MATCH($A42,Вводные!$A$13:$A$64,0)),0))</f>
        <v>0.4</v>
      </c>
      <c r="IX42" s="32" t="n">
        <f aca="false">INDEX(Вводные!$D$13:$F$64,MATCH($A42,Вводные!$A$13:$A$64,0),MATCH(IX$3,Вводные!$D$11:$F$11,0))*(1+IF(IX$4=$A42,Вводные!$D$5*INDEX(Вводные!$G$13:$G$64,MATCH($A42,Вводные!$A$13:$A$64,0)),0))</f>
        <v>0.4</v>
      </c>
      <c r="IY42" s="32" t="n">
        <f aca="false">INDEX(Вводные!$D$13:$F$64,MATCH($A42,Вводные!$A$13:$A$64,0),MATCH(IY$3,Вводные!$D$11:$F$11,0))*(1+IF(IY$4=$A42,Вводные!$D$5*INDEX(Вводные!$G$13:$G$64,MATCH($A42,Вводные!$A$13:$A$64,0)),0))</f>
        <v>0.4</v>
      </c>
      <c r="IZ42" s="32" t="n">
        <f aca="false">INDEX(Вводные!$D$13:$F$64,MATCH($A42,Вводные!$A$13:$A$64,0),MATCH(IZ$3,Вводные!$D$11:$F$11,0))*(1+IF(IZ$4=$A42,Вводные!$D$5*INDEX(Вводные!$G$13:$G$64,MATCH($A42,Вводные!$A$13:$A$64,0)),0))</f>
        <v>0.4</v>
      </c>
      <c r="JA42" s="32" t="n">
        <f aca="false">INDEX(Вводные!$D$13:$F$64,MATCH($A42,Вводные!$A$13:$A$64,0),MATCH(JA$3,Вводные!$D$11:$F$11,0))*(1+IF(JA$4=$A42,Вводные!$D$5*INDEX(Вводные!$G$13:$G$64,MATCH($A42,Вводные!$A$13:$A$64,0)),0))</f>
        <v>0.4</v>
      </c>
    </row>
    <row r="43" customFormat="false" ht="15" hidden="false" customHeight="false" outlineLevel="0" collapsed="false">
      <c r="A43" s="13" t="s">
        <v>229</v>
      </c>
      <c r="B43" s="13" t="s">
        <v>230</v>
      </c>
      <c r="C43" s="13" t="s">
        <v>179</v>
      </c>
      <c r="D43" s="9" t="s">
        <v>36</v>
      </c>
      <c r="E43" s="14" t="n">
        <f aca="false">INDEX(Вводные!$D$13:$F$64,MATCH($A43,Вводные!$A$13:$A$64,0),MATCH(E$3,Вводные!$D$11:$F$11,0))*(1+IF(E$4=$A43,Вводные!$D$5*INDEX(Вводные!$G$13:$G$64,MATCH($A43,Вводные!$A$13:$A$64,0)),0))</f>
        <v>5000</v>
      </c>
      <c r="F43" s="14" t="n">
        <f aca="false">INDEX(Вводные!$D$13:$F$64,MATCH($A43,Вводные!$A$13:$A$64,0),MATCH(F$3,Вводные!$D$11:$F$11,0))*(1+IF(F$4=$A43,Вводные!$D$5*INDEX(Вводные!$G$13:$G$64,MATCH($A43,Вводные!$A$13:$A$64,0)),0))</f>
        <v>100000</v>
      </c>
      <c r="G43" s="14" t="n">
        <f aca="false">INDEX(Вводные!$D$13:$F$64,MATCH($A43,Вводные!$A$13:$A$64,0),MATCH(G$3,Вводные!$D$11:$F$11,0))*(1+IF(G$4=$A43,Вводные!$D$5*INDEX(Вводные!$G$13:$G$64,MATCH($A43,Вводные!$A$13:$A$64,0)),0))</f>
        <v>10000000</v>
      </c>
      <c r="H43" s="59"/>
      <c r="J43" s="14" t="n">
        <f aca="false">INDEX(Вводные!$D$13:$F$64,MATCH($A43,Вводные!$A$13:$A$64,0),MATCH(J$3,Вводные!$D$11:$F$11,0))*(1+IF(J$4=$A43,Вводные!$D$5*INDEX(Вводные!$G$13:$G$64,MATCH($A43,Вводные!$A$13:$A$64,0)),0))</f>
        <v>5000</v>
      </c>
      <c r="K43" s="14" t="n">
        <f aca="false">INDEX(Вводные!$D$13:$F$64,MATCH($A43,Вводные!$A$13:$A$64,0),MATCH(K$3,Вводные!$D$11:$F$11,0))*(1+IF(K$4=$A43,Вводные!$D$5*INDEX(Вводные!$G$13:$G$64,MATCH($A43,Вводные!$A$13:$A$64,0)),0))</f>
        <v>5000</v>
      </c>
      <c r="L43" s="14" t="n">
        <f aca="false">INDEX(Вводные!$D$13:$F$64,MATCH($A43,Вводные!$A$13:$A$64,0),MATCH(L$3,Вводные!$D$11:$F$11,0))*(1+IF(L$4=$A43,Вводные!$D$5*INDEX(Вводные!$G$13:$G$64,MATCH($A43,Вводные!$A$13:$A$64,0)),0))</f>
        <v>5000</v>
      </c>
      <c r="M43" s="14" t="n">
        <f aca="false">INDEX(Вводные!$D$13:$F$64,MATCH($A43,Вводные!$A$13:$A$64,0),MATCH(M$3,Вводные!$D$11:$F$11,0))*(1+IF(M$4=$A43,Вводные!$D$5*INDEX(Вводные!$G$13:$G$64,MATCH($A43,Вводные!$A$13:$A$64,0)),0))</f>
        <v>5000</v>
      </c>
      <c r="N43" s="14" t="n">
        <f aca="false">INDEX(Вводные!$D$13:$F$64,MATCH($A43,Вводные!$A$13:$A$64,0),MATCH(N$3,Вводные!$D$11:$F$11,0))*(1+IF(N$4=$A43,Вводные!$D$5*INDEX(Вводные!$G$13:$G$64,MATCH($A43,Вводные!$A$13:$A$64,0)),0))</f>
        <v>5000</v>
      </c>
      <c r="O43" s="14" t="n">
        <f aca="false">INDEX(Вводные!$D$13:$F$64,MATCH($A43,Вводные!$A$13:$A$64,0),MATCH(O$3,Вводные!$D$11:$F$11,0))*(1+IF(O$4=$A43,Вводные!$D$5*INDEX(Вводные!$G$13:$G$64,MATCH($A43,Вводные!$A$13:$A$64,0)),0))</f>
        <v>5000</v>
      </c>
      <c r="P43" s="14" t="n">
        <f aca="false">INDEX(Вводные!$D$13:$F$64,MATCH($A43,Вводные!$A$13:$A$64,0),MATCH(P$3,Вводные!$D$11:$F$11,0))*(1+IF(P$4=$A43,Вводные!$D$5*INDEX(Вводные!$G$13:$G$64,MATCH($A43,Вводные!$A$13:$A$64,0)),0))</f>
        <v>5000</v>
      </c>
      <c r="Q43" s="14" t="n">
        <f aca="false">INDEX(Вводные!$D$13:$F$64,MATCH($A43,Вводные!$A$13:$A$64,0),MATCH(Q$3,Вводные!$D$11:$F$11,0))*(1+IF(Q$4=$A43,Вводные!$D$5*INDEX(Вводные!$G$13:$G$64,MATCH($A43,Вводные!$A$13:$A$64,0)),0))</f>
        <v>5000</v>
      </c>
      <c r="R43" s="14" t="n">
        <f aca="false">INDEX(Вводные!$D$13:$F$64,MATCH($A43,Вводные!$A$13:$A$64,0),MATCH(R$3,Вводные!$D$11:$F$11,0))*(1+IF(R$4=$A43,Вводные!$D$5*INDEX(Вводные!$G$13:$G$64,MATCH($A43,Вводные!$A$13:$A$64,0)),0))</f>
        <v>5000</v>
      </c>
      <c r="S43" s="14" t="n">
        <f aca="false">INDEX(Вводные!$D$13:$F$64,MATCH($A43,Вводные!$A$13:$A$64,0),MATCH(S$3,Вводные!$D$11:$F$11,0))*(1+IF(S$4=$A43,Вводные!$D$5*INDEX(Вводные!$G$13:$G$64,MATCH($A43,Вводные!$A$13:$A$64,0)),0))</f>
        <v>5000</v>
      </c>
      <c r="T43" s="14" t="n">
        <f aca="false">INDEX(Вводные!$D$13:$F$64,MATCH($A43,Вводные!$A$13:$A$64,0),MATCH(T$3,Вводные!$D$11:$F$11,0))*(1+IF(T$4=$A43,Вводные!$D$5*INDEX(Вводные!$G$13:$G$64,MATCH($A43,Вводные!$A$13:$A$64,0)),0))</f>
        <v>5000</v>
      </c>
      <c r="U43" s="14" t="n">
        <f aca="false">INDEX(Вводные!$D$13:$F$64,MATCH($A43,Вводные!$A$13:$A$64,0),MATCH(U$3,Вводные!$D$11:$F$11,0))*(1+IF(U$4=$A43,Вводные!$D$5*INDEX(Вводные!$G$13:$G$64,MATCH($A43,Вводные!$A$13:$A$64,0)),0))</f>
        <v>5000</v>
      </c>
      <c r="V43" s="14" t="n">
        <f aca="false">INDEX(Вводные!$D$13:$F$64,MATCH($A43,Вводные!$A$13:$A$64,0),MATCH(V$3,Вводные!$D$11:$F$11,0))*(1+IF(V$4=$A43,Вводные!$D$5*INDEX(Вводные!$G$13:$G$64,MATCH($A43,Вводные!$A$13:$A$64,0)),0))</f>
        <v>5000</v>
      </c>
      <c r="W43" s="14" t="n">
        <f aca="false">INDEX(Вводные!$D$13:$F$64,MATCH($A43,Вводные!$A$13:$A$64,0),MATCH(W$3,Вводные!$D$11:$F$11,0))*(1+IF(W$4=$A43,Вводные!$D$5*INDEX(Вводные!$G$13:$G$64,MATCH($A43,Вводные!$A$13:$A$64,0)),0))</f>
        <v>5000</v>
      </c>
      <c r="X43" s="14" t="n">
        <f aca="false">INDEX(Вводные!$D$13:$F$64,MATCH($A43,Вводные!$A$13:$A$64,0),MATCH(X$3,Вводные!$D$11:$F$11,0))*(1+IF(X$4=$A43,Вводные!$D$5*INDEX(Вводные!$G$13:$G$64,MATCH($A43,Вводные!$A$13:$A$64,0)),0))</f>
        <v>5000</v>
      </c>
      <c r="Y43" s="14" t="n">
        <f aca="false">INDEX(Вводные!$D$13:$F$64,MATCH($A43,Вводные!$A$13:$A$64,0),MATCH(Y$3,Вводные!$D$11:$F$11,0))*(1+IF(Y$4=$A43,Вводные!$D$5*INDEX(Вводные!$G$13:$G$64,MATCH($A43,Вводные!$A$13:$A$64,0)),0))</f>
        <v>5000</v>
      </c>
      <c r="Z43" s="14" t="n">
        <f aca="false">INDEX(Вводные!$D$13:$F$64,MATCH($A43,Вводные!$A$13:$A$64,0),MATCH(Z$3,Вводные!$D$11:$F$11,0))*(1+IF(Z$4=$A43,Вводные!$D$5*INDEX(Вводные!$G$13:$G$64,MATCH($A43,Вводные!$A$13:$A$64,0)),0))</f>
        <v>5000</v>
      </c>
      <c r="AA43" s="14" t="n">
        <f aca="false">INDEX(Вводные!$D$13:$F$64,MATCH($A43,Вводные!$A$13:$A$64,0),MATCH(AA$3,Вводные!$D$11:$F$11,0))*(1+IF(AA$4=$A43,Вводные!$D$5*INDEX(Вводные!$G$13:$G$64,MATCH($A43,Вводные!$A$13:$A$64,0)),0))</f>
        <v>5000</v>
      </c>
      <c r="AB43" s="14" t="n">
        <f aca="false">INDEX(Вводные!$D$13:$F$64,MATCH($A43,Вводные!$A$13:$A$64,0),MATCH(AB$3,Вводные!$D$11:$F$11,0))*(1+IF(AB$4=$A43,Вводные!$D$5*INDEX(Вводные!$G$13:$G$64,MATCH($A43,Вводные!$A$13:$A$64,0)),0))</f>
        <v>5000</v>
      </c>
      <c r="AC43" s="14" t="n">
        <f aca="false">INDEX(Вводные!$D$13:$F$64,MATCH($A43,Вводные!$A$13:$A$64,0),MATCH(AC$3,Вводные!$D$11:$F$11,0))*(1+IF(AC$4=$A43,Вводные!$D$5*INDEX(Вводные!$G$13:$G$64,MATCH($A43,Вводные!$A$13:$A$64,0)),0))</f>
        <v>5000</v>
      </c>
      <c r="AD43" s="14" t="n">
        <f aca="false">INDEX(Вводные!$D$13:$F$64,MATCH($A43,Вводные!$A$13:$A$64,0),MATCH(AD$3,Вводные!$D$11:$F$11,0))*(1+IF(AD$4=$A43,Вводные!$D$5*INDEX(Вводные!$G$13:$G$64,MATCH($A43,Вводные!$A$13:$A$64,0)),0))</f>
        <v>5050</v>
      </c>
      <c r="AE43" s="14" t="n">
        <f aca="false">INDEX(Вводные!$D$13:$F$64,MATCH($A43,Вводные!$A$13:$A$64,0),MATCH(AE$3,Вводные!$D$11:$F$11,0))*(1+IF(AE$4=$A43,Вводные!$D$5*INDEX(Вводные!$G$13:$G$64,MATCH($A43,Вводные!$A$13:$A$64,0)),0))</f>
        <v>5000</v>
      </c>
      <c r="AF43" s="14" t="n">
        <f aca="false">INDEX(Вводные!$D$13:$F$64,MATCH($A43,Вводные!$A$13:$A$64,0),MATCH(AF$3,Вводные!$D$11:$F$11,0))*(1+IF(AF$4=$A43,Вводные!$D$5*INDEX(Вводные!$G$13:$G$64,MATCH($A43,Вводные!$A$13:$A$64,0)),0))</f>
        <v>5000</v>
      </c>
      <c r="AG43" s="14" t="n">
        <f aca="false">INDEX(Вводные!$D$13:$F$64,MATCH($A43,Вводные!$A$13:$A$64,0),MATCH(AG$3,Вводные!$D$11:$F$11,0))*(1+IF(AG$4=$A43,Вводные!$D$5*INDEX(Вводные!$G$13:$G$64,MATCH($A43,Вводные!$A$13:$A$64,0)),0))</f>
        <v>5000</v>
      </c>
      <c r="AH43" s="14" t="n">
        <f aca="false">INDEX(Вводные!$D$13:$F$64,MATCH($A43,Вводные!$A$13:$A$64,0),MATCH(AH$3,Вводные!$D$11:$F$11,0))*(1+IF(AH$4=$A43,Вводные!$D$5*INDEX(Вводные!$G$13:$G$64,MATCH($A43,Вводные!$A$13:$A$64,0)),0))</f>
        <v>5000</v>
      </c>
      <c r="AI43" s="14" t="n">
        <f aca="false">INDEX(Вводные!$D$13:$F$64,MATCH($A43,Вводные!$A$13:$A$64,0),MATCH(AI$3,Вводные!$D$11:$F$11,0))*(1+IF(AI$4=$A43,Вводные!$D$5*INDEX(Вводные!$G$13:$G$64,MATCH($A43,Вводные!$A$13:$A$64,0)),0))</f>
        <v>5000</v>
      </c>
      <c r="AJ43" s="14" t="n">
        <f aca="false">INDEX(Вводные!$D$13:$F$64,MATCH($A43,Вводные!$A$13:$A$64,0),MATCH(AJ$3,Вводные!$D$11:$F$11,0))*(1+IF(AJ$4=$A43,Вводные!$D$5*INDEX(Вводные!$G$13:$G$64,MATCH($A43,Вводные!$A$13:$A$64,0)),0))</f>
        <v>5000</v>
      </c>
      <c r="AK43" s="14" t="n">
        <f aca="false">INDEX(Вводные!$D$13:$F$64,MATCH($A43,Вводные!$A$13:$A$64,0),MATCH(AK$3,Вводные!$D$11:$F$11,0))*(1+IF(AK$4=$A43,Вводные!$D$5*INDEX(Вводные!$G$13:$G$64,MATCH($A43,Вводные!$A$13:$A$64,0)),0))</f>
        <v>5000</v>
      </c>
      <c r="AL43" s="14" t="n">
        <f aca="false">INDEX(Вводные!$D$13:$F$64,MATCH($A43,Вводные!$A$13:$A$64,0),MATCH(AL$3,Вводные!$D$11:$F$11,0))*(1+IF(AL$4=$A43,Вводные!$D$5*INDEX(Вводные!$G$13:$G$64,MATCH($A43,Вводные!$A$13:$A$64,0)),0))</f>
        <v>5000</v>
      </c>
      <c r="AM43" s="14" t="n">
        <f aca="false">INDEX(Вводные!$D$13:$F$64,MATCH($A43,Вводные!$A$13:$A$64,0),MATCH(AM$3,Вводные!$D$11:$F$11,0))*(1+IF(AM$4=$A43,Вводные!$D$5*INDEX(Вводные!$G$13:$G$64,MATCH($A43,Вводные!$A$13:$A$64,0)),0))</f>
        <v>5000</v>
      </c>
      <c r="AN43" s="14" t="n">
        <f aca="false">INDEX(Вводные!$D$13:$F$64,MATCH($A43,Вводные!$A$13:$A$64,0),MATCH(AN$3,Вводные!$D$11:$F$11,0))*(1+IF(AN$4=$A43,Вводные!$D$5*INDEX(Вводные!$G$13:$G$64,MATCH($A43,Вводные!$A$13:$A$64,0)),0))</f>
        <v>5000</v>
      </c>
      <c r="AO43" s="14" t="n">
        <f aca="false">INDEX(Вводные!$D$13:$F$64,MATCH($A43,Вводные!$A$13:$A$64,0),MATCH(AO$3,Вводные!$D$11:$F$11,0))*(1+IF(AO$4=$A43,Вводные!$D$5*INDEX(Вводные!$G$13:$G$64,MATCH($A43,Вводные!$A$13:$A$64,0)),0))</f>
        <v>5000</v>
      </c>
      <c r="AP43" s="14" t="n">
        <f aca="false">INDEX(Вводные!$D$13:$F$64,MATCH($A43,Вводные!$A$13:$A$64,0),MATCH(AP$3,Вводные!$D$11:$F$11,0))*(1+IF(AP$4=$A43,Вводные!$D$5*INDEX(Вводные!$G$13:$G$64,MATCH($A43,Вводные!$A$13:$A$64,0)),0))</f>
        <v>5000</v>
      </c>
      <c r="AQ43" s="14" t="n">
        <f aca="false">INDEX(Вводные!$D$13:$F$64,MATCH($A43,Вводные!$A$13:$A$64,0),MATCH(AQ$3,Вводные!$D$11:$F$11,0))*(1+IF(AQ$4=$A43,Вводные!$D$5*INDEX(Вводные!$G$13:$G$64,MATCH($A43,Вводные!$A$13:$A$64,0)),0))</f>
        <v>5000</v>
      </c>
      <c r="AR43" s="14" t="n">
        <f aca="false">INDEX(Вводные!$D$13:$F$64,MATCH($A43,Вводные!$A$13:$A$64,0),MATCH(AR$3,Вводные!$D$11:$F$11,0))*(1+IF(AR$4=$A43,Вводные!$D$5*INDEX(Вводные!$G$13:$G$64,MATCH($A43,Вводные!$A$13:$A$64,0)),0))</f>
        <v>5000</v>
      </c>
      <c r="AS43" s="14" t="n">
        <f aca="false">INDEX(Вводные!$D$13:$F$64,MATCH($A43,Вводные!$A$13:$A$64,0),MATCH(AS$3,Вводные!$D$11:$F$11,0))*(1+IF(AS$4=$A43,Вводные!$D$5*INDEX(Вводные!$G$13:$G$64,MATCH($A43,Вводные!$A$13:$A$64,0)),0))</f>
        <v>5000</v>
      </c>
      <c r="AT43" s="14" t="n">
        <f aca="false">INDEX(Вводные!$D$13:$F$64,MATCH($A43,Вводные!$A$13:$A$64,0),MATCH(AT$3,Вводные!$D$11:$F$11,0))*(1+IF(AT$4=$A43,Вводные!$D$5*INDEX(Вводные!$G$13:$G$64,MATCH($A43,Вводные!$A$13:$A$64,0)),0))</f>
        <v>5000</v>
      </c>
      <c r="AU43" s="14" t="n">
        <f aca="false">INDEX(Вводные!$D$13:$F$64,MATCH($A43,Вводные!$A$13:$A$64,0),MATCH(AU$3,Вводные!$D$11:$F$11,0))*(1+IF(AU$4=$A43,Вводные!$D$5*INDEX(Вводные!$G$13:$G$64,MATCH($A43,Вводные!$A$13:$A$64,0)),0))</f>
        <v>5000</v>
      </c>
      <c r="AV43" s="14" t="n">
        <f aca="false">INDEX(Вводные!$D$13:$F$64,MATCH($A43,Вводные!$A$13:$A$64,0),MATCH(AV$3,Вводные!$D$11:$F$11,0))*(1+IF(AV$4=$A43,Вводные!$D$5*INDEX(Вводные!$G$13:$G$64,MATCH($A43,Вводные!$A$13:$A$64,0)),0))</f>
        <v>5000</v>
      </c>
      <c r="AW43" s="14" t="n">
        <f aca="false">INDEX(Вводные!$D$13:$F$64,MATCH($A43,Вводные!$A$13:$A$64,0),MATCH(AW$3,Вводные!$D$11:$F$11,0))*(1+IF(AW$4=$A43,Вводные!$D$5*INDEX(Вводные!$G$13:$G$64,MATCH($A43,Вводные!$A$13:$A$64,0)),0))</f>
        <v>5000</v>
      </c>
      <c r="AX43" s="14" t="n">
        <f aca="false">INDEX(Вводные!$D$13:$F$64,MATCH($A43,Вводные!$A$13:$A$64,0),MATCH(AX$3,Вводные!$D$11:$F$11,0))*(1+IF(AX$4=$A43,Вводные!$D$5*INDEX(Вводные!$G$13:$G$64,MATCH($A43,Вводные!$A$13:$A$64,0)),0))</f>
        <v>5000</v>
      </c>
      <c r="AY43" s="14" t="n">
        <f aca="false">INDEX(Вводные!$D$13:$F$64,MATCH($A43,Вводные!$A$13:$A$64,0),MATCH(AY$3,Вводные!$D$11:$F$11,0))*(1+IF(AY$4=$A43,Вводные!$D$5*INDEX(Вводные!$G$13:$G$64,MATCH($A43,Вводные!$A$13:$A$64,0)),0))</f>
        <v>5000</v>
      </c>
      <c r="AZ43" s="14" t="n">
        <f aca="false">INDEX(Вводные!$D$13:$F$64,MATCH($A43,Вводные!$A$13:$A$64,0),MATCH(AZ$3,Вводные!$D$11:$F$11,0))*(1+IF(AZ$4=$A43,Вводные!$D$5*INDEX(Вводные!$G$13:$G$64,MATCH($A43,Вводные!$A$13:$A$64,0)),0))</f>
        <v>100000</v>
      </c>
      <c r="BA43" s="14" t="n">
        <f aca="false">INDEX(Вводные!$D$13:$F$64,MATCH($A43,Вводные!$A$13:$A$64,0),MATCH(BA$3,Вводные!$D$11:$F$11,0))*(1+IF(BA$4=$A43,Вводные!$D$5*INDEX(Вводные!$G$13:$G$64,MATCH($A43,Вводные!$A$13:$A$64,0)),0))</f>
        <v>100000</v>
      </c>
      <c r="BB43" s="14" t="n">
        <f aca="false">INDEX(Вводные!$D$13:$F$64,MATCH($A43,Вводные!$A$13:$A$64,0),MATCH(BB$3,Вводные!$D$11:$F$11,0))*(1+IF(BB$4=$A43,Вводные!$D$5*INDEX(Вводные!$G$13:$G$64,MATCH($A43,Вводные!$A$13:$A$64,0)),0))</f>
        <v>100000</v>
      </c>
      <c r="BC43" s="14" t="n">
        <f aca="false">INDEX(Вводные!$D$13:$F$64,MATCH($A43,Вводные!$A$13:$A$64,0),MATCH(BC$3,Вводные!$D$11:$F$11,0))*(1+IF(BC$4=$A43,Вводные!$D$5*INDEX(Вводные!$G$13:$G$64,MATCH($A43,Вводные!$A$13:$A$64,0)),0))</f>
        <v>100000</v>
      </c>
      <c r="BD43" s="14" t="n">
        <f aca="false">INDEX(Вводные!$D$13:$F$64,MATCH($A43,Вводные!$A$13:$A$64,0),MATCH(BD$3,Вводные!$D$11:$F$11,0))*(1+IF(BD$4=$A43,Вводные!$D$5*INDEX(Вводные!$G$13:$G$64,MATCH($A43,Вводные!$A$13:$A$64,0)),0))</f>
        <v>100000</v>
      </c>
      <c r="BE43" s="14" t="n">
        <f aca="false">INDEX(Вводные!$D$13:$F$64,MATCH($A43,Вводные!$A$13:$A$64,0),MATCH(BE$3,Вводные!$D$11:$F$11,0))*(1+IF(BE$4=$A43,Вводные!$D$5*INDEX(Вводные!$G$13:$G$64,MATCH($A43,Вводные!$A$13:$A$64,0)),0))</f>
        <v>100000</v>
      </c>
      <c r="BF43" s="14" t="n">
        <f aca="false">INDEX(Вводные!$D$13:$F$64,MATCH($A43,Вводные!$A$13:$A$64,0),MATCH(BF$3,Вводные!$D$11:$F$11,0))*(1+IF(BF$4=$A43,Вводные!$D$5*INDEX(Вводные!$G$13:$G$64,MATCH($A43,Вводные!$A$13:$A$64,0)),0))</f>
        <v>100000</v>
      </c>
      <c r="BG43" s="14" t="n">
        <f aca="false">INDEX(Вводные!$D$13:$F$64,MATCH($A43,Вводные!$A$13:$A$64,0),MATCH(BG$3,Вводные!$D$11:$F$11,0))*(1+IF(BG$4=$A43,Вводные!$D$5*INDEX(Вводные!$G$13:$G$64,MATCH($A43,Вводные!$A$13:$A$64,0)),0))</f>
        <v>100000</v>
      </c>
      <c r="BH43" s="14" t="n">
        <f aca="false">INDEX(Вводные!$D$13:$F$64,MATCH($A43,Вводные!$A$13:$A$64,0),MATCH(BH$3,Вводные!$D$11:$F$11,0))*(1+IF(BH$4=$A43,Вводные!$D$5*INDEX(Вводные!$G$13:$G$64,MATCH($A43,Вводные!$A$13:$A$64,0)),0))</f>
        <v>100000</v>
      </c>
      <c r="BI43" s="14" t="n">
        <f aca="false">INDEX(Вводные!$D$13:$F$64,MATCH($A43,Вводные!$A$13:$A$64,0),MATCH(BI$3,Вводные!$D$11:$F$11,0))*(1+IF(BI$4=$A43,Вводные!$D$5*INDEX(Вводные!$G$13:$G$64,MATCH($A43,Вводные!$A$13:$A$64,0)),0))</f>
        <v>100000</v>
      </c>
      <c r="BJ43" s="14" t="n">
        <f aca="false">INDEX(Вводные!$D$13:$F$64,MATCH($A43,Вводные!$A$13:$A$64,0),MATCH(BJ$3,Вводные!$D$11:$F$11,0))*(1+IF(BJ$4=$A43,Вводные!$D$5*INDEX(Вводные!$G$13:$G$64,MATCH($A43,Вводные!$A$13:$A$64,0)),0))</f>
        <v>100000</v>
      </c>
      <c r="BK43" s="14" t="n">
        <f aca="false">INDEX(Вводные!$D$13:$F$64,MATCH($A43,Вводные!$A$13:$A$64,0),MATCH(BK$3,Вводные!$D$11:$F$11,0))*(1+IF(BK$4=$A43,Вводные!$D$5*INDEX(Вводные!$G$13:$G$64,MATCH($A43,Вводные!$A$13:$A$64,0)),0))</f>
        <v>100000</v>
      </c>
      <c r="BL43" s="14" t="n">
        <f aca="false">INDEX(Вводные!$D$13:$F$64,MATCH($A43,Вводные!$A$13:$A$64,0),MATCH(BL$3,Вводные!$D$11:$F$11,0))*(1+IF(BL$4=$A43,Вводные!$D$5*INDEX(Вводные!$G$13:$G$64,MATCH($A43,Вводные!$A$13:$A$64,0)),0))</f>
        <v>100000</v>
      </c>
      <c r="BM43" s="14" t="n">
        <f aca="false">INDEX(Вводные!$D$13:$F$64,MATCH($A43,Вводные!$A$13:$A$64,0),MATCH(BM$3,Вводные!$D$11:$F$11,0))*(1+IF(BM$4=$A43,Вводные!$D$5*INDEX(Вводные!$G$13:$G$64,MATCH($A43,Вводные!$A$13:$A$64,0)),0))</f>
        <v>100000</v>
      </c>
      <c r="BN43" s="14" t="n">
        <f aca="false">INDEX(Вводные!$D$13:$F$64,MATCH($A43,Вводные!$A$13:$A$64,0),MATCH(BN$3,Вводные!$D$11:$F$11,0))*(1+IF(BN$4=$A43,Вводные!$D$5*INDEX(Вводные!$G$13:$G$64,MATCH($A43,Вводные!$A$13:$A$64,0)),0))</f>
        <v>100000</v>
      </c>
      <c r="BO43" s="14" t="n">
        <f aca="false">INDEX(Вводные!$D$13:$F$64,MATCH($A43,Вводные!$A$13:$A$64,0),MATCH(BO$3,Вводные!$D$11:$F$11,0))*(1+IF(BO$4=$A43,Вводные!$D$5*INDEX(Вводные!$G$13:$G$64,MATCH($A43,Вводные!$A$13:$A$64,0)),0))</f>
        <v>100000</v>
      </c>
      <c r="BP43" s="14" t="n">
        <f aca="false">INDEX(Вводные!$D$13:$F$64,MATCH($A43,Вводные!$A$13:$A$64,0),MATCH(BP$3,Вводные!$D$11:$F$11,0))*(1+IF(BP$4=$A43,Вводные!$D$5*INDEX(Вводные!$G$13:$G$64,MATCH($A43,Вводные!$A$13:$A$64,0)),0))</f>
        <v>100000</v>
      </c>
      <c r="BQ43" s="14" t="n">
        <f aca="false">INDEX(Вводные!$D$13:$F$64,MATCH($A43,Вводные!$A$13:$A$64,0),MATCH(BQ$3,Вводные!$D$11:$F$11,0))*(1+IF(BQ$4=$A43,Вводные!$D$5*INDEX(Вводные!$G$13:$G$64,MATCH($A43,Вводные!$A$13:$A$64,0)),0))</f>
        <v>100000</v>
      </c>
      <c r="BR43" s="14" t="n">
        <f aca="false">INDEX(Вводные!$D$13:$F$64,MATCH($A43,Вводные!$A$13:$A$64,0),MATCH(BR$3,Вводные!$D$11:$F$11,0))*(1+IF(BR$4=$A43,Вводные!$D$5*INDEX(Вводные!$G$13:$G$64,MATCH($A43,Вводные!$A$13:$A$64,0)),0))</f>
        <v>100000</v>
      </c>
      <c r="BS43" s="14" t="n">
        <f aca="false">INDEX(Вводные!$D$13:$F$64,MATCH($A43,Вводные!$A$13:$A$64,0),MATCH(BS$3,Вводные!$D$11:$F$11,0))*(1+IF(BS$4=$A43,Вводные!$D$5*INDEX(Вводные!$G$13:$G$64,MATCH($A43,Вводные!$A$13:$A$64,0)),0))</f>
        <v>100000</v>
      </c>
      <c r="BT43" s="14" t="n">
        <f aca="false">INDEX(Вводные!$D$13:$F$64,MATCH($A43,Вводные!$A$13:$A$64,0),MATCH(BT$3,Вводные!$D$11:$F$11,0))*(1+IF(BT$4=$A43,Вводные!$D$5*INDEX(Вводные!$G$13:$G$64,MATCH($A43,Вводные!$A$13:$A$64,0)),0))</f>
        <v>101000</v>
      </c>
      <c r="BU43" s="14" t="n">
        <f aca="false">INDEX(Вводные!$D$13:$F$64,MATCH($A43,Вводные!$A$13:$A$64,0),MATCH(BU$3,Вводные!$D$11:$F$11,0))*(1+IF(BU$4=$A43,Вводные!$D$5*INDEX(Вводные!$G$13:$G$64,MATCH($A43,Вводные!$A$13:$A$64,0)),0))</f>
        <v>100000</v>
      </c>
      <c r="BV43" s="14" t="n">
        <f aca="false">INDEX(Вводные!$D$13:$F$64,MATCH($A43,Вводные!$A$13:$A$64,0),MATCH(BV$3,Вводные!$D$11:$F$11,0))*(1+IF(BV$4=$A43,Вводные!$D$5*INDEX(Вводные!$G$13:$G$64,MATCH($A43,Вводные!$A$13:$A$64,0)),0))</f>
        <v>100000</v>
      </c>
      <c r="BW43" s="14" t="n">
        <f aca="false">INDEX(Вводные!$D$13:$F$64,MATCH($A43,Вводные!$A$13:$A$64,0),MATCH(BW$3,Вводные!$D$11:$F$11,0))*(1+IF(BW$4=$A43,Вводные!$D$5*INDEX(Вводные!$G$13:$G$64,MATCH($A43,Вводные!$A$13:$A$64,0)),0))</f>
        <v>100000</v>
      </c>
      <c r="BX43" s="14" t="n">
        <f aca="false">INDEX(Вводные!$D$13:$F$64,MATCH($A43,Вводные!$A$13:$A$64,0),MATCH(BX$3,Вводные!$D$11:$F$11,0))*(1+IF(BX$4=$A43,Вводные!$D$5*INDEX(Вводные!$G$13:$G$64,MATCH($A43,Вводные!$A$13:$A$64,0)),0))</f>
        <v>100000</v>
      </c>
      <c r="BY43" s="14" t="n">
        <f aca="false">INDEX(Вводные!$D$13:$F$64,MATCH($A43,Вводные!$A$13:$A$64,0),MATCH(BY$3,Вводные!$D$11:$F$11,0))*(1+IF(BY$4=$A43,Вводные!$D$5*INDEX(Вводные!$G$13:$G$64,MATCH($A43,Вводные!$A$13:$A$64,0)),0))</f>
        <v>100000</v>
      </c>
      <c r="BZ43" s="14" t="n">
        <f aca="false">INDEX(Вводные!$D$13:$F$64,MATCH($A43,Вводные!$A$13:$A$64,0),MATCH(BZ$3,Вводные!$D$11:$F$11,0))*(1+IF(BZ$4=$A43,Вводные!$D$5*INDEX(Вводные!$G$13:$G$64,MATCH($A43,Вводные!$A$13:$A$64,0)),0))</f>
        <v>100000</v>
      </c>
      <c r="CA43" s="14" t="n">
        <f aca="false">INDEX(Вводные!$D$13:$F$64,MATCH($A43,Вводные!$A$13:$A$64,0),MATCH(CA$3,Вводные!$D$11:$F$11,0))*(1+IF(CA$4=$A43,Вводные!$D$5*INDEX(Вводные!$G$13:$G$64,MATCH($A43,Вводные!$A$13:$A$64,0)),0))</f>
        <v>100000</v>
      </c>
      <c r="CB43" s="14" t="n">
        <f aca="false">INDEX(Вводные!$D$13:$F$64,MATCH($A43,Вводные!$A$13:$A$64,0),MATCH(CB$3,Вводные!$D$11:$F$11,0))*(1+IF(CB$4=$A43,Вводные!$D$5*INDEX(Вводные!$G$13:$G$64,MATCH($A43,Вводные!$A$13:$A$64,0)),0))</f>
        <v>100000</v>
      </c>
      <c r="CC43" s="14" t="n">
        <f aca="false">INDEX(Вводные!$D$13:$F$64,MATCH($A43,Вводные!$A$13:$A$64,0),MATCH(CC$3,Вводные!$D$11:$F$11,0))*(1+IF(CC$4=$A43,Вводные!$D$5*INDEX(Вводные!$G$13:$G$64,MATCH($A43,Вводные!$A$13:$A$64,0)),0))</f>
        <v>100000</v>
      </c>
      <c r="CD43" s="14" t="n">
        <f aca="false">INDEX(Вводные!$D$13:$F$64,MATCH($A43,Вводные!$A$13:$A$64,0),MATCH(CD$3,Вводные!$D$11:$F$11,0))*(1+IF(CD$4=$A43,Вводные!$D$5*INDEX(Вводные!$G$13:$G$64,MATCH($A43,Вводные!$A$13:$A$64,0)),0))</f>
        <v>100000</v>
      </c>
      <c r="CE43" s="14" t="n">
        <f aca="false">INDEX(Вводные!$D$13:$F$64,MATCH($A43,Вводные!$A$13:$A$64,0),MATCH(CE$3,Вводные!$D$11:$F$11,0))*(1+IF(CE$4=$A43,Вводные!$D$5*INDEX(Вводные!$G$13:$G$64,MATCH($A43,Вводные!$A$13:$A$64,0)),0))</f>
        <v>100000</v>
      </c>
      <c r="CF43" s="14" t="n">
        <f aca="false">INDEX(Вводные!$D$13:$F$64,MATCH($A43,Вводные!$A$13:$A$64,0),MATCH(CF$3,Вводные!$D$11:$F$11,0))*(1+IF(CF$4=$A43,Вводные!$D$5*INDEX(Вводные!$G$13:$G$64,MATCH($A43,Вводные!$A$13:$A$64,0)),0))</f>
        <v>100000</v>
      </c>
      <c r="CG43" s="14" t="n">
        <f aca="false">INDEX(Вводные!$D$13:$F$64,MATCH($A43,Вводные!$A$13:$A$64,0),MATCH(CG$3,Вводные!$D$11:$F$11,0))*(1+IF(CG$4=$A43,Вводные!$D$5*INDEX(Вводные!$G$13:$G$64,MATCH($A43,Вводные!$A$13:$A$64,0)),0))</f>
        <v>100000</v>
      </c>
      <c r="CH43" s="14" t="n">
        <f aca="false">INDEX(Вводные!$D$13:$F$64,MATCH($A43,Вводные!$A$13:$A$64,0),MATCH(CH$3,Вводные!$D$11:$F$11,0))*(1+IF(CH$4=$A43,Вводные!$D$5*INDEX(Вводные!$G$13:$G$64,MATCH($A43,Вводные!$A$13:$A$64,0)),0))</f>
        <v>100000</v>
      </c>
      <c r="CI43" s="14" t="n">
        <f aca="false">INDEX(Вводные!$D$13:$F$64,MATCH($A43,Вводные!$A$13:$A$64,0),MATCH(CI$3,Вводные!$D$11:$F$11,0))*(1+IF(CI$4=$A43,Вводные!$D$5*INDEX(Вводные!$G$13:$G$64,MATCH($A43,Вводные!$A$13:$A$64,0)),0))</f>
        <v>100000</v>
      </c>
      <c r="CJ43" s="14" t="n">
        <f aca="false">INDEX(Вводные!$D$13:$F$64,MATCH($A43,Вводные!$A$13:$A$64,0),MATCH(CJ$3,Вводные!$D$11:$F$11,0))*(1+IF(CJ$4=$A43,Вводные!$D$5*INDEX(Вводные!$G$13:$G$64,MATCH($A43,Вводные!$A$13:$A$64,0)),0))</f>
        <v>100000</v>
      </c>
      <c r="CK43" s="14" t="n">
        <f aca="false">INDEX(Вводные!$D$13:$F$64,MATCH($A43,Вводные!$A$13:$A$64,0),MATCH(CK$3,Вводные!$D$11:$F$11,0))*(1+IF(CK$4=$A43,Вводные!$D$5*INDEX(Вводные!$G$13:$G$64,MATCH($A43,Вводные!$A$13:$A$64,0)),0))</f>
        <v>100000</v>
      </c>
      <c r="CL43" s="14" t="n">
        <f aca="false">INDEX(Вводные!$D$13:$F$64,MATCH($A43,Вводные!$A$13:$A$64,0),MATCH(CL$3,Вводные!$D$11:$F$11,0))*(1+IF(CL$4=$A43,Вводные!$D$5*INDEX(Вводные!$G$13:$G$64,MATCH($A43,Вводные!$A$13:$A$64,0)),0))</f>
        <v>100000</v>
      </c>
      <c r="CM43" s="14" t="n">
        <f aca="false">INDEX(Вводные!$D$13:$F$64,MATCH($A43,Вводные!$A$13:$A$64,0),MATCH(CM$3,Вводные!$D$11:$F$11,0))*(1+IF(CM$4=$A43,Вводные!$D$5*INDEX(Вводные!$G$13:$G$64,MATCH($A43,Вводные!$A$13:$A$64,0)),0))</f>
        <v>100000</v>
      </c>
      <c r="CN43" s="14" t="n">
        <f aca="false">INDEX(Вводные!$D$13:$F$64,MATCH($A43,Вводные!$A$13:$A$64,0),MATCH(CN$3,Вводные!$D$11:$F$11,0))*(1+IF(CN$4=$A43,Вводные!$D$5*INDEX(Вводные!$G$13:$G$64,MATCH($A43,Вводные!$A$13:$A$64,0)),0))</f>
        <v>100000</v>
      </c>
      <c r="CO43" s="14" t="n">
        <f aca="false">INDEX(Вводные!$D$13:$F$64,MATCH($A43,Вводные!$A$13:$A$64,0),MATCH(CO$3,Вводные!$D$11:$F$11,0))*(1+IF(CO$4=$A43,Вводные!$D$5*INDEX(Вводные!$G$13:$G$64,MATCH($A43,Вводные!$A$13:$A$64,0)),0))</f>
        <v>100000</v>
      </c>
      <c r="CP43" s="14" t="n">
        <f aca="false">INDEX(Вводные!$D$13:$F$64,MATCH($A43,Вводные!$A$13:$A$64,0),MATCH(CP$3,Вводные!$D$11:$F$11,0))*(1+IF(CP$4=$A43,Вводные!$D$5*INDEX(Вводные!$G$13:$G$64,MATCH($A43,Вводные!$A$13:$A$64,0)),0))</f>
        <v>10000000</v>
      </c>
      <c r="CQ43" s="14" t="n">
        <f aca="false">INDEX(Вводные!$D$13:$F$64,MATCH($A43,Вводные!$A$13:$A$64,0),MATCH(CQ$3,Вводные!$D$11:$F$11,0))*(1+IF(CQ$4=$A43,Вводные!$D$5*INDEX(Вводные!$G$13:$G$64,MATCH($A43,Вводные!$A$13:$A$64,0)),0))</f>
        <v>10000000</v>
      </c>
      <c r="CR43" s="14" t="n">
        <f aca="false">INDEX(Вводные!$D$13:$F$64,MATCH($A43,Вводные!$A$13:$A$64,0),MATCH(CR$3,Вводные!$D$11:$F$11,0))*(1+IF(CR$4=$A43,Вводные!$D$5*INDEX(Вводные!$G$13:$G$64,MATCH($A43,Вводные!$A$13:$A$64,0)),0))</f>
        <v>10000000</v>
      </c>
      <c r="CS43" s="14" t="n">
        <f aca="false">INDEX(Вводные!$D$13:$F$64,MATCH($A43,Вводные!$A$13:$A$64,0),MATCH(CS$3,Вводные!$D$11:$F$11,0))*(1+IF(CS$4=$A43,Вводные!$D$5*INDEX(Вводные!$G$13:$G$64,MATCH($A43,Вводные!$A$13:$A$64,0)),0))</f>
        <v>10000000</v>
      </c>
      <c r="CT43" s="14" t="n">
        <f aca="false">INDEX(Вводные!$D$13:$F$64,MATCH($A43,Вводные!$A$13:$A$64,0),MATCH(CT$3,Вводные!$D$11:$F$11,0))*(1+IF(CT$4=$A43,Вводные!$D$5*INDEX(Вводные!$G$13:$G$64,MATCH($A43,Вводные!$A$13:$A$64,0)),0))</f>
        <v>10000000</v>
      </c>
      <c r="CU43" s="14" t="n">
        <f aca="false">INDEX(Вводные!$D$13:$F$64,MATCH($A43,Вводные!$A$13:$A$64,0),MATCH(CU$3,Вводные!$D$11:$F$11,0))*(1+IF(CU$4=$A43,Вводные!$D$5*INDEX(Вводные!$G$13:$G$64,MATCH($A43,Вводные!$A$13:$A$64,0)),0))</f>
        <v>10000000</v>
      </c>
      <c r="CV43" s="14" t="n">
        <f aca="false">INDEX(Вводные!$D$13:$F$64,MATCH($A43,Вводные!$A$13:$A$64,0),MATCH(CV$3,Вводные!$D$11:$F$11,0))*(1+IF(CV$4=$A43,Вводные!$D$5*INDEX(Вводные!$G$13:$G$64,MATCH($A43,Вводные!$A$13:$A$64,0)),0))</f>
        <v>10000000</v>
      </c>
      <c r="CW43" s="14" t="n">
        <f aca="false">INDEX(Вводные!$D$13:$F$64,MATCH($A43,Вводные!$A$13:$A$64,0),MATCH(CW$3,Вводные!$D$11:$F$11,0))*(1+IF(CW$4=$A43,Вводные!$D$5*INDEX(Вводные!$G$13:$G$64,MATCH($A43,Вводные!$A$13:$A$64,0)),0))</f>
        <v>10000000</v>
      </c>
      <c r="CX43" s="14" t="n">
        <f aca="false">INDEX(Вводные!$D$13:$F$64,MATCH($A43,Вводные!$A$13:$A$64,0),MATCH(CX$3,Вводные!$D$11:$F$11,0))*(1+IF(CX$4=$A43,Вводные!$D$5*INDEX(Вводные!$G$13:$G$64,MATCH($A43,Вводные!$A$13:$A$64,0)),0))</f>
        <v>10000000</v>
      </c>
      <c r="CY43" s="14" t="n">
        <f aca="false">INDEX(Вводные!$D$13:$F$64,MATCH($A43,Вводные!$A$13:$A$64,0),MATCH(CY$3,Вводные!$D$11:$F$11,0))*(1+IF(CY$4=$A43,Вводные!$D$5*INDEX(Вводные!$G$13:$G$64,MATCH($A43,Вводные!$A$13:$A$64,0)),0))</f>
        <v>10000000</v>
      </c>
      <c r="CZ43" s="14" t="n">
        <f aca="false">INDEX(Вводные!$D$13:$F$64,MATCH($A43,Вводные!$A$13:$A$64,0),MATCH(CZ$3,Вводные!$D$11:$F$11,0))*(1+IF(CZ$4=$A43,Вводные!$D$5*INDEX(Вводные!$G$13:$G$64,MATCH($A43,Вводные!$A$13:$A$64,0)),0))</f>
        <v>10000000</v>
      </c>
      <c r="DA43" s="14" t="n">
        <f aca="false">INDEX(Вводные!$D$13:$F$64,MATCH($A43,Вводные!$A$13:$A$64,0),MATCH(DA$3,Вводные!$D$11:$F$11,0))*(1+IF(DA$4=$A43,Вводные!$D$5*INDEX(Вводные!$G$13:$G$64,MATCH($A43,Вводные!$A$13:$A$64,0)),0))</f>
        <v>10000000</v>
      </c>
      <c r="DB43" s="14" t="n">
        <f aca="false">INDEX(Вводные!$D$13:$F$64,MATCH($A43,Вводные!$A$13:$A$64,0),MATCH(DB$3,Вводные!$D$11:$F$11,0))*(1+IF(DB$4=$A43,Вводные!$D$5*INDEX(Вводные!$G$13:$G$64,MATCH($A43,Вводные!$A$13:$A$64,0)),0))</f>
        <v>10000000</v>
      </c>
      <c r="DC43" s="14" t="n">
        <f aca="false">INDEX(Вводные!$D$13:$F$64,MATCH($A43,Вводные!$A$13:$A$64,0),MATCH(DC$3,Вводные!$D$11:$F$11,0))*(1+IF(DC$4=$A43,Вводные!$D$5*INDEX(Вводные!$G$13:$G$64,MATCH($A43,Вводные!$A$13:$A$64,0)),0))</f>
        <v>10000000</v>
      </c>
      <c r="DD43" s="14" t="n">
        <f aca="false">INDEX(Вводные!$D$13:$F$64,MATCH($A43,Вводные!$A$13:$A$64,0),MATCH(DD$3,Вводные!$D$11:$F$11,0))*(1+IF(DD$4=$A43,Вводные!$D$5*INDEX(Вводные!$G$13:$G$64,MATCH($A43,Вводные!$A$13:$A$64,0)),0))</f>
        <v>10000000</v>
      </c>
      <c r="DE43" s="14" t="n">
        <f aca="false">INDEX(Вводные!$D$13:$F$64,MATCH($A43,Вводные!$A$13:$A$64,0),MATCH(DE$3,Вводные!$D$11:$F$11,0))*(1+IF(DE$4=$A43,Вводные!$D$5*INDEX(Вводные!$G$13:$G$64,MATCH($A43,Вводные!$A$13:$A$64,0)),0))</f>
        <v>10000000</v>
      </c>
      <c r="DF43" s="14" t="n">
        <f aca="false">INDEX(Вводные!$D$13:$F$64,MATCH($A43,Вводные!$A$13:$A$64,0),MATCH(DF$3,Вводные!$D$11:$F$11,0))*(1+IF(DF$4=$A43,Вводные!$D$5*INDEX(Вводные!$G$13:$G$64,MATCH($A43,Вводные!$A$13:$A$64,0)),0))</f>
        <v>10000000</v>
      </c>
      <c r="DG43" s="14" t="n">
        <f aca="false">INDEX(Вводные!$D$13:$F$64,MATCH($A43,Вводные!$A$13:$A$64,0),MATCH(DG$3,Вводные!$D$11:$F$11,0))*(1+IF(DG$4=$A43,Вводные!$D$5*INDEX(Вводные!$G$13:$G$64,MATCH($A43,Вводные!$A$13:$A$64,0)),0))</f>
        <v>10000000</v>
      </c>
      <c r="DH43" s="14" t="n">
        <f aca="false">INDEX(Вводные!$D$13:$F$64,MATCH($A43,Вводные!$A$13:$A$64,0),MATCH(DH$3,Вводные!$D$11:$F$11,0))*(1+IF(DH$4=$A43,Вводные!$D$5*INDEX(Вводные!$G$13:$G$64,MATCH($A43,Вводные!$A$13:$A$64,0)),0))</f>
        <v>10000000</v>
      </c>
      <c r="DI43" s="14" t="n">
        <f aca="false">INDEX(Вводные!$D$13:$F$64,MATCH($A43,Вводные!$A$13:$A$64,0),MATCH(DI$3,Вводные!$D$11:$F$11,0))*(1+IF(DI$4=$A43,Вводные!$D$5*INDEX(Вводные!$G$13:$G$64,MATCH($A43,Вводные!$A$13:$A$64,0)),0))</f>
        <v>10000000</v>
      </c>
      <c r="DJ43" s="14" t="n">
        <f aca="false">INDEX(Вводные!$D$13:$F$64,MATCH($A43,Вводные!$A$13:$A$64,0),MATCH(DJ$3,Вводные!$D$11:$F$11,0))*(1+IF(DJ$4=$A43,Вводные!$D$5*INDEX(Вводные!$G$13:$G$64,MATCH($A43,Вводные!$A$13:$A$64,0)),0))</f>
        <v>10100000</v>
      </c>
      <c r="DK43" s="14" t="n">
        <f aca="false">INDEX(Вводные!$D$13:$F$64,MATCH($A43,Вводные!$A$13:$A$64,0),MATCH(DK$3,Вводные!$D$11:$F$11,0))*(1+IF(DK$4=$A43,Вводные!$D$5*INDEX(Вводные!$G$13:$G$64,MATCH($A43,Вводные!$A$13:$A$64,0)),0))</f>
        <v>10000000</v>
      </c>
      <c r="DL43" s="14" t="n">
        <f aca="false">INDEX(Вводные!$D$13:$F$64,MATCH($A43,Вводные!$A$13:$A$64,0),MATCH(DL$3,Вводные!$D$11:$F$11,0))*(1+IF(DL$4=$A43,Вводные!$D$5*INDEX(Вводные!$G$13:$G$64,MATCH($A43,Вводные!$A$13:$A$64,0)),0))</f>
        <v>10000000</v>
      </c>
      <c r="DM43" s="14" t="n">
        <f aca="false">INDEX(Вводные!$D$13:$F$64,MATCH($A43,Вводные!$A$13:$A$64,0),MATCH(DM$3,Вводные!$D$11:$F$11,0))*(1+IF(DM$4=$A43,Вводные!$D$5*INDEX(Вводные!$G$13:$G$64,MATCH($A43,Вводные!$A$13:$A$64,0)),0))</f>
        <v>10000000</v>
      </c>
      <c r="DN43" s="14" t="n">
        <f aca="false">INDEX(Вводные!$D$13:$F$64,MATCH($A43,Вводные!$A$13:$A$64,0),MATCH(DN$3,Вводные!$D$11:$F$11,0))*(1+IF(DN$4=$A43,Вводные!$D$5*INDEX(Вводные!$G$13:$G$64,MATCH($A43,Вводные!$A$13:$A$64,0)),0))</f>
        <v>10000000</v>
      </c>
      <c r="DO43" s="14" t="n">
        <f aca="false">INDEX(Вводные!$D$13:$F$64,MATCH($A43,Вводные!$A$13:$A$64,0),MATCH(DO$3,Вводные!$D$11:$F$11,0))*(1+IF(DO$4=$A43,Вводные!$D$5*INDEX(Вводные!$G$13:$G$64,MATCH($A43,Вводные!$A$13:$A$64,0)),0))</f>
        <v>10000000</v>
      </c>
      <c r="DP43" s="14" t="n">
        <f aca="false">INDEX(Вводные!$D$13:$F$64,MATCH($A43,Вводные!$A$13:$A$64,0),MATCH(DP$3,Вводные!$D$11:$F$11,0))*(1+IF(DP$4=$A43,Вводные!$D$5*INDEX(Вводные!$G$13:$G$64,MATCH($A43,Вводные!$A$13:$A$64,0)),0))</f>
        <v>10000000</v>
      </c>
      <c r="DQ43" s="14" t="n">
        <f aca="false">INDEX(Вводные!$D$13:$F$64,MATCH($A43,Вводные!$A$13:$A$64,0),MATCH(DQ$3,Вводные!$D$11:$F$11,0))*(1+IF(DQ$4=$A43,Вводные!$D$5*INDEX(Вводные!$G$13:$G$64,MATCH($A43,Вводные!$A$13:$A$64,0)),0))</f>
        <v>10000000</v>
      </c>
      <c r="DR43" s="14" t="n">
        <f aca="false">INDEX(Вводные!$D$13:$F$64,MATCH($A43,Вводные!$A$13:$A$64,0),MATCH(DR$3,Вводные!$D$11:$F$11,0))*(1+IF(DR$4=$A43,Вводные!$D$5*INDEX(Вводные!$G$13:$G$64,MATCH($A43,Вводные!$A$13:$A$64,0)),0))</f>
        <v>10000000</v>
      </c>
      <c r="DS43" s="14" t="n">
        <f aca="false">INDEX(Вводные!$D$13:$F$64,MATCH($A43,Вводные!$A$13:$A$64,0),MATCH(DS$3,Вводные!$D$11:$F$11,0))*(1+IF(DS$4=$A43,Вводные!$D$5*INDEX(Вводные!$G$13:$G$64,MATCH($A43,Вводные!$A$13:$A$64,0)),0))</f>
        <v>10000000</v>
      </c>
      <c r="DT43" s="14" t="n">
        <f aca="false">INDEX(Вводные!$D$13:$F$64,MATCH($A43,Вводные!$A$13:$A$64,0),MATCH(DT$3,Вводные!$D$11:$F$11,0))*(1+IF(DT$4=$A43,Вводные!$D$5*INDEX(Вводные!$G$13:$G$64,MATCH($A43,Вводные!$A$13:$A$64,0)),0))</f>
        <v>10000000</v>
      </c>
      <c r="DU43" s="14" t="n">
        <f aca="false">INDEX(Вводные!$D$13:$F$64,MATCH($A43,Вводные!$A$13:$A$64,0),MATCH(DU$3,Вводные!$D$11:$F$11,0))*(1+IF(DU$4=$A43,Вводные!$D$5*INDEX(Вводные!$G$13:$G$64,MATCH($A43,Вводные!$A$13:$A$64,0)),0))</f>
        <v>10000000</v>
      </c>
      <c r="DV43" s="14" t="n">
        <f aca="false">INDEX(Вводные!$D$13:$F$64,MATCH($A43,Вводные!$A$13:$A$64,0),MATCH(DV$3,Вводные!$D$11:$F$11,0))*(1+IF(DV$4=$A43,Вводные!$D$5*INDEX(Вводные!$G$13:$G$64,MATCH($A43,Вводные!$A$13:$A$64,0)),0))</f>
        <v>10000000</v>
      </c>
      <c r="DW43" s="14" t="n">
        <f aca="false">INDEX(Вводные!$D$13:$F$64,MATCH($A43,Вводные!$A$13:$A$64,0),MATCH(DW$3,Вводные!$D$11:$F$11,0))*(1+IF(DW$4=$A43,Вводные!$D$5*INDEX(Вводные!$G$13:$G$64,MATCH($A43,Вводные!$A$13:$A$64,0)),0))</f>
        <v>10000000</v>
      </c>
      <c r="DX43" s="14" t="n">
        <f aca="false">INDEX(Вводные!$D$13:$F$64,MATCH($A43,Вводные!$A$13:$A$64,0),MATCH(DX$3,Вводные!$D$11:$F$11,0))*(1+IF(DX$4=$A43,Вводные!$D$5*INDEX(Вводные!$G$13:$G$64,MATCH($A43,Вводные!$A$13:$A$64,0)),0))</f>
        <v>10000000</v>
      </c>
      <c r="DY43" s="14" t="n">
        <f aca="false">INDEX(Вводные!$D$13:$F$64,MATCH($A43,Вводные!$A$13:$A$64,0),MATCH(DY$3,Вводные!$D$11:$F$11,0))*(1+IF(DY$4=$A43,Вводные!$D$5*INDEX(Вводные!$G$13:$G$64,MATCH($A43,Вводные!$A$13:$A$64,0)),0))</f>
        <v>10000000</v>
      </c>
      <c r="DZ43" s="14" t="n">
        <f aca="false">INDEX(Вводные!$D$13:$F$64,MATCH($A43,Вводные!$A$13:$A$64,0),MATCH(DZ$3,Вводные!$D$11:$F$11,0))*(1+IF(DZ$4=$A43,Вводные!$D$5*INDEX(Вводные!$G$13:$G$64,MATCH($A43,Вводные!$A$13:$A$64,0)),0))</f>
        <v>10000000</v>
      </c>
      <c r="EA43" s="14" t="n">
        <f aca="false">INDEX(Вводные!$D$13:$F$64,MATCH($A43,Вводные!$A$13:$A$64,0),MATCH(EA$3,Вводные!$D$11:$F$11,0))*(1+IF(EA$4=$A43,Вводные!$D$5*INDEX(Вводные!$G$13:$G$64,MATCH($A43,Вводные!$A$13:$A$64,0)),0))</f>
        <v>10000000</v>
      </c>
      <c r="EB43" s="14" t="n">
        <f aca="false">INDEX(Вводные!$D$13:$F$64,MATCH($A43,Вводные!$A$13:$A$64,0),MATCH(EB$3,Вводные!$D$11:$F$11,0))*(1+IF(EB$4=$A43,Вводные!$D$5*INDEX(Вводные!$G$13:$G$64,MATCH($A43,Вводные!$A$13:$A$64,0)),0))</f>
        <v>10000000</v>
      </c>
      <c r="EC43" s="14" t="n">
        <f aca="false">INDEX(Вводные!$D$13:$F$64,MATCH($A43,Вводные!$A$13:$A$64,0),MATCH(EC$3,Вводные!$D$11:$F$11,0))*(1+IF(EC$4=$A43,Вводные!$D$5*INDEX(Вводные!$G$13:$G$64,MATCH($A43,Вводные!$A$13:$A$64,0)),0))</f>
        <v>10000000</v>
      </c>
      <c r="ED43" s="14" t="n">
        <f aca="false">INDEX(Вводные!$D$13:$F$64,MATCH($A43,Вводные!$A$13:$A$64,0),MATCH(ED$3,Вводные!$D$11:$F$11,0))*(1+IF(ED$4=$A43,Вводные!$D$5*INDEX(Вводные!$G$13:$G$64,MATCH($A43,Вводные!$A$13:$A$64,0)),0))</f>
        <v>10000000</v>
      </c>
      <c r="EE43" s="14" t="n">
        <f aca="false">INDEX(Вводные!$D$13:$F$64,MATCH($A43,Вводные!$A$13:$A$64,0),MATCH(EE$3,Вводные!$D$11:$F$11,0))*(1+IF(EE$4=$A43,Вводные!$D$5*INDEX(Вводные!$G$13:$G$64,MATCH($A43,Вводные!$A$13:$A$64,0)),0))</f>
        <v>10000000</v>
      </c>
      <c r="EF43" s="14" t="n">
        <f aca="false">INDEX(Вводные!$D$13:$F$64,MATCH($A43,Вводные!$A$13:$A$64,0),MATCH(EF$3,Вводные!$D$11:$F$11,0))*(1+IF(EF$4=$A43,Вводные!$D$5*INDEX(Вводные!$G$13:$G$64,MATCH($A43,Вводные!$A$13:$A$64,0)),0))</f>
        <v>5000</v>
      </c>
      <c r="EG43" s="14" t="n">
        <f aca="false">INDEX(Вводные!$D$13:$F$64,MATCH($A43,Вводные!$A$13:$A$64,0),MATCH(EG$3,Вводные!$D$11:$F$11,0))*(1+IF(EG$4=$A43,Вводные!$D$5*INDEX(Вводные!$G$13:$G$64,MATCH($A43,Вводные!$A$13:$A$64,0)),0))</f>
        <v>5000</v>
      </c>
      <c r="EH43" s="14" t="n">
        <f aca="false">INDEX(Вводные!$D$13:$F$64,MATCH($A43,Вводные!$A$13:$A$64,0),MATCH(EH$3,Вводные!$D$11:$F$11,0))*(1+IF(EH$4=$A43,Вводные!$D$5*INDEX(Вводные!$G$13:$G$64,MATCH($A43,Вводные!$A$13:$A$64,0)),0))</f>
        <v>5000</v>
      </c>
      <c r="EI43" s="14" t="n">
        <f aca="false">INDEX(Вводные!$D$13:$F$64,MATCH($A43,Вводные!$A$13:$A$64,0),MATCH(EI$3,Вводные!$D$11:$F$11,0))*(1+IF(EI$4=$A43,Вводные!$D$5*INDEX(Вводные!$G$13:$G$64,MATCH($A43,Вводные!$A$13:$A$64,0)),0))</f>
        <v>5000</v>
      </c>
      <c r="EJ43" s="14" t="n">
        <f aca="false">INDEX(Вводные!$D$13:$F$64,MATCH($A43,Вводные!$A$13:$A$64,0),MATCH(EJ$3,Вводные!$D$11:$F$11,0))*(1+IF(EJ$4=$A43,Вводные!$D$5*INDEX(Вводные!$G$13:$G$64,MATCH($A43,Вводные!$A$13:$A$64,0)),0))</f>
        <v>5000</v>
      </c>
      <c r="EK43" s="14" t="n">
        <f aca="false">INDEX(Вводные!$D$13:$F$64,MATCH($A43,Вводные!$A$13:$A$64,0),MATCH(EK$3,Вводные!$D$11:$F$11,0))*(1+IF(EK$4=$A43,Вводные!$D$5*INDEX(Вводные!$G$13:$G$64,MATCH($A43,Вводные!$A$13:$A$64,0)),0))</f>
        <v>5000</v>
      </c>
      <c r="EL43" s="14" t="n">
        <f aca="false">INDEX(Вводные!$D$13:$F$64,MATCH($A43,Вводные!$A$13:$A$64,0),MATCH(EL$3,Вводные!$D$11:$F$11,0))*(1+IF(EL$4=$A43,Вводные!$D$5*INDEX(Вводные!$G$13:$G$64,MATCH($A43,Вводные!$A$13:$A$64,0)),0))</f>
        <v>5000</v>
      </c>
      <c r="EM43" s="14" t="n">
        <f aca="false">INDEX(Вводные!$D$13:$F$64,MATCH($A43,Вводные!$A$13:$A$64,0),MATCH(EM$3,Вводные!$D$11:$F$11,0))*(1+IF(EM$4=$A43,Вводные!$D$5*INDEX(Вводные!$G$13:$G$64,MATCH($A43,Вводные!$A$13:$A$64,0)),0))</f>
        <v>5000</v>
      </c>
      <c r="EN43" s="14" t="n">
        <f aca="false">INDEX(Вводные!$D$13:$F$64,MATCH($A43,Вводные!$A$13:$A$64,0),MATCH(EN$3,Вводные!$D$11:$F$11,0))*(1+IF(EN$4=$A43,Вводные!$D$5*INDEX(Вводные!$G$13:$G$64,MATCH($A43,Вводные!$A$13:$A$64,0)),0))</f>
        <v>5000</v>
      </c>
      <c r="EO43" s="14" t="n">
        <f aca="false">INDEX(Вводные!$D$13:$F$64,MATCH($A43,Вводные!$A$13:$A$64,0),MATCH(EO$3,Вводные!$D$11:$F$11,0))*(1+IF(EO$4=$A43,Вводные!$D$5*INDEX(Вводные!$G$13:$G$64,MATCH($A43,Вводные!$A$13:$A$64,0)),0))</f>
        <v>5000</v>
      </c>
      <c r="EP43" s="14" t="n">
        <f aca="false">INDEX(Вводные!$D$13:$F$64,MATCH($A43,Вводные!$A$13:$A$64,0),MATCH(EP$3,Вводные!$D$11:$F$11,0))*(1+IF(EP$4=$A43,Вводные!$D$5*INDEX(Вводные!$G$13:$G$64,MATCH($A43,Вводные!$A$13:$A$64,0)),0))</f>
        <v>5000</v>
      </c>
      <c r="EQ43" s="14" t="n">
        <f aca="false">INDEX(Вводные!$D$13:$F$64,MATCH($A43,Вводные!$A$13:$A$64,0),MATCH(EQ$3,Вводные!$D$11:$F$11,0))*(1+IF(EQ$4=$A43,Вводные!$D$5*INDEX(Вводные!$G$13:$G$64,MATCH($A43,Вводные!$A$13:$A$64,0)),0))</f>
        <v>5000</v>
      </c>
      <c r="ER43" s="14" t="n">
        <f aca="false">INDEX(Вводные!$D$13:$F$64,MATCH($A43,Вводные!$A$13:$A$64,0),MATCH(ER$3,Вводные!$D$11:$F$11,0))*(1+IF(ER$4=$A43,Вводные!$D$5*INDEX(Вводные!$G$13:$G$64,MATCH($A43,Вводные!$A$13:$A$64,0)),0))</f>
        <v>5000</v>
      </c>
      <c r="ES43" s="14" t="n">
        <f aca="false">INDEX(Вводные!$D$13:$F$64,MATCH($A43,Вводные!$A$13:$A$64,0),MATCH(ES$3,Вводные!$D$11:$F$11,0))*(1+IF(ES$4=$A43,Вводные!$D$5*INDEX(Вводные!$G$13:$G$64,MATCH($A43,Вводные!$A$13:$A$64,0)),0))</f>
        <v>5000</v>
      </c>
      <c r="ET43" s="14" t="n">
        <f aca="false">INDEX(Вводные!$D$13:$F$64,MATCH($A43,Вводные!$A$13:$A$64,0),MATCH(ET$3,Вводные!$D$11:$F$11,0))*(1+IF(ET$4=$A43,Вводные!$D$5*INDEX(Вводные!$G$13:$G$64,MATCH($A43,Вводные!$A$13:$A$64,0)),0))</f>
        <v>5000</v>
      </c>
      <c r="EU43" s="14" t="n">
        <f aca="false">INDEX(Вводные!$D$13:$F$64,MATCH($A43,Вводные!$A$13:$A$64,0),MATCH(EU$3,Вводные!$D$11:$F$11,0))*(1+IF(EU$4=$A43,Вводные!$D$5*INDEX(Вводные!$G$13:$G$64,MATCH($A43,Вводные!$A$13:$A$64,0)),0))</f>
        <v>5000</v>
      </c>
      <c r="EV43" s="14" t="n">
        <f aca="false">INDEX(Вводные!$D$13:$F$64,MATCH($A43,Вводные!$A$13:$A$64,0),MATCH(EV$3,Вводные!$D$11:$F$11,0))*(1+IF(EV$4=$A43,Вводные!$D$5*INDEX(Вводные!$G$13:$G$64,MATCH($A43,Вводные!$A$13:$A$64,0)),0))</f>
        <v>5000</v>
      </c>
      <c r="EW43" s="14" t="n">
        <f aca="false">INDEX(Вводные!$D$13:$F$64,MATCH($A43,Вводные!$A$13:$A$64,0),MATCH(EW$3,Вводные!$D$11:$F$11,0))*(1+IF(EW$4=$A43,Вводные!$D$5*INDEX(Вводные!$G$13:$G$64,MATCH($A43,Вводные!$A$13:$A$64,0)),0))</f>
        <v>5000</v>
      </c>
      <c r="EX43" s="14" t="n">
        <f aca="false">INDEX(Вводные!$D$13:$F$64,MATCH($A43,Вводные!$A$13:$A$64,0),MATCH(EX$3,Вводные!$D$11:$F$11,0))*(1+IF(EX$4=$A43,Вводные!$D$5*INDEX(Вводные!$G$13:$G$64,MATCH($A43,Вводные!$A$13:$A$64,0)),0))</f>
        <v>5000</v>
      </c>
      <c r="EY43" s="14" t="n">
        <f aca="false">INDEX(Вводные!$D$13:$F$64,MATCH($A43,Вводные!$A$13:$A$64,0),MATCH(EY$3,Вводные!$D$11:$F$11,0))*(1+IF(EY$4=$A43,Вводные!$D$5*INDEX(Вводные!$G$13:$G$64,MATCH($A43,Вводные!$A$13:$A$64,0)),0))</f>
        <v>5000</v>
      </c>
      <c r="EZ43" s="14" t="n">
        <f aca="false">INDEX(Вводные!$D$13:$F$64,MATCH($A43,Вводные!$A$13:$A$64,0),MATCH(EZ$3,Вводные!$D$11:$F$11,0))*(1+IF(EZ$4=$A43,Вводные!$D$5*INDEX(Вводные!$G$13:$G$64,MATCH($A43,Вводные!$A$13:$A$64,0)),0))</f>
        <v>5050</v>
      </c>
      <c r="FA43" s="14" t="n">
        <f aca="false">INDEX(Вводные!$D$13:$F$64,MATCH($A43,Вводные!$A$13:$A$64,0),MATCH(FA$3,Вводные!$D$11:$F$11,0))*(1+IF(FA$4=$A43,Вводные!$D$5*INDEX(Вводные!$G$13:$G$64,MATCH($A43,Вводные!$A$13:$A$64,0)),0))</f>
        <v>5000</v>
      </c>
      <c r="FB43" s="14" t="n">
        <f aca="false">INDEX(Вводные!$D$13:$F$64,MATCH($A43,Вводные!$A$13:$A$64,0),MATCH(FB$3,Вводные!$D$11:$F$11,0))*(1+IF(FB$4=$A43,Вводные!$D$5*INDEX(Вводные!$G$13:$G$64,MATCH($A43,Вводные!$A$13:$A$64,0)),0))</f>
        <v>5000</v>
      </c>
      <c r="FC43" s="14" t="n">
        <f aca="false">INDEX(Вводные!$D$13:$F$64,MATCH($A43,Вводные!$A$13:$A$64,0),MATCH(FC$3,Вводные!$D$11:$F$11,0))*(1+IF(FC$4=$A43,Вводные!$D$5*INDEX(Вводные!$G$13:$G$64,MATCH($A43,Вводные!$A$13:$A$64,0)),0))</f>
        <v>5000</v>
      </c>
      <c r="FD43" s="14" t="n">
        <f aca="false">INDEX(Вводные!$D$13:$F$64,MATCH($A43,Вводные!$A$13:$A$64,0),MATCH(FD$3,Вводные!$D$11:$F$11,0))*(1+IF(FD$4=$A43,Вводные!$D$5*INDEX(Вводные!$G$13:$G$64,MATCH($A43,Вводные!$A$13:$A$64,0)),0))</f>
        <v>5000</v>
      </c>
      <c r="FE43" s="14" t="n">
        <f aca="false">INDEX(Вводные!$D$13:$F$64,MATCH($A43,Вводные!$A$13:$A$64,0),MATCH(FE$3,Вводные!$D$11:$F$11,0))*(1+IF(FE$4=$A43,Вводные!$D$5*INDEX(Вводные!$G$13:$G$64,MATCH($A43,Вводные!$A$13:$A$64,0)),0))</f>
        <v>5000</v>
      </c>
      <c r="FF43" s="14" t="n">
        <f aca="false">INDEX(Вводные!$D$13:$F$64,MATCH($A43,Вводные!$A$13:$A$64,0),MATCH(FF$3,Вводные!$D$11:$F$11,0))*(1+IF(FF$4=$A43,Вводные!$D$5*INDEX(Вводные!$G$13:$G$64,MATCH($A43,Вводные!$A$13:$A$64,0)),0))</f>
        <v>5000</v>
      </c>
      <c r="FG43" s="14" t="n">
        <f aca="false">INDEX(Вводные!$D$13:$F$64,MATCH($A43,Вводные!$A$13:$A$64,0),MATCH(FG$3,Вводные!$D$11:$F$11,0))*(1+IF(FG$4=$A43,Вводные!$D$5*INDEX(Вводные!$G$13:$G$64,MATCH($A43,Вводные!$A$13:$A$64,0)),0))</f>
        <v>5000</v>
      </c>
      <c r="FH43" s="14" t="n">
        <f aca="false">INDEX(Вводные!$D$13:$F$64,MATCH($A43,Вводные!$A$13:$A$64,0),MATCH(FH$3,Вводные!$D$11:$F$11,0))*(1+IF(FH$4=$A43,Вводные!$D$5*INDEX(Вводные!$G$13:$G$64,MATCH($A43,Вводные!$A$13:$A$64,0)),0))</f>
        <v>5000</v>
      </c>
      <c r="FI43" s="14" t="n">
        <f aca="false">INDEX(Вводные!$D$13:$F$64,MATCH($A43,Вводные!$A$13:$A$64,0),MATCH(FI$3,Вводные!$D$11:$F$11,0))*(1+IF(FI$4=$A43,Вводные!$D$5*INDEX(Вводные!$G$13:$G$64,MATCH($A43,Вводные!$A$13:$A$64,0)),0))</f>
        <v>5000</v>
      </c>
      <c r="FJ43" s="14" t="n">
        <f aca="false">INDEX(Вводные!$D$13:$F$64,MATCH($A43,Вводные!$A$13:$A$64,0),MATCH(FJ$3,Вводные!$D$11:$F$11,0))*(1+IF(FJ$4=$A43,Вводные!$D$5*INDEX(Вводные!$G$13:$G$64,MATCH($A43,Вводные!$A$13:$A$64,0)),0))</f>
        <v>5000</v>
      </c>
      <c r="FK43" s="14" t="n">
        <f aca="false">INDEX(Вводные!$D$13:$F$64,MATCH($A43,Вводные!$A$13:$A$64,0),MATCH(FK$3,Вводные!$D$11:$F$11,0))*(1+IF(FK$4=$A43,Вводные!$D$5*INDEX(Вводные!$G$13:$G$64,MATCH($A43,Вводные!$A$13:$A$64,0)),0))</f>
        <v>5000</v>
      </c>
      <c r="FL43" s="14" t="n">
        <f aca="false">INDEX(Вводные!$D$13:$F$64,MATCH($A43,Вводные!$A$13:$A$64,0),MATCH(FL$3,Вводные!$D$11:$F$11,0))*(1+IF(FL$4=$A43,Вводные!$D$5*INDEX(Вводные!$G$13:$G$64,MATCH($A43,Вводные!$A$13:$A$64,0)),0))</f>
        <v>5000</v>
      </c>
      <c r="FM43" s="14" t="n">
        <f aca="false">INDEX(Вводные!$D$13:$F$64,MATCH($A43,Вводные!$A$13:$A$64,0),MATCH(FM$3,Вводные!$D$11:$F$11,0))*(1+IF(FM$4=$A43,Вводные!$D$5*INDEX(Вводные!$G$13:$G$64,MATCH($A43,Вводные!$A$13:$A$64,0)),0))</f>
        <v>5000</v>
      </c>
      <c r="FN43" s="14" t="n">
        <f aca="false">INDEX(Вводные!$D$13:$F$64,MATCH($A43,Вводные!$A$13:$A$64,0),MATCH(FN$3,Вводные!$D$11:$F$11,0))*(1+IF(FN$4=$A43,Вводные!$D$5*INDEX(Вводные!$G$13:$G$64,MATCH($A43,Вводные!$A$13:$A$64,0)),0))</f>
        <v>5000</v>
      </c>
      <c r="FO43" s="14" t="n">
        <f aca="false">INDEX(Вводные!$D$13:$F$64,MATCH($A43,Вводные!$A$13:$A$64,0),MATCH(FO$3,Вводные!$D$11:$F$11,0))*(1+IF(FO$4=$A43,Вводные!$D$5*INDEX(Вводные!$G$13:$G$64,MATCH($A43,Вводные!$A$13:$A$64,0)),0))</f>
        <v>5000</v>
      </c>
      <c r="FP43" s="14" t="n">
        <f aca="false">INDEX(Вводные!$D$13:$F$64,MATCH($A43,Вводные!$A$13:$A$64,0),MATCH(FP$3,Вводные!$D$11:$F$11,0))*(1+IF(FP$4=$A43,Вводные!$D$5*INDEX(Вводные!$G$13:$G$64,MATCH($A43,Вводные!$A$13:$A$64,0)),0))</f>
        <v>5000</v>
      </c>
      <c r="FQ43" s="14" t="n">
        <f aca="false">INDEX(Вводные!$D$13:$F$64,MATCH($A43,Вводные!$A$13:$A$64,0),MATCH(FQ$3,Вводные!$D$11:$F$11,0))*(1+IF(FQ$4=$A43,Вводные!$D$5*INDEX(Вводные!$G$13:$G$64,MATCH($A43,Вводные!$A$13:$A$64,0)),0))</f>
        <v>5000</v>
      </c>
      <c r="FR43" s="14" t="n">
        <f aca="false">INDEX(Вводные!$D$13:$F$64,MATCH($A43,Вводные!$A$13:$A$64,0),MATCH(FR$3,Вводные!$D$11:$F$11,0))*(1+IF(FR$4=$A43,Вводные!$D$5*INDEX(Вводные!$G$13:$G$64,MATCH($A43,Вводные!$A$13:$A$64,0)),0))</f>
        <v>5000</v>
      </c>
      <c r="FS43" s="14" t="n">
        <f aca="false">INDEX(Вводные!$D$13:$F$64,MATCH($A43,Вводные!$A$13:$A$64,0),MATCH(FS$3,Вводные!$D$11:$F$11,0))*(1+IF(FS$4=$A43,Вводные!$D$5*INDEX(Вводные!$G$13:$G$64,MATCH($A43,Вводные!$A$13:$A$64,0)),0))</f>
        <v>5000</v>
      </c>
      <c r="FT43" s="14" t="n">
        <f aca="false">INDEX(Вводные!$D$13:$F$64,MATCH($A43,Вводные!$A$13:$A$64,0),MATCH(FT$3,Вводные!$D$11:$F$11,0))*(1+IF(FT$4=$A43,Вводные!$D$5*INDEX(Вводные!$G$13:$G$64,MATCH($A43,Вводные!$A$13:$A$64,0)),0))</f>
        <v>5000</v>
      </c>
      <c r="FU43" s="14" t="n">
        <f aca="false">INDEX(Вводные!$D$13:$F$64,MATCH($A43,Вводные!$A$13:$A$64,0),MATCH(FU$3,Вводные!$D$11:$F$11,0))*(1+IF(FU$4=$A43,Вводные!$D$5*INDEX(Вводные!$G$13:$G$64,MATCH($A43,Вводные!$A$13:$A$64,0)),0))</f>
        <v>5000</v>
      </c>
      <c r="FV43" s="14" t="n">
        <f aca="false">INDEX(Вводные!$D$13:$F$64,MATCH($A43,Вводные!$A$13:$A$64,0),MATCH(FV$3,Вводные!$D$11:$F$11,0))*(1+IF(FV$4=$A43,Вводные!$D$5*INDEX(Вводные!$G$13:$G$64,MATCH($A43,Вводные!$A$13:$A$64,0)),0))</f>
        <v>100000</v>
      </c>
      <c r="FW43" s="14" t="n">
        <f aca="false">INDEX(Вводные!$D$13:$F$64,MATCH($A43,Вводные!$A$13:$A$64,0),MATCH(FW$3,Вводные!$D$11:$F$11,0))*(1+IF(FW$4=$A43,Вводные!$D$5*INDEX(Вводные!$G$13:$G$64,MATCH($A43,Вводные!$A$13:$A$64,0)),0))</f>
        <v>100000</v>
      </c>
      <c r="FX43" s="14" t="n">
        <f aca="false">INDEX(Вводные!$D$13:$F$64,MATCH($A43,Вводные!$A$13:$A$64,0),MATCH(FX$3,Вводные!$D$11:$F$11,0))*(1+IF(FX$4=$A43,Вводные!$D$5*INDEX(Вводные!$G$13:$G$64,MATCH($A43,Вводные!$A$13:$A$64,0)),0))</f>
        <v>100000</v>
      </c>
      <c r="FY43" s="14" t="n">
        <f aca="false">INDEX(Вводные!$D$13:$F$64,MATCH($A43,Вводные!$A$13:$A$64,0),MATCH(FY$3,Вводные!$D$11:$F$11,0))*(1+IF(FY$4=$A43,Вводные!$D$5*INDEX(Вводные!$G$13:$G$64,MATCH($A43,Вводные!$A$13:$A$64,0)),0))</f>
        <v>100000</v>
      </c>
      <c r="FZ43" s="14" t="n">
        <f aca="false">INDEX(Вводные!$D$13:$F$64,MATCH($A43,Вводные!$A$13:$A$64,0),MATCH(FZ$3,Вводные!$D$11:$F$11,0))*(1+IF(FZ$4=$A43,Вводные!$D$5*INDEX(Вводные!$G$13:$G$64,MATCH($A43,Вводные!$A$13:$A$64,0)),0))</f>
        <v>100000</v>
      </c>
      <c r="GA43" s="14" t="n">
        <f aca="false">INDEX(Вводные!$D$13:$F$64,MATCH($A43,Вводные!$A$13:$A$64,0),MATCH(GA$3,Вводные!$D$11:$F$11,0))*(1+IF(GA$4=$A43,Вводные!$D$5*INDEX(Вводные!$G$13:$G$64,MATCH($A43,Вводные!$A$13:$A$64,0)),0))</f>
        <v>100000</v>
      </c>
      <c r="GB43" s="14" t="n">
        <f aca="false">INDEX(Вводные!$D$13:$F$64,MATCH($A43,Вводные!$A$13:$A$64,0),MATCH(GB$3,Вводные!$D$11:$F$11,0))*(1+IF(GB$4=$A43,Вводные!$D$5*INDEX(Вводные!$G$13:$G$64,MATCH($A43,Вводные!$A$13:$A$64,0)),0))</f>
        <v>100000</v>
      </c>
      <c r="GC43" s="14" t="n">
        <f aca="false">INDEX(Вводные!$D$13:$F$64,MATCH($A43,Вводные!$A$13:$A$64,0),MATCH(GC$3,Вводные!$D$11:$F$11,0))*(1+IF(GC$4=$A43,Вводные!$D$5*INDEX(Вводные!$G$13:$G$64,MATCH($A43,Вводные!$A$13:$A$64,0)),0))</f>
        <v>100000</v>
      </c>
      <c r="GD43" s="14" t="n">
        <f aca="false">INDEX(Вводные!$D$13:$F$64,MATCH($A43,Вводные!$A$13:$A$64,0),MATCH(GD$3,Вводные!$D$11:$F$11,0))*(1+IF(GD$4=$A43,Вводные!$D$5*INDEX(Вводные!$G$13:$G$64,MATCH($A43,Вводные!$A$13:$A$64,0)),0))</f>
        <v>100000</v>
      </c>
      <c r="GE43" s="14" t="n">
        <f aca="false">INDEX(Вводные!$D$13:$F$64,MATCH($A43,Вводные!$A$13:$A$64,0),MATCH(GE$3,Вводные!$D$11:$F$11,0))*(1+IF(GE$4=$A43,Вводные!$D$5*INDEX(Вводные!$G$13:$G$64,MATCH($A43,Вводные!$A$13:$A$64,0)),0))</f>
        <v>100000</v>
      </c>
      <c r="GF43" s="14" t="n">
        <f aca="false">INDEX(Вводные!$D$13:$F$64,MATCH($A43,Вводные!$A$13:$A$64,0),MATCH(GF$3,Вводные!$D$11:$F$11,0))*(1+IF(GF$4=$A43,Вводные!$D$5*INDEX(Вводные!$G$13:$G$64,MATCH($A43,Вводные!$A$13:$A$64,0)),0))</f>
        <v>100000</v>
      </c>
      <c r="GG43" s="14" t="n">
        <f aca="false">INDEX(Вводные!$D$13:$F$64,MATCH($A43,Вводные!$A$13:$A$64,0),MATCH(GG$3,Вводные!$D$11:$F$11,0))*(1+IF(GG$4=$A43,Вводные!$D$5*INDEX(Вводные!$G$13:$G$64,MATCH($A43,Вводные!$A$13:$A$64,0)),0))</f>
        <v>100000</v>
      </c>
      <c r="GH43" s="14" t="n">
        <f aca="false">INDEX(Вводные!$D$13:$F$64,MATCH($A43,Вводные!$A$13:$A$64,0),MATCH(GH$3,Вводные!$D$11:$F$11,0))*(1+IF(GH$4=$A43,Вводные!$D$5*INDEX(Вводные!$G$13:$G$64,MATCH($A43,Вводные!$A$13:$A$64,0)),0))</f>
        <v>100000</v>
      </c>
      <c r="GI43" s="14" t="n">
        <f aca="false">INDEX(Вводные!$D$13:$F$64,MATCH($A43,Вводные!$A$13:$A$64,0),MATCH(GI$3,Вводные!$D$11:$F$11,0))*(1+IF(GI$4=$A43,Вводные!$D$5*INDEX(Вводные!$G$13:$G$64,MATCH($A43,Вводные!$A$13:$A$64,0)),0))</f>
        <v>100000</v>
      </c>
      <c r="GJ43" s="14" t="n">
        <f aca="false">INDEX(Вводные!$D$13:$F$64,MATCH($A43,Вводные!$A$13:$A$64,0),MATCH(GJ$3,Вводные!$D$11:$F$11,0))*(1+IF(GJ$4=$A43,Вводные!$D$5*INDEX(Вводные!$G$13:$G$64,MATCH($A43,Вводные!$A$13:$A$64,0)),0))</f>
        <v>100000</v>
      </c>
      <c r="GK43" s="14" t="n">
        <f aca="false">INDEX(Вводные!$D$13:$F$64,MATCH($A43,Вводные!$A$13:$A$64,0),MATCH(GK$3,Вводные!$D$11:$F$11,0))*(1+IF(GK$4=$A43,Вводные!$D$5*INDEX(Вводные!$G$13:$G$64,MATCH($A43,Вводные!$A$13:$A$64,0)),0))</f>
        <v>100000</v>
      </c>
      <c r="GL43" s="14" t="n">
        <f aca="false">INDEX(Вводные!$D$13:$F$64,MATCH($A43,Вводные!$A$13:$A$64,0),MATCH(GL$3,Вводные!$D$11:$F$11,0))*(1+IF(GL$4=$A43,Вводные!$D$5*INDEX(Вводные!$G$13:$G$64,MATCH($A43,Вводные!$A$13:$A$64,0)),0))</f>
        <v>100000</v>
      </c>
      <c r="GM43" s="14" t="n">
        <f aca="false">INDEX(Вводные!$D$13:$F$64,MATCH($A43,Вводные!$A$13:$A$64,0),MATCH(GM$3,Вводные!$D$11:$F$11,0))*(1+IF(GM$4=$A43,Вводные!$D$5*INDEX(Вводные!$G$13:$G$64,MATCH($A43,Вводные!$A$13:$A$64,0)),0))</f>
        <v>100000</v>
      </c>
      <c r="GN43" s="14" t="n">
        <f aca="false">INDEX(Вводные!$D$13:$F$64,MATCH($A43,Вводные!$A$13:$A$64,0),MATCH(GN$3,Вводные!$D$11:$F$11,0))*(1+IF(GN$4=$A43,Вводные!$D$5*INDEX(Вводные!$G$13:$G$64,MATCH($A43,Вводные!$A$13:$A$64,0)),0))</f>
        <v>100000</v>
      </c>
      <c r="GO43" s="14" t="n">
        <f aca="false">INDEX(Вводные!$D$13:$F$64,MATCH($A43,Вводные!$A$13:$A$64,0),MATCH(GO$3,Вводные!$D$11:$F$11,0))*(1+IF(GO$4=$A43,Вводные!$D$5*INDEX(Вводные!$G$13:$G$64,MATCH($A43,Вводные!$A$13:$A$64,0)),0))</f>
        <v>100000</v>
      </c>
      <c r="GP43" s="14" t="n">
        <f aca="false">INDEX(Вводные!$D$13:$F$64,MATCH($A43,Вводные!$A$13:$A$64,0),MATCH(GP$3,Вводные!$D$11:$F$11,0))*(1+IF(GP$4=$A43,Вводные!$D$5*INDEX(Вводные!$G$13:$G$64,MATCH($A43,Вводные!$A$13:$A$64,0)),0))</f>
        <v>101000</v>
      </c>
      <c r="GQ43" s="14" t="n">
        <f aca="false">INDEX(Вводные!$D$13:$F$64,MATCH($A43,Вводные!$A$13:$A$64,0),MATCH(GQ$3,Вводные!$D$11:$F$11,0))*(1+IF(GQ$4=$A43,Вводные!$D$5*INDEX(Вводные!$G$13:$G$64,MATCH($A43,Вводные!$A$13:$A$64,0)),0))</f>
        <v>100000</v>
      </c>
      <c r="GR43" s="14" t="n">
        <f aca="false">INDEX(Вводные!$D$13:$F$64,MATCH($A43,Вводные!$A$13:$A$64,0),MATCH(GR$3,Вводные!$D$11:$F$11,0))*(1+IF(GR$4=$A43,Вводные!$D$5*INDEX(Вводные!$G$13:$G$64,MATCH($A43,Вводные!$A$13:$A$64,0)),0))</f>
        <v>100000</v>
      </c>
      <c r="GS43" s="14" t="n">
        <f aca="false">INDEX(Вводные!$D$13:$F$64,MATCH($A43,Вводные!$A$13:$A$64,0),MATCH(GS$3,Вводные!$D$11:$F$11,0))*(1+IF(GS$4=$A43,Вводные!$D$5*INDEX(Вводные!$G$13:$G$64,MATCH($A43,Вводные!$A$13:$A$64,0)),0))</f>
        <v>100000</v>
      </c>
      <c r="GT43" s="14" t="n">
        <f aca="false">INDEX(Вводные!$D$13:$F$64,MATCH($A43,Вводные!$A$13:$A$64,0),MATCH(GT$3,Вводные!$D$11:$F$11,0))*(1+IF(GT$4=$A43,Вводные!$D$5*INDEX(Вводные!$G$13:$G$64,MATCH($A43,Вводные!$A$13:$A$64,0)),0))</f>
        <v>100000</v>
      </c>
      <c r="GU43" s="14" t="n">
        <f aca="false">INDEX(Вводные!$D$13:$F$64,MATCH($A43,Вводные!$A$13:$A$64,0),MATCH(GU$3,Вводные!$D$11:$F$11,0))*(1+IF(GU$4=$A43,Вводные!$D$5*INDEX(Вводные!$G$13:$G$64,MATCH($A43,Вводные!$A$13:$A$64,0)),0))</f>
        <v>100000</v>
      </c>
      <c r="GV43" s="14" t="n">
        <f aca="false">INDEX(Вводные!$D$13:$F$64,MATCH($A43,Вводные!$A$13:$A$64,0),MATCH(GV$3,Вводные!$D$11:$F$11,0))*(1+IF(GV$4=$A43,Вводные!$D$5*INDEX(Вводные!$G$13:$G$64,MATCH($A43,Вводные!$A$13:$A$64,0)),0))</f>
        <v>100000</v>
      </c>
      <c r="GW43" s="14" t="n">
        <f aca="false">INDEX(Вводные!$D$13:$F$64,MATCH($A43,Вводные!$A$13:$A$64,0),MATCH(GW$3,Вводные!$D$11:$F$11,0))*(1+IF(GW$4=$A43,Вводные!$D$5*INDEX(Вводные!$G$13:$G$64,MATCH($A43,Вводные!$A$13:$A$64,0)),0))</f>
        <v>100000</v>
      </c>
      <c r="GX43" s="14" t="n">
        <f aca="false">INDEX(Вводные!$D$13:$F$64,MATCH($A43,Вводные!$A$13:$A$64,0),MATCH(GX$3,Вводные!$D$11:$F$11,0))*(1+IF(GX$4=$A43,Вводные!$D$5*INDEX(Вводные!$G$13:$G$64,MATCH($A43,Вводные!$A$13:$A$64,0)),0))</f>
        <v>100000</v>
      </c>
      <c r="GY43" s="14" t="n">
        <f aca="false">INDEX(Вводные!$D$13:$F$64,MATCH($A43,Вводные!$A$13:$A$64,0),MATCH(GY$3,Вводные!$D$11:$F$11,0))*(1+IF(GY$4=$A43,Вводные!$D$5*INDEX(Вводные!$G$13:$G$64,MATCH($A43,Вводные!$A$13:$A$64,0)),0))</f>
        <v>100000</v>
      </c>
      <c r="GZ43" s="14" t="n">
        <f aca="false">INDEX(Вводные!$D$13:$F$64,MATCH($A43,Вводные!$A$13:$A$64,0),MATCH(GZ$3,Вводные!$D$11:$F$11,0))*(1+IF(GZ$4=$A43,Вводные!$D$5*INDEX(Вводные!$G$13:$G$64,MATCH($A43,Вводные!$A$13:$A$64,0)),0))</f>
        <v>100000</v>
      </c>
      <c r="HA43" s="14" t="n">
        <f aca="false">INDEX(Вводные!$D$13:$F$64,MATCH($A43,Вводные!$A$13:$A$64,0),MATCH(HA$3,Вводные!$D$11:$F$11,0))*(1+IF(HA$4=$A43,Вводные!$D$5*INDEX(Вводные!$G$13:$G$64,MATCH($A43,Вводные!$A$13:$A$64,0)),0))</f>
        <v>100000</v>
      </c>
      <c r="HB43" s="14" t="n">
        <f aca="false">INDEX(Вводные!$D$13:$F$64,MATCH($A43,Вводные!$A$13:$A$64,0),MATCH(HB$3,Вводные!$D$11:$F$11,0))*(1+IF(HB$4=$A43,Вводные!$D$5*INDEX(Вводные!$G$13:$G$64,MATCH($A43,Вводные!$A$13:$A$64,0)),0))</f>
        <v>100000</v>
      </c>
      <c r="HC43" s="14" t="n">
        <f aca="false">INDEX(Вводные!$D$13:$F$64,MATCH($A43,Вводные!$A$13:$A$64,0),MATCH(HC$3,Вводные!$D$11:$F$11,0))*(1+IF(HC$4=$A43,Вводные!$D$5*INDEX(Вводные!$G$13:$G$64,MATCH($A43,Вводные!$A$13:$A$64,0)),0))</f>
        <v>100000</v>
      </c>
      <c r="HD43" s="14" t="n">
        <f aca="false">INDEX(Вводные!$D$13:$F$64,MATCH($A43,Вводные!$A$13:$A$64,0),MATCH(HD$3,Вводные!$D$11:$F$11,0))*(1+IF(HD$4=$A43,Вводные!$D$5*INDEX(Вводные!$G$13:$G$64,MATCH($A43,Вводные!$A$13:$A$64,0)),0))</f>
        <v>100000</v>
      </c>
      <c r="HE43" s="14" t="n">
        <f aca="false">INDEX(Вводные!$D$13:$F$64,MATCH($A43,Вводные!$A$13:$A$64,0),MATCH(HE$3,Вводные!$D$11:$F$11,0))*(1+IF(HE$4=$A43,Вводные!$D$5*INDEX(Вводные!$G$13:$G$64,MATCH($A43,Вводные!$A$13:$A$64,0)),0))</f>
        <v>100000</v>
      </c>
      <c r="HF43" s="14" t="n">
        <f aca="false">INDEX(Вводные!$D$13:$F$64,MATCH($A43,Вводные!$A$13:$A$64,0),MATCH(HF$3,Вводные!$D$11:$F$11,0))*(1+IF(HF$4=$A43,Вводные!$D$5*INDEX(Вводные!$G$13:$G$64,MATCH($A43,Вводные!$A$13:$A$64,0)),0))</f>
        <v>100000</v>
      </c>
      <c r="HG43" s="14" t="n">
        <f aca="false">INDEX(Вводные!$D$13:$F$64,MATCH($A43,Вводные!$A$13:$A$64,0),MATCH(HG$3,Вводные!$D$11:$F$11,0))*(1+IF(HG$4=$A43,Вводные!$D$5*INDEX(Вводные!$G$13:$G$64,MATCH($A43,Вводные!$A$13:$A$64,0)),0))</f>
        <v>100000</v>
      </c>
      <c r="HH43" s="14" t="n">
        <f aca="false">INDEX(Вводные!$D$13:$F$64,MATCH($A43,Вводные!$A$13:$A$64,0),MATCH(HH$3,Вводные!$D$11:$F$11,0))*(1+IF(HH$4=$A43,Вводные!$D$5*INDEX(Вводные!$G$13:$G$64,MATCH($A43,Вводные!$A$13:$A$64,0)),0))</f>
        <v>100000</v>
      </c>
      <c r="HI43" s="14" t="n">
        <f aca="false">INDEX(Вводные!$D$13:$F$64,MATCH($A43,Вводные!$A$13:$A$64,0),MATCH(HI$3,Вводные!$D$11:$F$11,0))*(1+IF(HI$4=$A43,Вводные!$D$5*INDEX(Вводные!$G$13:$G$64,MATCH($A43,Вводные!$A$13:$A$64,0)),0))</f>
        <v>100000</v>
      </c>
      <c r="HJ43" s="14" t="n">
        <f aca="false">INDEX(Вводные!$D$13:$F$64,MATCH($A43,Вводные!$A$13:$A$64,0),MATCH(HJ$3,Вводные!$D$11:$F$11,0))*(1+IF(HJ$4=$A43,Вводные!$D$5*INDEX(Вводные!$G$13:$G$64,MATCH($A43,Вводные!$A$13:$A$64,0)),0))</f>
        <v>100000</v>
      </c>
      <c r="HK43" s="14" t="n">
        <f aca="false">INDEX(Вводные!$D$13:$F$64,MATCH($A43,Вводные!$A$13:$A$64,0),MATCH(HK$3,Вводные!$D$11:$F$11,0))*(1+IF(HK$4=$A43,Вводные!$D$5*INDEX(Вводные!$G$13:$G$64,MATCH($A43,Вводные!$A$13:$A$64,0)),0))</f>
        <v>100000</v>
      </c>
      <c r="HL43" s="14" t="n">
        <f aca="false">INDEX(Вводные!$D$13:$F$64,MATCH($A43,Вводные!$A$13:$A$64,0),MATCH(HL$3,Вводные!$D$11:$F$11,0))*(1+IF(HL$4=$A43,Вводные!$D$5*INDEX(Вводные!$G$13:$G$64,MATCH($A43,Вводные!$A$13:$A$64,0)),0))</f>
        <v>10000000</v>
      </c>
      <c r="HM43" s="14" t="n">
        <f aca="false">INDEX(Вводные!$D$13:$F$64,MATCH($A43,Вводные!$A$13:$A$64,0),MATCH(HM$3,Вводные!$D$11:$F$11,0))*(1+IF(HM$4=$A43,Вводные!$D$5*INDEX(Вводные!$G$13:$G$64,MATCH($A43,Вводные!$A$13:$A$64,0)),0))</f>
        <v>10000000</v>
      </c>
      <c r="HN43" s="14" t="n">
        <f aca="false">INDEX(Вводные!$D$13:$F$64,MATCH($A43,Вводные!$A$13:$A$64,0),MATCH(HN$3,Вводные!$D$11:$F$11,0))*(1+IF(HN$4=$A43,Вводные!$D$5*INDEX(Вводные!$G$13:$G$64,MATCH($A43,Вводные!$A$13:$A$64,0)),0))</f>
        <v>10000000</v>
      </c>
      <c r="HO43" s="14" t="n">
        <f aca="false">INDEX(Вводные!$D$13:$F$64,MATCH($A43,Вводные!$A$13:$A$64,0),MATCH(HO$3,Вводные!$D$11:$F$11,0))*(1+IF(HO$4=$A43,Вводные!$D$5*INDEX(Вводные!$G$13:$G$64,MATCH($A43,Вводные!$A$13:$A$64,0)),0))</f>
        <v>10000000</v>
      </c>
      <c r="HP43" s="14" t="n">
        <f aca="false">INDEX(Вводные!$D$13:$F$64,MATCH($A43,Вводные!$A$13:$A$64,0),MATCH(HP$3,Вводные!$D$11:$F$11,0))*(1+IF(HP$4=$A43,Вводные!$D$5*INDEX(Вводные!$G$13:$G$64,MATCH($A43,Вводные!$A$13:$A$64,0)),0))</f>
        <v>10000000</v>
      </c>
      <c r="HQ43" s="14" t="n">
        <f aca="false">INDEX(Вводные!$D$13:$F$64,MATCH($A43,Вводные!$A$13:$A$64,0),MATCH(HQ$3,Вводные!$D$11:$F$11,0))*(1+IF(HQ$4=$A43,Вводные!$D$5*INDEX(Вводные!$G$13:$G$64,MATCH($A43,Вводные!$A$13:$A$64,0)),0))</f>
        <v>10000000</v>
      </c>
      <c r="HR43" s="14" t="n">
        <f aca="false">INDEX(Вводные!$D$13:$F$64,MATCH($A43,Вводные!$A$13:$A$64,0),MATCH(HR$3,Вводные!$D$11:$F$11,0))*(1+IF(HR$4=$A43,Вводные!$D$5*INDEX(Вводные!$G$13:$G$64,MATCH($A43,Вводные!$A$13:$A$64,0)),0))</f>
        <v>10000000</v>
      </c>
      <c r="HS43" s="14" t="n">
        <f aca="false">INDEX(Вводные!$D$13:$F$64,MATCH($A43,Вводные!$A$13:$A$64,0),MATCH(HS$3,Вводные!$D$11:$F$11,0))*(1+IF(HS$4=$A43,Вводные!$D$5*INDEX(Вводные!$G$13:$G$64,MATCH($A43,Вводные!$A$13:$A$64,0)),0))</f>
        <v>10000000</v>
      </c>
      <c r="HT43" s="14" t="n">
        <f aca="false">INDEX(Вводные!$D$13:$F$64,MATCH($A43,Вводные!$A$13:$A$64,0),MATCH(HT$3,Вводные!$D$11:$F$11,0))*(1+IF(HT$4=$A43,Вводные!$D$5*INDEX(Вводные!$G$13:$G$64,MATCH($A43,Вводные!$A$13:$A$64,0)),0))</f>
        <v>10000000</v>
      </c>
      <c r="HU43" s="14" t="n">
        <f aca="false">INDEX(Вводные!$D$13:$F$64,MATCH($A43,Вводные!$A$13:$A$64,0),MATCH(HU$3,Вводные!$D$11:$F$11,0))*(1+IF(HU$4=$A43,Вводные!$D$5*INDEX(Вводные!$G$13:$G$64,MATCH($A43,Вводные!$A$13:$A$64,0)),0))</f>
        <v>10000000</v>
      </c>
      <c r="HV43" s="14" t="n">
        <f aca="false">INDEX(Вводные!$D$13:$F$64,MATCH($A43,Вводные!$A$13:$A$64,0),MATCH(HV$3,Вводные!$D$11:$F$11,0))*(1+IF(HV$4=$A43,Вводные!$D$5*INDEX(Вводные!$G$13:$G$64,MATCH($A43,Вводные!$A$13:$A$64,0)),0))</f>
        <v>10000000</v>
      </c>
      <c r="HW43" s="14" t="n">
        <f aca="false">INDEX(Вводные!$D$13:$F$64,MATCH($A43,Вводные!$A$13:$A$64,0),MATCH(HW$3,Вводные!$D$11:$F$11,0))*(1+IF(HW$4=$A43,Вводные!$D$5*INDEX(Вводные!$G$13:$G$64,MATCH($A43,Вводные!$A$13:$A$64,0)),0))</f>
        <v>10000000</v>
      </c>
      <c r="HX43" s="14" t="n">
        <f aca="false">INDEX(Вводные!$D$13:$F$64,MATCH($A43,Вводные!$A$13:$A$64,0),MATCH(HX$3,Вводные!$D$11:$F$11,0))*(1+IF(HX$4=$A43,Вводные!$D$5*INDEX(Вводные!$G$13:$G$64,MATCH($A43,Вводные!$A$13:$A$64,0)),0))</f>
        <v>10000000</v>
      </c>
      <c r="HY43" s="14" t="n">
        <f aca="false">INDEX(Вводные!$D$13:$F$64,MATCH($A43,Вводные!$A$13:$A$64,0),MATCH(HY$3,Вводные!$D$11:$F$11,0))*(1+IF(HY$4=$A43,Вводные!$D$5*INDEX(Вводные!$G$13:$G$64,MATCH($A43,Вводные!$A$13:$A$64,0)),0))</f>
        <v>10000000</v>
      </c>
      <c r="HZ43" s="14" t="n">
        <f aca="false">INDEX(Вводные!$D$13:$F$64,MATCH($A43,Вводные!$A$13:$A$64,0),MATCH(HZ$3,Вводные!$D$11:$F$11,0))*(1+IF(HZ$4=$A43,Вводные!$D$5*INDEX(Вводные!$G$13:$G$64,MATCH($A43,Вводные!$A$13:$A$64,0)),0))</f>
        <v>10000000</v>
      </c>
      <c r="IA43" s="14" t="n">
        <f aca="false">INDEX(Вводные!$D$13:$F$64,MATCH($A43,Вводные!$A$13:$A$64,0),MATCH(IA$3,Вводные!$D$11:$F$11,0))*(1+IF(IA$4=$A43,Вводные!$D$5*INDEX(Вводные!$G$13:$G$64,MATCH($A43,Вводные!$A$13:$A$64,0)),0))</f>
        <v>10000000</v>
      </c>
      <c r="IB43" s="14" t="n">
        <f aca="false">INDEX(Вводные!$D$13:$F$64,MATCH($A43,Вводные!$A$13:$A$64,0),MATCH(IB$3,Вводные!$D$11:$F$11,0))*(1+IF(IB$4=$A43,Вводные!$D$5*INDEX(Вводные!$G$13:$G$64,MATCH($A43,Вводные!$A$13:$A$64,0)),0))</f>
        <v>10000000</v>
      </c>
      <c r="IC43" s="14" t="n">
        <f aca="false">INDEX(Вводные!$D$13:$F$64,MATCH($A43,Вводные!$A$13:$A$64,0),MATCH(IC$3,Вводные!$D$11:$F$11,0))*(1+IF(IC$4=$A43,Вводные!$D$5*INDEX(Вводные!$G$13:$G$64,MATCH($A43,Вводные!$A$13:$A$64,0)),0))</f>
        <v>10000000</v>
      </c>
      <c r="ID43" s="14" t="n">
        <f aca="false">INDEX(Вводные!$D$13:$F$64,MATCH($A43,Вводные!$A$13:$A$64,0),MATCH(ID$3,Вводные!$D$11:$F$11,0))*(1+IF(ID$4=$A43,Вводные!$D$5*INDEX(Вводные!$G$13:$G$64,MATCH($A43,Вводные!$A$13:$A$64,0)),0))</f>
        <v>10000000</v>
      </c>
      <c r="IE43" s="14" t="n">
        <f aca="false">INDEX(Вводные!$D$13:$F$64,MATCH($A43,Вводные!$A$13:$A$64,0),MATCH(IE$3,Вводные!$D$11:$F$11,0))*(1+IF(IE$4=$A43,Вводные!$D$5*INDEX(Вводные!$G$13:$G$64,MATCH($A43,Вводные!$A$13:$A$64,0)),0))</f>
        <v>10000000</v>
      </c>
      <c r="IF43" s="14" t="n">
        <f aca="false">INDEX(Вводные!$D$13:$F$64,MATCH($A43,Вводные!$A$13:$A$64,0),MATCH(IF$3,Вводные!$D$11:$F$11,0))*(1+IF(IF$4=$A43,Вводные!$D$5*INDEX(Вводные!$G$13:$G$64,MATCH($A43,Вводные!$A$13:$A$64,0)),0))</f>
        <v>10100000</v>
      </c>
      <c r="IG43" s="14" t="n">
        <f aca="false">INDEX(Вводные!$D$13:$F$64,MATCH($A43,Вводные!$A$13:$A$64,0),MATCH(IG$3,Вводные!$D$11:$F$11,0))*(1+IF(IG$4=$A43,Вводные!$D$5*INDEX(Вводные!$G$13:$G$64,MATCH($A43,Вводные!$A$13:$A$64,0)),0))</f>
        <v>10000000</v>
      </c>
      <c r="IH43" s="14" t="n">
        <f aca="false">INDEX(Вводные!$D$13:$F$64,MATCH($A43,Вводные!$A$13:$A$64,0),MATCH(IH$3,Вводные!$D$11:$F$11,0))*(1+IF(IH$4=$A43,Вводные!$D$5*INDEX(Вводные!$G$13:$G$64,MATCH($A43,Вводные!$A$13:$A$64,0)),0))</f>
        <v>10000000</v>
      </c>
      <c r="II43" s="14" t="n">
        <f aca="false">INDEX(Вводные!$D$13:$F$64,MATCH($A43,Вводные!$A$13:$A$64,0),MATCH(II$3,Вводные!$D$11:$F$11,0))*(1+IF(II$4=$A43,Вводные!$D$5*INDEX(Вводные!$G$13:$G$64,MATCH($A43,Вводные!$A$13:$A$64,0)),0))</f>
        <v>10000000</v>
      </c>
      <c r="IJ43" s="14" t="n">
        <f aca="false">INDEX(Вводные!$D$13:$F$64,MATCH($A43,Вводные!$A$13:$A$64,0),MATCH(IJ$3,Вводные!$D$11:$F$11,0))*(1+IF(IJ$4=$A43,Вводные!$D$5*INDEX(Вводные!$G$13:$G$64,MATCH($A43,Вводные!$A$13:$A$64,0)),0))</f>
        <v>10000000</v>
      </c>
      <c r="IK43" s="14" t="n">
        <f aca="false">INDEX(Вводные!$D$13:$F$64,MATCH($A43,Вводные!$A$13:$A$64,0),MATCH(IK$3,Вводные!$D$11:$F$11,0))*(1+IF(IK$4=$A43,Вводные!$D$5*INDEX(Вводные!$G$13:$G$64,MATCH($A43,Вводные!$A$13:$A$64,0)),0))</f>
        <v>10000000</v>
      </c>
      <c r="IL43" s="14" t="n">
        <f aca="false">INDEX(Вводные!$D$13:$F$64,MATCH($A43,Вводные!$A$13:$A$64,0),MATCH(IL$3,Вводные!$D$11:$F$11,0))*(1+IF(IL$4=$A43,Вводные!$D$5*INDEX(Вводные!$G$13:$G$64,MATCH($A43,Вводные!$A$13:$A$64,0)),0))</f>
        <v>10000000</v>
      </c>
      <c r="IM43" s="14" t="n">
        <f aca="false">INDEX(Вводные!$D$13:$F$64,MATCH($A43,Вводные!$A$13:$A$64,0),MATCH(IM$3,Вводные!$D$11:$F$11,0))*(1+IF(IM$4=$A43,Вводные!$D$5*INDEX(Вводные!$G$13:$G$64,MATCH($A43,Вводные!$A$13:$A$64,0)),0))</f>
        <v>10000000</v>
      </c>
      <c r="IN43" s="14" t="n">
        <f aca="false">INDEX(Вводные!$D$13:$F$64,MATCH($A43,Вводные!$A$13:$A$64,0),MATCH(IN$3,Вводные!$D$11:$F$11,0))*(1+IF(IN$4=$A43,Вводные!$D$5*INDEX(Вводные!$G$13:$G$64,MATCH($A43,Вводные!$A$13:$A$64,0)),0))</f>
        <v>10000000</v>
      </c>
      <c r="IO43" s="14" t="n">
        <f aca="false">INDEX(Вводные!$D$13:$F$64,MATCH($A43,Вводные!$A$13:$A$64,0),MATCH(IO$3,Вводные!$D$11:$F$11,0))*(1+IF(IO$4=$A43,Вводные!$D$5*INDEX(Вводные!$G$13:$G$64,MATCH($A43,Вводные!$A$13:$A$64,0)),0))</f>
        <v>10000000</v>
      </c>
      <c r="IP43" s="14" t="n">
        <f aca="false">INDEX(Вводные!$D$13:$F$64,MATCH($A43,Вводные!$A$13:$A$64,0),MATCH(IP$3,Вводные!$D$11:$F$11,0))*(1+IF(IP$4=$A43,Вводные!$D$5*INDEX(Вводные!$G$13:$G$64,MATCH($A43,Вводные!$A$13:$A$64,0)),0))</f>
        <v>10000000</v>
      </c>
      <c r="IQ43" s="14" t="n">
        <f aca="false">INDEX(Вводные!$D$13:$F$64,MATCH($A43,Вводные!$A$13:$A$64,0),MATCH(IQ$3,Вводные!$D$11:$F$11,0))*(1+IF(IQ$4=$A43,Вводные!$D$5*INDEX(Вводные!$G$13:$G$64,MATCH($A43,Вводные!$A$13:$A$64,0)),0))</f>
        <v>10000000</v>
      </c>
      <c r="IR43" s="14" t="n">
        <f aca="false">INDEX(Вводные!$D$13:$F$64,MATCH($A43,Вводные!$A$13:$A$64,0),MATCH(IR$3,Вводные!$D$11:$F$11,0))*(1+IF(IR$4=$A43,Вводные!$D$5*INDEX(Вводные!$G$13:$G$64,MATCH($A43,Вводные!$A$13:$A$64,0)),0))</f>
        <v>10000000</v>
      </c>
      <c r="IS43" s="14" t="n">
        <f aca="false">INDEX(Вводные!$D$13:$F$64,MATCH($A43,Вводные!$A$13:$A$64,0),MATCH(IS$3,Вводные!$D$11:$F$11,0))*(1+IF(IS$4=$A43,Вводные!$D$5*INDEX(Вводные!$G$13:$G$64,MATCH($A43,Вводные!$A$13:$A$64,0)),0))</f>
        <v>10000000</v>
      </c>
      <c r="IT43" s="14" t="n">
        <f aca="false">INDEX(Вводные!$D$13:$F$64,MATCH($A43,Вводные!$A$13:$A$64,0),MATCH(IT$3,Вводные!$D$11:$F$11,0))*(1+IF(IT$4=$A43,Вводные!$D$5*INDEX(Вводные!$G$13:$G$64,MATCH($A43,Вводные!$A$13:$A$64,0)),0))</f>
        <v>10000000</v>
      </c>
      <c r="IU43" s="14" t="n">
        <f aca="false">INDEX(Вводные!$D$13:$F$64,MATCH($A43,Вводные!$A$13:$A$64,0),MATCH(IU$3,Вводные!$D$11:$F$11,0))*(1+IF(IU$4=$A43,Вводные!$D$5*INDEX(Вводные!$G$13:$G$64,MATCH($A43,Вводные!$A$13:$A$64,0)),0))</f>
        <v>10000000</v>
      </c>
      <c r="IV43" s="14" t="n">
        <f aca="false">INDEX(Вводные!$D$13:$F$64,MATCH($A43,Вводные!$A$13:$A$64,0),MATCH(IV$3,Вводные!$D$11:$F$11,0))*(1+IF(IV$4=$A43,Вводные!$D$5*INDEX(Вводные!$G$13:$G$64,MATCH($A43,Вводные!$A$13:$A$64,0)),0))</f>
        <v>10000000</v>
      </c>
      <c r="IW43" s="14" t="n">
        <f aca="false">INDEX(Вводные!$D$13:$F$64,MATCH($A43,Вводные!$A$13:$A$64,0),MATCH(IW$3,Вводные!$D$11:$F$11,0))*(1+IF(IW$4=$A43,Вводные!$D$5*INDEX(Вводные!$G$13:$G$64,MATCH($A43,Вводные!$A$13:$A$64,0)),0))</f>
        <v>10000000</v>
      </c>
      <c r="IX43" s="14" t="n">
        <f aca="false">INDEX(Вводные!$D$13:$F$64,MATCH($A43,Вводные!$A$13:$A$64,0),MATCH(IX$3,Вводные!$D$11:$F$11,0))*(1+IF(IX$4=$A43,Вводные!$D$5*INDEX(Вводные!$G$13:$G$64,MATCH($A43,Вводные!$A$13:$A$64,0)),0))</f>
        <v>10000000</v>
      </c>
      <c r="IY43" s="14" t="n">
        <f aca="false">INDEX(Вводные!$D$13:$F$64,MATCH($A43,Вводные!$A$13:$A$64,0),MATCH(IY$3,Вводные!$D$11:$F$11,0))*(1+IF(IY$4=$A43,Вводные!$D$5*INDEX(Вводные!$G$13:$G$64,MATCH($A43,Вводные!$A$13:$A$64,0)),0))</f>
        <v>10000000</v>
      </c>
      <c r="IZ43" s="14" t="n">
        <f aca="false">INDEX(Вводные!$D$13:$F$64,MATCH($A43,Вводные!$A$13:$A$64,0),MATCH(IZ$3,Вводные!$D$11:$F$11,0))*(1+IF(IZ$4=$A43,Вводные!$D$5*INDEX(Вводные!$G$13:$G$64,MATCH($A43,Вводные!$A$13:$A$64,0)),0))</f>
        <v>10000000</v>
      </c>
      <c r="JA43" s="14" t="n">
        <f aca="false">INDEX(Вводные!$D$13:$F$64,MATCH($A43,Вводные!$A$13:$A$64,0),MATCH(JA$3,Вводные!$D$11:$F$11,0))*(1+IF(JA$4=$A43,Вводные!$D$5*INDEX(Вводные!$G$13:$G$64,MATCH($A43,Вводные!$A$13:$A$64,0)),0))</f>
        <v>10000000</v>
      </c>
    </row>
    <row r="44" customFormat="false" ht="15" hidden="false" customHeight="false" outlineLevel="0" collapsed="false">
      <c r="A44" s="2" t="s">
        <v>224</v>
      </c>
      <c r="B44" s="13" t="s">
        <v>225</v>
      </c>
      <c r="C44" s="13" t="s">
        <v>179</v>
      </c>
      <c r="D44" s="9" t="s">
        <v>226</v>
      </c>
      <c r="E44" s="59" t="n">
        <f aca="false">E16*E42*E43</f>
        <v>760687500</v>
      </c>
      <c r="F44" s="59" t="n">
        <f aca="false">F16*F42*F43</f>
        <v>755500000</v>
      </c>
      <c r="G44" s="59" t="n">
        <f aca="false">G16*G42*G43</f>
        <v>1608000000</v>
      </c>
      <c r="H44" s="59" t="n">
        <f aca="false">SUM(E44:G44)</f>
        <v>3124187500</v>
      </c>
      <c r="J44" s="59" t="n">
        <f aca="false">J16*J42*J43</f>
        <v>760687500</v>
      </c>
      <c r="K44" s="59" t="n">
        <f aca="false">K16*K42*K43</f>
        <v>761244375</v>
      </c>
      <c r="L44" s="59" t="n">
        <f aca="false">L16*L42*L43</f>
        <v>761244375</v>
      </c>
      <c r="M44" s="59" t="n">
        <f aca="false">M16*M42*M43</f>
        <v>761244375</v>
      </c>
      <c r="N44" s="59" t="n">
        <f aca="false">N16*N42*N43</f>
        <v>761137500</v>
      </c>
      <c r="O44" s="59" t="n">
        <f aca="false">O16*O42*O43</f>
        <v>760687500</v>
      </c>
      <c r="P44" s="59" t="n">
        <f aca="false">P16*P42*P43</f>
        <v>760687500</v>
      </c>
      <c r="Q44" s="59" t="n">
        <f aca="false">Q16*Q42*Q43</f>
        <v>760687500</v>
      </c>
      <c r="R44" s="59" t="n">
        <f aca="false">R16*R42*R43</f>
        <v>760687500</v>
      </c>
      <c r="S44" s="59" t="n">
        <f aca="false">S16*S42*S43</f>
        <v>760687500</v>
      </c>
      <c r="T44" s="59" t="n">
        <f aca="false">T16*T42*T43</f>
        <v>760687500</v>
      </c>
      <c r="U44" s="59" t="n">
        <f aca="false">U16*U42*U43</f>
        <v>760687500</v>
      </c>
      <c r="V44" s="59" t="n">
        <f aca="false">V16*V42*V43</f>
        <v>760687500</v>
      </c>
      <c r="W44" s="59" t="n">
        <f aca="false">W16*W42*W43</f>
        <v>760687500</v>
      </c>
      <c r="X44" s="59" t="n">
        <f aca="false">X16*X42*X43</f>
        <v>760687500</v>
      </c>
      <c r="Y44" s="59" t="n">
        <f aca="false">Y16*Y42*Y43</f>
        <v>760687500</v>
      </c>
      <c r="Z44" s="59" t="n">
        <f aca="false">Z16*Z42*Z43</f>
        <v>760687500</v>
      </c>
      <c r="AA44" s="59" t="n">
        <f aca="false">AA16*AA42*AA43</f>
        <v>760687500</v>
      </c>
      <c r="AB44" s="59" t="n">
        <f aca="false">AB16*AB42*AB43</f>
        <v>760687500</v>
      </c>
      <c r="AC44" s="59" t="n">
        <f aca="false">AC16*AC42*AC43</f>
        <v>768294375</v>
      </c>
      <c r="AD44" s="59" t="n">
        <f aca="false">AD16*AD42*AD43</f>
        <v>768294375</v>
      </c>
      <c r="AE44" s="59" t="n">
        <f aca="false">AE16*AE42*AE43</f>
        <v>760687500</v>
      </c>
      <c r="AF44" s="59" t="n">
        <f aca="false">AF16*AF42*AF43</f>
        <v>760687500</v>
      </c>
      <c r="AG44" s="59" t="n">
        <f aca="false">AG16*AG42*AG43</f>
        <v>760687500</v>
      </c>
      <c r="AH44" s="59" t="n">
        <f aca="false">AH16*AH42*AH43</f>
        <v>760687500</v>
      </c>
      <c r="AI44" s="59" t="n">
        <f aca="false">AI16*AI42*AI43</f>
        <v>760687500</v>
      </c>
      <c r="AJ44" s="59" t="n">
        <f aca="false">AJ16*AJ42*AJ43</f>
        <v>760687500</v>
      </c>
      <c r="AK44" s="59" t="n">
        <f aca="false">AK16*AK42*AK43</f>
        <v>760687500</v>
      </c>
      <c r="AL44" s="59" t="n">
        <f aca="false">AL16*AL42*AL43</f>
        <v>760687500</v>
      </c>
      <c r="AM44" s="59" t="n">
        <f aca="false">AM16*AM42*AM43</f>
        <v>760687500</v>
      </c>
      <c r="AN44" s="59" t="n">
        <f aca="false">AN16*AN42*AN43</f>
        <v>760687500</v>
      </c>
      <c r="AO44" s="59" t="n">
        <f aca="false">AO16*AO42*AO43</f>
        <v>760687500</v>
      </c>
      <c r="AP44" s="59" t="n">
        <f aca="false">AP16*AP42*AP43</f>
        <v>760687500</v>
      </c>
      <c r="AQ44" s="59" t="n">
        <f aca="false">AQ16*AQ42*AQ43</f>
        <v>760687500</v>
      </c>
      <c r="AR44" s="59" t="n">
        <f aca="false">AR16*AR42*AR43</f>
        <v>760687500</v>
      </c>
      <c r="AS44" s="59" t="n">
        <f aca="false">AS16*AS42*AS43</f>
        <v>760687500</v>
      </c>
      <c r="AT44" s="59" t="n">
        <f aca="false">AT16*AT42*AT43</f>
        <v>760687500</v>
      </c>
      <c r="AU44" s="59" t="n">
        <f aca="false">AU16*AU42*AU43</f>
        <v>760687500</v>
      </c>
      <c r="AV44" s="59" t="n">
        <f aca="false">AV16*AV42*AV43</f>
        <v>760687500</v>
      </c>
      <c r="AW44" s="59" t="n">
        <f aca="false">AW16*AW42*AW43</f>
        <v>760687500</v>
      </c>
      <c r="AX44" s="59" t="n">
        <f aca="false">AX16*AX42*AX43</f>
        <v>760687500</v>
      </c>
      <c r="AY44" s="59" t="n">
        <f aca="false">AY16*AY42*AY43</f>
        <v>760687500</v>
      </c>
      <c r="AZ44" s="59" t="n">
        <f aca="false">AZ16*AZ42*AZ43</f>
        <v>755500000</v>
      </c>
      <c r="BA44" s="59" t="n">
        <f aca="false">BA16*BA42*BA43</f>
        <v>755780000</v>
      </c>
      <c r="BB44" s="59" t="n">
        <f aca="false">BB16*BB42*BB43</f>
        <v>755780000</v>
      </c>
      <c r="BC44" s="59" t="n">
        <f aca="false">BC16*BC42*BC43</f>
        <v>755780000</v>
      </c>
      <c r="BD44" s="59" t="n">
        <f aca="false">BD16*BD42*BD43</f>
        <v>755725000</v>
      </c>
      <c r="BE44" s="59" t="n">
        <f aca="false">BE16*BE42*BE43</f>
        <v>755500000</v>
      </c>
      <c r="BF44" s="59" t="n">
        <f aca="false">BF16*BF42*BF43</f>
        <v>755500000</v>
      </c>
      <c r="BG44" s="59" t="n">
        <f aca="false">BG16*BG42*BG43</f>
        <v>755500000</v>
      </c>
      <c r="BH44" s="59" t="n">
        <f aca="false">BH16*BH42*BH43</f>
        <v>755500000</v>
      </c>
      <c r="BI44" s="59" t="n">
        <f aca="false">BI16*BI42*BI43</f>
        <v>755500000</v>
      </c>
      <c r="BJ44" s="59" t="n">
        <f aca="false">BJ16*BJ42*BJ43</f>
        <v>755500000</v>
      </c>
      <c r="BK44" s="59" t="n">
        <f aca="false">BK16*BK42*BK43</f>
        <v>755500000</v>
      </c>
      <c r="BL44" s="59" t="n">
        <f aca="false">BL16*BL42*BL43</f>
        <v>755500000</v>
      </c>
      <c r="BM44" s="59" t="n">
        <f aca="false">BM16*BM42*BM43</f>
        <v>755500000</v>
      </c>
      <c r="BN44" s="59" t="n">
        <f aca="false">BN16*BN42*BN43</f>
        <v>755500000</v>
      </c>
      <c r="BO44" s="59" t="n">
        <f aca="false">BO16*BO42*BO43</f>
        <v>755500000</v>
      </c>
      <c r="BP44" s="59" t="n">
        <f aca="false">BP16*BP42*BP43</f>
        <v>755500000</v>
      </c>
      <c r="BQ44" s="59" t="n">
        <f aca="false">BQ16*BQ42*BQ43</f>
        <v>755500000</v>
      </c>
      <c r="BR44" s="59" t="n">
        <f aca="false">BR16*BR42*BR43</f>
        <v>755500000</v>
      </c>
      <c r="BS44" s="59" t="n">
        <f aca="false">BS16*BS42*BS43</f>
        <v>763055000</v>
      </c>
      <c r="BT44" s="59" t="n">
        <f aca="false">BT16*BT42*BT43</f>
        <v>763055000</v>
      </c>
      <c r="BU44" s="59" t="n">
        <f aca="false">BU16*BU42*BU43</f>
        <v>755500000</v>
      </c>
      <c r="BV44" s="59" t="n">
        <f aca="false">BV16*BV42*BV43</f>
        <v>755500000</v>
      </c>
      <c r="BW44" s="59" t="n">
        <f aca="false">BW16*BW42*BW43</f>
        <v>755500000</v>
      </c>
      <c r="BX44" s="59" t="n">
        <f aca="false">BX16*BX42*BX43</f>
        <v>755500000</v>
      </c>
      <c r="BY44" s="59" t="n">
        <f aca="false">BY16*BY42*BY43</f>
        <v>755500000</v>
      </c>
      <c r="BZ44" s="59" t="n">
        <f aca="false">BZ16*BZ42*BZ43</f>
        <v>755500000</v>
      </c>
      <c r="CA44" s="59" t="n">
        <f aca="false">CA16*CA42*CA43</f>
        <v>755500000</v>
      </c>
      <c r="CB44" s="59" t="n">
        <f aca="false">CB16*CB42*CB43</f>
        <v>755500000</v>
      </c>
      <c r="CC44" s="59" t="n">
        <f aca="false">CC16*CC42*CC43</f>
        <v>755500000</v>
      </c>
      <c r="CD44" s="59" t="n">
        <f aca="false">CD16*CD42*CD43</f>
        <v>755500000</v>
      </c>
      <c r="CE44" s="59" t="n">
        <f aca="false">CE16*CE42*CE43</f>
        <v>755500000</v>
      </c>
      <c r="CF44" s="59" t="n">
        <f aca="false">CF16*CF42*CF43</f>
        <v>755500000</v>
      </c>
      <c r="CG44" s="59" t="n">
        <f aca="false">CG16*CG42*CG43</f>
        <v>755500000</v>
      </c>
      <c r="CH44" s="59" t="n">
        <f aca="false">CH16*CH42*CH43</f>
        <v>755500000</v>
      </c>
      <c r="CI44" s="59" t="n">
        <f aca="false">CI16*CI42*CI43</f>
        <v>755500000</v>
      </c>
      <c r="CJ44" s="59" t="n">
        <f aca="false">CJ16*CJ42*CJ43</f>
        <v>755500000</v>
      </c>
      <c r="CK44" s="59" t="n">
        <f aca="false">CK16*CK42*CK43</f>
        <v>755500000</v>
      </c>
      <c r="CL44" s="59" t="n">
        <f aca="false">CL16*CL42*CL43</f>
        <v>755500000</v>
      </c>
      <c r="CM44" s="59" t="n">
        <f aca="false">CM16*CM42*CM43</f>
        <v>755500000</v>
      </c>
      <c r="CN44" s="59" t="n">
        <f aca="false">CN16*CN42*CN43</f>
        <v>755500000</v>
      </c>
      <c r="CO44" s="59" t="n">
        <f aca="false">CO16*CO42*CO43</f>
        <v>755500000</v>
      </c>
      <c r="CP44" s="59" t="n">
        <f aca="false">CP16*CP42*CP43</f>
        <v>1608000000</v>
      </c>
      <c r="CQ44" s="59" t="n">
        <f aca="false">CQ16*CQ42*CQ43</f>
        <v>1608720000</v>
      </c>
      <c r="CR44" s="59" t="n">
        <f aca="false">CR16*CR42*CR43</f>
        <v>1608720000</v>
      </c>
      <c r="CS44" s="59" t="n">
        <f aca="false">CS16*CS42*CS43</f>
        <v>1608720000</v>
      </c>
      <c r="CT44" s="59" t="n">
        <f aca="false">CT16*CT42*CT43</f>
        <v>1608640000</v>
      </c>
      <c r="CU44" s="59" t="n">
        <f aca="false">CU16*CU42*CU43</f>
        <v>1608000000</v>
      </c>
      <c r="CV44" s="59" t="n">
        <f aca="false">CV16*CV42*CV43</f>
        <v>1608000000</v>
      </c>
      <c r="CW44" s="59" t="n">
        <f aca="false">CW16*CW42*CW43</f>
        <v>1608000000</v>
      </c>
      <c r="CX44" s="59" t="n">
        <f aca="false">CX16*CX42*CX43</f>
        <v>1608000000</v>
      </c>
      <c r="CY44" s="59" t="n">
        <f aca="false">CY16*CY42*CY43</f>
        <v>1608000000</v>
      </c>
      <c r="CZ44" s="59" t="n">
        <f aca="false">CZ16*CZ42*CZ43</f>
        <v>1608000000</v>
      </c>
      <c r="DA44" s="59" t="n">
        <f aca="false">DA16*DA42*DA43</f>
        <v>1608000000</v>
      </c>
      <c r="DB44" s="59" t="n">
        <f aca="false">DB16*DB42*DB43</f>
        <v>1608000000</v>
      </c>
      <c r="DC44" s="59" t="n">
        <f aca="false">DC16*DC42*DC43</f>
        <v>1608000000</v>
      </c>
      <c r="DD44" s="59" t="n">
        <f aca="false">DD16*DD42*DD43</f>
        <v>1608000000</v>
      </c>
      <c r="DE44" s="59" t="n">
        <f aca="false">DE16*DE42*DE43</f>
        <v>1608000000</v>
      </c>
      <c r="DF44" s="59" t="n">
        <f aca="false">DF16*DF42*DF43</f>
        <v>1608000000</v>
      </c>
      <c r="DG44" s="59" t="n">
        <f aca="false">DG16*DG42*DG43</f>
        <v>1608000000</v>
      </c>
      <c r="DH44" s="59" t="n">
        <f aca="false">DH16*DH42*DH43</f>
        <v>1608000000</v>
      </c>
      <c r="DI44" s="59" t="n">
        <f aca="false">DI16*DI42*DI43</f>
        <v>1624080000</v>
      </c>
      <c r="DJ44" s="59" t="n">
        <f aca="false">DJ16*DJ42*DJ43</f>
        <v>1624080000</v>
      </c>
      <c r="DK44" s="59" t="n">
        <f aca="false">DK16*DK42*DK43</f>
        <v>1608000000</v>
      </c>
      <c r="DL44" s="59" t="n">
        <f aca="false">DL16*DL42*DL43</f>
        <v>1608000000</v>
      </c>
      <c r="DM44" s="59" t="n">
        <f aca="false">DM16*DM42*DM43</f>
        <v>1608000000</v>
      </c>
      <c r="DN44" s="59" t="n">
        <f aca="false">DN16*DN42*DN43</f>
        <v>1608000000</v>
      </c>
      <c r="DO44" s="59" t="n">
        <f aca="false">DO16*DO42*DO43</f>
        <v>1608000000</v>
      </c>
      <c r="DP44" s="59" t="n">
        <f aca="false">DP16*DP42*DP43</f>
        <v>1608000000</v>
      </c>
      <c r="DQ44" s="59" t="n">
        <f aca="false">DQ16*DQ42*DQ43</f>
        <v>1608000000</v>
      </c>
      <c r="DR44" s="59" t="n">
        <f aca="false">DR16*DR42*DR43</f>
        <v>1608000000</v>
      </c>
      <c r="DS44" s="59" t="n">
        <f aca="false">DS16*DS42*DS43</f>
        <v>1608000000</v>
      </c>
      <c r="DT44" s="59" t="n">
        <f aca="false">DT16*DT42*DT43</f>
        <v>1608000000</v>
      </c>
      <c r="DU44" s="59" t="n">
        <f aca="false">DU16*DU42*DU43</f>
        <v>1608000000</v>
      </c>
      <c r="DV44" s="59" t="n">
        <f aca="false">DV16*DV42*DV43</f>
        <v>1608000000</v>
      </c>
      <c r="DW44" s="59" t="n">
        <f aca="false">DW16*DW42*DW43</f>
        <v>1608000000</v>
      </c>
      <c r="DX44" s="59" t="n">
        <f aca="false">DX16*DX42*DX43</f>
        <v>1608000000</v>
      </c>
      <c r="DY44" s="59" t="n">
        <f aca="false">DY16*DY42*DY43</f>
        <v>1608000000</v>
      </c>
      <c r="DZ44" s="59" t="n">
        <f aca="false">DZ16*DZ42*DZ43</f>
        <v>1608000000</v>
      </c>
      <c r="EA44" s="59" t="n">
        <f aca="false">EA16*EA42*EA43</f>
        <v>1608000000</v>
      </c>
      <c r="EB44" s="59" t="n">
        <f aca="false">EB16*EB42*EB43</f>
        <v>1608000000</v>
      </c>
      <c r="EC44" s="59" t="n">
        <f aca="false">EC16*EC42*EC43</f>
        <v>1608000000</v>
      </c>
      <c r="ED44" s="59" t="n">
        <f aca="false">ED16*ED42*ED43</f>
        <v>1608000000</v>
      </c>
      <c r="EE44" s="59" t="n">
        <f aca="false">EE16*EE42*EE43</f>
        <v>1608000000</v>
      </c>
      <c r="EF44" s="59" t="n">
        <f aca="false">EF16*EF42*EF43</f>
        <v>928125000</v>
      </c>
      <c r="EG44" s="59" t="n">
        <f aca="false">EG16*EG42*EG43</f>
        <v>937406250</v>
      </c>
      <c r="EH44" s="59" t="n">
        <f aca="false">EH16*EH42*EH43</f>
        <v>937406250</v>
      </c>
      <c r="EI44" s="59" t="n">
        <f aca="false">EI16*EI42*EI43</f>
        <v>937406250</v>
      </c>
      <c r="EJ44" s="59" t="n">
        <f aca="false">EJ16*EJ42*EJ43</f>
        <v>937500000</v>
      </c>
      <c r="EK44" s="59" t="n">
        <f aca="false">EK16*EK42*EK43</f>
        <v>928125000</v>
      </c>
      <c r="EL44" s="59" t="n">
        <f aca="false">EL16*EL42*EL43</f>
        <v>928125000</v>
      </c>
      <c r="EM44" s="59" t="n">
        <f aca="false">EM16*EM42*EM43</f>
        <v>928125000</v>
      </c>
      <c r="EN44" s="59" t="n">
        <f aca="false">EN16*EN42*EN43</f>
        <v>928125000</v>
      </c>
      <c r="EO44" s="59" t="n">
        <f aca="false">EO16*EO42*EO43</f>
        <v>928125000</v>
      </c>
      <c r="EP44" s="59" t="n">
        <f aca="false">EP16*EP42*EP43</f>
        <v>928125000</v>
      </c>
      <c r="EQ44" s="59" t="n">
        <f aca="false">EQ16*EQ42*EQ43</f>
        <v>928125000</v>
      </c>
      <c r="ER44" s="59" t="n">
        <f aca="false">ER16*ER42*ER43</f>
        <v>928125000</v>
      </c>
      <c r="ES44" s="59" t="n">
        <f aca="false">ES16*ES42*ES43</f>
        <v>928125000</v>
      </c>
      <c r="ET44" s="59" t="n">
        <f aca="false">ET16*ET42*ET43</f>
        <v>928125000</v>
      </c>
      <c r="EU44" s="59" t="n">
        <f aca="false">EU16*EU42*EU43</f>
        <v>928125000</v>
      </c>
      <c r="EV44" s="59" t="n">
        <f aca="false">EV16*EV42*EV43</f>
        <v>928125000</v>
      </c>
      <c r="EW44" s="59" t="n">
        <f aca="false">EW16*EW42*EW43</f>
        <v>928125000</v>
      </c>
      <c r="EX44" s="59" t="n">
        <f aca="false">EX16*EX42*EX43</f>
        <v>928125000</v>
      </c>
      <c r="EY44" s="59" t="n">
        <f aca="false">EY16*EY42*EY43</f>
        <v>937406250</v>
      </c>
      <c r="EZ44" s="59" t="n">
        <f aca="false">EZ16*EZ42*EZ43</f>
        <v>937406250</v>
      </c>
      <c r="FA44" s="59" t="n">
        <f aca="false">FA16*FA42*FA43</f>
        <v>928125000</v>
      </c>
      <c r="FB44" s="59" t="n">
        <f aca="false">FB16*FB42*FB43</f>
        <v>928125000</v>
      </c>
      <c r="FC44" s="59" t="n">
        <f aca="false">FC16*FC42*FC43</f>
        <v>928125000</v>
      </c>
      <c r="FD44" s="59" t="n">
        <f aca="false">FD16*FD42*FD43</f>
        <v>928125000</v>
      </c>
      <c r="FE44" s="59" t="n">
        <f aca="false">FE16*FE42*FE43</f>
        <v>928125000</v>
      </c>
      <c r="FF44" s="59" t="n">
        <f aca="false">FF16*FF42*FF43</f>
        <v>928125000</v>
      </c>
      <c r="FG44" s="59" t="n">
        <f aca="false">FG16*FG42*FG43</f>
        <v>928125000</v>
      </c>
      <c r="FH44" s="59" t="n">
        <f aca="false">FH16*FH42*FH43</f>
        <v>928125000</v>
      </c>
      <c r="FI44" s="59" t="n">
        <f aca="false">FI16*FI42*FI43</f>
        <v>928125000</v>
      </c>
      <c r="FJ44" s="59" t="n">
        <f aca="false">FJ16*FJ42*FJ43</f>
        <v>928125000</v>
      </c>
      <c r="FK44" s="59" t="n">
        <f aca="false">FK16*FK42*FK43</f>
        <v>928125000</v>
      </c>
      <c r="FL44" s="59" t="n">
        <f aca="false">FL16*FL42*FL43</f>
        <v>928125000</v>
      </c>
      <c r="FM44" s="59" t="n">
        <f aca="false">FM16*FM42*FM43</f>
        <v>928125000</v>
      </c>
      <c r="FN44" s="59" t="n">
        <f aca="false">FN16*FN42*FN43</f>
        <v>928125000</v>
      </c>
      <c r="FO44" s="59" t="n">
        <f aca="false">FO16*FO42*FO43</f>
        <v>928125000</v>
      </c>
      <c r="FP44" s="59" t="n">
        <f aca="false">FP16*FP42*FP43</f>
        <v>928125000</v>
      </c>
      <c r="FQ44" s="59" t="n">
        <f aca="false">FQ16*FQ42*FQ43</f>
        <v>928125000</v>
      </c>
      <c r="FR44" s="59" t="n">
        <f aca="false">FR16*FR42*FR43</f>
        <v>928125000</v>
      </c>
      <c r="FS44" s="59" t="n">
        <f aca="false">FS16*FS42*FS43</f>
        <v>928125000</v>
      </c>
      <c r="FT44" s="59" t="n">
        <f aca="false">FT16*FT42*FT43</f>
        <v>928125000</v>
      </c>
      <c r="FU44" s="59" t="n">
        <f aca="false">FU16*FU42*FU43</f>
        <v>928125000</v>
      </c>
      <c r="FV44" s="59" t="n">
        <f aca="false">FV16*FV42*FV43</f>
        <v>933333333.333333</v>
      </c>
      <c r="FW44" s="59" t="n">
        <f aca="false">FW16*FW42*FW43</f>
        <v>942666666.666667</v>
      </c>
      <c r="FX44" s="59" t="n">
        <f aca="false">FX16*FX42*FX43</f>
        <v>942666666.666667</v>
      </c>
      <c r="FY44" s="59" t="n">
        <f aca="false">FY16*FY42*FY43</f>
        <v>942666666.666667</v>
      </c>
      <c r="FZ44" s="59" t="n">
        <f aca="false">FZ16*FZ42*FZ43</f>
        <v>942760942.760943</v>
      </c>
      <c r="GA44" s="59" t="n">
        <f aca="false">GA16*GA42*GA43</f>
        <v>933333333.333333</v>
      </c>
      <c r="GB44" s="59" t="n">
        <f aca="false">GB16*GB42*GB43</f>
        <v>933333333.333333</v>
      </c>
      <c r="GC44" s="59" t="n">
        <f aca="false">GC16*GC42*GC43</f>
        <v>933333333.333333</v>
      </c>
      <c r="GD44" s="59" t="n">
        <f aca="false">GD16*GD42*GD43</f>
        <v>933333333.333333</v>
      </c>
      <c r="GE44" s="59" t="n">
        <f aca="false">GE16*GE42*GE43</f>
        <v>933333333.333333</v>
      </c>
      <c r="GF44" s="59" t="n">
        <f aca="false">GF16*GF42*GF43</f>
        <v>933333333.333333</v>
      </c>
      <c r="GG44" s="59" t="n">
        <f aca="false">GG16*GG42*GG43</f>
        <v>933333333.333333</v>
      </c>
      <c r="GH44" s="59" t="n">
        <f aca="false">GH16*GH42*GH43</f>
        <v>933333333.333333</v>
      </c>
      <c r="GI44" s="59" t="n">
        <f aca="false">GI16*GI42*GI43</f>
        <v>933333333.333333</v>
      </c>
      <c r="GJ44" s="59" t="n">
        <f aca="false">GJ16*GJ42*GJ43</f>
        <v>933333333.333333</v>
      </c>
      <c r="GK44" s="59" t="n">
        <f aca="false">GK16*GK42*GK43</f>
        <v>933333333.333333</v>
      </c>
      <c r="GL44" s="59" t="n">
        <f aca="false">GL16*GL42*GL43</f>
        <v>933333333.333333</v>
      </c>
      <c r="GM44" s="59" t="n">
        <f aca="false">GM16*GM42*GM43</f>
        <v>933333333.333333</v>
      </c>
      <c r="GN44" s="59" t="n">
        <f aca="false">GN16*GN42*GN43</f>
        <v>933333333.333333</v>
      </c>
      <c r="GO44" s="59" t="n">
        <f aca="false">GO16*GO42*GO43</f>
        <v>942666666.666667</v>
      </c>
      <c r="GP44" s="59" t="n">
        <f aca="false">GP16*GP42*GP43</f>
        <v>942666666.666667</v>
      </c>
      <c r="GQ44" s="59" t="n">
        <f aca="false">GQ16*GQ42*GQ43</f>
        <v>933333333.333333</v>
      </c>
      <c r="GR44" s="59" t="n">
        <f aca="false">GR16*GR42*GR43</f>
        <v>933333333.333333</v>
      </c>
      <c r="GS44" s="59" t="n">
        <f aca="false">GS16*GS42*GS43</f>
        <v>933333333.333333</v>
      </c>
      <c r="GT44" s="59" t="n">
        <f aca="false">GT16*GT42*GT43</f>
        <v>933333333.333333</v>
      </c>
      <c r="GU44" s="59" t="n">
        <f aca="false">GU16*GU42*GU43</f>
        <v>933333333.333333</v>
      </c>
      <c r="GV44" s="59" t="n">
        <f aca="false">GV16*GV42*GV43</f>
        <v>933333333.333333</v>
      </c>
      <c r="GW44" s="59" t="n">
        <f aca="false">GW16*GW42*GW43</f>
        <v>933333333.333333</v>
      </c>
      <c r="GX44" s="59" t="n">
        <f aca="false">GX16*GX42*GX43</f>
        <v>933333333.333333</v>
      </c>
      <c r="GY44" s="59" t="n">
        <f aca="false">GY16*GY42*GY43</f>
        <v>933333333.333333</v>
      </c>
      <c r="GZ44" s="59" t="n">
        <f aca="false">GZ16*GZ42*GZ43</f>
        <v>933333333.333333</v>
      </c>
      <c r="HA44" s="59" t="n">
        <f aca="false">HA16*HA42*HA43</f>
        <v>933333333.333333</v>
      </c>
      <c r="HB44" s="59" t="n">
        <f aca="false">HB16*HB42*HB43</f>
        <v>933333333.333333</v>
      </c>
      <c r="HC44" s="59" t="n">
        <f aca="false">HC16*HC42*HC43</f>
        <v>933333333.333333</v>
      </c>
      <c r="HD44" s="59" t="n">
        <f aca="false">HD16*HD42*HD43</f>
        <v>933333333.333333</v>
      </c>
      <c r="HE44" s="59" t="n">
        <f aca="false">HE16*HE42*HE43</f>
        <v>933333333.333333</v>
      </c>
      <c r="HF44" s="59" t="n">
        <f aca="false">HF16*HF42*HF43</f>
        <v>933333333.333333</v>
      </c>
      <c r="HG44" s="59" t="n">
        <f aca="false">HG16*HG42*HG43</f>
        <v>933333333.333333</v>
      </c>
      <c r="HH44" s="59" t="n">
        <f aca="false">HH16*HH42*HH43</f>
        <v>933333333.333333</v>
      </c>
      <c r="HI44" s="59" t="n">
        <f aca="false">HI16*HI42*HI43</f>
        <v>933333333.333333</v>
      </c>
      <c r="HJ44" s="59" t="n">
        <f aca="false">HJ16*HJ42*HJ43</f>
        <v>933333333.333333</v>
      </c>
      <c r="HK44" s="59" t="n">
        <f aca="false">HK16*HK42*HK43</f>
        <v>933333333.333333</v>
      </c>
      <c r="HL44" s="59" t="n">
        <f aca="false">HL16*HL42*HL43</f>
        <v>1800000000</v>
      </c>
      <c r="HM44" s="59" t="n">
        <f aca="false">HM16*HM42*HM43</f>
        <v>1818000000</v>
      </c>
      <c r="HN44" s="59" t="n">
        <f aca="false">HN16*HN42*HN43</f>
        <v>1818000000</v>
      </c>
      <c r="HO44" s="59" t="n">
        <f aca="false">HO16*HO42*HO43</f>
        <v>1818000000</v>
      </c>
      <c r="HP44" s="59" t="n">
        <f aca="false">HP16*HP42*HP43</f>
        <v>1818181818.18182</v>
      </c>
      <c r="HQ44" s="59" t="n">
        <f aca="false">HQ16*HQ42*HQ43</f>
        <v>1800000000</v>
      </c>
      <c r="HR44" s="59" t="n">
        <f aca="false">HR16*HR42*HR43</f>
        <v>1800000000</v>
      </c>
      <c r="HS44" s="59" t="n">
        <f aca="false">HS16*HS42*HS43</f>
        <v>1800000000</v>
      </c>
      <c r="HT44" s="59" t="n">
        <f aca="false">HT16*HT42*HT43</f>
        <v>1800000000</v>
      </c>
      <c r="HU44" s="59" t="n">
        <f aca="false">HU16*HU42*HU43</f>
        <v>1800000000</v>
      </c>
      <c r="HV44" s="59" t="n">
        <f aca="false">HV16*HV42*HV43</f>
        <v>1800000000</v>
      </c>
      <c r="HW44" s="59" t="n">
        <f aca="false">HW16*HW42*HW43</f>
        <v>1800000000</v>
      </c>
      <c r="HX44" s="59" t="n">
        <f aca="false">HX16*HX42*HX43</f>
        <v>1800000000</v>
      </c>
      <c r="HY44" s="59" t="n">
        <f aca="false">HY16*HY42*HY43</f>
        <v>1800000000</v>
      </c>
      <c r="HZ44" s="59" t="n">
        <f aca="false">HZ16*HZ42*HZ43</f>
        <v>1800000000</v>
      </c>
      <c r="IA44" s="59" t="n">
        <f aca="false">IA16*IA42*IA43</f>
        <v>1800000000</v>
      </c>
      <c r="IB44" s="59" t="n">
        <f aca="false">IB16*IB42*IB43</f>
        <v>1800000000</v>
      </c>
      <c r="IC44" s="59" t="n">
        <f aca="false">IC16*IC42*IC43</f>
        <v>1800000000</v>
      </c>
      <c r="ID44" s="59" t="n">
        <f aca="false">ID16*ID42*ID43</f>
        <v>1800000000</v>
      </c>
      <c r="IE44" s="59" t="n">
        <f aca="false">IE16*IE42*IE43</f>
        <v>1818000000</v>
      </c>
      <c r="IF44" s="59" t="n">
        <f aca="false">IF16*IF42*IF43</f>
        <v>1818000000</v>
      </c>
      <c r="IG44" s="59" t="n">
        <f aca="false">IG16*IG42*IG43</f>
        <v>1800000000</v>
      </c>
      <c r="IH44" s="59" t="n">
        <f aca="false">IH16*IH42*IH43</f>
        <v>1800000000</v>
      </c>
      <c r="II44" s="59" t="n">
        <f aca="false">II16*II42*II43</f>
        <v>1800000000</v>
      </c>
      <c r="IJ44" s="59" t="n">
        <f aca="false">IJ16*IJ42*IJ43</f>
        <v>1800000000</v>
      </c>
      <c r="IK44" s="59" t="n">
        <f aca="false">IK16*IK42*IK43</f>
        <v>1800000000</v>
      </c>
      <c r="IL44" s="59" t="n">
        <f aca="false">IL16*IL42*IL43</f>
        <v>1800000000</v>
      </c>
      <c r="IM44" s="59" t="n">
        <f aca="false">IM16*IM42*IM43</f>
        <v>1800000000</v>
      </c>
      <c r="IN44" s="59" t="n">
        <f aca="false">IN16*IN42*IN43</f>
        <v>1800000000</v>
      </c>
      <c r="IO44" s="59" t="n">
        <f aca="false">IO16*IO42*IO43</f>
        <v>1800000000</v>
      </c>
      <c r="IP44" s="59" t="n">
        <f aca="false">IP16*IP42*IP43</f>
        <v>1800000000</v>
      </c>
      <c r="IQ44" s="59" t="n">
        <f aca="false">IQ16*IQ42*IQ43</f>
        <v>1800000000</v>
      </c>
      <c r="IR44" s="59" t="n">
        <f aca="false">IR16*IR42*IR43</f>
        <v>1800000000</v>
      </c>
      <c r="IS44" s="59" t="n">
        <f aca="false">IS16*IS42*IS43</f>
        <v>1800000000</v>
      </c>
      <c r="IT44" s="59" t="n">
        <f aca="false">IT16*IT42*IT43</f>
        <v>1800000000</v>
      </c>
      <c r="IU44" s="59" t="n">
        <f aca="false">IU16*IU42*IU43</f>
        <v>1800000000</v>
      </c>
      <c r="IV44" s="59" t="n">
        <f aca="false">IV16*IV42*IV43</f>
        <v>1800000000</v>
      </c>
      <c r="IW44" s="59" t="n">
        <f aca="false">IW16*IW42*IW43</f>
        <v>1800000000</v>
      </c>
      <c r="IX44" s="59" t="n">
        <f aca="false">IX16*IX42*IX43</f>
        <v>1800000000</v>
      </c>
      <c r="IY44" s="59" t="n">
        <f aca="false">IY16*IY42*IY43</f>
        <v>1800000000</v>
      </c>
      <c r="IZ44" s="59" t="n">
        <f aca="false">IZ16*IZ42*IZ43</f>
        <v>1800000000</v>
      </c>
      <c r="JA44" s="59" t="n">
        <f aca="false">JA16*JA42*JA43</f>
        <v>1800000000</v>
      </c>
    </row>
    <row r="45" customFormat="false" ht="15" hidden="false" customHeight="false" outlineLevel="0" collapsed="false">
      <c r="A45" s="13" t="s">
        <v>231</v>
      </c>
      <c r="B45" s="13" t="s">
        <v>232</v>
      </c>
      <c r="C45" s="13" t="s">
        <v>194</v>
      </c>
      <c r="D45" s="9" t="s">
        <v>36</v>
      </c>
      <c r="E45" s="32" t="n">
        <f aca="false">INDEX(Вводные!$D$13:$F$64,MATCH($A45,Вводные!$A$13:$A$64,0),MATCH(E$3,Вводные!$D$11:$F$11,0))*(1+IF(E$4=$A45,Вводные!$D$5*INDEX(Вводные!$G$13:$G$64,MATCH($A45,Вводные!$A$13:$A$64,0)),0))</f>
        <v>0.005</v>
      </c>
      <c r="F45" s="32" t="n">
        <f aca="false">INDEX(Вводные!$D$13:$F$64,MATCH($A45,Вводные!$A$13:$A$64,0),MATCH(F$3,Вводные!$D$11:$F$11,0))*(1+IF(F$4=$A45,Вводные!$D$5*INDEX(Вводные!$G$13:$G$64,MATCH($A45,Вводные!$A$13:$A$64,0)),0))</f>
        <v>0.003</v>
      </c>
      <c r="G45" s="32" t="n">
        <f aca="false">INDEX(Вводные!$D$13:$F$64,MATCH($A45,Вводные!$A$13:$A$64,0),MATCH(G$3,Вводные!$D$11:$F$11,0))*(1+IF(G$4=$A45,Вводные!$D$5*INDEX(Вводные!$G$13:$G$64,MATCH($A45,Вводные!$A$13:$A$64,0)),0))</f>
        <v>0.0005</v>
      </c>
      <c r="H45" s="60"/>
      <c r="J45" s="32" t="n">
        <f aca="false">INDEX(Вводные!$D$13:$F$64,MATCH($A45,Вводные!$A$13:$A$64,0),MATCH(J$3,Вводные!$D$11:$F$11,0))*(1+IF(J$4=$A45,Вводные!$D$5*INDEX(Вводные!$G$13:$G$64,MATCH($A45,Вводные!$A$13:$A$64,0)),0))</f>
        <v>0.005</v>
      </c>
      <c r="K45" s="32" t="n">
        <f aca="false">INDEX(Вводные!$D$13:$F$64,MATCH($A45,Вводные!$A$13:$A$64,0),MATCH(K$3,Вводные!$D$11:$F$11,0))*(1+IF(K$4=$A45,Вводные!$D$5*INDEX(Вводные!$G$13:$G$64,MATCH($A45,Вводные!$A$13:$A$64,0)),0))</f>
        <v>0.005</v>
      </c>
      <c r="L45" s="32" t="n">
        <f aca="false">INDEX(Вводные!$D$13:$F$64,MATCH($A45,Вводные!$A$13:$A$64,0),MATCH(L$3,Вводные!$D$11:$F$11,0))*(1+IF(L$4=$A45,Вводные!$D$5*INDEX(Вводные!$G$13:$G$64,MATCH($A45,Вводные!$A$13:$A$64,0)),0))</f>
        <v>0.005</v>
      </c>
      <c r="M45" s="32" t="n">
        <f aca="false">INDEX(Вводные!$D$13:$F$64,MATCH($A45,Вводные!$A$13:$A$64,0),MATCH(M$3,Вводные!$D$11:$F$11,0))*(1+IF(M$4=$A45,Вводные!$D$5*INDEX(Вводные!$G$13:$G$64,MATCH($A45,Вводные!$A$13:$A$64,0)),0))</f>
        <v>0.005</v>
      </c>
      <c r="N45" s="32" t="n">
        <f aca="false">INDEX(Вводные!$D$13:$F$64,MATCH($A45,Вводные!$A$13:$A$64,0),MATCH(N$3,Вводные!$D$11:$F$11,0))*(1+IF(N$4=$A45,Вводные!$D$5*INDEX(Вводные!$G$13:$G$64,MATCH($A45,Вводные!$A$13:$A$64,0)),0))</f>
        <v>0.005</v>
      </c>
      <c r="O45" s="32" t="n">
        <f aca="false">INDEX(Вводные!$D$13:$F$64,MATCH($A45,Вводные!$A$13:$A$64,0),MATCH(O$3,Вводные!$D$11:$F$11,0))*(1+IF(O$4=$A45,Вводные!$D$5*INDEX(Вводные!$G$13:$G$64,MATCH($A45,Вводные!$A$13:$A$64,0)),0))</f>
        <v>0.005</v>
      </c>
      <c r="P45" s="32" t="n">
        <f aca="false">INDEX(Вводные!$D$13:$F$64,MATCH($A45,Вводные!$A$13:$A$64,0),MATCH(P$3,Вводные!$D$11:$F$11,0))*(1+IF(P$4=$A45,Вводные!$D$5*INDEX(Вводные!$G$13:$G$64,MATCH($A45,Вводные!$A$13:$A$64,0)),0))</f>
        <v>0.005</v>
      </c>
      <c r="Q45" s="32" t="n">
        <f aca="false">INDEX(Вводные!$D$13:$F$64,MATCH($A45,Вводные!$A$13:$A$64,0),MATCH(Q$3,Вводные!$D$11:$F$11,0))*(1+IF(Q$4=$A45,Вводные!$D$5*INDEX(Вводные!$G$13:$G$64,MATCH($A45,Вводные!$A$13:$A$64,0)),0))</f>
        <v>0.005</v>
      </c>
      <c r="R45" s="32" t="n">
        <f aca="false">INDEX(Вводные!$D$13:$F$64,MATCH($A45,Вводные!$A$13:$A$64,0),MATCH(R$3,Вводные!$D$11:$F$11,0))*(1+IF(R$4=$A45,Вводные!$D$5*INDEX(Вводные!$G$13:$G$64,MATCH($A45,Вводные!$A$13:$A$64,0)),0))</f>
        <v>0.005</v>
      </c>
      <c r="S45" s="32" t="n">
        <f aca="false">INDEX(Вводные!$D$13:$F$64,MATCH($A45,Вводные!$A$13:$A$64,0),MATCH(S$3,Вводные!$D$11:$F$11,0))*(1+IF(S$4=$A45,Вводные!$D$5*INDEX(Вводные!$G$13:$G$64,MATCH($A45,Вводные!$A$13:$A$64,0)),0))</f>
        <v>0.005</v>
      </c>
      <c r="T45" s="32" t="n">
        <f aca="false">INDEX(Вводные!$D$13:$F$64,MATCH($A45,Вводные!$A$13:$A$64,0),MATCH(T$3,Вводные!$D$11:$F$11,0))*(1+IF(T$4=$A45,Вводные!$D$5*INDEX(Вводные!$G$13:$G$64,MATCH($A45,Вводные!$A$13:$A$64,0)),0))</f>
        <v>0.005</v>
      </c>
      <c r="U45" s="32" t="n">
        <f aca="false">INDEX(Вводные!$D$13:$F$64,MATCH($A45,Вводные!$A$13:$A$64,0),MATCH(U$3,Вводные!$D$11:$F$11,0))*(1+IF(U$4=$A45,Вводные!$D$5*INDEX(Вводные!$G$13:$G$64,MATCH($A45,Вводные!$A$13:$A$64,0)),0))</f>
        <v>0.005</v>
      </c>
      <c r="V45" s="32" t="n">
        <f aca="false">INDEX(Вводные!$D$13:$F$64,MATCH($A45,Вводные!$A$13:$A$64,0),MATCH(V$3,Вводные!$D$11:$F$11,0))*(1+IF(V$4=$A45,Вводные!$D$5*INDEX(Вводные!$G$13:$G$64,MATCH($A45,Вводные!$A$13:$A$64,0)),0))</f>
        <v>0.005</v>
      </c>
      <c r="W45" s="32" t="n">
        <f aca="false">INDEX(Вводные!$D$13:$F$64,MATCH($A45,Вводные!$A$13:$A$64,0),MATCH(W$3,Вводные!$D$11:$F$11,0))*(1+IF(W$4=$A45,Вводные!$D$5*INDEX(Вводные!$G$13:$G$64,MATCH($A45,Вводные!$A$13:$A$64,0)),0))</f>
        <v>0.005</v>
      </c>
      <c r="X45" s="32" t="n">
        <f aca="false">INDEX(Вводные!$D$13:$F$64,MATCH($A45,Вводные!$A$13:$A$64,0),MATCH(X$3,Вводные!$D$11:$F$11,0))*(1+IF(X$4=$A45,Вводные!$D$5*INDEX(Вводные!$G$13:$G$64,MATCH($A45,Вводные!$A$13:$A$64,0)),0))</f>
        <v>0.005</v>
      </c>
      <c r="Y45" s="32" t="n">
        <f aca="false">INDEX(Вводные!$D$13:$F$64,MATCH($A45,Вводные!$A$13:$A$64,0),MATCH(Y$3,Вводные!$D$11:$F$11,0))*(1+IF(Y$4=$A45,Вводные!$D$5*INDEX(Вводные!$G$13:$G$64,MATCH($A45,Вводные!$A$13:$A$64,0)),0))</f>
        <v>0.005</v>
      </c>
      <c r="Z45" s="32" t="n">
        <f aca="false">INDEX(Вводные!$D$13:$F$64,MATCH($A45,Вводные!$A$13:$A$64,0),MATCH(Z$3,Вводные!$D$11:$F$11,0))*(1+IF(Z$4=$A45,Вводные!$D$5*INDEX(Вводные!$G$13:$G$64,MATCH($A45,Вводные!$A$13:$A$64,0)),0))</f>
        <v>0.005</v>
      </c>
      <c r="AA45" s="32" t="n">
        <f aca="false">INDEX(Вводные!$D$13:$F$64,MATCH($A45,Вводные!$A$13:$A$64,0),MATCH(AA$3,Вводные!$D$11:$F$11,0))*(1+IF(AA$4=$A45,Вводные!$D$5*INDEX(Вводные!$G$13:$G$64,MATCH($A45,Вводные!$A$13:$A$64,0)),0))</f>
        <v>0.005</v>
      </c>
      <c r="AB45" s="32" t="n">
        <f aca="false">INDEX(Вводные!$D$13:$F$64,MATCH($A45,Вводные!$A$13:$A$64,0),MATCH(AB$3,Вводные!$D$11:$F$11,0))*(1+IF(AB$4=$A45,Вводные!$D$5*INDEX(Вводные!$G$13:$G$64,MATCH($A45,Вводные!$A$13:$A$64,0)),0))</f>
        <v>0.005</v>
      </c>
      <c r="AC45" s="32" t="n">
        <f aca="false">INDEX(Вводные!$D$13:$F$64,MATCH($A45,Вводные!$A$13:$A$64,0),MATCH(AC$3,Вводные!$D$11:$F$11,0))*(1+IF(AC$4=$A45,Вводные!$D$5*INDEX(Вводные!$G$13:$G$64,MATCH($A45,Вводные!$A$13:$A$64,0)),0))</f>
        <v>0.005</v>
      </c>
      <c r="AD45" s="32" t="n">
        <f aca="false">INDEX(Вводные!$D$13:$F$64,MATCH($A45,Вводные!$A$13:$A$64,0),MATCH(AD$3,Вводные!$D$11:$F$11,0))*(1+IF(AD$4=$A45,Вводные!$D$5*INDEX(Вводные!$G$13:$G$64,MATCH($A45,Вводные!$A$13:$A$64,0)),0))</f>
        <v>0.005</v>
      </c>
      <c r="AE45" s="32" t="n">
        <f aca="false">INDEX(Вводные!$D$13:$F$64,MATCH($A45,Вводные!$A$13:$A$64,0),MATCH(AE$3,Вводные!$D$11:$F$11,0))*(1+IF(AE$4=$A45,Вводные!$D$5*INDEX(Вводные!$G$13:$G$64,MATCH($A45,Вводные!$A$13:$A$64,0)),0))</f>
        <v>0.00505</v>
      </c>
      <c r="AF45" s="32" t="n">
        <f aca="false">INDEX(Вводные!$D$13:$F$64,MATCH($A45,Вводные!$A$13:$A$64,0),MATCH(AF$3,Вводные!$D$11:$F$11,0))*(1+IF(AF$4=$A45,Вводные!$D$5*INDEX(Вводные!$G$13:$G$64,MATCH($A45,Вводные!$A$13:$A$64,0)),0))</f>
        <v>0.005</v>
      </c>
      <c r="AG45" s="32" t="n">
        <f aca="false">INDEX(Вводные!$D$13:$F$64,MATCH($A45,Вводные!$A$13:$A$64,0),MATCH(AG$3,Вводные!$D$11:$F$11,0))*(1+IF(AG$4=$A45,Вводные!$D$5*INDEX(Вводные!$G$13:$G$64,MATCH($A45,Вводные!$A$13:$A$64,0)),0))</f>
        <v>0.005</v>
      </c>
      <c r="AH45" s="32" t="n">
        <f aca="false">INDEX(Вводные!$D$13:$F$64,MATCH($A45,Вводные!$A$13:$A$64,0),MATCH(AH$3,Вводные!$D$11:$F$11,0))*(1+IF(AH$4=$A45,Вводные!$D$5*INDEX(Вводные!$G$13:$G$64,MATCH($A45,Вводные!$A$13:$A$64,0)),0))</f>
        <v>0.005</v>
      </c>
      <c r="AI45" s="32" t="n">
        <f aca="false">INDEX(Вводные!$D$13:$F$64,MATCH($A45,Вводные!$A$13:$A$64,0),MATCH(AI$3,Вводные!$D$11:$F$11,0))*(1+IF(AI$4=$A45,Вводные!$D$5*INDEX(Вводные!$G$13:$G$64,MATCH($A45,Вводные!$A$13:$A$64,0)),0))</f>
        <v>0.005</v>
      </c>
      <c r="AJ45" s="32" t="n">
        <f aca="false">INDEX(Вводные!$D$13:$F$64,MATCH($A45,Вводные!$A$13:$A$64,0),MATCH(AJ$3,Вводные!$D$11:$F$11,0))*(1+IF(AJ$4=$A45,Вводные!$D$5*INDEX(Вводные!$G$13:$G$64,MATCH($A45,Вводные!$A$13:$A$64,0)),0))</f>
        <v>0.005</v>
      </c>
      <c r="AK45" s="32" t="n">
        <f aca="false">INDEX(Вводные!$D$13:$F$64,MATCH($A45,Вводные!$A$13:$A$64,0),MATCH(AK$3,Вводные!$D$11:$F$11,0))*(1+IF(AK$4=$A45,Вводные!$D$5*INDEX(Вводные!$G$13:$G$64,MATCH($A45,Вводные!$A$13:$A$64,0)),0))</f>
        <v>0.005</v>
      </c>
      <c r="AL45" s="32" t="n">
        <f aca="false">INDEX(Вводные!$D$13:$F$64,MATCH($A45,Вводные!$A$13:$A$64,0),MATCH(AL$3,Вводные!$D$11:$F$11,0))*(1+IF(AL$4=$A45,Вводные!$D$5*INDEX(Вводные!$G$13:$G$64,MATCH($A45,Вводные!$A$13:$A$64,0)),0))</f>
        <v>0.005</v>
      </c>
      <c r="AM45" s="32" t="n">
        <f aca="false">INDEX(Вводные!$D$13:$F$64,MATCH($A45,Вводные!$A$13:$A$64,0),MATCH(AM$3,Вводные!$D$11:$F$11,0))*(1+IF(AM$4=$A45,Вводные!$D$5*INDEX(Вводные!$G$13:$G$64,MATCH($A45,Вводные!$A$13:$A$64,0)),0))</f>
        <v>0.005</v>
      </c>
      <c r="AN45" s="32" t="n">
        <f aca="false">INDEX(Вводные!$D$13:$F$64,MATCH($A45,Вводные!$A$13:$A$64,0),MATCH(AN$3,Вводные!$D$11:$F$11,0))*(1+IF(AN$4=$A45,Вводные!$D$5*INDEX(Вводные!$G$13:$G$64,MATCH($A45,Вводные!$A$13:$A$64,0)),0))</f>
        <v>0.005</v>
      </c>
      <c r="AO45" s="32" t="n">
        <f aca="false">INDEX(Вводные!$D$13:$F$64,MATCH($A45,Вводные!$A$13:$A$64,0),MATCH(AO$3,Вводные!$D$11:$F$11,0))*(1+IF(AO$4=$A45,Вводные!$D$5*INDEX(Вводные!$G$13:$G$64,MATCH($A45,Вводные!$A$13:$A$64,0)),0))</f>
        <v>0.005</v>
      </c>
      <c r="AP45" s="32" t="n">
        <f aca="false">INDEX(Вводные!$D$13:$F$64,MATCH($A45,Вводные!$A$13:$A$64,0),MATCH(AP$3,Вводные!$D$11:$F$11,0))*(1+IF(AP$4=$A45,Вводные!$D$5*INDEX(Вводные!$G$13:$G$64,MATCH($A45,Вводные!$A$13:$A$64,0)),0))</f>
        <v>0.005</v>
      </c>
      <c r="AQ45" s="32" t="n">
        <f aca="false">INDEX(Вводные!$D$13:$F$64,MATCH($A45,Вводные!$A$13:$A$64,0),MATCH(AQ$3,Вводные!$D$11:$F$11,0))*(1+IF(AQ$4=$A45,Вводные!$D$5*INDEX(Вводные!$G$13:$G$64,MATCH($A45,Вводные!$A$13:$A$64,0)),0))</f>
        <v>0.005</v>
      </c>
      <c r="AR45" s="32" t="n">
        <f aca="false">INDEX(Вводные!$D$13:$F$64,MATCH($A45,Вводные!$A$13:$A$64,0),MATCH(AR$3,Вводные!$D$11:$F$11,0))*(1+IF(AR$4=$A45,Вводные!$D$5*INDEX(Вводные!$G$13:$G$64,MATCH($A45,Вводные!$A$13:$A$64,0)),0))</f>
        <v>0.005</v>
      </c>
      <c r="AS45" s="32" t="n">
        <f aca="false">INDEX(Вводные!$D$13:$F$64,MATCH($A45,Вводные!$A$13:$A$64,0),MATCH(AS$3,Вводные!$D$11:$F$11,0))*(1+IF(AS$4=$A45,Вводные!$D$5*INDEX(Вводные!$G$13:$G$64,MATCH($A45,Вводные!$A$13:$A$64,0)),0))</f>
        <v>0.005</v>
      </c>
      <c r="AT45" s="32" t="n">
        <f aca="false">INDEX(Вводные!$D$13:$F$64,MATCH($A45,Вводные!$A$13:$A$64,0),MATCH(AT$3,Вводные!$D$11:$F$11,0))*(1+IF(AT$4=$A45,Вводные!$D$5*INDEX(Вводные!$G$13:$G$64,MATCH($A45,Вводные!$A$13:$A$64,0)),0))</f>
        <v>0.005</v>
      </c>
      <c r="AU45" s="32" t="n">
        <f aca="false">INDEX(Вводные!$D$13:$F$64,MATCH($A45,Вводные!$A$13:$A$64,0),MATCH(AU$3,Вводные!$D$11:$F$11,0))*(1+IF(AU$4=$A45,Вводные!$D$5*INDEX(Вводные!$G$13:$G$64,MATCH($A45,Вводные!$A$13:$A$64,0)),0))</f>
        <v>0.005</v>
      </c>
      <c r="AV45" s="32" t="n">
        <f aca="false">INDEX(Вводные!$D$13:$F$64,MATCH($A45,Вводные!$A$13:$A$64,0),MATCH(AV$3,Вводные!$D$11:$F$11,0))*(1+IF(AV$4=$A45,Вводные!$D$5*INDEX(Вводные!$G$13:$G$64,MATCH($A45,Вводные!$A$13:$A$64,0)),0))</f>
        <v>0.005</v>
      </c>
      <c r="AW45" s="32" t="n">
        <f aca="false">INDEX(Вводные!$D$13:$F$64,MATCH($A45,Вводные!$A$13:$A$64,0),MATCH(AW$3,Вводные!$D$11:$F$11,0))*(1+IF(AW$4=$A45,Вводные!$D$5*INDEX(Вводные!$G$13:$G$64,MATCH($A45,Вводные!$A$13:$A$64,0)),0))</f>
        <v>0.005</v>
      </c>
      <c r="AX45" s="32" t="n">
        <f aca="false">INDEX(Вводные!$D$13:$F$64,MATCH($A45,Вводные!$A$13:$A$64,0),MATCH(AX$3,Вводные!$D$11:$F$11,0))*(1+IF(AX$4=$A45,Вводные!$D$5*INDEX(Вводные!$G$13:$G$64,MATCH($A45,Вводные!$A$13:$A$64,0)),0))</f>
        <v>0.005</v>
      </c>
      <c r="AY45" s="32" t="n">
        <f aca="false">INDEX(Вводные!$D$13:$F$64,MATCH($A45,Вводные!$A$13:$A$64,0),MATCH(AY$3,Вводные!$D$11:$F$11,0))*(1+IF(AY$4=$A45,Вводные!$D$5*INDEX(Вводные!$G$13:$G$64,MATCH($A45,Вводные!$A$13:$A$64,0)),0))</f>
        <v>0.005</v>
      </c>
      <c r="AZ45" s="32" t="n">
        <f aca="false">INDEX(Вводные!$D$13:$F$64,MATCH($A45,Вводные!$A$13:$A$64,0),MATCH(AZ$3,Вводные!$D$11:$F$11,0))*(1+IF(AZ$4=$A45,Вводные!$D$5*INDEX(Вводные!$G$13:$G$64,MATCH($A45,Вводные!$A$13:$A$64,0)),0))</f>
        <v>0.003</v>
      </c>
      <c r="BA45" s="32" t="n">
        <f aca="false">INDEX(Вводные!$D$13:$F$64,MATCH($A45,Вводные!$A$13:$A$64,0),MATCH(BA$3,Вводные!$D$11:$F$11,0))*(1+IF(BA$4=$A45,Вводные!$D$5*INDEX(Вводные!$G$13:$G$64,MATCH($A45,Вводные!$A$13:$A$64,0)),0))</f>
        <v>0.003</v>
      </c>
      <c r="BB45" s="32" t="n">
        <f aca="false">INDEX(Вводные!$D$13:$F$64,MATCH($A45,Вводные!$A$13:$A$64,0),MATCH(BB$3,Вводные!$D$11:$F$11,0))*(1+IF(BB$4=$A45,Вводные!$D$5*INDEX(Вводные!$G$13:$G$64,MATCH($A45,Вводные!$A$13:$A$64,0)),0))</f>
        <v>0.003</v>
      </c>
      <c r="BC45" s="32" t="n">
        <f aca="false">INDEX(Вводные!$D$13:$F$64,MATCH($A45,Вводные!$A$13:$A$64,0),MATCH(BC$3,Вводные!$D$11:$F$11,0))*(1+IF(BC$4=$A45,Вводные!$D$5*INDEX(Вводные!$G$13:$G$64,MATCH($A45,Вводные!$A$13:$A$64,0)),0))</f>
        <v>0.003</v>
      </c>
      <c r="BD45" s="32" t="n">
        <f aca="false">INDEX(Вводные!$D$13:$F$64,MATCH($A45,Вводные!$A$13:$A$64,0),MATCH(BD$3,Вводные!$D$11:$F$11,0))*(1+IF(BD$4=$A45,Вводные!$D$5*INDEX(Вводные!$G$13:$G$64,MATCH($A45,Вводные!$A$13:$A$64,0)),0))</f>
        <v>0.003</v>
      </c>
      <c r="BE45" s="32" t="n">
        <f aca="false">INDEX(Вводные!$D$13:$F$64,MATCH($A45,Вводные!$A$13:$A$64,0),MATCH(BE$3,Вводные!$D$11:$F$11,0))*(1+IF(BE$4=$A45,Вводные!$D$5*INDEX(Вводные!$G$13:$G$64,MATCH($A45,Вводные!$A$13:$A$64,0)),0))</f>
        <v>0.003</v>
      </c>
      <c r="BF45" s="32" t="n">
        <f aca="false">INDEX(Вводные!$D$13:$F$64,MATCH($A45,Вводные!$A$13:$A$64,0),MATCH(BF$3,Вводные!$D$11:$F$11,0))*(1+IF(BF$4=$A45,Вводные!$D$5*INDEX(Вводные!$G$13:$G$64,MATCH($A45,Вводные!$A$13:$A$64,0)),0))</f>
        <v>0.003</v>
      </c>
      <c r="BG45" s="32" t="n">
        <f aca="false">INDEX(Вводные!$D$13:$F$64,MATCH($A45,Вводные!$A$13:$A$64,0),MATCH(BG$3,Вводные!$D$11:$F$11,0))*(1+IF(BG$4=$A45,Вводные!$D$5*INDEX(Вводные!$G$13:$G$64,MATCH($A45,Вводные!$A$13:$A$64,0)),0))</f>
        <v>0.003</v>
      </c>
      <c r="BH45" s="32" t="n">
        <f aca="false">INDEX(Вводные!$D$13:$F$64,MATCH($A45,Вводные!$A$13:$A$64,0),MATCH(BH$3,Вводные!$D$11:$F$11,0))*(1+IF(BH$4=$A45,Вводные!$D$5*INDEX(Вводные!$G$13:$G$64,MATCH($A45,Вводные!$A$13:$A$64,0)),0))</f>
        <v>0.003</v>
      </c>
      <c r="BI45" s="32" t="n">
        <f aca="false">INDEX(Вводные!$D$13:$F$64,MATCH($A45,Вводные!$A$13:$A$64,0),MATCH(BI$3,Вводные!$D$11:$F$11,0))*(1+IF(BI$4=$A45,Вводные!$D$5*INDEX(Вводные!$G$13:$G$64,MATCH($A45,Вводные!$A$13:$A$64,0)),0))</f>
        <v>0.003</v>
      </c>
      <c r="BJ45" s="32" t="n">
        <f aca="false">INDEX(Вводные!$D$13:$F$64,MATCH($A45,Вводные!$A$13:$A$64,0),MATCH(BJ$3,Вводные!$D$11:$F$11,0))*(1+IF(BJ$4=$A45,Вводные!$D$5*INDEX(Вводные!$G$13:$G$64,MATCH($A45,Вводные!$A$13:$A$64,0)),0))</f>
        <v>0.003</v>
      </c>
      <c r="BK45" s="32" t="n">
        <f aca="false">INDEX(Вводные!$D$13:$F$64,MATCH($A45,Вводные!$A$13:$A$64,0),MATCH(BK$3,Вводные!$D$11:$F$11,0))*(1+IF(BK$4=$A45,Вводные!$D$5*INDEX(Вводные!$G$13:$G$64,MATCH($A45,Вводные!$A$13:$A$64,0)),0))</f>
        <v>0.003</v>
      </c>
      <c r="BL45" s="32" t="n">
        <f aca="false">INDEX(Вводные!$D$13:$F$64,MATCH($A45,Вводные!$A$13:$A$64,0),MATCH(BL$3,Вводные!$D$11:$F$11,0))*(1+IF(BL$4=$A45,Вводные!$D$5*INDEX(Вводные!$G$13:$G$64,MATCH($A45,Вводные!$A$13:$A$64,0)),0))</f>
        <v>0.003</v>
      </c>
      <c r="BM45" s="32" t="n">
        <f aca="false">INDEX(Вводные!$D$13:$F$64,MATCH($A45,Вводные!$A$13:$A$64,0),MATCH(BM$3,Вводные!$D$11:$F$11,0))*(1+IF(BM$4=$A45,Вводные!$D$5*INDEX(Вводные!$G$13:$G$64,MATCH($A45,Вводные!$A$13:$A$64,0)),0))</f>
        <v>0.003</v>
      </c>
      <c r="BN45" s="32" t="n">
        <f aca="false">INDEX(Вводные!$D$13:$F$64,MATCH($A45,Вводные!$A$13:$A$64,0),MATCH(BN$3,Вводные!$D$11:$F$11,0))*(1+IF(BN$4=$A45,Вводные!$D$5*INDEX(Вводные!$G$13:$G$64,MATCH($A45,Вводные!$A$13:$A$64,0)),0))</f>
        <v>0.003</v>
      </c>
      <c r="BO45" s="32" t="n">
        <f aca="false">INDEX(Вводные!$D$13:$F$64,MATCH($A45,Вводные!$A$13:$A$64,0),MATCH(BO$3,Вводные!$D$11:$F$11,0))*(1+IF(BO$4=$A45,Вводные!$D$5*INDEX(Вводные!$G$13:$G$64,MATCH($A45,Вводные!$A$13:$A$64,0)),0))</f>
        <v>0.003</v>
      </c>
      <c r="BP45" s="32" t="n">
        <f aca="false">INDEX(Вводные!$D$13:$F$64,MATCH($A45,Вводные!$A$13:$A$64,0),MATCH(BP$3,Вводные!$D$11:$F$11,0))*(1+IF(BP$4=$A45,Вводные!$D$5*INDEX(Вводные!$G$13:$G$64,MATCH($A45,Вводные!$A$13:$A$64,0)),0))</f>
        <v>0.003</v>
      </c>
      <c r="BQ45" s="32" t="n">
        <f aca="false">INDEX(Вводные!$D$13:$F$64,MATCH($A45,Вводные!$A$13:$A$64,0),MATCH(BQ$3,Вводные!$D$11:$F$11,0))*(1+IF(BQ$4=$A45,Вводные!$D$5*INDEX(Вводные!$G$13:$G$64,MATCH($A45,Вводные!$A$13:$A$64,0)),0))</f>
        <v>0.003</v>
      </c>
      <c r="BR45" s="32" t="n">
        <f aca="false">INDEX(Вводные!$D$13:$F$64,MATCH($A45,Вводные!$A$13:$A$64,0),MATCH(BR$3,Вводные!$D$11:$F$11,0))*(1+IF(BR$4=$A45,Вводные!$D$5*INDEX(Вводные!$G$13:$G$64,MATCH($A45,Вводные!$A$13:$A$64,0)),0))</f>
        <v>0.003</v>
      </c>
      <c r="BS45" s="32" t="n">
        <f aca="false">INDEX(Вводные!$D$13:$F$64,MATCH($A45,Вводные!$A$13:$A$64,0),MATCH(BS$3,Вводные!$D$11:$F$11,0))*(1+IF(BS$4=$A45,Вводные!$D$5*INDEX(Вводные!$G$13:$G$64,MATCH($A45,Вводные!$A$13:$A$64,0)),0))</f>
        <v>0.003</v>
      </c>
      <c r="BT45" s="32" t="n">
        <f aca="false">INDEX(Вводные!$D$13:$F$64,MATCH($A45,Вводные!$A$13:$A$64,0),MATCH(BT$3,Вводные!$D$11:$F$11,0))*(1+IF(BT$4=$A45,Вводные!$D$5*INDEX(Вводные!$G$13:$G$64,MATCH($A45,Вводные!$A$13:$A$64,0)),0))</f>
        <v>0.003</v>
      </c>
      <c r="BU45" s="32" t="n">
        <f aca="false">INDEX(Вводные!$D$13:$F$64,MATCH($A45,Вводные!$A$13:$A$64,0),MATCH(BU$3,Вводные!$D$11:$F$11,0))*(1+IF(BU$4=$A45,Вводные!$D$5*INDEX(Вводные!$G$13:$G$64,MATCH($A45,Вводные!$A$13:$A$64,0)),0))</f>
        <v>0.00303</v>
      </c>
      <c r="BV45" s="32" t="n">
        <f aca="false">INDEX(Вводные!$D$13:$F$64,MATCH($A45,Вводные!$A$13:$A$64,0),MATCH(BV$3,Вводные!$D$11:$F$11,0))*(1+IF(BV$4=$A45,Вводные!$D$5*INDEX(Вводные!$G$13:$G$64,MATCH($A45,Вводные!$A$13:$A$64,0)),0))</f>
        <v>0.003</v>
      </c>
      <c r="BW45" s="32" t="n">
        <f aca="false">INDEX(Вводные!$D$13:$F$64,MATCH($A45,Вводные!$A$13:$A$64,0),MATCH(BW$3,Вводные!$D$11:$F$11,0))*(1+IF(BW$4=$A45,Вводные!$D$5*INDEX(Вводные!$G$13:$G$64,MATCH($A45,Вводные!$A$13:$A$64,0)),0))</f>
        <v>0.003</v>
      </c>
      <c r="BX45" s="32" t="n">
        <f aca="false">INDEX(Вводные!$D$13:$F$64,MATCH($A45,Вводные!$A$13:$A$64,0),MATCH(BX$3,Вводные!$D$11:$F$11,0))*(1+IF(BX$4=$A45,Вводные!$D$5*INDEX(Вводные!$G$13:$G$64,MATCH($A45,Вводные!$A$13:$A$64,0)),0))</f>
        <v>0.003</v>
      </c>
      <c r="BY45" s="32" t="n">
        <f aca="false">INDEX(Вводные!$D$13:$F$64,MATCH($A45,Вводные!$A$13:$A$64,0),MATCH(BY$3,Вводные!$D$11:$F$11,0))*(1+IF(BY$4=$A45,Вводные!$D$5*INDEX(Вводные!$G$13:$G$64,MATCH($A45,Вводные!$A$13:$A$64,0)),0))</f>
        <v>0.003</v>
      </c>
      <c r="BZ45" s="32" t="n">
        <f aca="false">INDEX(Вводные!$D$13:$F$64,MATCH($A45,Вводные!$A$13:$A$64,0),MATCH(BZ$3,Вводные!$D$11:$F$11,0))*(1+IF(BZ$4=$A45,Вводные!$D$5*INDEX(Вводные!$G$13:$G$64,MATCH($A45,Вводные!$A$13:$A$64,0)),0))</f>
        <v>0.003</v>
      </c>
      <c r="CA45" s="32" t="n">
        <f aca="false">INDEX(Вводные!$D$13:$F$64,MATCH($A45,Вводные!$A$13:$A$64,0),MATCH(CA$3,Вводные!$D$11:$F$11,0))*(1+IF(CA$4=$A45,Вводные!$D$5*INDEX(Вводные!$G$13:$G$64,MATCH($A45,Вводные!$A$13:$A$64,0)),0))</f>
        <v>0.003</v>
      </c>
      <c r="CB45" s="32" t="n">
        <f aca="false">INDEX(Вводные!$D$13:$F$64,MATCH($A45,Вводные!$A$13:$A$64,0),MATCH(CB$3,Вводные!$D$11:$F$11,0))*(1+IF(CB$4=$A45,Вводные!$D$5*INDEX(Вводные!$G$13:$G$64,MATCH($A45,Вводные!$A$13:$A$64,0)),0))</f>
        <v>0.003</v>
      </c>
      <c r="CC45" s="32" t="n">
        <f aca="false">INDEX(Вводные!$D$13:$F$64,MATCH($A45,Вводные!$A$13:$A$64,0),MATCH(CC$3,Вводные!$D$11:$F$11,0))*(1+IF(CC$4=$A45,Вводные!$D$5*INDEX(Вводные!$G$13:$G$64,MATCH($A45,Вводные!$A$13:$A$64,0)),0))</f>
        <v>0.003</v>
      </c>
      <c r="CD45" s="32" t="n">
        <f aca="false">INDEX(Вводные!$D$13:$F$64,MATCH($A45,Вводные!$A$13:$A$64,0),MATCH(CD$3,Вводные!$D$11:$F$11,0))*(1+IF(CD$4=$A45,Вводные!$D$5*INDEX(Вводные!$G$13:$G$64,MATCH($A45,Вводные!$A$13:$A$64,0)),0))</f>
        <v>0.003</v>
      </c>
      <c r="CE45" s="32" t="n">
        <f aca="false">INDEX(Вводные!$D$13:$F$64,MATCH($A45,Вводные!$A$13:$A$64,0),MATCH(CE$3,Вводные!$D$11:$F$11,0))*(1+IF(CE$4=$A45,Вводные!$D$5*INDEX(Вводные!$G$13:$G$64,MATCH($A45,Вводные!$A$13:$A$64,0)),0))</f>
        <v>0.003</v>
      </c>
      <c r="CF45" s="32" t="n">
        <f aca="false">INDEX(Вводные!$D$13:$F$64,MATCH($A45,Вводные!$A$13:$A$64,0),MATCH(CF$3,Вводные!$D$11:$F$11,0))*(1+IF(CF$4=$A45,Вводные!$D$5*INDEX(Вводные!$G$13:$G$64,MATCH($A45,Вводные!$A$13:$A$64,0)),0))</f>
        <v>0.003</v>
      </c>
      <c r="CG45" s="32" t="n">
        <f aca="false">INDEX(Вводные!$D$13:$F$64,MATCH($A45,Вводные!$A$13:$A$64,0),MATCH(CG$3,Вводные!$D$11:$F$11,0))*(1+IF(CG$4=$A45,Вводные!$D$5*INDEX(Вводные!$G$13:$G$64,MATCH($A45,Вводные!$A$13:$A$64,0)),0))</f>
        <v>0.003</v>
      </c>
      <c r="CH45" s="32" t="n">
        <f aca="false">INDEX(Вводные!$D$13:$F$64,MATCH($A45,Вводные!$A$13:$A$64,0),MATCH(CH$3,Вводные!$D$11:$F$11,0))*(1+IF(CH$4=$A45,Вводные!$D$5*INDEX(Вводные!$G$13:$G$64,MATCH($A45,Вводные!$A$13:$A$64,0)),0))</f>
        <v>0.003</v>
      </c>
      <c r="CI45" s="32" t="n">
        <f aca="false">INDEX(Вводные!$D$13:$F$64,MATCH($A45,Вводные!$A$13:$A$64,0),MATCH(CI$3,Вводные!$D$11:$F$11,0))*(1+IF(CI$4=$A45,Вводные!$D$5*INDEX(Вводные!$G$13:$G$64,MATCH($A45,Вводные!$A$13:$A$64,0)),0))</f>
        <v>0.003</v>
      </c>
      <c r="CJ45" s="32" t="n">
        <f aca="false">INDEX(Вводные!$D$13:$F$64,MATCH($A45,Вводные!$A$13:$A$64,0),MATCH(CJ$3,Вводные!$D$11:$F$11,0))*(1+IF(CJ$4=$A45,Вводные!$D$5*INDEX(Вводные!$G$13:$G$64,MATCH($A45,Вводные!$A$13:$A$64,0)),0))</f>
        <v>0.003</v>
      </c>
      <c r="CK45" s="32" t="n">
        <f aca="false">INDEX(Вводные!$D$13:$F$64,MATCH($A45,Вводные!$A$13:$A$64,0),MATCH(CK$3,Вводные!$D$11:$F$11,0))*(1+IF(CK$4=$A45,Вводные!$D$5*INDEX(Вводные!$G$13:$G$64,MATCH($A45,Вводные!$A$13:$A$64,0)),0))</f>
        <v>0.003</v>
      </c>
      <c r="CL45" s="32" t="n">
        <f aca="false">INDEX(Вводные!$D$13:$F$64,MATCH($A45,Вводные!$A$13:$A$64,0),MATCH(CL$3,Вводные!$D$11:$F$11,0))*(1+IF(CL$4=$A45,Вводные!$D$5*INDEX(Вводные!$G$13:$G$64,MATCH($A45,Вводные!$A$13:$A$64,0)),0))</f>
        <v>0.003</v>
      </c>
      <c r="CM45" s="32" t="n">
        <f aca="false">INDEX(Вводные!$D$13:$F$64,MATCH($A45,Вводные!$A$13:$A$64,0),MATCH(CM$3,Вводные!$D$11:$F$11,0))*(1+IF(CM$4=$A45,Вводные!$D$5*INDEX(Вводные!$G$13:$G$64,MATCH($A45,Вводные!$A$13:$A$64,0)),0))</f>
        <v>0.003</v>
      </c>
      <c r="CN45" s="32" t="n">
        <f aca="false">INDEX(Вводные!$D$13:$F$64,MATCH($A45,Вводные!$A$13:$A$64,0),MATCH(CN$3,Вводные!$D$11:$F$11,0))*(1+IF(CN$4=$A45,Вводные!$D$5*INDEX(Вводные!$G$13:$G$64,MATCH($A45,Вводные!$A$13:$A$64,0)),0))</f>
        <v>0.003</v>
      </c>
      <c r="CO45" s="32" t="n">
        <f aca="false">INDEX(Вводные!$D$13:$F$64,MATCH($A45,Вводные!$A$13:$A$64,0),MATCH(CO$3,Вводные!$D$11:$F$11,0))*(1+IF(CO$4=$A45,Вводные!$D$5*INDEX(Вводные!$G$13:$G$64,MATCH($A45,Вводные!$A$13:$A$64,0)),0))</f>
        <v>0.003</v>
      </c>
      <c r="CP45" s="32" t="n">
        <f aca="false">INDEX(Вводные!$D$13:$F$64,MATCH($A45,Вводные!$A$13:$A$64,0),MATCH(CP$3,Вводные!$D$11:$F$11,0))*(1+IF(CP$4=$A45,Вводные!$D$5*INDEX(Вводные!$G$13:$G$64,MATCH($A45,Вводные!$A$13:$A$64,0)),0))</f>
        <v>0.0005</v>
      </c>
      <c r="CQ45" s="32" t="n">
        <f aca="false">INDEX(Вводные!$D$13:$F$64,MATCH($A45,Вводные!$A$13:$A$64,0),MATCH(CQ$3,Вводные!$D$11:$F$11,0))*(1+IF(CQ$4=$A45,Вводные!$D$5*INDEX(Вводные!$G$13:$G$64,MATCH($A45,Вводные!$A$13:$A$64,0)),0))</f>
        <v>0.0005</v>
      </c>
      <c r="CR45" s="32" t="n">
        <f aca="false">INDEX(Вводные!$D$13:$F$64,MATCH($A45,Вводные!$A$13:$A$64,0),MATCH(CR$3,Вводные!$D$11:$F$11,0))*(1+IF(CR$4=$A45,Вводные!$D$5*INDEX(Вводные!$G$13:$G$64,MATCH($A45,Вводные!$A$13:$A$64,0)),0))</f>
        <v>0.0005</v>
      </c>
      <c r="CS45" s="32" t="n">
        <f aca="false">INDEX(Вводные!$D$13:$F$64,MATCH($A45,Вводные!$A$13:$A$64,0),MATCH(CS$3,Вводные!$D$11:$F$11,0))*(1+IF(CS$4=$A45,Вводные!$D$5*INDEX(Вводные!$G$13:$G$64,MATCH($A45,Вводные!$A$13:$A$64,0)),0))</f>
        <v>0.0005</v>
      </c>
      <c r="CT45" s="32" t="n">
        <f aca="false">INDEX(Вводные!$D$13:$F$64,MATCH($A45,Вводные!$A$13:$A$64,0),MATCH(CT$3,Вводные!$D$11:$F$11,0))*(1+IF(CT$4=$A45,Вводные!$D$5*INDEX(Вводные!$G$13:$G$64,MATCH($A45,Вводные!$A$13:$A$64,0)),0))</f>
        <v>0.0005</v>
      </c>
      <c r="CU45" s="32" t="n">
        <f aca="false">INDEX(Вводные!$D$13:$F$64,MATCH($A45,Вводные!$A$13:$A$64,0),MATCH(CU$3,Вводные!$D$11:$F$11,0))*(1+IF(CU$4=$A45,Вводные!$D$5*INDEX(Вводные!$G$13:$G$64,MATCH($A45,Вводные!$A$13:$A$64,0)),0))</f>
        <v>0.0005</v>
      </c>
      <c r="CV45" s="32" t="n">
        <f aca="false">INDEX(Вводные!$D$13:$F$64,MATCH($A45,Вводные!$A$13:$A$64,0),MATCH(CV$3,Вводные!$D$11:$F$11,0))*(1+IF(CV$4=$A45,Вводные!$D$5*INDEX(Вводные!$G$13:$G$64,MATCH($A45,Вводные!$A$13:$A$64,0)),0))</f>
        <v>0.0005</v>
      </c>
      <c r="CW45" s="32" t="n">
        <f aca="false">INDEX(Вводные!$D$13:$F$64,MATCH($A45,Вводные!$A$13:$A$64,0),MATCH(CW$3,Вводные!$D$11:$F$11,0))*(1+IF(CW$4=$A45,Вводные!$D$5*INDEX(Вводные!$G$13:$G$64,MATCH($A45,Вводные!$A$13:$A$64,0)),0))</f>
        <v>0.0005</v>
      </c>
      <c r="CX45" s="32" t="n">
        <f aca="false">INDEX(Вводные!$D$13:$F$64,MATCH($A45,Вводные!$A$13:$A$64,0),MATCH(CX$3,Вводные!$D$11:$F$11,0))*(1+IF(CX$4=$A45,Вводные!$D$5*INDEX(Вводные!$G$13:$G$64,MATCH($A45,Вводные!$A$13:$A$64,0)),0))</f>
        <v>0.0005</v>
      </c>
      <c r="CY45" s="32" t="n">
        <f aca="false">INDEX(Вводные!$D$13:$F$64,MATCH($A45,Вводные!$A$13:$A$64,0),MATCH(CY$3,Вводные!$D$11:$F$11,0))*(1+IF(CY$4=$A45,Вводные!$D$5*INDEX(Вводные!$G$13:$G$64,MATCH($A45,Вводные!$A$13:$A$64,0)),0))</f>
        <v>0.0005</v>
      </c>
      <c r="CZ45" s="32" t="n">
        <f aca="false">INDEX(Вводные!$D$13:$F$64,MATCH($A45,Вводные!$A$13:$A$64,0),MATCH(CZ$3,Вводные!$D$11:$F$11,0))*(1+IF(CZ$4=$A45,Вводные!$D$5*INDEX(Вводные!$G$13:$G$64,MATCH($A45,Вводные!$A$13:$A$64,0)),0))</f>
        <v>0.0005</v>
      </c>
      <c r="DA45" s="32" t="n">
        <f aca="false">INDEX(Вводные!$D$13:$F$64,MATCH($A45,Вводные!$A$13:$A$64,0),MATCH(DA$3,Вводные!$D$11:$F$11,0))*(1+IF(DA$4=$A45,Вводные!$D$5*INDEX(Вводные!$G$13:$G$64,MATCH($A45,Вводные!$A$13:$A$64,0)),0))</f>
        <v>0.0005</v>
      </c>
      <c r="DB45" s="32" t="n">
        <f aca="false">INDEX(Вводные!$D$13:$F$64,MATCH($A45,Вводные!$A$13:$A$64,0),MATCH(DB$3,Вводные!$D$11:$F$11,0))*(1+IF(DB$4=$A45,Вводные!$D$5*INDEX(Вводные!$G$13:$G$64,MATCH($A45,Вводные!$A$13:$A$64,0)),0))</f>
        <v>0.0005</v>
      </c>
      <c r="DC45" s="32" t="n">
        <f aca="false">INDEX(Вводные!$D$13:$F$64,MATCH($A45,Вводные!$A$13:$A$64,0),MATCH(DC$3,Вводные!$D$11:$F$11,0))*(1+IF(DC$4=$A45,Вводные!$D$5*INDEX(Вводные!$G$13:$G$64,MATCH($A45,Вводные!$A$13:$A$64,0)),0))</f>
        <v>0.0005</v>
      </c>
      <c r="DD45" s="32" t="n">
        <f aca="false">INDEX(Вводные!$D$13:$F$64,MATCH($A45,Вводные!$A$13:$A$64,0),MATCH(DD$3,Вводные!$D$11:$F$11,0))*(1+IF(DD$4=$A45,Вводные!$D$5*INDEX(Вводные!$G$13:$G$64,MATCH($A45,Вводные!$A$13:$A$64,0)),0))</f>
        <v>0.0005</v>
      </c>
      <c r="DE45" s="32" t="n">
        <f aca="false">INDEX(Вводные!$D$13:$F$64,MATCH($A45,Вводные!$A$13:$A$64,0),MATCH(DE$3,Вводные!$D$11:$F$11,0))*(1+IF(DE$4=$A45,Вводные!$D$5*INDEX(Вводные!$G$13:$G$64,MATCH($A45,Вводные!$A$13:$A$64,0)),0))</f>
        <v>0.0005</v>
      </c>
      <c r="DF45" s="32" t="n">
        <f aca="false">INDEX(Вводные!$D$13:$F$64,MATCH($A45,Вводные!$A$13:$A$64,0),MATCH(DF$3,Вводные!$D$11:$F$11,0))*(1+IF(DF$4=$A45,Вводные!$D$5*INDEX(Вводные!$G$13:$G$64,MATCH($A45,Вводные!$A$13:$A$64,0)),0))</f>
        <v>0.0005</v>
      </c>
      <c r="DG45" s="32" t="n">
        <f aca="false">INDEX(Вводные!$D$13:$F$64,MATCH($A45,Вводные!$A$13:$A$64,0),MATCH(DG$3,Вводные!$D$11:$F$11,0))*(1+IF(DG$4=$A45,Вводные!$D$5*INDEX(Вводные!$G$13:$G$64,MATCH($A45,Вводные!$A$13:$A$64,0)),0))</f>
        <v>0.0005</v>
      </c>
      <c r="DH45" s="32" t="n">
        <f aca="false">INDEX(Вводные!$D$13:$F$64,MATCH($A45,Вводные!$A$13:$A$64,0),MATCH(DH$3,Вводные!$D$11:$F$11,0))*(1+IF(DH$4=$A45,Вводные!$D$5*INDEX(Вводные!$G$13:$G$64,MATCH($A45,Вводные!$A$13:$A$64,0)),0))</f>
        <v>0.0005</v>
      </c>
      <c r="DI45" s="32" t="n">
        <f aca="false">INDEX(Вводные!$D$13:$F$64,MATCH($A45,Вводные!$A$13:$A$64,0),MATCH(DI$3,Вводные!$D$11:$F$11,0))*(1+IF(DI$4=$A45,Вводные!$D$5*INDEX(Вводные!$G$13:$G$64,MATCH($A45,Вводные!$A$13:$A$64,0)),0))</f>
        <v>0.0005</v>
      </c>
      <c r="DJ45" s="32" t="n">
        <f aca="false">INDEX(Вводные!$D$13:$F$64,MATCH($A45,Вводные!$A$13:$A$64,0),MATCH(DJ$3,Вводные!$D$11:$F$11,0))*(1+IF(DJ$4=$A45,Вводные!$D$5*INDEX(Вводные!$G$13:$G$64,MATCH($A45,Вводные!$A$13:$A$64,0)),0))</f>
        <v>0.0005</v>
      </c>
      <c r="DK45" s="32" t="n">
        <f aca="false">INDEX(Вводные!$D$13:$F$64,MATCH($A45,Вводные!$A$13:$A$64,0),MATCH(DK$3,Вводные!$D$11:$F$11,0))*(1+IF(DK$4=$A45,Вводные!$D$5*INDEX(Вводные!$G$13:$G$64,MATCH($A45,Вводные!$A$13:$A$64,0)),0))</f>
        <v>0.000505</v>
      </c>
      <c r="DL45" s="32" t="n">
        <f aca="false">INDEX(Вводные!$D$13:$F$64,MATCH($A45,Вводные!$A$13:$A$64,0),MATCH(DL$3,Вводные!$D$11:$F$11,0))*(1+IF(DL$4=$A45,Вводные!$D$5*INDEX(Вводные!$G$13:$G$64,MATCH($A45,Вводные!$A$13:$A$64,0)),0))</f>
        <v>0.0005</v>
      </c>
      <c r="DM45" s="32" t="n">
        <f aca="false">INDEX(Вводные!$D$13:$F$64,MATCH($A45,Вводные!$A$13:$A$64,0),MATCH(DM$3,Вводные!$D$11:$F$11,0))*(1+IF(DM$4=$A45,Вводные!$D$5*INDEX(Вводные!$G$13:$G$64,MATCH($A45,Вводные!$A$13:$A$64,0)),0))</f>
        <v>0.0005</v>
      </c>
      <c r="DN45" s="32" t="n">
        <f aca="false">INDEX(Вводные!$D$13:$F$64,MATCH($A45,Вводные!$A$13:$A$64,0),MATCH(DN$3,Вводные!$D$11:$F$11,0))*(1+IF(DN$4=$A45,Вводные!$D$5*INDEX(Вводные!$G$13:$G$64,MATCH($A45,Вводные!$A$13:$A$64,0)),0))</f>
        <v>0.0005</v>
      </c>
      <c r="DO45" s="32" t="n">
        <f aca="false">INDEX(Вводные!$D$13:$F$64,MATCH($A45,Вводные!$A$13:$A$64,0),MATCH(DO$3,Вводные!$D$11:$F$11,0))*(1+IF(DO$4=$A45,Вводные!$D$5*INDEX(Вводные!$G$13:$G$64,MATCH($A45,Вводные!$A$13:$A$64,0)),0))</f>
        <v>0.0005</v>
      </c>
      <c r="DP45" s="32" t="n">
        <f aca="false">INDEX(Вводные!$D$13:$F$64,MATCH($A45,Вводные!$A$13:$A$64,0),MATCH(DP$3,Вводные!$D$11:$F$11,0))*(1+IF(DP$4=$A45,Вводные!$D$5*INDEX(Вводные!$G$13:$G$64,MATCH($A45,Вводные!$A$13:$A$64,0)),0))</f>
        <v>0.0005</v>
      </c>
      <c r="DQ45" s="32" t="n">
        <f aca="false">INDEX(Вводные!$D$13:$F$64,MATCH($A45,Вводные!$A$13:$A$64,0),MATCH(DQ$3,Вводные!$D$11:$F$11,0))*(1+IF(DQ$4=$A45,Вводные!$D$5*INDEX(Вводные!$G$13:$G$64,MATCH($A45,Вводные!$A$13:$A$64,0)),0))</f>
        <v>0.0005</v>
      </c>
      <c r="DR45" s="32" t="n">
        <f aca="false">INDEX(Вводные!$D$13:$F$64,MATCH($A45,Вводные!$A$13:$A$64,0),MATCH(DR$3,Вводные!$D$11:$F$11,0))*(1+IF(DR$4=$A45,Вводные!$D$5*INDEX(Вводные!$G$13:$G$64,MATCH($A45,Вводные!$A$13:$A$64,0)),0))</f>
        <v>0.0005</v>
      </c>
      <c r="DS45" s="32" t="n">
        <f aca="false">INDEX(Вводные!$D$13:$F$64,MATCH($A45,Вводные!$A$13:$A$64,0),MATCH(DS$3,Вводные!$D$11:$F$11,0))*(1+IF(DS$4=$A45,Вводные!$D$5*INDEX(Вводные!$G$13:$G$64,MATCH($A45,Вводные!$A$13:$A$64,0)),0))</f>
        <v>0.0005</v>
      </c>
      <c r="DT45" s="32" t="n">
        <f aca="false">INDEX(Вводные!$D$13:$F$64,MATCH($A45,Вводные!$A$13:$A$64,0),MATCH(DT$3,Вводные!$D$11:$F$11,0))*(1+IF(DT$4=$A45,Вводные!$D$5*INDEX(Вводные!$G$13:$G$64,MATCH($A45,Вводные!$A$13:$A$64,0)),0))</f>
        <v>0.0005</v>
      </c>
      <c r="DU45" s="32" t="n">
        <f aca="false">INDEX(Вводные!$D$13:$F$64,MATCH($A45,Вводные!$A$13:$A$64,0),MATCH(DU$3,Вводные!$D$11:$F$11,0))*(1+IF(DU$4=$A45,Вводные!$D$5*INDEX(Вводные!$G$13:$G$64,MATCH($A45,Вводные!$A$13:$A$64,0)),0))</f>
        <v>0.0005</v>
      </c>
      <c r="DV45" s="32" t="n">
        <f aca="false">INDEX(Вводные!$D$13:$F$64,MATCH($A45,Вводные!$A$13:$A$64,0),MATCH(DV$3,Вводные!$D$11:$F$11,0))*(1+IF(DV$4=$A45,Вводные!$D$5*INDEX(Вводные!$G$13:$G$64,MATCH($A45,Вводные!$A$13:$A$64,0)),0))</f>
        <v>0.0005</v>
      </c>
      <c r="DW45" s="32" t="n">
        <f aca="false">INDEX(Вводные!$D$13:$F$64,MATCH($A45,Вводные!$A$13:$A$64,0),MATCH(DW$3,Вводные!$D$11:$F$11,0))*(1+IF(DW$4=$A45,Вводные!$D$5*INDEX(Вводные!$G$13:$G$64,MATCH($A45,Вводные!$A$13:$A$64,0)),0))</f>
        <v>0.0005</v>
      </c>
      <c r="DX45" s="32" t="n">
        <f aca="false">INDEX(Вводные!$D$13:$F$64,MATCH($A45,Вводные!$A$13:$A$64,0),MATCH(DX$3,Вводные!$D$11:$F$11,0))*(1+IF(DX$4=$A45,Вводные!$D$5*INDEX(Вводные!$G$13:$G$64,MATCH($A45,Вводные!$A$13:$A$64,0)),0))</f>
        <v>0.0005</v>
      </c>
      <c r="DY45" s="32" t="n">
        <f aca="false">INDEX(Вводные!$D$13:$F$64,MATCH($A45,Вводные!$A$13:$A$64,0),MATCH(DY$3,Вводные!$D$11:$F$11,0))*(1+IF(DY$4=$A45,Вводные!$D$5*INDEX(Вводные!$G$13:$G$64,MATCH($A45,Вводные!$A$13:$A$64,0)),0))</f>
        <v>0.0005</v>
      </c>
      <c r="DZ45" s="32" t="n">
        <f aca="false">INDEX(Вводные!$D$13:$F$64,MATCH($A45,Вводные!$A$13:$A$64,0),MATCH(DZ$3,Вводные!$D$11:$F$11,0))*(1+IF(DZ$4=$A45,Вводные!$D$5*INDEX(Вводные!$G$13:$G$64,MATCH($A45,Вводные!$A$13:$A$64,0)),0))</f>
        <v>0.0005</v>
      </c>
      <c r="EA45" s="32" t="n">
        <f aca="false">INDEX(Вводные!$D$13:$F$64,MATCH($A45,Вводные!$A$13:$A$64,0),MATCH(EA$3,Вводные!$D$11:$F$11,0))*(1+IF(EA$4=$A45,Вводные!$D$5*INDEX(Вводные!$G$13:$G$64,MATCH($A45,Вводные!$A$13:$A$64,0)),0))</f>
        <v>0.0005</v>
      </c>
      <c r="EB45" s="32" t="n">
        <f aca="false">INDEX(Вводные!$D$13:$F$64,MATCH($A45,Вводные!$A$13:$A$64,0),MATCH(EB$3,Вводные!$D$11:$F$11,0))*(1+IF(EB$4=$A45,Вводные!$D$5*INDEX(Вводные!$G$13:$G$64,MATCH($A45,Вводные!$A$13:$A$64,0)),0))</f>
        <v>0.0005</v>
      </c>
      <c r="EC45" s="32" t="n">
        <f aca="false">INDEX(Вводные!$D$13:$F$64,MATCH($A45,Вводные!$A$13:$A$64,0),MATCH(EC$3,Вводные!$D$11:$F$11,0))*(1+IF(EC$4=$A45,Вводные!$D$5*INDEX(Вводные!$G$13:$G$64,MATCH($A45,Вводные!$A$13:$A$64,0)),0))</f>
        <v>0.0005</v>
      </c>
      <c r="ED45" s="32" t="n">
        <f aca="false">INDEX(Вводные!$D$13:$F$64,MATCH($A45,Вводные!$A$13:$A$64,0),MATCH(ED$3,Вводные!$D$11:$F$11,0))*(1+IF(ED$4=$A45,Вводные!$D$5*INDEX(Вводные!$G$13:$G$64,MATCH($A45,Вводные!$A$13:$A$64,0)),0))</f>
        <v>0.0005</v>
      </c>
      <c r="EE45" s="32" t="n">
        <f aca="false">INDEX(Вводные!$D$13:$F$64,MATCH($A45,Вводные!$A$13:$A$64,0),MATCH(EE$3,Вводные!$D$11:$F$11,0))*(1+IF(EE$4=$A45,Вводные!$D$5*INDEX(Вводные!$G$13:$G$64,MATCH($A45,Вводные!$A$13:$A$64,0)),0))</f>
        <v>0.0005</v>
      </c>
      <c r="EF45" s="32" t="n">
        <f aca="false">INDEX(Вводные!$D$13:$F$64,MATCH($A45,Вводные!$A$13:$A$64,0),MATCH(EF$3,Вводные!$D$11:$F$11,0))*(1+IF(EF$4=$A45,Вводные!$D$5*INDEX(Вводные!$G$13:$G$64,MATCH($A45,Вводные!$A$13:$A$64,0)),0))</f>
        <v>0.005</v>
      </c>
      <c r="EG45" s="32" t="n">
        <f aca="false">INDEX(Вводные!$D$13:$F$64,MATCH($A45,Вводные!$A$13:$A$64,0),MATCH(EG$3,Вводные!$D$11:$F$11,0))*(1+IF(EG$4=$A45,Вводные!$D$5*INDEX(Вводные!$G$13:$G$64,MATCH($A45,Вводные!$A$13:$A$64,0)),0))</f>
        <v>0.005</v>
      </c>
      <c r="EH45" s="32" t="n">
        <f aca="false">INDEX(Вводные!$D$13:$F$64,MATCH($A45,Вводные!$A$13:$A$64,0),MATCH(EH$3,Вводные!$D$11:$F$11,0))*(1+IF(EH$4=$A45,Вводные!$D$5*INDEX(Вводные!$G$13:$G$64,MATCH($A45,Вводные!$A$13:$A$64,0)),0))</f>
        <v>0.005</v>
      </c>
      <c r="EI45" s="32" t="n">
        <f aca="false">INDEX(Вводные!$D$13:$F$64,MATCH($A45,Вводные!$A$13:$A$64,0),MATCH(EI$3,Вводные!$D$11:$F$11,0))*(1+IF(EI$4=$A45,Вводные!$D$5*INDEX(Вводные!$G$13:$G$64,MATCH($A45,Вводные!$A$13:$A$64,0)),0))</f>
        <v>0.005</v>
      </c>
      <c r="EJ45" s="32" t="n">
        <f aca="false">INDEX(Вводные!$D$13:$F$64,MATCH($A45,Вводные!$A$13:$A$64,0),MATCH(EJ$3,Вводные!$D$11:$F$11,0))*(1+IF(EJ$4=$A45,Вводные!$D$5*INDEX(Вводные!$G$13:$G$64,MATCH($A45,Вводные!$A$13:$A$64,0)),0))</f>
        <v>0.005</v>
      </c>
      <c r="EK45" s="32" t="n">
        <f aca="false">INDEX(Вводные!$D$13:$F$64,MATCH($A45,Вводные!$A$13:$A$64,0),MATCH(EK$3,Вводные!$D$11:$F$11,0))*(1+IF(EK$4=$A45,Вводные!$D$5*INDEX(Вводные!$G$13:$G$64,MATCH($A45,Вводные!$A$13:$A$64,0)),0))</f>
        <v>0.005</v>
      </c>
      <c r="EL45" s="32" t="n">
        <f aca="false">INDEX(Вводные!$D$13:$F$64,MATCH($A45,Вводные!$A$13:$A$64,0),MATCH(EL$3,Вводные!$D$11:$F$11,0))*(1+IF(EL$4=$A45,Вводные!$D$5*INDEX(Вводные!$G$13:$G$64,MATCH($A45,Вводные!$A$13:$A$64,0)),0))</f>
        <v>0.005</v>
      </c>
      <c r="EM45" s="32" t="n">
        <f aca="false">INDEX(Вводные!$D$13:$F$64,MATCH($A45,Вводные!$A$13:$A$64,0),MATCH(EM$3,Вводные!$D$11:$F$11,0))*(1+IF(EM$4=$A45,Вводные!$D$5*INDEX(Вводные!$G$13:$G$64,MATCH($A45,Вводные!$A$13:$A$64,0)),0))</f>
        <v>0.005</v>
      </c>
      <c r="EN45" s="32" t="n">
        <f aca="false">INDEX(Вводные!$D$13:$F$64,MATCH($A45,Вводные!$A$13:$A$64,0),MATCH(EN$3,Вводные!$D$11:$F$11,0))*(1+IF(EN$4=$A45,Вводные!$D$5*INDEX(Вводные!$G$13:$G$64,MATCH($A45,Вводные!$A$13:$A$64,0)),0))</f>
        <v>0.005</v>
      </c>
      <c r="EO45" s="32" t="n">
        <f aca="false">INDEX(Вводные!$D$13:$F$64,MATCH($A45,Вводные!$A$13:$A$64,0),MATCH(EO$3,Вводные!$D$11:$F$11,0))*(1+IF(EO$4=$A45,Вводные!$D$5*INDEX(Вводные!$G$13:$G$64,MATCH($A45,Вводные!$A$13:$A$64,0)),0))</f>
        <v>0.005</v>
      </c>
      <c r="EP45" s="32" t="n">
        <f aca="false">INDEX(Вводные!$D$13:$F$64,MATCH($A45,Вводные!$A$13:$A$64,0),MATCH(EP$3,Вводные!$D$11:$F$11,0))*(1+IF(EP$4=$A45,Вводные!$D$5*INDEX(Вводные!$G$13:$G$64,MATCH($A45,Вводные!$A$13:$A$64,0)),0))</f>
        <v>0.005</v>
      </c>
      <c r="EQ45" s="32" t="n">
        <f aca="false">INDEX(Вводные!$D$13:$F$64,MATCH($A45,Вводные!$A$13:$A$64,0),MATCH(EQ$3,Вводные!$D$11:$F$11,0))*(1+IF(EQ$4=$A45,Вводные!$D$5*INDEX(Вводные!$G$13:$G$64,MATCH($A45,Вводные!$A$13:$A$64,0)),0))</f>
        <v>0.005</v>
      </c>
      <c r="ER45" s="32" t="n">
        <f aca="false">INDEX(Вводные!$D$13:$F$64,MATCH($A45,Вводные!$A$13:$A$64,0),MATCH(ER$3,Вводные!$D$11:$F$11,0))*(1+IF(ER$4=$A45,Вводные!$D$5*INDEX(Вводные!$G$13:$G$64,MATCH($A45,Вводные!$A$13:$A$64,0)),0))</f>
        <v>0.005</v>
      </c>
      <c r="ES45" s="32" t="n">
        <f aca="false">INDEX(Вводные!$D$13:$F$64,MATCH($A45,Вводные!$A$13:$A$64,0),MATCH(ES$3,Вводные!$D$11:$F$11,0))*(1+IF(ES$4=$A45,Вводные!$D$5*INDEX(Вводные!$G$13:$G$64,MATCH($A45,Вводные!$A$13:$A$64,0)),0))</f>
        <v>0.005</v>
      </c>
      <c r="ET45" s="32" t="n">
        <f aca="false">INDEX(Вводные!$D$13:$F$64,MATCH($A45,Вводные!$A$13:$A$64,0),MATCH(ET$3,Вводные!$D$11:$F$11,0))*(1+IF(ET$4=$A45,Вводные!$D$5*INDEX(Вводные!$G$13:$G$64,MATCH($A45,Вводные!$A$13:$A$64,0)),0))</f>
        <v>0.005</v>
      </c>
      <c r="EU45" s="32" t="n">
        <f aca="false">INDEX(Вводные!$D$13:$F$64,MATCH($A45,Вводные!$A$13:$A$64,0),MATCH(EU$3,Вводные!$D$11:$F$11,0))*(1+IF(EU$4=$A45,Вводные!$D$5*INDEX(Вводные!$G$13:$G$64,MATCH($A45,Вводные!$A$13:$A$64,0)),0))</f>
        <v>0.005</v>
      </c>
      <c r="EV45" s="32" t="n">
        <f aca="false">INDEX(Вводные!$D$13:$F$64,MATCH($A45,Вводные!$A$13:$A$64,0),MATCH(EV$3,Вводные!$D$11:$F$11,0))*(1+IF(EV$4=$A45,Вводные!$D$5*INDEX(Вводные!$G$13:$G$64,MATCH($A45,Вводные!$A$13:$A$64,0)),0))</f>
        <v>0.005</v>
      </c>
      <c r="EW45" s="32" t="n">
        <f aca="false">INDEX(Вводные!$D$13:$F$64,MATCH($A45,Вводные!$A$13:$A$64,0),MATCH(EW$3,Вводные!$D$11:$F$11,0))*(1+IF(EW$4=$A45,Вводные!$D$5*INDEX(Вводные!$G$13:$G$64,MATCH($A45,Вводные!$A$13:$A$64,0)),0))</f>
        <v>0.005</v>
      </c>
      <c r="EX45" s="32" t="n">
        <f aca="false">INDEX(Вводные!$D$13:$F$64,MATCH($A45,Вводные!$A$13:$A$64,0),MATCH(EX$3,Вводные!$D$11:$F$11,0))*(1+IF(EX$4=$A45,Вводные!$D$5*INDEX(Вводные!$G$13:$G$64,MATCH($A45,Вводные!$A$13:$A$64,0)),0))</f>
        <v>0.005</v>
      </c>
      <c r="EY45" s="32" t="n">
        <f aca="false">INDEX(Вводные!$D$13:$F$64,MATCH($A45,Вводные!$A$13:$A$64,0),MATCH(EY$3,Вводные!$D$11:$F$11,0))*(1+IF(EY$4=$A45,Вводные!$D$5*INDEX(Вводные!$G$13:$G$64,MATCH($A45,Вводные!$A$13:$A$64,0)),0))</f>
        <v>0.005</v>
      </c>
      <c r="EZ45" s="32" t="n">
        <f aca="false">INDEX(Вводные!$D$13:$F$64,MATCH($A45,Вводные!$A$13:$A$64,0),MATCH(EZ$3,Вводные!$D$11:$F$11,0))*(1+IF(EZ$4=$A45,Вводные!$D$5*INDEX(Вводные!$G$13:$G$64,MATCH($A45,Вводные!$A$13:$A$64,0)),0))</f>
        <v>0.005</v>
      </c>
      <c r="FA45" s="32" t="n">
        <f aca="false">INDEX(Вводные!$D$13:$F$64,MATCH($A45,Вводные!$A$13:$A$64,0),MATCH(FA$3,Вводные!$D$11:$F$11,0))*(1+IF(FA$4=$A45,Вводные!$D$5*INDEX(Вводные!$G$13:$G$64,MATCH($A45,Вводные!$A$13:$A$64,0)),0))</f>
        <v>0.00505</v>
      </c>
      <c r="FB45" s="32" t="n">
        <f aca="false">INDEX(Вводные!$D$13:$F$64,MATCH($A45,Вводные!$A$13:$A$64,0),MATCH(FB$3,Вводные!$D$11:$F$11,0))*(1+IF(FB$4=$A45,Вводные!$D$5*INDEX(Вводные!$G$13:$G$64,MATCH($A45,Вводные!$A$13:$A$64,0)),0))</f>
        <v>0.005</v>
      </c>
      <c r="FC45" s="32" t="n">
        <f aca="false">INDEX(Вводные!$D$13:$F$64,MATCH($A45,Вводные!$A$13:$A$64,0),MATCH(FC$3,Вводные!$D$11:$F$11,0))*(1+IF(FC$4=$A45,Вводные!$D$5*INDEX(Вводные!$G$13:$G$64,MATCH($A45,Вводные!$A$13:$A$64,0)),0))</f>
        <v>0.005</v>
      </c>
      <c r="FD45" s="32" t="n">
        <f aca="false">INDEX(Вводные!$D$13:$F$64,MATCH($A45,Вводные!$A$13:$A$64,0),MATCH(FD$3,Вводные!$D$11:$F$11,0))*(1+IF(FD$4=$A45,Вводные!$D$5*INDEX(Вводные!$G$13:$G$64,MATCH($A45,Вводные!$A$13:$A$64,0)),0))</f>
        <v>0.005</v>
      </c>
      <c r="FE45" s="32" t="n">
        <f aca="false">INDEX(Вводные!$D$13:$F$64,MATCH($A45,Вводные!$A$13:$A$64,0),MATCH(FE$3,Вводные!$D$11:$F$11,0))*(1+IF(FE$4=$A45,Вводные!$D$5*INDEX(Вводные!$G$13:$G$64,MATCH($A45,Вводные!$A$13:$A$64,0)),0))</f>
        <v>0.005</v>
      </c>
      <c r="FF45" s="32" t="n">
        <f aca="false">INDEX(Вводные!$D$13:$F$64,MATCH($A45,Вводные!$A$13:$A$64,0),MATCH(FF$3,Вводные!$D$11:$F$11,0))*(1+IF(FF$4=$A45,Вводные!$D$5*INDEX(Вводные!$G$13:$G$64,MATCH($A45,Вводные!$A$13:$A$64,0)),0))</f>
        <v>0.005</v>
      </c>
      <c r="FG45" s="32" t="n">
        <f aca="false">INDEX(Вводные!$D$13:$F$64,MATCH($A45,Вводные!$A$13:$A$64,0),MATCH(FG$3,Вводные!$D$11:$F$11,0))*(1+IF(FG$4=$A45,Вводные!$D$5*INDEX(Вводные!$G$13:$G$64,MATCH($A45,Вводные!$A$13:$A$64,0)),0))</f>
        <v>0.005</v>
      </c>
      <c r="FH45" s="32" t="n">
        <f aca="false">INDEX(Вводные!$D$13:$F$64,MATCH($A45,Вводные!$A$13:$A$64,0),MATCH(FH$3,Вводные!$D$11:$F$11,0))*(1+IF(FH$4=$A45,Вводные!$D$5*INDEX(Вводные!$G$13:$G$64,MATCH($A45,Вводные!$A$13:$A$64,0)),0))</f>
        <v>0.005</v>
      </c>
      <c r="FI45" s="32" t="n">
        <f aca="false">INDEX(Вводные!$D$13:$F$64,MATCH($A45,Вводные!$A$13:$A$64,0),MATCH(FI$3,Вводные!$D$11:$F$11,0))*(1+IF(FI$4=$A45,Вводные!$D$5*INDEX(Вводные!$G$13:$G$64,MATCH($A45,Вводные!$A$13:$A$64,0)),0))</f>
        <v>0.005</v>
      </c>
      <c r="FJ45" s="32" t="n">
        <f aca="false">INDEX(Вводные!$D$13:$F$64,MATCH($A45,Вводные!$A$13:$A$64,0),MATCH(FJ$3,Вводные!$D$11:$F$11,0))*(1+IF(FJ$4=$A45,Вводные!$D$5*INDEX(Вводные!$G$13:$G$64,MATCH($A45,Вводные!$A$13:$A$64,0)),0))</f>
        <v>0.005</v>
      </c>
      <c r="FK45" s="32" t="n">
        <f aca="false">INDEX(Вводные!$D$13:$F$64,MATCH($A45,Вводные!$A$13:$A$64,0),MATCH(FK$3,Вводные!$D$11:$F$11,0))*(1+IF(FK$4=$A45,Вводные!$D$5*INDEX(Вводные!$G$13:$G$64,MATCH($A45,Вводные!$A$13:$A$64,0)),0))</f>
        <v>0.005</v>
      </c>
      <c r="FL45" s="32" t="n">
        <f aca="false">INDEX(Вводные!$D$13:$F$64,MATCH($A45,Вводные!$A$13:$A$64,0),MATCH(FL$3,Вводные!$D$11:$F$11,0))*(1+IF(FL$4=$A45,Вводные!$D$5*INDEX(Вводные!$G$13:$G$64,MATCH($A45,Вводные!$A$13:$A$64,0)),0))</f>
        <v>0.005</v>
      </c>
      <c r="FM45" s="32" t="n">
        <f aca="false">INDEX(Вводные!$D$13:$F$64,MATCH($A45,Вводные!$A$13:$A$64,0),MATCH(FM$3,Вводные!$D$11:$F$11,0))*(1+IF(FM$4=$A45,Вводные!$D$5*INDEX(Вводные!$G$13:$G$64,MATCH($A45,Вводные!$A$13:$A$64,0)),0))</f>
        <v>0.005</v>
      </c>
      <c r="FN45" s="32" t="n">
        <f aca="false">INDEX(Вводные!$D$13:$F$64,MATCH($A45,Вводные!$A$13:$A$64,0),MATCH(FN$3,Вводные!$D$11:$F$11,0))*(1+IF(FN$4=$A45,Вводные!$D$5*INDEX(Вводные!$G$13:$G$64,MATCH($A45,Вводные!$A$13:$A$64,0)),0))</f>
        <v>0.005</v>
      </c>
      <c r="FO45" s="32" t="n">
        <f aca="false">INDEX(Вводные!$D$13:$F$64,MATCH($A45,Вводные!$A$13:$A$64,0),MATCH(FO$3,Вводные!$D$11:$F$11,0))*(1+IF(FO$4=$A45,Вводные!$D$5*INDEX(Вводные!$G$13:$G$64,MATCH($A45,Вводные!$A$13:$A$64,0)),0))</f>
        <v>0.005</v>
      </c>
      <c r="FP45" s="32" t="n">
        <f aca="false">INDEX(Вводные!$D$13:$F$64,MATCH($A45,Вводные!$A$13:$A$64,0),MATCH(FP$3,Вводные!$D$11:$F$11,0))*(1+IF(FP$4=$A45,Вводные!$D$5*INDEX(Вводные!$G$13:$G$64,MATCH($A45,Вводные!$A$13:$A$64,0)),0))</f>
        <v>0.005</v>
      </c>
      <c r="FQ45" s="32" t="n">
        <f aca="false">INDEX(Вводные!$D$13:$F$64,MATCH($A45,Вводные!$A$13:$A$64,0),MATCH(FQ$3,Вводные!$D$11:$F$11,0))*(1+IF(FQ$4=$A45,Вводные!$D$5*INDEX(Вводные!$G$13:$G$64,MATCH($A45,Вводные!$A$13:$A$64,0)),0))</f>
        <v>0.005</v>
      </c>
      <c r="FR45" s="32" t="n">
        <f aca="false">INDEX(Вводные!$D$13:$F$64,MATCH($A45,Вводные!$A$13:$A$64,0),MATCH(FR$3,Вводные!$D$11:$F$11,0))*(1+IF(FR$4=$A45,Вводные!$D$5*INDEX(Вводные!$G$13:$G$64,MATCH($A45,Вводные!$A$13:$A$64,0)),0))</f>
        <v>0.005</v>
      </c>
      <c r="FS45" s="32" t="n">
        <f aca="false">INDEX(Вводные!$D$13:$F$64,MATCH($A45,Вводные!$A$13:$A$64,0),MATCH(FS$3,Вводные!$D$11:$F$11,0))*(1+IF(FS$4=$A45,Вводные!$D$5*INDEX(Вводные!$G$13:$G$64,MATCH($A45,Вводные!$A$13:$A$64,0)),0))</f>
        <v>0.005</v>
      </c>
      <c r="FT45" s="32" t="n">
        <f aca="false">INDEX(Вводные!$D$13:$F$64,MATCH($A45,Вводные!$A$13:$A$64,0),MATCH(FT$3,Вводные!$D$11:$F$11,0))*(1+IF(FT$4=$A45,Вводные!$D$5*INDEX(Вводные!$G$13:$G$64,MATCH($A45,Вводные!$A$13:$A$64,0)),0))</f>
        <v>0.005</v>
      </c>
      <c r="FU45" s="32" t="n">
        <f aca="false">INDEX(Вводные!$D$13:$F$64,MATCH($A45,Вводные!$A$13:$A$64,0),MATCH(FU$3,Вводные!$D$11:$F$11,0))*(1+IF(FU$4=$A45,Вводные!$D$5*INDEX(Вводные!$G$13:$G$64,MATCH($A45,Вводные!$A$13:$A$64,0)),0))</f>
        <v>0.005</v>
      </c>
      <c r="FV45" s="32" t="n">
        <f aca="false">INDEX(Вводные!$D$13:$F$64,MATCH($A45,Вводные!$A$13:$A$64,0),MATCH(FV$3,Вводные!$D$11:$F$11,0))*(1+IF(FV$4=$A45,Вводные!$D$5*INDEX(Вводные!$G$13:$G$64,MATCH($A45,Вводные!$A$13:$A$64,0)),0))</f>
        <v>0.003</v>
      </c>
      <c r="FW45" s="32" t="n">
        <f aca="false">INDEX(Вводные!$D$13:$F$64,MATCH($A45,Вводные!$A$13:$A$64,0),MATCH(FW$3,Вводные!$D$11:$F$11,0))*(1+IF(FW$4=$A45,Вводные!$D$5*INDEX(Вводные!$G$13:$G$64,MATCH($A45,Вводные!$A$13:$A$64,0)),0))</f>
        <v>0.003</v>
      </c>
      <c r="FX45" s="32" t="n">
        <f aca="false">INDEX(Вводные!$D$13:$F$64,MATCH($A45,Вводные!$A$13:$A$64,0),MATCH(FX$3,Вводные!$D$11:$F$11,0))*(1+IF(FX$4=$A45,Вводные!$D$5*INDEX(Вводные!$G$13:$G$64,MATCH($A45,Вводные!$A$13:$A$64,0)),0))</f>
        <v>0.003</v>
      </c>
      <c r="FY45" s="32" t="n">
        <f aca="false">INDEX(Вводные!$D$13:$F$64,MATCH($A45,Вводные!$A$13:$A$64,0),MATCH(FY$3,Вводные!$D$11:$F$11,0))*(1+IF(FY$4=$A45,Вводные!$D$5*INDEX(Вводные!$G$13:$G$64,MATCH($A45,Вводные!$A$13:$A$64,0)),0))</f>
        <v>0.003</v>
      </c>
      <c r="FZ45" s="32" t="n">
        <f aca="false">INDEX(Вводные!$D$13:$F$64,MATCH($A45,Вводные!$A$13:$A$64,0),MATCH(FZ$3,Вводные!$D$11:$F$11,0))*(1+IF(FZ$4=$A45,Вводные!$D$5*INDEX(Вводные!$G$13:$G$64,MATCH($A45,Вводные!$A$13:$A$64,0)),0))</f>
        <v>0.003</v>
      </c>
      <c r="GA45" s="32" t="n">
        <f aca="false">INDEX(Вводные!$D$13:$F$64,MATCH($A45,Вводные!$A$13:$A$64,0),MATCH(GA$3,Вводные!$D$11:$F$11,0))*(1+IF(GA$4=$A45,Вводные!$D$5*INDEX(Вводные!$G$13:$G$64,MATCH($A45,Вводные!$A$13:$A$64,0)),0))</f>
        <v>0.003</v>
      </c>
      <c r="GB45" s="32" t="n">
        <f aca="false">INDEX(Вводные!$D$13:$F$64,MATCH($A45,Вводные!$A$13:$A$64,0),MATCH(GB$3,Вводные!$D$11:$F$11,0))*(1+IF(GB$4=$A45,Вводные!$D$5*INDEX(Вводные!$G$13:$G$64,MATCH($A45,Вводные!$A$13:$A$64,0)),0))</f>
        <v>0.003</v>
      </c>
      <c r="GC45" s="32" t="n">
        <f aca="false">INDEX(Вводные!$D$13:$F$64,MATCH($A45,Вводные!$A$13:$A$64,0),MATCH(GC$3,Вводные!$D$11:$F$11,0))*(1+IF(GC$4=$A45,Вводные!$D$5*INDEX(Вводные!$G$13:$G$64,MATCH($A45,Вводные!$A$13:$A$64,0)),0))</f>
        <v>0.003</v>
      </c>
      <c r="GD45" s="32" t="n">
        <f aca="false">INDEX(Вводные!$D$13:$F$64,MATCH($A45,Вводные!$A$13:$A$64,0),MATCH(GD$3,Вводные!$D$11:$F$11,0))*(1+IF(GD$4=$A45,Вводные!$D$5*INDEX(Вводные!$G$13:$G$64,MATCH($A45,Вводные!$A$13:$A$64,0)),0))</f>
        <v>0.003</v>
      </c>
      <c r="GE45" s="32" t="n">
        <f aca="false">INDEX(Вводные!$D$13:$F$64,MATCH($A45,Вводные!$A$13:$A$64,0),MATCH(GE$3,Вводные!$D$11:$F$11,0))*(1+IF(GE$4=$A45,Вводные!$D$5*INDEX(Вводные!$G$13:$G$64,MATCH($A45,Вводные!$A$13:$A$64,0)),0))</f>
        <v>0.003</v>
      </c>
      <c r="GF45" s="32" t="n">
        <f aca="false">INDEX(Вводные!$D$13:$F$64,MATCH($A45,Вводные!$A$13:$A$64,0),MATCH(GF$3,Вводные!$D$11:$F$11,0))*(1+IF(GF$4=$A45,Вводные!$D$5*INDEX(Вводные!$G$13:$G$64,MATCH($A45,Вводные!$A$13:$A$64,0)),0))</f>
        <v>0.003</v>
      </c>
      <c r="GG45" s="32" t="n">
        <f aca="false">INDEX(Вводные!$D$13:$F$64,MATCH($A45,Вводные!$A$13:$A$64,0),MATCH(GG$3,Вводные!$D$11:$F$11,0))*(1+IF(GG$4=$A45,Вводные!$D$5*INDEX(Вводные!$G$13:$G$64,MATCH($A45,Вводные!$A$13:$A$64,0)),0))</f>
        <v>0.003</v>
      </c>
      <c r="GH45" s="32" t="n">
        <f aca="false">INDEX(Вводные!$D$13:$F$64,MATCH($A45,Вводные!$A$13:$A$64,0),MATCH(GH$3,Вводные!$D$11:$F$11,0))*(1+IF(GH$4=$A45,Вводные!$D$5*INDEX(Вводные!$G$13:$G$64,MATCH($A45,Вводные!$A$13:$A$64,0)),0))</f>
        <v>0.003</v>
      </c>
      <c r="GI45" s="32" t="n">
        <f aca="false">INDEX(Вводные!$D$13:$F$64,MATCH($A45,Вводные!$A$13:$A$64,0),MATCH(GI$3,Вводные!$D$11:$F$11,0))*(1+IF(GI$4=$A45,Вводные!$D$5*INDEX(Вводные!$G$13:$G$64,MATCH($A45,Вводные!$A$13:$A$64,0)),0))</f>
        <v>0.003</v>
      </c>
      <c r="GJ45" s="32" t="n">
        <f aca="false">INDEX(Вводные!$D$13:$F$64,MATCH($A45,Вводные!$A$13:$A$64,0),MATCH(GJ$3,Вводные!$D$11:$F$11,0))*(1+IF(GJ$4=$A45,Вводные!$D$5*INDEX(Вводные!$G$13:$G$64,MATCH($A45,Вводные!$A$13:$A$64,0)),0))</f>
        <v>0.003</v>
      </c>
      <c r="GK45" s="32" t="n">
        <f aca="false">INDEX(Вводные!$D$13:$F$64,MATCH($A45,Вводные!$A$13:$A$64,0),MATCH(GK$3,Вводные!$D$11:$F$11,0))*(1+IF(GK$4=$A45,Вводные!$D$5*INDEX(Вводные!$G$13:$G$64,MATCH($A45,Вводные!$A$13:$A$64,0)),0))</f>
        <v>0.003</v>
      </c>
      <c r="GL45" s="32" t="n">
        <f aca="false">INDEX(Вводные!$D$13:$F$64,MATCH($A45,Вводные!$A$13:$A$64,0),MATCH(GL$3,Вводные!$D$11:$F$11,0))*(1+IF(GL$4=$A45,Вводные!$D$5*INDEX(Вводные!$G$13:$G$64,MATCH($A45,Вводные!$A$13:$A$64,0)),0))</f>
        <v>0.003</v>
      </c>
      <c r="GM45" s="32" t="n">
        <f aca="false">INDEX(Вводные!$D$13:$F$64,MATCH($A45,Вводные!$A$13:$A$64,0),MATCH(GM$3,Вводные!$D$11:$F$11,0))*(1+IF(GM$4=$A45,Вводные!$D$5*INDEX(Вводные!$G$13:$G$64,MATCH($A45,Вводные!$A$13:$A$64,0)),0))</f>
        <v>0.003</v>
      </c>
      <c r="GN45" s="32" t="n">
        <f aca="false">INDEX(Вводные!$D$13:$F$64,MATCH($A45,Вводные!$A$13:$A$64,0),MATCH(GN$3,Вводные!$D$11:$F$11,0))*(1+IF(GN$4=$A45,Вводные!$D$5*INDEX(Вводные!$G$13:$G$64,MATCH($A45,Вводные!$A$13:$A$64,0)),0))</f>
        <v>0.003</v>
      </c>
      <c r="GO45" s="32" t="n">
        <f aca="false">INDEX(Вводные!$D$13:$F$64,MATCH($A45,Вводные!$A$13:$A$64,0),MATCH(GO$3,Вводные!$D$11:$F$11,0))*(1+IF(GO$4=$A45,Вводные!$D$5*INDEX(Вводные!$G$13:$G$64,MATCH($A45,Вводные!$A$13:$A$64,0)),0))</f>
        <v>0.003</v>
      </c>
      <c r="GP45" s="32" t="n">
        <f aca="false">INDEX(Вводные!$D$13:$F$64,MATCH($A45,Вводные!$A$13:$A$64,0),MATCH(GP$3,Вводные!$D$11:$F$11,0))*(1+IF(GP$4=$A45,Вводные!$D$5*INDEX(Вводные!$G$13:$G$64,MATCH($A45,Вводные!$A$13:$A$64,0)),0))</f>
        <v>0.003</v>
      </c>
      <c r="GQ45" s="32" t="n">
        <f aca="false">INDEX(Вводные!$D$13:$F$64,MATCH($A45,Вводные!$A$13:$A$64,0),MATCH(GQ$3,Вводные!$D$11:$F$11,0))*(1+IF(GQ$4=$A45,Вводные!$D$5*INDEX(Вводные!$G$13:$G$64,MATCH($A45,Вводные!$A$13:$A$64,0)),0))</f>
        <v>0.00303</v>
      </c>
      <c r="GR45" s="32" t="n">
        <f aca="false">INDEX(Вводные!$D$13:$F$64,MATCH($A45,Вводные!$A$13:$A$64,0),MATCH(GR$3,Вводные!$D$11:$F$11,0))*(1+IF(GR$4=$A45,Вводные!$D$5*INDEX(Вводные!$G$13:$G$64,MATCH($A45,Вводные!$A$13:$A$64,0)),0))</f>
        <v>0.003</v>
      </c>
      <c r="GS45" s="32" t="n">
        <f aca="false">INDEX(Вводные!$D$13:$F$64,MATCH($A45,Вводные!$A$13:$A$64,0),MATCH(GS$3,Вводные!$D$11:$F$11,0))*(1+IF(GS$4=$A45,Вводные!$D$5*INDEX(Вводные!$G$13:$G$64,MATCH($A45,Вводные!$A$13:$A$64,0)),0))</f>
        <v>0.003</v>
      </c>
      <c r="GT45" s="32" t="n">
        <f aca="false">INDEX(Вводные!$D$13:$F$64,MATCH($A45,Вводные!$A$13:$A$64,0),MATCH(GT$3,Вводные!$D$11:$F$11,0))*(1+IF(GT$4=$A45,Вводные!$D$5*INDEX(Вводные!$G$13:$G$64,MATCH($A45,Вводные!$A$13:$A$64,0)),0))</f>
        <v>0.003</v>
      </c>
      <c r="GU45" s="32" t="n">
        <f aca="false">INDEX(Вводные!$D$13:$F$64,MATCH($A45,Вводные!$A$13:$A$64,0),MATCH(GU$3,Вводные!$D$11:$F$11,0))*(1+IF(GU$4=$A45,Вводные!$D$5*INDEX(Вводные!$G$13:$G$64,MATCH($A45,Вводные!$A$13:$A$64,0)),0))</f>
        <v>0.003</v>
      </c>
      <c r="GV45" s="32" t="n">
        <f aca="false">INDEX(Вводные!$D$13:$F$64,MATCH($A45,Вводные!$A$13:$A$64,0),MATCH(GV$3,Вводные!$D$11:$F$11,0))*(1+IF(GV$4=$A45,Вводные!$D$5*INDEX(Вводные!$G$13:$G$64,MATCH($A45,Вводные!$A$13:$A$64,0)),0))</f>
        <v>0.003</v>
      </c>
      <c r="GW45" s="32" t="n">
        <f aca="false">INDEX(Вводные!$D$13:$F$64,MATCH($A45,Вводные!$A$13:$A$64,0),MATCH(GW$3,Вводные!$D$11:$F$11,0))*(1+IF(GW$4=$A45,Вводные!$D$5*INDEX(Вводные!$G$13:$G$64,MATCH($A45,Вводные!$A$13:$A$64,0)),0))</f>
        <v>0.003</v>
      </c>
      <c r="GX45" s="32" t="n">
        <f aca="false">INDEX(Вводные!$D$13:$F$64,MATCH($A45,Вводные!$A$13:$A$64,0),MATCH(GX$3,Вводные!$D$11:$F$11,0))*(1+IF(GX$4=$A45,Вводные!$D$5*INDEX(Вводные!$G$13:$G$64,MATCH($A45,Вводные!$A$13:$A$64,0)),0))</f>
        <v>0.003</v>
      </c>
      <c r="GY45" s="32" t="n">
        <f aca="false">INDEX(Вводные!$D$13:$F$64,MATCH($A45,Вводные!$A$13:$A$64,0),MATCH(GY$3,Вводные!$D$11:$F$11,0))*(1+IF(GY$4=$A45,Вводные!$D$5*INDEX(Вводные!$G$13:$G$64,MATCH($A45,Вводные!$A$13:$A$64,0)),0))</f>
        <v>0.003</v>
      </c>
      <c r="GZ45" s="32" t="n">
        <f aca="false">INDEX(Вводные!$D$13:$F$64,MATCH($A45,Вводные!$A$13:$A$64,0),MATCH(GZ$3,Вводные!$D$11:$F$11,0))*(1+IF(GZ$4=$A45,Вводные!$D$5*INDEX(Вводные!$G$13:$G$64,MATCH($A45,Вводные!$A$13:$A$64,0)),0))</f>
        <v>0.003</v>
      </c>
      <c r="HA45" s="32" t="n">
        <f aca="false">INDEX(Вводные!$D$13:$F$64,MATCH($A45,Вводные!$A$13:$A$64,0),MATCH(HA$3,Вводные!$D$11:$F$11,0))*(1+IF(HA$4=$A45,Вводные!$D$5*INDEX(Вводные!$G$13:$G$64,MATCH($A45,Вводные!$A$13:$A$64,0)),0))</f>
        <v>0.003</v>
      </c>
      <c r="HB45" s="32" t="n">
        <f aca="false">INDEX(Вводные!$D$13:$F$64,MATCH($A45,Вводные!$A$13:$A$64,0),MATCH(HB$3,Вводные!$D$11:$F$11,0))*(1+IF(HB$4=$A45,Вводные!$D$5*INDEX(Вводные!$G$13:$G$64,MATCH($A45,Вводные!$A$13:$A$64,0)),0))</f>
        <v>0.003</v>
      </c>
      <c r="HC45" s="32" t="n">
        <f aca="false">INDEX(Вводные!$D$13:$F$64,MATCH($A45,Вводные!$A$13:$A$64,0),MATCH(HC$3,Вводные!$D$11:$F$11,0))*(1+IF(HC$4=$A45,Вводные!$D$5*INDEX(Вводные!$G$13:$G$64,MATCH($A45,Вводные!$A$13:$A$64,0)),0))</f>
        <v>0.003</v>
      </c>
      <c r="HD45" s="32" t="n">
        <f aca="false">INDEX(Вводные!$D$13:$F$64,MATCH($A45,Вводные!$A$13:$A$64,0),MATCH(HD$3,Вводные!$D$11:$F$11,0))*(1+IF(HD$4=$A45,Вводные!$D$5*INDEX(Вводные!$G$13:$G$64,MATCH($A45,Вводные!$A$13:$A$64,0)),0))</f>
        <v>0.003</v>
      </c>
      <c r="HE45" s="32" t="n">
        <f aca="false">INDEX(Вводные!$D$13:$F$64,MATCH($A45,Вводные!$A$13:$A$64,0),MATCH(HE$3,Вводные!$D$11:$F$11,0))*(1+IF(HE$4=$A45,Вводные!$D$5*INDEX(Вводные!$G$13:$G$64,MATCH($A45,Вводные!$A$13:$A$64,0)),0))</f>
        <v>0.003</v>
      </c>
      <c r="HF45" s="32" t="n">
        <f aca="false">INDEX(Вводные!$D$13:$F$64,MATCH($A45,Вводные!$A$13:$A$64,0),MATCH(HF$3,Вводные!$D$11:$F$11,0))*(1+IF(HF$4=$A45,Вводные!$D$5*INDEX(Вводные!$G$13:$G$64,MATCH($A45,Вводные!$A$13:$A$64,0)),0))</f>
        <v>0.003</v>
      </c>
      <c r="HG45" s="32" t="n">
        <f aca="false">INDEX(Вводные!$D$13:$F$64,MATCH($A45,Вводные!$A$13:$A$64,0),MATCH(HG$3,Вводные!$D$11:$F$11,0))*(1+IF(HG$4=$A45,Вводные!$D$5*INDEX(Вводные!$G$13:$G$64,MATCH($A45,Вводные!$A$13:$A$64,0)),0))</f>
        <v>0.003</v>
      </c>
      <c r="HH45" s="32" t="n">
        <f aca="false">INDEX(Вводные!$D$13:$F$64,MATCH($A45,Вводные!$A$13:$A$64,0),MATCH(HH$3,Вводные!$D$11:$F$11,0))*(1+IF(HH$4=$A45,Вводные!$D$5*INDEX(Вводные!$G$13:$G$64,MATCH($A45,Вводные!$A$13:$A$64,0)),0))</f>
        <v>0.003</v>
      </c>
      <c r="HI45" s="32" t="n">
        <f aca="false">INDEX(Вводные!$D$13:$F$64,MATCH($A45,Вводные!$A$13:$A$64,0),MATCH(HI$3,Вводные!$D$11:$F$11,0))*(1+IF(HI$4=$A45,Вводные!$D$5*INDEX(Вводные!$G$13:$G$64,MATCH($A45,Вводные!$A$13:$A$64,0)),0))</f>
        <v>0.003</v>
      </c>
      <c r="HJ45" s="32" t="n">
        <f aca="false">INDEX(Вводные!$D$13:$F$64,MATCH($A45,Вводные!$A$13:$A$64,0),MATCH(HJ$3,Вводные!$D$11:$F$11,0))*(1+IF(HJ$4=$A45,Вводные!$D$5*INDEX(Вводные!$G$13:$G$64,MATCH($A45,Вводные!$A$13:$A$64,0)),0))</f>
        <v>0.003</v>
      </c>
      <c r="HK45" s="32" t="n">
        <f aca="false">INDEX(Вводные!$D$13:$F$64,MATCH($A45,Вводные!$A$13:$A$64,0),MATCH(HK$3,Вводные!$D$11:$F$11,0))*(1+IF(HK$4=$A45,Вводные!$D$5*INDEX(Вводные!$G$13:$G$64,MATCH($A45,Вводные!$A$13:$A$64,0)),0))</f>
        <v>0.003</v>
      </c>
      <c r="HL45" s="32" t="n">
        <f aca="false">INDEX(Вводные!$D$13:$F$64,MATCH($A45,Вводные!$A$13:$A$64,0),MATCH(HL$3,Вводные!$D$11:$F$11,0))*(1+IF(HL$4=$A45,Вводные!$D$5*INDEX(Вводные!$G$13:$G$64,MATCH($A45,Вводные!$A$13:$A$64,0)),0))</f>
        <v>0.0005</v>
      </c>
      <c r="HM45" s="32" t="n">
        <f aca="false">INDEX(Вводные!$D$13:$F$64,MATCH($A45,Вводные!$A$13:$A$64,0),MATCH(HM$3,Вводные!$D$11:$F$11,0))*(1+IF(HM$4=$A45,Вводные!$D$5*INDEX(Вводные!$G$13:$G$64,MATCH($A45,Вводные!$A$13:$A$64,0)),0))</f>
        <v>0.0005</v>
      </c>
      <c r="HN45" s="32" t="n">
        <f aca="false">INDEX(Вводные!$D$13:$F$64,MATCH($A45,Вводные!$A$13:$A$64,0),MATCH(HN$3,Вводные!$D$11:$F$11,0))*(1+IF(HN$4=$A45,Вводные!$D$5*INDEX(Вводные!$G$13:$G$64,MATCH($A45,Вводные!$A$13:$A$64,0)),0))</f>
        <v>0.0005</v>
      </c>
      <c r="HO45" s="32" t="n">
        <f aca="false">INDEX(Вводные!$D$13:$F$64,MATCH($A45,Вводные!$A$13:$A$64,0),MATCH(HO$3,Вводные!$D$11:$F$11,0))*(1+IF(HO$4=$A45,Вводные!$D$5*INDEX(Вводные!$G$13:$G$64,MATCH($A45,Вводные!$A$13:$A$64,0)),0))</f>
        <v>0.0005</v>
      </c>
      <c r="HP45" s="32" t="n">
        <f aca="false">INDEX(Вводные!$D$13:$F$64,MATCH($A45,Вводные!$A$13:$A$64,0),MATCH(HP$3,Вводные!$D$11:$F$11,0))*(1+IF(HP$4=$A45,Вводные!$D$5*INDEX(Вводные!$G$13:$G$64,MATCH($A45,Вводные!$A$13:$A$64,0)),0))</f>
        <v>0.0005</v>
      </c>
      <c r="HQ45" s="32" t="n">
        <f aca="false">INDEX(Вводные!$D$13:$F$64,MATCH($A45,Вводные!$A$13:$A$64,0),MATCH(HQ$3,Вводные!$D$11:$F$11,0))*(1+IF(HQ$4=$A45,Вводные!$D$5*INDEX(Вводные!$G$13:$G$64,MATCH($A45,Вводные!$A$13:$A$64,0)),0))</f>
        <v>0.0005</v>
      </c>
      <c r="HR45" s="32" t="n">
        <f aca="false">INDEX(Вводные!$D$13:$F$64,MATCH($A45,Вводные!$A$13:$A$64,0),MATCH(HR$3,Вводные!$D$11:$F$11,0))*(1+IF(HR$4=$A45,Вводные!$D$5*INDEX(Вводные!$G$13:$G$64,MATCH($A45,Вводные!$A$13:$A$64,0)),0))</f>
        <v>0.0005</v>
      </c>
      <c r="HS45" s="32" t="n">
        <f aca="false">INDEX(Вводные!$D$13:$F$64,MATCH($A45,Вводные!$A$13:$A$64,0),MATCH(HS$3,Вводные!$D$11:$F$11,0))*(1+IF(HS$4=$A45,Вводные!$D$5*INDEX(Вводные!$G$13:$G$64,MATCH($A45,Вводные!$A$13:$A$64,0)),0))</f>
        <v>0.0005</v>
      </c>
      <c r="HT45" s="32" t="n">
        <f aca="false">INDEX(Вводные!$D$13:$F$64,MATCH($A45,Вводные!$A$13:$A$64,0),MATCH(HT$3,Вводные!$D$11:$F$11,0))*(1+IF(HT$4=$A45,Вводные!$D$5*INDEX(Вводные!$G$13:$G$64,MATCH($A45,Вводные!$A$13:$A$64,0)),0))</f>
        <v>0.0005</v>
      </c>
      <c r="HU45" s="32" t="n">
        <f aca="false">INDEX(Вводные!$D$13:$F$64,MATCH($A45,Вводные!$A$13:$A$64,0),MATCH(HU$3,Вводные!$D$11:$F$11,0))*(1+IF(HU$4=$A45,Вводные!$D$5*INDEX(Вводные!$G$13:$G$64,MATCH($A45,Вводные!$A$13:$A$64,0)),0))</f>
        <v>0.0005</v>
      </c>
      <c r="HV45" s="32" t="n">
        <f aca="false">INDEX(Вводные!$D$13:$F$64,MATCH($A45,Вводные!$A$13:$A$64,0),MATCH(HV$3,Вводные!$D$11:$F$11,0))*(1+IF(HV$4=$A45,Вводные!$D$5*INDEX(Вводные!$G$13:$G$64,MATCH($A45,Вводные!$A$13:$A$64,0)),0))</f>
        <v>0.0005</v>
      </c>
      <c r="HW45" s="32" t="n">
        <f aca="false">INDEX(Вводные!$D$13:$F$64,MATCH($A45,Вводные!$A$13:$A$64,0),MATCH(HW$3,Вводные!$D$11:$F$11,0))*(1+IF(HW$4=$A45,Вводные!$D$5*INDEX(Вводные!$G$13:$G$64,MATCH($A45,Вводные!$A$13:$A$64,0)),0))</f>
        <v>0.0005</v>
      </c>
      <c r="HX45" s="32" t="n">
        <f aca="false">INDEX(Вводные!$D$13:$F$64,MATCH($A45,Вводные!$A$13:$A$64,0),MATCH(HX$3,Вводные!$D$11:$F$11,0))*(1+IF(HX$4=$A45,Вводные!$D$5*INDEX(Вводные!$G$13:$G$64,MATCH($A45,Вводные!$A$13:$A$64,0)),0))</f>
        <v>0.0005</v>
      </c>
      <c r="HY45" s="32" t="n">
        <f aca="false">INDEX(Вводные!$D$13:$F$64,MATCH($A45,Вводные!$A$13:$A$64,0),MATCH(HY$3,Вводные!$D$11:$F$11,0))*(1+IF(HY$4=$A45,Вводные!$D$5*INDEX(Вводные!$G$13:$G$64,MATCH($A45,Вводные!$A$13:$A$64,0)),0))</f>
        <v>0.0005</v>
      </c>
      <c r="HZ45" s="32" t="n">
        <f aca="false">INDEX(Вводные!$D$13:$F$64,MATCH($A45,Вводные!$A$13:$A$64,0),MATCH(HZ$3,Вводные!$D$11:$F$11,0))*(1+IF(HZ$4=$A45,Вводные!$D$5*INDEX(Вводные!$G$13:$G$64,MATCH($A45,Вводные!$A$13:$A$64,0)),0))</f>
        <v>0.0005</v>
      </c>
      <c r="IA45" s="32" t="n">
        <f aca="false">INDEX(Вводные!$D$13:$F$64,MATCH($A45,Вводные!$A$13:$A$64,0),MATCH(IA$3,Вводные!$D$11:$F$11,0))*(1+IF(IA$4=$A45,Вводные!$D$5*INDEX(Вводные!$G$13:$G$64,MATCH($A45,Вводные!$A$13:$A$64,0)),0))</f>
        <v>0.0005</v>
      </c>
      <c r="IB45" s="32" t="n">
        <f aca="false">INDEX(Вводные!$D$13:$F$64,MATCH($A45,Вводные!$A$13:$A$64,0),MATCH(IB$3,Вводные!$D$11:$F$11,0))*(1+IF(IB$4=$A45,Вводные!$D$5*INDEX(Вводные!$G$13:$G$64,MATCH($A45,Вводные!$A$13:$A$64,0)),0))</f>
        <v>0.0005</v>
      </c>
      <c r="IC45" s="32" t="n">
        <f aca="false">INDEX(Вводные!$D$13:$F$64,MATCH($A45,Вводные!$A$13:$A$64,0),MATCH(IC$3,Вводные!$D$11:$F$11,0))*(1+IF(IC$4=$A45,Вводные!$D$5*INDEX(Вводные!$G$13:$G$64,MATCH($A45,Вводные!$A$13:$A$64,0)),0))</f>
        <v>0.0005</v>
      </c>
      <c r="ID45" s="32" t="n">
        <f aca="false">INDEX(Вводные!$D$13:$F$64,MATCH($A45,Вводные!$A$13:$A$64,0),MATCH(ID$3,Вводные!$D$11:$F$11,0))*(1+IF(ID$4=$A45,Вводные!$D$5*INDEX(Вводные!$G$13:$G$64,MATCH($A45,Вводные!$A$13:$A$64,0)),0))</f>
        <v>0.0005</v>
      </c>
      <c r="IE45" s="32" t="n">
        <f aca="false">INDEX(Вводные!$D$13:$F$64,MATCH($A45,Вводные!$A$13:$A$64,0),MATCH(IE$3,Вводные!$D$11:$F$11,0))*(1+IF(IE$4=$A45,Вводные!$D$5*INDEX(Вводные!$G$13:$G$64,MATCH($A45,Вводные!$A$13:$A$64,0)),0))</f>
        <v>0.0005</v>
      </c>
      <c r="IF45" s="32" t="n">
        <f aca="false">INDEX(Вводные!$D$13:$F$64,MATCH($A45,Вводные!$A$13:$A$64,0),MATCH(IF$3,Вводные!$D$11:$F$11,0))*(1+IF(IF$4=$A45,Вводные!$D$5*INDEX(Вводные!$G$13:$G$64,MATCH($A45,Вводные!$A$13:$A$64,0)),0))</f>
        <v>0.0005</v>
      </c>
      <c r="IG45" s="32" t="n">
        <f aca="false">INDEX(Вводные!$D$13:$F$64,MATCH($A45,Вводные!$A$13:$A$64,0),MATCH(IG$3,Вводные!$D$11:$F$11,0))*(1+IF(IG$4=$A45,Вводные!$D$5*INDEX(Вводные!$G$13:$G$64,MATCH($A45,Вводные!$A$13:$A$64,0)),0))</f>
        <v>0.000505</v>
      </c>
      <c r="IH45" s="32" t="n">
        <f aca="false">INDEX(Вводные!$D$13:$F$64,MATCH($A45,Вводные!$A$13:$A$64,0),MATCH(IH$3,Вводные!$D$11:$F$11,0))*(1+IF(IH$4=$A45,Вводные!$D$5*INDEX(Вводные!$G$13:$G$64,MATCH($A45,Вводные!$A$13:$A$64,0)),0))</f>
        <v>0.0005</v>
      </c>
      <c r="II45" s="32" t="n">
        <f aca="false">INDEX(Вводные!$D$13:$F$64,MATCH($A45,Вводные!$A$13:$A$64,0),MATCH(II$3,Вводные!$D$11:$F$11,0))*(1+IF(II$4=$A45,Вводные!$D$5*INDEX(Вводные!$G$13:$G$64,MATCH($A45,Вводные!$A$13:$A$64,0)),0))</f>
        <v>0.0005</v>
      </c>
      <c r="IJ45" s="32" t="n">
        <f aca="false">INDEX(Вводные!$D$13:$F$64,MATCH($A45,Вводные!$A$13:$A$64,0),MATCH(IJ$3,Вводные!$D$11:$F$11,0))*(1+IF(IJ$4=$A45,Вводные!$D$5*INDEX(Вводные!$G$13:$G$64,MATCH($A45,Вводные!$A$13:$A$64,0)),0))</f>
        <v>0.0005</v>
      </c>
      <c r="IK45" s="32" t="n">
        <f aca="false">INDEX(Вводные!$D$13:$F$64,MATCH($A45,Вводные!$A$13:$A$64,0),MATCH(IK$3,Вводные!$D$11:$F$11,0))*(1+IF(IK$4=$A45,Вводные!$D$5*INDEX(Вводные!$G$13:$G$64,MATCH($A45,Вводные!$A$13:$A$64,0)),0))</f>
        <v>0.0005</v>
      </c>
      <c r="IL45" s="32" t="n">
        <f aca="false">INDEX(Вводные!$D$13:$F$64,MATCH($A45,Вводные!$A$13:$A$64,0),MATCH(IL$3,Вводные!$D$11:$F$11,0))*(1+IF(IL$4=$A45,Вводные!$D$5*INDEX(Вводные!$G$13:$G$64,MATCH($A45,Вводные!$A$13:$A$64,0)),0))</f>
        <v>0.0005</v>
      </c>
      <c r="IM45" s="32" t="n">
        <f aca="false">INDEX(Вводные!$D$13:$F$64,MATCH($A45,Вводные!$A$13:$A$64,0),MATCH(IM$3,Вводные!$D$11:$F$11,0))*(1+IF(IM$4=$A45,Вводные!$D$5*INDEX(Вводные!$G$13:$G$64,MATCH($A45,Вводные!$A$13:$A$64,0)),0))</f>
        <v>0.0005</v>
      </c>
      <c r="IN45" s="32" t="n">
        <f aca="false">INDEX(Вводные!$D$13:$F$64,MATCH($A45,Вводные!$A$13:$A$64,0),MATCH(IN$3,Вводные!$D$11:$F$11,0))*(1+IF(IN$4=$A45,Вводные!$D$5*INDEX(Вводные!$G$13:$G$64,MATCH($A45,Вводные!$A$13:$A$64,0)),0))</f>
        <v>0.0005</v>
      </c>
      <c r="IO45" s="32" t="n">
        <f aca="false">INDEX(Вводные!$D$13:$F$64,MATCH($A45,Вводные!$A$13:$A$64,0),MATCH(IO$3,Вводные!$D$11:$F$11,0))*(1+IF(IO$4=$A45,Вводные!$D$5*INDEX(Вводные!$G$13:$G$64,MATCH($A45,Вводные!$A$13:$A$64,0)),0))</f>
        <v>0.0005</v>
      </c>
      <c r="IP45" s="32" t="n">
        <f aca="false">INDEX(Вводные!$D$13:$F$64,MATCH($A45,Вводные!$A$13:$A$64,0),MATCH(IP$3,Вводные!$D$11:$F$11,0))*(1+IF(IP$4=$A45,Вводные!$D$5*INDEX(Вводные!$G$13:$G$64,MATCH($A45,Вводные!$A$13:$A$64,0)),0))</f>
        <v>0.0005</v>
      </c>
      <c r="IQ45" s="32" t="n">
        <f aca="false">INDEX(Вводные!$D$13:$F$64,MATCH($A45,Вводные!$A$13:$A$64,0),MATCH(IQ$3,Вводные!$D$11:$F$11,0))*(1+IF(IQ$4=$A45,Вводные!$D$5*INDEX(Вводные!$G$13:$G$64,MATCH($A45,Вводные!$A$13:$A$64,0)),0))</f>
        <v>0.0005</v>
      </c>
      <c r="IR45" s="32" t="n">
        <f aca="false">INDEX(Вводные!$D$13:$F$64,MATCH($A45,Вводные!$A$13:$A$64,0),MATCH(IR$3,Вводные!$D$11:$F$11,0))*(1+IF(IR$4=$A45,Вводные!$D$5*INDEX(Вводные!$G$13:$G$64,MATCH($A45,Вводные!$A$13:$A$64,0)),0))</f>
        <v>0.0005</v>
      </c>
      <c r="IS45" s="32" t="n">
        <f aca="false">INDEX(Вводные!$D$13:$F$64,MATCH($A45,Вводные!$A$13:$A$64,0),MATCH(IS$3,Вводные!$D$11:$F$11,0))*(1+IF(IS$4=$A45,Вводные!$D$5*INDEX(Вводные!$G$13:$G$64,MATCH($A45,Вводные!$A$13:$A$64,0)),0))</f>
        <v>0.0005</v>
      </c>
      <c r="IT45" s="32" t="n">
        <f aca="false">INDEX(Вводные!$D$13:$F$64,MATCH($A45,Вводные!$A$13:$A$64,0),MATCH(IT$3,Вводные!$D$11:$F$11,0))*(1+IF(IT$4=$A45,Вводные!$D$5*INDEX(Вводные!$G$13:$G$64,MATCH($A45,Вводные!$A$13:$A$64,0)),0))</f>
        <v>0.0005</v>
      </c>
      <c r="IU45" s="32" t="n">
        <f aca="false">INDEX(Вводные!$D$13:$F$64,MATCH($A45,Вводные!$A$13:$A$64,0),MATCH(IU$3,Вводные!$D$11:$F$11,0))*(1+IF(IU$4=$A45,Вводные!$D$5*INDEX(Вводные!$G$13:$G$64,MATCH($A45,Вводные!$A$13:$A$64,0)),0))</f>
        <v>0.0005</v>
      </c>
      <c r="IV45" s="32" t="n">
        <f aca="false">INDEX(Вводные!$D$13:$F$64,MATCH($A45,Вводные!$A$13:$A$64,0),MATCH(IV$3,Вводные!$D$11:$F$11,0))*(1+IF(IV$4=$A45,Вводные!$D$5*INDEX(Вводные!$G$13:$G$64,MATCH($A45,Вводные!$A$13:$A$64,0)),0))</f>
        <v>0.0005</v>
      </c>
      <c r="IW45" s="32" t="n">
        <f aca="false">INDEX(Вводные!$D$13:$F$64,MATCH($A45,Вводные!$A$13:$A$64,0),MATCH(IW$3,Вводные!$D$11:$F$11,0))*(1+IF(IW$4=$A45,Вводные!$D$5*INDEX(Вводные!$G$13:$G$64,MATCH($A45,Вводные!$A$13:$A$64,0)),0))</f>
        <v>0.0005</v>
      </c>
      <c r="IX45" s="32" t="n">
        <f aca="false">INDEX(Вводные!$D$13:$F$64,MATCH($A45,Вводные!$A$13:$A$64,0),MATCH(IX$3,Вводные!$D$11:$F$11,0))*(1+IF(IX$4=$A45,Вводные!$D$5*INDEX(Вводные!$G$13:$G$64,MATCH($A45,Вводные!$A$13:$A$64,0)),0))</f>
        <v>0.0005</v>
      </c>
      <c r="IY45" s="32" t="n">
        <f aca="false">INDEX(Вводные!$D$13:$F$64,MATCH($A45,Вводные!$A$13:$A$64,0),MATCH(IY$3,Вводные!$D$11:$F$11,0))*(1+IF(IY$4=$A45,Вводные!$D$5*INDEX(Вводные!$G$13:$G$64,MATCH($A45,Вводные!$A$13:$A$64,0)),0))</f>
        <v>0.0005</v>
      </c>
      <c r="IZ45" s="32" t="n">
        <f aca="false">INDEX(Вводные!$D$13:$F$64,MATCH($A45,Вводные!$A$13:$A$64,0),MATCH(IZ$3,Вводные!$D$11:$F$11,0))*(1+IF(IZ$4=$A45,Вводные!$D$5*INDEX(Вводные!$G$13:$G$64,MATCH($A45,Вводные!$A$13:$A$64,0)),0))</f>
        <v>0.0005</v>
      </c>
      <c r="JA45" s="32" t="n">
        <f aca="false">INDEX(Вводные!$D$13:$F$64,MATCH($A45,Вводные!$A$13:$A$64,0),MATCH(JA$3,Вводные!$D$11:$F$11,0))*(1+IF(JA$4=$A45,Вводные!$D$5*INDEX(Вводные!$G$13:$G$64,MATCH($A45,Вводные!$A$13:$A$64,0)),0))</f>
        <v>0.0005</v>
      </c>
    </row>
    <row r="46" customFormat="false" ht="15" hidden="false" customHeight="false" outlineLevel="0" collapsed="false">
      <c r="A46" s="2" t="s">
        <v>103</v>
      </c>
      <c r="B46" s="13" t="s">
        <v>104</v>
      </c>
      <c r="C46" s="13" t="s">
        <v>179</v>
      </c>
      <c r="D46" s="9" t="s">
        <v>223</v>
      </c>
      <c r="E46" s="59" t="n">
        <f aca="false">E44*E45</f>
        <v>3803437.5</v>
      </c>
      <c r="F46" s="59" t="n">
        <f aca="false">F44*F45</f>
        <v>2266500</v>
      </c>
      <c r="G46" s="59" t="n">
        <f aca="false">G44*G45</f>
        <v>804000</v>
      </c>
      <c r="H46" s="59" t="n">
        <f aca="false">SUM(E46:G46)</f>
        <v>6873937.5</v>
      </c>
      <c r="J46" s="59" t="n">
        <f aca="false">J44*J45</f>
        <v>3803437.5</v>
      </c>
      <c r="K46" s="59" t="n">
        <f aca="false">K44*K45</f>
        <v>3806221.875</v>
      </c>
      <c r="L46" s="59" t="n">
        <f aca="false">L44*L45</f>
        <v>3806221.875</v>
      </c>
      <c r="M46" s="59" t="n">
        <f aca="false">M44*M45</f>
        <v>3806221.875</v>
      </c>
      <c r="N46" s="59" t="n">
        <f aca="false">N44*N45</f>
        <v>3805687.5</v>
      </c>
      <c r="O46" s="59" t="n">
        <f aca="false">O44*O45</f>
        <v>3803437.5</v>
      </c>
      <c r="P46" s="59" t="n">
        <f aca="false">P44*P45</f>
        <v>3803437.5</v>
      </c>
      <c r="Q46" s="59" t="n">
        <f aca="false">Q44*Q45</f>
        <v>3803437.5</v>
      </c>
      <c r="R46" s="59" t="n">
        <f aca="false">R44*R45</f>
        <v>3803437.5</v>
      </c>
      <c r="S46" s="59" t="n">
        <f aca="false">S44*S45</f>
        <v>3803437.5</v>
      </c>
      <c r="T46" s="59" t="n">
        <f aca="false">T44*T45</f>
        <v>3803437.5</v>
      </c>
      <c r="U46" s="59" t="n">
        <f aca="false">U44*U45</f>
        <v>3803437.5</v>
      </c>
      <c r="V46" s="59" t="n">
        <f aca="false">V44*V45</f>
        <v>3803437.5</v>
      </c>
      <c r="W46" s="59" t="n">
        <f aca="false">W44*W45</f>
        <v>3803437.5</v>
      </c>
      <c r="X46" s="59" t="n">
        <f aca="false">X44*X45</f>
        <v>3803437.5</v>
      </c>
      <c r="Y46" s="59" t="n">
        <f aca="false">Y44*Y45</f>
        <v>3803437.5</v>
      </c>
      <c r="Z46" s="59" t="n">
        <f aca="false">Z44*Z45</f>
        <v>3803437.5</v>
      </c>
      <c r="AA46" s="59" t="n">
        <f aca="false">AA44*AA45</f>
        <v>3803437.5</v>
      </c>
      <c r="AB46" s="59" t="n">
        <f aca="false">AB44*AB45</f>
        <v>3803437.5</v>
      </c>
      <c r="AC46" s="59" t="n">
        <f aca="false">AC44*AC45</f>
        <v>3841471.875</v>
      </c>
      <c r="AD46" s="59" t="n">
        <f aca="false">AD44*AD45</f>
        <v>3841471.875</v>
      </c>
      <c r="AE46" s="59" t="n">
        <f aca="false">AE44*AE45</f>
        <v>3841471.875</v>
      </c>
      <c r="AF46" s="59" t="n">
        <f aca="false">AF44*AF45</f>
        <v>3803437.5</v>
      </c>
      <c r="AG46" s="59" t="n">
        <f aca="false">AG44*AG45</f>
        <v>3803437.5</v>
      </c>
      <c r="AH46" s="59" t="n">
        <f aca="false">AH44*AH45</f>
        <v>3803437.5</v>
      </c>
      <c r="AI46" s="59" t="n">
        <f aca="false">AI44*AI45</f>
        <v>3803437.5</v>
      </c>
      <c r="AJ46" s="59" t="n">
        <f aca="false">AJ44*AJ45</f>
        <v>3803437.5</v>
      </c>
      <c r="AK46" s="59" t="n">
        <f aca="false">AK44*AK45</f>
        <v>3803437.5</v>
      </c>
      <c r="AL46" s="59" t="n">
        <f aca="false">AL44*AL45</f>
        <v>3803437.5</v>
      </c>
      <c r="AM46" s="59" t="n">
        <f aca="false">AM44*AM45</f>
        <v>3803437.5</v>
      </c>
      <c r="AN46" s="59" t="n">
        <f aca="false">AN44*AN45</f>
        <v>3803437.5</v>
      </c>
      <c r="AO46" s="59" t="n">
        <f aca="false">AO44*AO45</f>
        <v>3803437.5</v>
      </c>
      <c r="AP46" s="59" t="n">
        <f aca="false">AP44*AP45</f>
        <v>3803437.5</v>
      </c>
      <c r="AQ46" s="59" t="n">
        <f aca="false">AQ44*AQ45</f>
        <v>3803437.5</v>
      </c>
      <c r="AR46" s="59" t="n">
        <f aca="false">AR44*AR45</f>
        <v>3803437.5</v>
      </c>
      <c r="AS46" s="59" t="n">
        <f aca="false">AS44*AS45</f>
        <v>3803437.5</v>
      </c>
      <c r="AT46" s="59" t="n">
        <f aca="false">AT44*AT45</f>
        <v>3803437.5</v>
      </c>
      <c r="AU46" s="59" t="n">
        <f aca="false">AU44*AU45</f>
        <v>3803437.5</v>
      </c>
      <c r="AV46" s="59" t="n">
        <f aca="false">AV44*AV45</f>
        <v>3803437.5</v>
      </c>
      <c r="AW46" s="59" t="n">
        <f aca="false">AW44*AW45</f>
        <v>3803437.5</v>
      </c>
      <c r="AX46" s="59" t="n">
        <f aca="false">AX44*AX45</f>
        <v>3803437.5</v>
      </c>
      <c r="AY46" s="59" t="n">
        <f aca="false">AY44*AY45</f>
        <v>3803437.5</v>
      </c>
      <c r="AZ46" s="59" t="n">
        <f aca="false">AZ44*AZ45</f>
        <v>2266500</v>
      </c>
      <c r="BA46" s="59" t="n">
        <f aca="false">BA44*BA45</f>
        <v>2267340</v>
      </c>
      <c r="BB46" s="59" t="n">
        <f aca="false">BB44*BB45</f>
        <v>2267340</v>
      </c>
      <c r="BC46" s="59" t="n">
        <f aca="false">BC44*BC45</f>
        <v>2267340</v>
      </c>
      <c r="BD46" s="59" t="n">
        <f aca="false">BD44*BD45</f>
        <v>2267175</v>
      </c>
      <c r="BE46" s="59" t="n">
        <f aca="false">BE44*BE45</f>
        <v>2266500</v>
      </c>
      <c r="BF46" s="59" t="n">
        <f aca="false">BF44*BF45</f>
        <v>2266500</v>
      </c>
      <c r="BG46" s="59" t="n">
        <f aca="false">BG44*BG45</f>
        <v>2266500</v>
      </c>
      <c r="BH46" s="59" t="n">
        <f aca="false">BH44*BH45</f>
        <v>2266500</v>
      </c>
      <c r="BI46" s="59" t="n">
        <f aca="false">BI44*BI45</f>
        <v>2266500</v>
      </c>
      <c r="BJ46" s="59" t="n">
        <f aca="false">BJ44*BJ45</f>
        <v>2266500</v>
      </c>
      <c r="BK46" s="59" t="n">
        <f aca="false">BK44*BK45</f>
        <v>2266500</v>
      </c>
      <c r="BL46" s="59" t="n">
        <f aca="false">BL44*BL45</f>
        <v>2266500</v>
      </c>
      <c r="BM46" s="59" t="n">
        <f aca="false">BM44*BM45</f>
        <v>2266500</v>
      </c>
      <c r="BN46" s="59" t="n">
        <f aca="false">BN44*BN45</f>
        <v>2266500</v>
      </c>
      <c r="BO46" s="59" t="n">
        <f aca="false">BO44*BO45</f>
        <v>2266500</v>
      </c>
      <c r="BP46" s="59" t="n">
        <f aca="false">BP44*BP45</f>
        <v>2266500</v>
      </c>
      <c r="BQ46" s="59" t="n">
        <f aca="false">BQ44*BQ45</f>
        <v>2266500</v>
      </c>
      <c r="BR46" s="59" t="n">
        <f aca="false">BR44*BR45</f>
        <v>2266500</v>
      </c>
      <c r="BS46" s="59" t="n">
        <f aca="false">BS44*BS45</f>
        <v>2289165</v>
      </c>
      <c r="BT46" s="59" t="n">
        <f aca="false">BT44*BT45</f>
        <v>2289165</v>
      </c>
      <c r="BU46" s="59" t="n">
        <f aca="false">BU44*BU45</f>
        <v>2289165</v>
      </c>
      <c r="BV46" s="59" t="n">
        <f aca="false">BV44*BV45</f>
        <v>2266500</v>
      </c>
      <c r="BW46" s="59" t="n">
        <f aca="false">BW44*BW45</f>
        <v>2266500</v>
      </c>
      <c r="BX46" s="59" t="n">
        <f aca="false">BX44*BX45</f>
        <v>2266500</v>
      </c>
      <c r="BY46" s="59" t="n">
        <f aca="false">BY44*BY45</f>
        <v>2266500</v>
      </c>
      <c r="BZ46" s="59" t="n">
        <f aca="false">BZ44*BZ45</f>
        <v>2266500</v>
      </c>
      <c r="CA46" s="59" t="n">
        <f aca="false">CA44*CA45</f>
        <v>2266500</v>
      </c>
      <c r="CB46" s="59" t="n">
        <f aca="false">CB44*CB45</f>
        <v>2266500</v>
      </c>
      <c r="CC46" s="59" t="n">
        <f aca="false">CC44*CC45</f>
        <v>2266500</v>
      </c>
      <c r="CD46" s="59" t="n">
        <f aca="false">CD44*CD45</f>
        <v>2266500</v>
      </c>
      <c r="CE46" s="59" t="n">
        <f aca="false">CE44*CE45</f>
        <v>2266500</v>
      </c>
      <c r="CF46" s="59" t="n">
        <f aca="false">CF44*CF45</f>
        <v>2266500</v>
      </c>
      <c r="CG46" s="59" t="n">
        <f aca="false">CG44*CG45</f>
        <v>2266500</v>
      </c>
      <c r="CH46" s="59" t="n">
        <f aca="false">CH44*CH45</f>
        <v>2266500</v>
      </c>
      <c r="CI46" s="59" t="n">
        <f aca="false">CI44*CI45</f>
        <v>2266500</v>
      </c>
      <c r="CJ46" s="59" t="n">
        <f aca="false">CJ44*CJ45</f>
        <v>2266500</v>
      </c>
      <c r="CK46" s="59" t="n">
        <f aca="false">CK44*CK45</f>
        <v>2266500</v>
      </c>
      <c r="CL46" s="59" t="n">
        <f aca="false">CL44*CL45</f>
        <v>2266500</v>
      </c>
      <c r="CM46" s="59" t="n">
        <f aca="false">CM44*CM45</f>
        <v>2266500</v>
      </c>
      <c r="CN46" s="59" t="n">
        <f aca="false">CN44*CN45</f>
        <v>2266500</v>
      </c>
      <c r="CO46" s="59" t="n">
        <f aca="false">CO44*CO45</f>
        <v>2266500</v>
      </c>
      <c r="CP46" s="59" t="n">
        <f aca="false">CP44*CP45</f>
        <v>804000</v>
      </c>
      <c r="CQ46" s="59" t="n">
        <f aca="false">CQ44*CQ45</f>
        <v>804360</v>
      </c>
      <c r="CR46" s="59" t="n">
        <f aca="false">CR44*CR45</f>
        <v>804360</v>
      </c>
      <c r="CS46" s="59" t="n">
        <f aca="false">CS44*CS45</f>
        <v>804360</v>
      </c>
      <c r="CT46" s="59" t="n">
        <f aca="false">CT44*CT45</f>
        <v>804320</v>
      </c>
      <c r="CU46" s="59" t="n">
        <f aca="false">CU44*CU45</f>
        <v>804000</v>
      </c>
      <c r="CV46" s="59" t="n">
        <f aca="false">CV44*CV45</f>
        <v>804000</v>
      </c>
      <c r="CW46" s="59" t="n">
        <f aca="false">CW44*CW45</f>
        <v>804000</v>
      </c>
      <c r="CX46" s="59" t="n">
        <f aca="false">CX44*CX45</f>
        <v>804000</v>
      </c>
      <c r="CY46" s="59" t="n">
        <f aca="false">CY44*CY45</f>
        <v>804000</v>
      </c>
      <c r="CZ46" s="59" t="n">
        <f aca="false">CZ44*CZ45</f>
        <v>804000</v>
      </c>
      <c r="DA46" s="59" t="n">
        <f aca="false">DA44*DA45</f>
        <v>804000</v>
      </c>
      <c r="DB46" s="59" t="n">
        <f aca="false">DB44*DB45</f>
        <v>804000</v>
      </c>
      <c r="DC46" s="59" t="n">
        <f aca="false">DC44*DC45</f>
        <v>804000</v>
      </c>
      <c r="DD46" s="59" t="n">
        <f aca="false">DD44*DD45</f>
        <v>804000</v>
      </c>
      <c r="DE46" s="59" t="n">
        <f aca="false">DE44*DE45</f>
        <v>804000</v>
      </c>
      <c r="DF46" s="59" t="n">
        <f aca="false">DF44*DF45</f>
        <v>804000</v>
      </c>
      <c r="DG46" s="59" t="n">
        <f aca="false">DG44*DG45</f>
        <v>804000</v>
      </c>
      <c r="DH46" s="59" t="n">
        <f aca="false">DH44*DH45</f>
        <v>804000</v>
      </c>
      <c r="DI46" s="59" t="n">
        <f aca="false">DI44*DI45</f>
        <v>812040</v>
      </c>
      <c r="DJ46" s="59" t="n">
        <f aca="false">DJ44*DJ45</f>
        <v>812040</v>
      </c>
      <c r="DK46" s="59" t="n">
        <f aca="false">DK44*DK45</f>
        <v>812040</v>
      </c>
      <c r="DL46" s="59" t="n">
        <f aca="false">DL44*DL45</f>
        <v>804000</v>
      </c>
      <c r="DM46" s="59" t="n">
        <f aca="false">DM44*DM45</f>
        <v>804000</v>
      </c>
      <c r="DN46" s="59" t="n">
        <f aca="false">DN44*DN45</f>
        <v>804000</v>
      </c>
      <c r="DO46" s="59" t="n">
        <f aca="false">DO44*DO45</f>
        <v>804000</v>
      </c>
      <c r="DP46" s="59" t="n">
        <f aca="false">DP44*DP45</f>
        <v>804000</v>
      </c>
      <c r="DQ46" s="59" t="n">
        <f aca="false">DQ44*DQ45</f>
        <v>804000</v>
      </c>
      <c r="DR46" s="59" t="n">
        <f aca="false">DR44*DR45</f>
        <v>804000</v>
      </c>
      <c r="DS46" s="59" t="n">
        <f aca="false">DS44*DS45</f>
        <v>804000</v>
      </c>
      <c r="DT46" s="59" t="n">
        <f aca="false">DT44*DT45</f>
        <v>804000</v>
      </c>
      <c r="DU46" s="59" t="n">
        <f aca="false">DU44*DU45</f>
        <v>804000</v>
      </c>
      <c r="DV46" s="59" t="n">
        <f aca="false">DV44*DV45</f>
        <v>804000</v>
      </c>
      <c r="DW46" s="59" t="n">
        <f aca="false">DW44*DW45</f>
        <v>804000</v>
      </c>
      <c r="DX46" s="59" t="n">
        <f aca="false">DX44*DX45</f>
        <v>804000</v>
      </c>
      <c r="DY46" s="59" t="n">
        <f aca="false">DY44*DY45</f>
        <v>804000</v>
      </c>
      <c r="DZ46" s="59" t="n">
        <f aca="false">DZ44*DZ45</f>
        <v>804000</v>
      </c>
      <c r="EA46" s="59" t="n">
        <f aca="false">EA44*EA45</f>
        <v>804000</v>
      </c>
      <c r="EB46" s="59" t="n">
        <f aca="false">EB44*EB45</f>
        <v>804000</v>
      </c>
      <c r="EC46" s="59" t="n">
        <f aca="false">EC44*EC45</f>
        <v>804000</v>
      </c>
      <c r="ED46" s="59" t="n">
        <f aca="false">ED44*ED45</f>
        <v>804000</v>
      </c>
      <c r="EE46" s="59" t="n">
        <f aca="false">EE44*EE45</f>
        <v>804000</v>
      </c>
      <c r="EF46" s="59" t="n">
        <f aca="false">EF44*EF45</f>
        <v>4640625</v>
      </c>
      <c r="EG46" s="59" t="n">
        <f aca="false">EG44*EG45</f>
        <v>4687031.25</v>
      </c>
      <c r="EH46" s="59" t="n">
        <f aca="false">EH44*EH45</f>
        <v>4687031.25</v>
      </c>
      <c r="EI46" s="59" t="n">
        <f aca="false">EI44*EI45</f>
        <v>4687031.25</v>
      </c>
      <c r="EJ46" s="59" t="n">
        <f aca="false">EJ44*EJ45</f>
        <v>4687500</v>
      </c>
      <c r="EK46" s="59" t="n">
        <f aca="false">EK44*EK45</f>
        <v>4640625</v>
      </c>
      <c r="EL46" s="59" t="n">
        <f aca="false">EL44*EL45</f>
        <v>4640625</v>
      </c>
      <c r="EM46" s="59" t="n">
        <f aca="false">EM44*EM45</f>
        <v>4640625</v>
      </c>
      <c r="EN46" s="59" t="n">
        <f aca="false">EN44*EN45</f>
        <v>4640625</v>
      </c>
      <c r="EO46" s="59" t="n">
        <f aca="false">EO44*EO45</f>
        <v>4640625</v>
      </c>
      <c r="EP46" s="59" t="n">
        <f aca="false">EP44*EP45</f>
        <v>4640625</v>
      </c>
      <c r="EQ46" s="59" t="n">
        <f aca="false">EQ44*EQ45</f>
        <v>4640625</v>
      </c>
      <c r="ER46" s="59" t="n">
        <f aca="false">ER44*ER45</f>
        <v>4640625</v>
      </c>
      <c r="ES46" s="59" t="n">
        <f aca="false">ES44*ES45</f>
        <v>4640625</v>
      </c>
      <c r="ET46" s="59" t="n">
        <f aca="false">ET44*ET45</f>
        <v>4640625</v>
      </c>
      <c r="EU46" s="59" t="n">
        <f aca="false">EU44*EU45</f>
        <v>4640625</v>
      </c>
      <c r="EV46" s="59" t="n">
        <f aca="false">EV44*EV45</f>
        <v>4640625</v>
      </c>
      <c r="EW46" s="59" t="n">
        <f aca="false">EW44*EW45</f>
        <v>4640625</v>
      </c>
      <c r="EX46" s="59" t="n">
        <f aca="false">EX44*EX45</f>
        <v>4640625</v>
      </c>
      <c r="EY46" s="59" t="n">
        <f aca="false">EY44*EY45</f>
        <v>4687031.25</v>
      </c>
      <c r="EZ46" s="59" t="n">
        <f aca="false">EZ44*EZ45</f>
        <v>4687031.25</v>
      </c>
      <c r="FA46" s="59" t="n">
        <f aca="false">FA44*FA45</f>
        <v>4687031.25</v>
      </c>
      <c r="FB46" s="59" t="n">
        <f aca="false">FB44*FB45</f>
        <v>4640625</v>
      </c>
      <c r="FC46" s="59" t="n">
        <f aca="false">FC44*FC45</f>
        <v>4640625</v>
      </c>
      <c r="FD46" s="59" t="n">
        <f aca="false">FD44*FD45</f>
        <v>4640625</v>
      </c>
      <c r="FE46" s="59" t="n">
        <f aca="false">FE44*FE45</f>
        <v>4640625</v>
      </c>
      <c r="FF46" s="59" t="n">
        <f aca="false">FF44*FF45</f>
        <v>4640625</v>
      </c>
      <c r="FG46" s="59" t="n">
        <f aca="false">FG44*FG45</f>
        <v>4640625</v>
      </c>
      <c r="FH46" s="59" t="n">
        <f aca="false">FH44*FH45</f>
        <v>4640625</v>
      </c>
      <c r="FI46" s="59" t="n">
        <f aca="false">FI44*FI45</f>
        <v>4640625</v>
      </c>
      <c r="FJ46" s="59" t="n">
        <f aca="false">FJ44*FJ45</f>
        <v>4640625</v>
      </c>
      <c r="FK46" s="59" t="n">
        <f aca="false">FK44*FK45</f>
        <v>4640625</v>
      </c>
      <c r="FL46" s="59" t="n">
        <f aca="false">FL44*FL45</f>
        <v>4640625</v>
      </c>
      <c r="FM46" s="59" t="n">
        <f aca="false">FM44*FM45</f>
        <v>4640625</v>
      </c>
      <c r="FN46" s="59" t="n">
        <f aca="false">FN44*FN45</f>
        <v>4640625</v>
      </c>
      <c r="FO46" s="59" t="n">
        <f aca="false">FO44*FO45</f>
        <v>4640625</v>
      </c>
      <c r="FP46" s="59" t="n">
        <f aca="false">FP44*FP45</f>
        <v>4640625</v>
      </c>
      <c r="FQ46" s="59" t="n">
        <f aca="false">FQ44*FQ45</f>
        <v>4640625</v>
      </c>
      <c r="FR46" s="59" t="n">
        <f aca="false">FR44*FR45</f>
        <v>4640625</v>
      </c>
      <c r="FS46" s="59" t="n">
        <f aca="false">FS44*FS45</f>
        <v>4640625</v>
      </c>
      <c r="FT46" s="59" t="n">
        <f aca="false">FT44*FT45</f>
        <v>4640625</v>
      </c>
      <c r="FU46" s="59" t="n">
        <f aca="false">FU44*FU45</f>
        <v>4640625</v>
      </c>
      <c r="FV46" s="59" t="n">
        <f aca="false">FV44*FV45</f>
        <v>2800000</v>
      </c>
      <c r="FW46" s="59" t="n">
        <f aca="false">FW44*FW45</f>
        <v>2828000</v>
      </c>
      <c r="FX46" s="59" t="n">
        <f aca="false">FX44*FX45</f>
        <v>2828000</v>
      </c>
      <c r="FY46" s="59" t="n">
        <f aca="false">FY44*FY45</f>
        <v>2828000</v>
      </c>
      <c r="FZ46" s="59" t="n">
        <f aca="false">FZ44*FZ45</f>
        <v>2828282.82828283</v>
      </c>
      <c r="GA46" s="59" t="n">
        <f aca="false">GA44*GA45</f>
        <v>2800000</v>
      </c>
      <c r="GB46" s="59" t="n">
        <f aca="false">GB44*GB45</f>
        <v>2800000</v>
      </c>
      <c r="GC46" s="59" t="n">
        <f aca="false">GC44*GC45</f>
        <v>2800000</v>
      </c>
      <c r="GD46" s="59" t="n">
        <f aca="false">GD44*GD45</f>
        <v>2800000</v>
      </c>
      <c r="GE46" s="59" t="n">
        <f aca="false">GE44*GE45</f>
        <v>2800000</v>
      </c>
      <c r="GF46" s="59" t="n">
        <f aca="false">GF44*GF45</f>
        <v>2800000</v>
      </c>
      <c r="GG46" s="59" t="n">
        <f aca="false">GG44*GG45</f>
        <v>2800000</v>
      </c>
      <c r="GH46" s="59" t="n">
        <f aca="false">GH44*GH45</f>
        <v>2800000</v>
      </c>
      <c r="GI46" s="59" t="n">
        <f aca="false">GI44*GI45</f>
        <v>2800000</v>
      </c>
      <c r="GJ46" s="59" t="n">
        <f aca="false">GJ44*GJ45</f>
        <v>2800000</v>
      </c>
      <c r="GK46" s="59" t="n">
        <f aca="false">GK44*GK45</f>
        <v>2800000</v>
      </c>
      <c r="GL46" s="59" t="n">
        <f aca="false">GL44*GL45</f>
        <v>2800000</v>
      </c>
      <c r="GM46" s="59" t="n">
        <f aca="false">GM44*GM45</f>
        <v>2800000</v>
      </c>
      <c r="GN46" s="59" t="n">
        <f aca="false">GN44*GN45</f>
        <v>2800000</v>
      </c>
      <c r="GO46" s="59" t="n">
        <f aca="false">GO44*GO45</f>
        <v>2828000</v>
      </c>
      <c r="GP46" s="59" t="n">
        <f aca="false">GP44*GP45</f>
        <v>2828000</v>
      </c>
      <c r="GQ46" s="59" t="n">
        <f aca="false">GQ44*GQ45</f>
        <v>2828000</v>
      </c>
      <c r="GR46" s="59" t="n">
        <f aca="false">GR44*GR45</f>
        <v>2800000</v>
      </c>
      <c r="GS46" s="59" t="n">
        <f aca="false">GS44*GS45</f>
        <v>2800000</v>
      </c>
      <c r="GT46" s="59" t="n">
        <f aca="false">GT44*GT45</f>
        <v>2800000</v>
      </c>
      <c r="GU46" s="59" t="n">
        <f aca="false">GU44*GU45</f>
        <v>2800000</v>
      </c>
      <c r="GV46" s="59" t="n">
        <f aca="false">GV44*GV45</f>
        <v>2800000</v>
      </c>
      <c r="GW46" s="59" t="n">
        <f aca="false">GW44*GW45</f>
        <v>2800000</v>
      </c>
      <c r="GX46" s="59" t="n">
        <f aca="false">GX44*GX45</f>
        <v>2800000</v>
      </c>
      <c r="GY46" s="59" t="n">
        <f aca="false">GY44*GY45</f>
        <v>2800000</v>
      </c>
      <c r="GZ46" s="59" t="n">
        <f aca="false">GZ44*GZ45</f>
        <v>2800000</v>
      </c>
      <c r="HA46" s="59" t="n">
        <f aca="false">HA44*HA45</f>
        <v>2800000</v>
      </c>
      <c r="HB46" s="59" t="n">
        <f aca="false">HB44*HB45</f>
        <v>2800000</v>
      </c>
      <c r="HC46" s="59" t="n">
        <f aca="false">HC44*HC45</f>
        <v>2800000</v>
      </c>
      <c r="HD46" s="59" t="n">
        <f aca="false">HD44*HD45</f>
        <v>2800000</v>
      </c>
      <c r="HE46" s="59" t="n">
        <f aca="false">HE44*HE45</f>
        <v>2800000</v>
      </c>
      <c r="HF46" s="59" t="n">
        <f aca="false">HF44*HF45</f>
        <v>2800000</v>
      </c>
      <c r="HG46" s="59" t="n">
        <f aca="false">HG44*HG45</f>
        <v>2800000</v>
      </c>
      <c r="HH46" s="59" t="n">
        <f aca="false">HH44*HH45</f>
        <v>2800000</v>
      </c>
      <c r="HI46" s="59" t="n">
        <f aca="false">HI44*HI45</f>
        <v>2800000</v>
      </c>
      <c r="HJ46" s="59" t="n">
        <f aca="false">HJ44*HJ45</f>
        <v>2800000</v>
      </c>
      <c r="HK46" s="59" t="n">
        <f aca="false">HK44*HK45</f>
        <v>2800000</v>
      </c>
      <c r="HL46" s="59" t="n">
        <f aca="false">HL44*HL45</f>
        <v>900000</v>
      </c>
      <c r="HM46" s="59" t="n">
        <f aca="false">HM44*HM45</f>
        <v>909000</v>
      </c>
      <c r="HN46" s="59" t="n">
        <f aca="false">HN44*HN45</f>
        <v>909000</v>
      </c>
      <c r="HO46" s="59" t="n">
        <f aca="false">HO44*HO45</f>
        <v>909000</v>
      </c>
      <c r="HP46" s="59" t="n">
        <f aca="false">HP44*HP45</f>
        <v>909090.909090909</v>
      </c>
      <c r="HQ46" s="59" t="n">
        <f aca="false">HQ44*HQ45</f>
        <v>900000</v>
      </c>
      <c r="HR46" s="59" t="n">
        <f aca="false">HR44*HR45</f>
        <v>900000</v>
      </c>
      <c r="HS46" s="59" t="n">
        <f aca="false">HS44*HS45</f>
        <v>900000</v>
      </c>
      <c r="HT46" s="59" t="n">
        <f aca="false">HT44*HT45</f>
        <v>900000</v>
      </c>
      <c r="HU46" s="59" t="n">
        <f aca="false">HU44*HU45</f>
        <v>900000</v>
      </c>
      <c r="HV46" s="59" t="n">
        <f aca="false">HV44*HV45</f>
        <v>900000</v>
      </c>
      <c r="HW46" s="59" t="n">
        <f aca="false">HW44*HW45</f>
        <v>900000</v>
      </c>
      <c r="HX46" s="59" t="n">
        <f aca="false">HX44*HX45</f>
        <v>900000</v>
      </c>
      <c r="HY46" s="59" t="n">
        <f aca="false">HY44*HY45</f>
        <v>900000</v>
      </c>
      <c r="HZ46" s="59" t="n">
        <f aca="false">HZ44*HZ45</f>
        <v>900000</v>
      </c>
      <c r="IA46" s="59" t="n">
        <f aca="false">IA44*IA45</f>
        <v>900000</v>
      </c>
      <c r="IB46" s="59" t="n">
        <f aca="false">IB44*IB45</f>
        <v>900000</v>
      </c>
      <c r="IC46" s="59" t="n">
        <f aca="false">IC44*IC45</f>
        <v>900000</v>
      </c>
      <c r="ID46" s="59" t="n">
        <f aca="false">ID44*ID45</f>
        <v>900000</v>
      </c>
      <c r="IE46" s="59" t="n">
        <f aca="false">IE44*IE45</f>
        <v>909000</v>
      </c>
      <c r="IF46" s="59" t="n">
        <f aca="false">IF44*IF45</f>
        <v>909000</v>
      </c>
      <c r="IG46" s="59" t="n">
        <f aca="false">IG44*IG45</f>
        <v>909000</v>
      </c>
      <c r="IH46" s="59" t="n">
        <f aca="false">IH44*IH45</f>
        <v>900000</v>
      </c>
      <c r="II46" s="59" t="n">
        <f aca="false">II44*II45</f>
        <v>900000</v>
      </c>
      <c r="IJ46" s="59" t="n">
        <f aca="false">IJ44*IJ45</f>
        <v>900000</v>
      </c>
      <c r="IK46" s="59" t="n">
        <f aca="false">IK44*IK45</f>
        <v>900000</v>
      </c>
      <c r="IL46" s="59" t="n">
        <f aca="false">IL44*IL45</f>
        <v>900000</v>
      </c>
      <c r="IM46" s="59" t="n">
        <f aca="false">IM44*IM45</f>
        <v>900000</v>
      </c>
      <c r="IN46" s="59" t="n">
        <f aca="false">IN44*IN45</f>
        <v>900000</v>
      </c>
      <c r="IO46" s="59" t="n">
        <f aca="false">IO44*IO45</f>
        <v>900000</v>
      </c>
      <c r="IP46" s="59" t="n">
        <f aca="false">IP44*IP45</f>
        <v>900000</v>
      </c>
      <c r="IQ46" s="59" t="n">
        <f aca="false">IQ44*IQ45</f>
        <v>900000</v>
      </c>
      <c r="IR46" s="59" t="n">
        <f aca="false">IR44*IR45</f>
        <v>900000</v>
      </c>
      <c r="IS46" s="59" t="n">
        <f aca="false">IS44*IS45</f>
        <v>900000</v>
      </c>
      <c r="IT46" s="59" t="n">
        <f aca="false">IT44*IT45</f>
        <v>900000</v>
      </c>
      <c r="IU46" s="59" t="n">
        <f aca="false">IU44*IU45</f>
        <v>900000</v>
      </c>
      <c r="IV46" s="59" t="n">
        <f aca="false">IV44*IV45</f>
        <v>900000</v>
      </c>
      <c r="IW46" s="59" t="n">
        <f aca="false">IW44*IW45</f>
        <v>900000</v>
      </c>
      <c r="IX46" s="59" t="n">
        <f aca="false">IX44*IX45</f>
        <v>900000</v>
      </c>
      <c r="IY46" s="59" t="n">
        <f aca="false">IY44*IY45</f>
        <v>900000</v>
      </c>
      <c r="IZ46" s="59" t="n">
        <f aca="false">IZ44*IZ45</f>
        <v>900000</v>
      </c>
      <c r="JA46" s="59" t="n">
        <f aca="false">JA44*JA45</f>
        <v>900000</v>
      </c>
    </row>
    <row r="47" customFormat="false" ht="15" hidden="false" customHeight="false" outlineLevel="0" collapsed="false">
      <c r="A47" s="4" t="s">
        <v>728</v>
      </c>
      <c r="B47" s="5"/>
      <c r="C47" s="5"/>
      <c r="D47" s="5"/>
      <c r="E47" s="5"/>
      <c r="F47" s="5"/>
      <c r="G47" s="5"/>
      <c r="H47" s="5"/>
    </row>
    <row r="48" customFormat="false" ht="15" hidden="false" customHeight="false" outlineLevel="0" collapsed="false">
      <c r="A48" s="13" t="s">
        <v>237</v>
      </c>
      <c r="B48" s="13" t="s">
        <v>238</v>
      </c>
      <c r="C48" s="13" t="s">
        <v>194</v>
      </c>
      <c r="D48" s="9" t="s">
        <v>36</v>
      </c>
      <c r="E48" s="32" t="n">
        <f aca="false">INDEX(Вводные!$D$13:$F$64,MATCH($A48,Вводные!$A$13:$A$64,0),MATCH(E$3,Вводные!$D$11:$F$11,0))*(1+IF(E$4=$A48,Вводные!$D$5*INDEX(Вводные!$G$13:$G$64,MATCH($A48,Вводные!$A$13:$A$64,0)),0))</f>
        <v>0.08</v>
      </c>
      <c r="F48" s="32" t="n">
        <f aca="false">INDEX(Вводные!$D$13:$F$64,MATCH($A48,Вводные!$A$13:$A$64,0),MATCH(F$3,Вводные!$D$11:$F$11,0))*(1+IF(F$4=$A48,Вводные!$D$5*INDEX(Вводные!$G$13:$G$64,MATCH($A48,Вводные!$A$13:$A$64,0)),0))</f>
        <v>0.35</v>
      </c>
      <c r="G48" s="32" t="n">
        <f aca="false">INDEX(Вводные!$D$13:$F$64,MATCH($A48,Вводные!$A$13:$A$64,0),MATCH(G$3,Вводные!$D$11:$F$11,0))*(1+IF(G$4=$A48,Вводные!$D$5*INDEX(Вводные!$G$13:$G$64,MATCH($A48,Вводные!$A$13:$A$64,0)),0))</f>
        <v>0.05</v>
      </c>
      <c r="H48" s="60"/>
      <c r="J48" s="32" t="n">
        <f aca="false">INDEX(Вводные!$D$13:$F$64,MATCH($A48,Вводные!$A$13:$A$64,0),MATCH(J$3,Вводные!$D$11:$F$11,0))*(1+IF(J$4=$A48,Вводные!$D$5*INDEX(Вводные!$G$13:$G$64,MATCH($A48,Вводные!$A$13:$A$64,0)),0))</f>
        <v>0.08</v>
      </c>
      <c r="K48" s="32" t="n">
        <f aca="false">INDEX(Вводные!$D$13:$F$64,MATCH($A48,Вводные!$A$13:$A$64,0),MATCH(K$3,Вводные!$D$11:$F$11,0))*(1+IF(K$4=$A48,Вводные!$D$5*INDEX(Вводные!$G$13:$G$64,MATCH($A48,Вводные!$A$13:$A$64,0)),0))</f>
        <v>0.08</v>
      </c>
      <c r="L48" s="32" t="n">
        <f aca="false">INDEX(Вводные!$D$13:$F$64,MATCH($A48,Вводные!$A$13:$A$64,0),MATCH(L$3,Вводные!$D$11:$F$11,0))*(1+IF(L$4=$A48,Вводные!$D$5*INDEX(Вводные!$G$13:$G$64,MATCH($A48,Вводные!$A$13:$A$64,0)),0))</f>
        <v>0.08</v>
      </c>
      <c r="M48" s="32" t="n">
        <f aca="false">INDEX(Вводные!$D$13:$F$64,MATCH($A48,Вводные!$A$13:$A$64,0),MATCH(M$3,Вводные!$D$11:$F$11,0))*(1+IF(M$4=$A48,Вводные!$D$5*INDEX(Вводные!$G$13:$G$64,MATCH($A48,Вводные!$A$13:$A$64,0)),0))</f>
        <v>0.08</v>
      </c>
      <c r="N48" s="32" t="n">
        <f aca="false">INDEX(Вводные!$D$13:$F$64,MATCH($A48,Вводные!$A$13:$A$64,0),MATCH(N$3,Вводные!$D$11:$F$11,0))*(1+IF(N$4=$A48,Вводные!$D$5*INDEX(Вводные!$G$13:$G$64,MATCH($A48,Вводные!$A$13:$A$64,0)),0))</f>
        <v>0.08</v>
      </c>
      <c r="O48" s="32" t="n">
        <f aca="false">INDEX(Вводные!$D$13:$F$64,MATCH($A48,Вводные!$A$13:$A$64,0),MATCH(O$3,Вводные!$D$11:$F$11,0))*(1+IF(O$4=$A48,Вводные!$D$5*INDEX(Вводные!$G$13:$G$64,MATCH($A48,Вводные!$A$13:$A$64,0)),0))</f>
        <v>0.08</v>
      </c>
      <c r="P48" s="32" t="n">
        <f aca="false">INDEX(Вводные!$D$13:$F$64,MATCH($A48,Вводные!$A$13:$A$64,0),MATCH(P$3,Вводные!$D$11:$F$11,0))*(1+IF(P$4=$A48,Вводные!$D$5*INDEX(Вводные!$G$13:$G$64,MATCH($A48,Вводные!$A$13:$A$64,0)),0))</f>
        <v>0.08</v>
      </c>
      <c r="Q48" s="32" t="n">
        <f aca="false">INDEX(Вводные!$D$13:$F$64,MATCH($A48,Вводные!$A$13:$A$64,0),MATCH(Q$3,Вводные!$D$11:$F$11,0))*(1+IF(Q$4=$A48,Вводные!$D$5*INDEX(Вводные!$G$13:$G$64,MATCH($A48,Вводные!$A$13:$A$64,0)),0))</f>
        <v>0.08</v>
      </c>
      <c r="R48" s="32" t="n">
        <f aca="false">INDEX(Вводные!$D$13:$F$64,MATCH($A48,Вводные!$A$13:$A$64,0),MATCH(R$3,Вводные!$D$11:$F$11,0))*(1+IF(R$4=$A48,Вводные!$D$5*INDEX(Вводные!$G$13:$G$64,MATCH($A48,Вводные!$A$13:$A$64,0)),0))</f>
        <v>0.08</v>
      </c>
      <c r="S48" s="32" t="n">
        <f aca="false">INDEX(Вводные!$D$13:$F$64,MATCH($A48,Вводные!$A$13:$A$64,0),MATCH(S$3,Вводные!$D$11:$F$11,0))*(1+IF(S$4=$A48,Вводные!$D$5*INDEX(Вводные!$G$13:$G$64,MATCH($A48,Вводные!$A$13:$A$64,0)),0))</f>
        <v>0.08</v>
      </c>
      <c r="T48" s="32" t="n">
        <f aca="false">INDEX(Вводные!$D$13:$F$64,MATCH($A48,Вводные!$A$13:$A$64,0),MATCH(T$3,Вводные!$D$11:$F$11,0))*(1+IF(T$4=$A48,Вводные!$D$5*INDEX(Вводные!$G$13:$G$64,MATCH($A48,Вводные!$A$13:$A$64,0)),0))</f>
        <v>0.08</v>
      </c>
      <c r="U48" s="32" t="n">
        <f aca="false">INDEX(Вводные!$D$13:$F$64,MATCH($A48,Вводные!$A$13:$A$64,0),MATCH(U$3,Вводные!$D$11:$F$11,0))*(1+IF(U$4=$A48,Вводные!$D$5*INDEX(Вводные!$G$13:$G$64,MATCH($A48,Вводные!$A$13:$A$64,0)),0))</f>
        <v>0.08</v>
      </c>
      <c r="V48" s="32" t="n">
        <f aca="false">INDEX(Вводные!$D$13:$F$64,MATCH($A48,Вводные!$A$13:$A$64,0),MATCH(V$3,Вводные!$D$11:$F$11,0))*(1+IF(V$4=$A48,Вводные!$D$5*INDEX(Вводные!$G$13:$G$64,MATCH($A48,Вводные!$A$13:$A$64,0)),0))</f>
        <v>0.08</v>
      </c>
      <c r="W48" s="32" t="n">
        <f aca="false">INDEX(Вводные!$D$13:$F$64,MATCH($A48,Вводные!$A$13:$A$64,0),MATCH(W$3,Вводные!$D$11:$F$11,0))*(1+IF(W$4=$A48,Вводные!$D$5*INDEX(Вводные!$G$13:$G$64,MATCH($A48,Вводные!$A$13:$A$64,0)),0))</f>
        <v>0.08</v>
      </c>
      <c r="X48" s="32" t="n">
        <f aca="false">INDEX(Вводные!$D$13:$F$64,MATCH($A48,Вводные!$A$13:$A$64,0),MATCH(X$3,Вводные!$D$11:$F$11,0))*(1+IF(X$4=$A48,Вводные!$D$5*INDEX(Вводные!$G$13:$G$64,MATCH($A48,Вводные!$A$13:$A$64,0)),0))</f>
        <v>0.08</v>
      </c>
      <c r="Y48" s="32" t="n">
        <f aca="false">INDEX(Вводные!$D$13:$F$64,MATCH($A48,Вводные!$A$13:$A$64,0),MATCH(Y$3,Вводные!$D$11:$F$11,0))*(1+IF(Y$4=$A48,Вводные!$D$5*INDEX(Вводные!$G$13:$G$64,MATCH($A48,Вводные!$A$13:$A$64,0)),0))</f>
        <v>0.08</v>
      </c>
      <c r="Z48" s="32" t="n">
        <f aca="false">INDEX(Вводные!$D$13:$F$64,MATCH($A48,Вводные!$A$13:$A$64,0),MATCH(Z$3,Вводные!$D$11:$F$11,0))*(1+IF(Z$4=$A48,Вводные!$D$5*INDEX(Вводные!$G$13:$G$64,MATCH($A48,Вводные!$A$13:$A$64,0)),0))</f>
        <v>0.08</v>
      </c>
      <c r="AA48" s="32" t="n">
        <f aca="false">INDEX(Вводные!$D$13:$F$64,MATCH($A48,Вводные!$A$13:$A$64,0),MATCH(AA$3,Вводные!$D$11:$F$11,0))*(1+IF(AA$4=$A48,Вводные!$D$5*INDEX(Вводные!$G$13:$G$64,MATCH($A48,Вводные!$A$13:$A$64,0)),0))</f>
        <v>0.08</v>
      </c>
      <c r="AB48" s="32" t="n">
        <f aca="false">INDEX(Вводные!$D$13:$F$64,MATCH($A48,Вводные!$A$13:$A$64,0),MATCH(AB$3,Вводные!$D$11:$F$11,0))*(1+IF(AB$4=$A48,Вводные!$D$5*INDEX(Вводные!$G$13:$G$64,MATCH($A48,Вводные!$A$13:$A$64,0)),0))</f>
        <v>0.08</v>
      </c>
      <c r="AC48" s="32" t="n">
        <f aca="false">INDEX(Вводные!$D$13:$F$64,MATCH($A48,Вводные!$A$13:$A$64,0),MATCH(AC$3,Вводные!$D$11:$F$11,0))*(1+IF(AC$4=$A48,Вводные!$D$5*INDEX(Вводные!$G$13:$G$64,MATCH($A48,Вводные!$A$13:$A$64,0)),0))</f>
        <v>0.08</v>
      </c>
      <c r="AD48" s="32" t="n">
        <f aca="false">INDEX(Вводные!$D$13:$F$64,MATCH($A48,Вводные!$A$13:$A$64,0),MATCH(AD$3,Вводные!$D$11:$F$11,0))*(1+IF(AD$4=$A48,Вводные!$D$5*INDEX(Вводные!$G$13:$G$64,MATCH($A48,Вводные!$A$13:$A$64,0)),0))</f>
        <v>0.08</v>
      </c>
      <c r="AE48" s="32" t="n">
        <f aca="false">INDEX(Вводные!$D$13:$F$64,MATCH($A48,Вводные!$A$13:$A$64,0),MATCH(AE$3,Вводные!$D$11:$F$11,0))*(1+IF(AE$4=$A48,Вводные!$D$5*INDEX(Вводные!$G$13:$G$64,MATCH($A48,Вводные!$A$13:$A$64,0)),0))</f>
        <v>0.08</v>
      </c>
      <c r="AF48" s="32" t="n">
        <f aca="false">INDEX(Вводные!$D$13:$F$64,MATCH($A48,Вводные!$A$13:$A$64,0),MATCH(AF$3,Вводные!$D$11:$F$11,0))*(1+IF(AF$4=$A48,Вводные!$D$5*INDEX(Вводные!$G$13:$G$64,MATCH($A48,Вводные!$A$13:$A$64,0)),0))</f>
        <v>0.0808</v>
      </c>
      <c r="AG48" s="32" t="n">
        <f aca="false">INDEX(Вводные!$D$13:$F$64,MATCH($A48,Вводные!$A$13:$A$64,0),MATCH(AG$3,Вводные!$D$11:$F$11,0))*(1+IF(AG$4=$A48,Вводные!$D$5*INDEX(Вводные!$G$13:$G$64,MATCH($A48,Вводные!$A$13:$A$64,0)),0))</f>
        <v>0.08</v>
      </c>
      <c r="AH48" s="32" t="n">
        <f aca="false">INDEX(Вводные!$D$13:$F$64,MATCH($A48,Вводные!$A$13:$A$64,0),MATCH(AH$3,Вводные!$D$11:$F$11,0))*(1+IF(AH$4=$A48,Вводные!$D$5*INDEX(Вводные!$G$13:$G$64,MATCH($A48,Вводные!$A$13:$A$64,0)),0))</f>
        <v>0.08</v>
      </c>
      <c r="AI48" s="32" t="n">
        <f aca="false">INDEX(Вводные!$D$13:$F$64,MATCH($A48,Вводные!$A$13:$A$64,0),MATCH(AI$3,Вводные!$D$11:$F$11,0))*(1+IF(AI$4=$A48,Вводные!$D$5*INDEX(Вводные!$G$13:$G$64,MATCH($A48,Вводные!$A$13:$A$64,0)),0))</f>
        <v>0.08</v>
      </c>
      <c r="AJ48" s="32" t="n">
        <f aca="false">INDEX(Вводные!$D$13:$F$64,MATCH($A48,Вводные!$A$13:$A$64,0),MATCH(AJ$3,Вводные!$D$11:$F$11,0))*(1+IF(AJ$4=$A48,Вводные!$D$5*INDEX(Вводные!$G$13:$G$64,MATCH($A48,Вводные!$A$13:$A$64,0)),0))</f>
        <v>0.08</v>
      </c>
      <c r="AK48" s="32" t="n">
        <f aca="false">INDEX(Вводные!$D$13:$F$64,MATCH($A48,Вводные!$A$13:$A$64,0),MATCH(AK$3,Вводные!$D$11:$F$11,0))*(1+IF(AK$4=$A48,Вводные!$D$5*INDEX(Вводные!$G$13:$G$64,MATCH($A48,Вводные!$A$13:$A$64,0)),0))</f>
        <v>0.08</v>
      </c>
      <c r="AL48" s="32" t="n">
        <f aca="false">INDEX(Вводные!$D$13:$F$64,MATCH($A48,Вводные!$A$13:$A$64,0),MATCH(AL$3,Вводные!$D$11:$F$11,0))*(1+IF(AL$4=$A48,Вводные!$D$5*INDEX(Вводные!$G$13:$G$64,MATCH($A48,Вводные!$A$13:$A$64,0)),0))</f>
        <v>0.08</v>
      </c>
      <c r="AM48" s="32" t="n">
        <f aca="false">INDEX(Вводные!$D$13:$F$64,MATCH($A48,Вводные!$A$13:$A$64,0),MATCH(AM$3,Вводные!$D$11:$F$11,0))*(1+IF(AM$4=$A48,Вводные!$D$5*INDEX(Вводные!$G$13:$G$64,MATCH($A48,Вводные!$A$13:$A$64,0)),0))</f>
        <v>0.08</v>
      </c>
      <c r="AN48" s="32" t="n">
        <f aca="false">INDEX(Вводные!$D$13:$F$64,MATCH($A48,Вводные!$A$13:$A$64,0),MATCH(AN$3,Вводные!$D$11:$F$11,0))*(1+IF(AN$4=$A48,Вводные!$D$5*INDEX(Вводные!$G$13:$G$64,MATCH($A48,Вводные!$A$13:$A$64,0)),0))</f>
        <v>0.08</v>
      </c>
      <c r="AO48" s="32" t="n">
        <f aca="false">INDEX(Вводные!$D$13:$F$64,MATCH($A48,Вводные!$A$13:$A$64,0),MATCH(AO$3,Вводные!$D$11:$F$11,0))*(1+IF(AO$4=$A48,Вводные!$D$5*INDEX(Вводные!$G$13:$G$64,MATCH($A48,Вводные!$A$13:$A$64,0)),0))</f>
        <v>0.08</v>
      </c>
      <c r="AP48" s="32" t="n">
        <f aca="false">INDEX(Вводные!$D$13:$F$64,MATCH($A48,Вводные!$A$13:$A$64,0),MATCH(AP$3,Вводные!$D$11:$F$11,0))*(1+IF(AP$4=$A48,Вводные!$D$5*INDEX(Вводные!$G$13:$G$64,MATCH($A48,Вводные!$A$13:$A$64,0)),0))</f>
        <v>0.08</v>
      </c>
      <c r="AQ48" s="32" t="n">
        <f aca="false">INDEX(Вводные!$D$13:$F$64,MATCH($A48,Вводные!$A$13:$A$64,0),MATCH(AQ$3,Вводные!$D$11:$F$11,0))*(1+IF(AQ$4=$A48,Вводные!$D$5*INDEX(Вводные!$G$13:$G$64,MATCH($A48,Вводные!$A$13:$A$64,0)),0))</f>
        <v>0.08</v>
      </c>
      <c r="AR48" s="32" t="n">
        <f aca="false">INDEX(Вводные!$D$13:$F$64,MATCH($A48,Вводные!$A$13:$A$64,0),MATCH(AR$3,Вводные!$D$11:$F$11,0))*(1+IF(AR$4=$A48,Вводные!$D$5*INDEX(Вводные!$G$13:$G$64,MATCH($A48,Вводные!$A$13:$A$64,0)),0))</f>
        <v>0.08</v>
      </c>
      <c r="AS48" s="32" t="n">
        <f aca="false">INDEX(Вводные!$D$13:$F$64,MATCH($A48,Вводные!$A$13:$A$64,0),MATCH(AS$3,Вводные!$D$11:$F$11,0))*(1+IF(AS$4=$A48,Вводные!$D$5*INDEX(Вводные!$G$13:$G$64,MATCH($A48,Вводные!$A$13:$A$64,0)),0))</f>
        <v>0.08</v>
      </c>
      <c r="AT48" s="32" t="n">
        <f aca="false">INDEX(Вводные!$D$13:$F$64,MATCH($A48,Вводные!$A$13:$A$64,0),MATCH(AT$3,Вводные!$D$11:$F$11,0))*(1+IF(AT$4=$A48,Вводные!$D$5*INDEX(Вводные!$G$13:$G$64,MATCH($A48,Вводные!$A$13:$A$64,0)),0))</f>
        <v>0.08</v>
      </c>
      <c r="AU48" s="32" t="n">
        <f aca="false">INDEX(Вводные!$D$13:$F$64,MATCH($A48,Вводные!$A$13:$A$64,0),MATCH(AU$3,Вводные!$D$11:$F$11,0))*(1+IF(AU$4=$A48,Вводные!$D$5*INDEX(Вводные!$G$13:$G$64,MATCH($A48,Вводные!$A$13:$A$64,0)),0))</f>
        <v>0.08</v>
      </c>
      <c r="AV48" s="32" t="n">
        <f aca="false">INDEX(Вводные!$D$13:$F$64,MATCH($A48,Вводные!$A$13:$A$64,0),MATCH(AV$3,Вводные!$D$11:$F$11,0))*(1+IF(AV$4=$A48,Вводные!$D$5*INDEX(Вводные!$G$13:$G$64,MATCH($A48,Вводные!$A$13:$A$64,0)),0))</f>
        <v>0.08</v>
      </c>
      <c r="AW48" s="32" t="n">
        <f aca="false">INDEX(Вводные!$D$13:$F$64,MATCH($A48,Вводные!$A$13:$A$64,0),MATCH(AW$3,Вводные!$D$11:$F$11,0))*(1+IF(AW$4=$A48,Вводные!$D$5*INDEX(Вводные!$G$13:$G$64,MATCH($A48,Вводные!$A$13:$A$64,0)),0))</f>
        <v>0.08</v>
      </c>
      <c r="AX48" s="32" t="n">
        <f aca="false">INDEX(Вводные!$D$13:$F$64,MATCH($A48,Вводные!$A$13:$A$64,0),MATCH(AX$3,Вводные!$D$11:$F$11,0))*(1+IF(AX$4=$A48,Вводные!$D$5*INDEX(Вводные!$G$13:$G$64,MATCH($A48,Вводные!$A$13:$A$64,0)),0))</f>
        <v>0.08</v>
      </c>
      <c r="AY48" s="32" t="n">
        <f aca="false">INDEX(Вводные!$D$13:$F$64,MATCH($A48,Вводные!$A$13:$A$64,0),MATCH(AY$3,Вводные!$D$11:$F$11,0))*(1+IF(AY$4=$A48,Вводные!$D$5*INDEX(Вводные!$G$13:$G$64,MATCH($A48,Вводные!$A$13:$A$64,0)),0))</f>
        <v>0.08</v>
      </c>
      <c r="AZ48" s="32" t="n">
        <f aca="false">INDEX(Вводные!$D$13:$F$64,MATCH($A48,Вводные!$A$13:$A$64,0),MATCH(AZ$3,Вводные!$D$11:$F$11,0))*(1+IF(AZ$4=$A48,Вводные!$D$5*INDEX(Вводные!$G$13:$G$64,MATCH($A48,Вводные!$A$13:$A$64,0)),0))</f>
        <v>0.35</v>
      </c>
      <c r="BA48" s="32" t="n">
        <f aca="false">INDEX(Вводные!$D$13:$F$64,MATCH($A48,Вводные!$A$13:$A$64,0),MATCH(BA$3,Вводные!$D$11:$F$11,0))*(1+IF(BA$4=$A48,Вводные!$D$5*INDEX(Вводные!$G$13:$G$64,MATCH($A48,Вводные!$A$13:$A$64,0)),0))</f>
        <v>0.35</v>
      </c>
      <c r="BB48" s="32" t="n">
        <f aca="false">INDEX(Вводные!$D$13:$F$64,MATCH($A48,Вводные!$A$13:$A$64,0),MATCH(BB$3,Вводные!$D$11:$F$11,0))*(1+IF(BB$4=$A48,Вводные!$D$5*INDEX(Вводные!$G$13:$G$64,MATCH($A48,Вводные!$A$13:$A$64,0)),0))</f>
        <v>0.35</v>
      </c>
      <c r="BC48" s="32" t="n">
        <f aca="false">INDEX(Вводные!$D$13:$F$64,MATCH($A48,Вводные!$A$13:$A$64,0),MATCH(BC$3,Вводные!$D$11:$F$11,0))*(1+IF(BC$4=$A48,Вводные!$D$5*INDEX(Вводные!$G$13:$G$64,MATCH($A48,Вводные!$A$13:$A$64,0)),0))</f>
        <v>0.35</v>
      </c>
      <c r="BD48" s="32" t="n">
        <f aca="false">INDEX(Вводные!$D$13:$F$64,MATCH($A48,Вводные!$A$13:$A$64,0),MATCH(BD$3,Вводные!$D$11:$F$11,0))*(1+IF(BD$4=$A48,Вводные!$D$5*INDEX(Вводные!$G$13:$G$64,MATCH($A48,Вводные!$A$13:$A$64,0)),0))</f>
        <v>0.35</v>
      </c>
      <c r="BE48" s="32" t="n">
        <f aca="false">INDEX(Вводные!$D$13:$F$64,MATCH($A48,Вводные!$A$13:$A$64,0),MATCH(BE$3,Вводные!$D$11:$F$11,0))*(1+IF(BE$4=$A48,Вводные!$D$5*INDEX(Вводные!$G$13:$G$64,MATCH($A48,Вводные!$A$13:$A$64,0)),0))</f>
        <v>0.35</v>
      </c>
      <c r="BF48" s="32" t="n">
        <f aca="false">INDEX(Вводные!$D$13:$F$64,MATCH($A48,Вводные!$A$13:$A$64,0),MATCH(BF$3,Вводные!$D$11:$F$11,0))*(1+IF(BF$4=$A48,Вводные!$D$5*INDEX(Вводные!$G$13:$G$64,MATCH($A48,Вводные!$A$13:$A$64,0)),0))</f>
        <v>0.35</v>
      </c>
      <c r="BG48" s="32" t="n">
        <f aca="false">INDEX(Вводные!$D$13:$F$64,MATCH($A48,Вводные!$A$13:$A$64,0),MATCH(BG$3,Вводные!$D$11:$F$11,0))*(1+IF(BG$4=$A48,Вводные!$D$5*INDEX(Вводные!$G$13:$G$64,MATCH($A48,Вводные!$A$13:$A$64,0)),0))</f>
        <v>0.35</v>
      </c>
      <c r="BH48" s="32" t="n">
        <f aca="false">INDEX(Вводные!$D$13:$F$64,MATCH($A48,Вводные!$A$13:$A$64,0),MATCH(BH$3,Вводные!$D$11:$F$11,0))*(1+IF(BH$4=$A48,Вводные!$D$5*INDEX(Вводные!$G$13:$G$64,MATCH($A48,Вводные!$A$13:$A$64,0)),0))</f>
        <v>0.35</v>
      </c>
      <c r="BI48" s="32" t="n">
        <f aca="false">INDEX(Вводные!$D$13:$F$64,MATCH($A48,Вводные!$A$13:$A$64,0),MATCH(BI$3,Вводные!$D$11:$F$11,0))*(1+IF(BI$4=$A48,Вводные!$D$5*INDEX(Вводные!$G$13:$G$64,MATCH($A48,Вводные!$A$13:$A$64,0)),0))</f>
        <v>0.35</v>
      </c>
      <c r="BJ48" s="32" t="n">
        <f aca="false">INDEX(Вводные!$D$13:$F$64,MATCH($A48,Вводные!$A$13:$A$64,0),MATCH(BJ$3,Вводные!$D$11:$F$11,0))*(1+IF(BJ$4=$A48,Вводные!$D$5*INDEX(Вводные!$G$13:$G$64,MATCH($A48,Вводные!$A$13:$A$64,0)),0))</f>
        <v>0.35</v>
      </c>
      <c r="BK48" s="32" t="n">
        <f aca="false">INDEX(Вводные!$D$13:$F$64,MATCH($A48,Вводные!$A$13:$A$64,0),MATCH(BK$3,Вводные!$D$11:$F$11,0))*(1+IF(BK$4=$A48,Вводные!$D$5*INDEX(Вводные!$G$13:$G$64,MATCH($A48,Вводные!$A$13:$A$64,0)),0))</f>
        <v>0.35</v>
      </c>
      <c r="BL48" s="32" t="n">
        <f aca="false">INDEX(Вводные!$D$13:$F$64,MATCH($A48,Вводные!$A$13:$A$64,0),MATCH(BL$3,Вводные!$D$11:$F$11,0))*(1+IF(BL$4=$A48,Вводные!$D$5*INDEX(Вводные!$G$13:$G$64,MATCH($A48,Вводные!$A$13:$A$64,0)),0))</f>
        <v>0.35</v>
      </c>
      <c r="BM48" s="32" t="n">
        <f aca="false">INDEX(Вводные!$D$13:$F$64,MATCH($A48,Вводные!$A$13:$A$64,0),MATCH(BM$3,Вводные!$D$11:$F$11,0))*(1+IF(BM$4=$A48,Вводные!$D$5*INDEX(Вводные!$G$13:$G$64,MATCH($A48,Вводные!$A$13:$A$64,0)),0))</f>
        <v>0.35</v>
      </c>
      <c r="BN48" s="32" t="n">
        <f aca="false">INDEX(Вводные!$D$13:$F$64,MATCH($A48,Вводные!$A$13:$A$64,0),MATCH(BN$3,Вводные!$D$11:$F$11,0))*(1+IF(BN$4=$A48,Вводные!$D$5*INDEX(Вводные!$G$13:$G$64,MATCH($A48,Вводные!$A$13:$A$64,0)),0))</f>
        <v>0.35</v>
      </c>
      <c r="BO48" s="32" t="n">
        <f aca="false">INDEX(Вводные!$D$13:$F$64,MATCH($A48,Вводные!$A$13:$A$64,0),MATCH(BO$3,Вводные!$D$11:$F$11,0))*(1+IF(BO$4=$A48,Вводные!$D$5*INDEX(Вводные!$G$13:$G$64,MATCH($A48,Вводные!$A$13:$A$64,0)),0))</f>
        <v>0.35</v>
      </c>
      <c r="BP48" s="32" t="n">
        <f aca="false">INDEX(Вводные!$D$13:$F$64,MATCH($A48,Вводные!$A$13:$A$64,0),MATCH(BP$3,Вводные!$D$11:$F$11,0))*(1+IF(BP$4=$A48,Вводные!$D$5*INDEX(Вводные!$G$13:$G$64,MATCH($A48,Вводные!$A$13:$A$64,0)),0))</f>
        <v>0.35</v>
      </c>
      <c r="BQ48" s="32" t="n">
        <f aca="false">INDEX(Вводные!$D$13:$F$64,MATCH($A48,Вводные!$A$13:$A$64,0),MATCH(BQ$3,Вводные!$D$11:$F$11,0))*(1+IF(BQ$4=$A48,Вводные!$D$5*INDEX(Вводные!$G$13:$G$64,MATCH($A48,Вводные!$A$13:$A$64,0)),0))</f>
        <v>0.35</v>
      </c>
      <c r="BR48" s="32" t="n">
        <f aca="false">INDEX(Вводные!$D$13:$F$64,MATCH($A48,Вводные!$A$13:$A$64,0),MATCH(BR$3,Вводные!$D$11:$F$11,0))*(1+IF(BR$4=$A48,Вводные!$D$5*INDEX(Вводные!$G$13:$G$64,MATCH($A48,Вводные!$A$13:$A$64,0)),0))</f>
        <v>0.35</v>
      </c>
      <c r="BS48" s="32" t="n">
        <f aca="false">INDEX(Вводные!$D$13:$F$64,MATCH($A48,Вводные!$A$13:$A$64,0),MATCH(BS$3,Вводные!$D$11:$F$11,0))*(1+IF(BS$4=$A48,Вводные!$D$5*INDEX(Вводные!$G$13:$G$64,MATCH($A48,Вводные!$A$13:$A$64,0)),0))</f>
        <v>0.35</v>
      </c>
      <c r="BT48" s="32" t="n">
        <f aca="false">INDEX(Вводные!$D$13:$F$64,MATCH($A48,Вводные!$A$13:$A$64,0),MATCH(BT$3,Вводные!$D$11:$F$11,0))*(1+IF(BT$4=$A48,Вводные!$D$5*INDEX(Вводные!$G$13:$G$64,MATCH($A48,Вводные!$A$13:$A$64,0)),0))</f>
        <v>0.35</v>
      </c>
      <c r="BU48" s="32" t="n">
        <f aca="false">INDEX(Вводные!$D$13:$F$64,MATCH($A48,Вводные!$A$13:$A$64,0),MATCH(BU$3,Вводные!$D$11:$F$11,0))*(1+IF(BU$4=$A48,Вводные!$D$5*INDEX(Вводные!$G$13:$G$64,MATCH($A48,Вводные!$A$13:$A$64,0)),0))</f>
        <v>0.35</v>
      </c>
      <c r="BV48" s="32" t="n">
        <f aca="false">INDEX(Вводные!$D$13:$F$64,MATCH($A48,Вводные!$A$13:$A$64,0),MATCH(BV$3,Вводные!$D$11:$F$11,0))*(1+IF(BV$4=$A48,Вводные!$D$5*INDEX(Вводные!$G$13:$G$64,MATCH($A48,Вводные!$A$13:$A$64,0)),0))</f>
        <v>0.3535</v>
      </c>
      <c r="BW48" s="32" t="n">
        <f aca="false">INDEX(Вводные!$D$13:$F$64,MATCH($A48,Вводные!$A$13:$A$64,0),MATCH(BW$3,Вводные!$D$11:$F$11,0))*(1+IF(BW$4=$A48,Вводные!$D$5*INDEX(Вводные!$G$13:$G$64,MATCH($A48,Вводные!$A$13:$A$64,0)),0))</f>
        <v>0.35</v>
      </c>
      <c r="BX48" s="32" t="n">
        <f aca="false">INDEX(Вводные!$D$13:$F$64,MATCH($A48,Вводные!$A$13:$A$64,0),MATCH(BX$3,Вводные!$D$11:$F$11,0))*(1+IF(BX$4=$A48,Вводные!$D$5*INDEX(Вводные!$G$13:$G$64,MATCH($A48,Вводные!$A$13:$A$64,0)),0))</f>
        <v>0.35</v>
      </c>
      <c r="BY48" s="32" t="n">
        <f aca="false">INDEX(Вводные!$D$13:$F$64,MATCH($A48,Вводные!$A$13:$A$64,0),MATCH(BY$3,Вводные!$D$11:$F$11,0))*(1+IF(BY$4=$A48,Вводные!$D$5*INDEX(Вводные!$G$13:$G$64,MATCH($A48,Вводные!$A$13:$A$64,0)),0))</f>
        <v>0.35</v>
      </c>
      <c r="BZ48" s="32" t="n">
        <f aca="false">INDEX(Вводные!$D$13:$F$64,MATCH($A48,Вводные!$A$13:$A$64,0),MATCH(BZ$3,Вводные!$D$11:$F$11,0))*(1+IF(BZ$4=$A48,Вводные!$D$5*INDEX(Вводные!$G$13:$G$64,MATCH($A48,Вводные!$A$13:$A$64,0)),0))</f>
        <v>0.35</v>
      </c>
      <c r="CA48" s="32" t="n">
        <f aca="false">INDEX(Вводные!$D$13:$F$64,MATCH($A48,Вводные!$A$13:$A$64,0),MATCH(CA$3,Вводные!$D$11:$F$11,0))*(1+IF(CA$4=$A48,Вводные!$D$5*INDEX(Вводные!$G$13:$G$64,MATCH($A48,Вводные!$A$13:$A$64,0)),0))</f>
        <v>0.35</v>
      </c>
      <c r="CB48" s="32" t="n">
        <f aca="false">INDEX(Вводные!$D$13:$F$64,MATCH($A48,Вводные!$A$13:$A$64,0),MATCH(CB$3,Вводные!$D$11:$F$11,0))*(1+IF(CB$4=$A48,Вводные!$D$5*INDEX(Вводные!$G$13:$G$64,MATCH($A48,Вводные!$A$13:$A$64,0)),0))</f>
        <v>0.35</v>
      </c>
      <c r="CC48" s="32" t="n">
        <f aca="false">INDEX(Вводные!$D$13:$F$64,MATCH($A48,Вводные!$A$13:$A$64,0),MATCH(CC$3,Вводные!$D$11:$F$11,0))*(1+IF(CC$4=$A48,Вводные!$D$5*INDEX(Вводные!$G$13:$G$64,MATCH($A48,Вводные!$A$13:$A$64,0)),0))</f>
        <v>0.35</v>
      </c>
      <c r="CD48" s="32" t="n">
        <f aca="false">INDEX(Вводные!$D$13:$F$64,MATCH($A48,Вводные!$A$13:$A$64,0),MATCH(CD$3,Вводные!$D$11:$F$11,0))*(1+IF(CD$4=$A48,Вводные!$D$5*INDEX(Вводные!$G$13:$G$64,MATCH($A48,Вводные!$A$13:$A$64,0)),0))</f>
        <v>0.35</v>
      </c>
      <c r="CE48" s="32" t="n">
        <f aca="false">INDEX(Вводные!$D$13:$F$64,MATCH($A48,Вводные!$A$13:$A$64,0),MATCH(CE$3,Вводные!$D$11:$F$11,0))*(1+IF(CE$4=$A48,Вводные!$D$5*INDEX(Вводные!$G$13:$G$64,MATCH($A48,Вводные!$A$13:$A$64,0)),0))</f>
        <v>0.35</v>
      </c>
      <c r="CF48" s="32" t="n">
        <f aca="false">INDEX(Вводные!$D$13:$F$64,MATCH($A48,Вводные!$A$13:$A$64,0),MATCH(CF$3,Вводные!$D$11:$F$11,0))*(1+IF(CF$4=$A48,Вводные!$D$5*INDEX(Вводные!$G$13:$G$64,MATCH($A48,Вводные!$A$13:$A$64,0)),0))</f>
        <v>0.35</v>
      </c>
      <c r="CG48" s="32" t="n">
        <f aca="false">INDEX(Вводные!$D$13:$F$64,MATCH($A48,Вводные!$A$13:$A$64,0),MATCH(CG$3,Вводные!$D$11:$F$11,0))*(1+IF(CG$4=$A48,Вводные!$D$5*INDEX(Вводные!$G$13:$G$64,MATCH($A48,Вводные!$A$13:$A$64,0)),0))</f>
        <v>0.35</v>
      </c>
      <c r="CH48" s="32" t="n">
        <f aca="false">INDEX(Вводные!$D$13:$F$64,MATCH($A48,Вводные!$A$13:$A$64,0),MATCH(CH$3,Вводные!$D$11:$F$11,0))*(1+IF(CH$4=$A48,Вводные!$D$5*INDEX(Вводные!$G$13:$G$64,MATCH($A48,Вводные!$A$13:$A$64,0)),0))</f>
        <v>0.35</v>
      </c>
      <c r="CI48" s="32" t="n">
        <f aca="false">INDEX(Вводные!$D$13:$F$64,MATCH($A48,Вводные!$A$13:$A$64,0),MATCH(CI$3,Вводные!$D$11:$F$11,0))*(1+IF(CI$4=$A48,Вводные!$D$5*INDEX(Вводные!$G$13:$G$64,MATCH($A48,Вводные!$A$13:$A$64,0)),0))</f>
        <v>0.35</v>
      </c>
      <c r="CJ48" s="32" t="n">
        <f aca="false">INDEX(Вводные!$D$13:$F$64,MATCH($A48,Вводные!$A$13:$A$64,0),MATCH(CJ$3,Вводные!$D$11:$F$11,0))*(1+IF(CJ$4=$A48,Вводные!$D$5*INDEX(Вводные!$G$13:$G$64,MATCH($A48,Вводные!$A$13:$A$64,0)),0))</f>
        <v>0.35</v>
      </c>
      <c r="CK48" s="32" t="n">
        <f aca="false">INDEX(Вводные!$D$13:$F$64,MATCH($A48,Вводные!$A$13:$A$64,0),MATCH(CK$3,Вводные!$D$11:$F$11,0))*(1+IF(CK$4=$A48,Вводные!$D$5*INDEX(Вводные!$G$13:$G$64,MATCH($A48,Вводные!$A$13:$A$64,0)),0))</f>
        <v>0.35</v>
      </c>
      <c r="CL48" s="32" t="n">
        <f aca="false">INDEX(Вводные!$D$13:$F$64,MATCH($A48,Вводные!$A$13:$A$64,0),MATCH(CL$3,Вводные!$D$11:$F$11,0))*(1+IF(CL$4=$A48,Вводные!$D$5*INDEX(Вводные!$G$13:$G$64,MATCH($A48,Вводные!$A$13:$A$64,0)),0))</f>
        <v>0.35</v>
      </c>
      <c r="CM48" s="32" t="n">
        <f aca="false">INDEX(Вводные!$D$13:$F$64,MATCH($A48,Вводные!$A$13:$A$64,0),MATCH(CM$3,Вводные!$D$11:$F$11,0))*(1+IF(CM$4=$A48,Вводные!$D$5*INDEX(Вводные!$G$13:$G$64,MATCH($A48,Вводные!$A$13:$A$64,0)),0))</f>
        <v>0.35</v>
      </c>
      <c r="CN48" s="32" t="n">
        <f aca="false">INDEX(Вводные!$D$13:$F$64,MATCH($A48,Вводные!$A$13:$A$64,0),MATCH(CN$3,Вводные!$D$11:$F$11,0))*(1+IF(CN$4=$A48,Вводные!$D$5*INDEX(Вводные!$G$13:$G$64,MATCH($A48,Вводные!$A$13:$A$64,0)),0))</f>
        <v>0.35</v>
      </c>
      <c r="CO48" s="32" t="n">
        <f aca="false">INDEX(Вводные!$D$13:$F$64,MATCH($A48,Вводные!$A$13:$A$64,0),MATCH(CO$3,Вводные!$D$11:$F$11,0))*(1+IF(CO$4=$A48,Вводные!$D$5*INDEX(Вводные!$G$13:$G$64,MATCH($A48,Вводные!$A$13:$A$64,0)),0))</f>
        <v>0.35</v>
      </c>
      <c r="CP48" s="32" t="n">
        <f aca="false">INDEX(Вводные!$D$13:$F$64,MATCH($A48,Вводные!$A$13:$A$64,0),MATCH(CP$3,Вводные!$D$11:$F$11,0))*(1+IF(CP$4=$A48,Вводные!$D$5*INDEX(Вводные!$G$13:$G$64,MATCH($A48,Вводные!$A$13:$A$64,0)),0))</f>
        <v>0.05</v>
      </c>
      <c r="CQ48" s="32" t="n">
        <f aca="false">INDEX(Вводные!$D$13:$F$64,MATCH($A48,Вводные!$A$13:$A$64,0),MATCH(CQ$3,Вводные!$D$11:$F$11,0))*(1+IF(CQ$4=$A48,Вводные!$D$5*INDEX(Вводные!$G$13:$G$64,MATCH($A48,Вводные!$A$13:$A$64,0)),0))</f>
        <v>0.05</v>
      </c>
      <c r="CR48" s="32" t="n">
        <f aca="false">INDEX(Вводные!$D$13:$F$64,MATCH($A48,Вводные!$A$13:$A$64,0),MATCH(CR$3,Вводные!$D$11:$F$11,0))*(1+IF(CR$4=$A48,Вводные!$D$5*INDEX(Вводные!$G$13:$G$64,MATCH($A48,Вводные!$A$13:$A$64,0)),0))</f>
        <v>0.05</v>
      </c>
      <c r="CS48" s="32" t="n">
        <f aca="false">INDEX(Вводные!$D$13:$F$64,MATCH($A48,Вводные!$A$13:$A$64,0),MATCH(CS$3,Вводные!$D$11:$F$11,0))*(1+IF(CS$4=$A48,Вводные!$D$5*INDEX(Вводные!$G$13:$G$64,MATCH($A48,Вводные!$A$13:$A$64,0)),0))</f>
        <v>0.05</v>
      </c>
      <c r="CT48" s="32" t="n">
        <f aca="false">INDEX(Вводные!$D$13:$F$64,MATCH($A48,Вводные!$A$13:$A$64,0),MATCH(CT$3,Вводные!$D$11:$F$11,0))*(1+IF(CT$4=$A48,Вводные!$D$5*INDEX(Вводные!$G$13:$G$64,MATCH($A48,Вводные!$A$13:$A$64,0)),0))</f>
        <v>0.05</v>
      </c>
      <c r="CU48" s="32" t="n">
        <f aca="false">INDEX(Вводные!$D$13:$F$64,MATCH($A48,Вводные!$A$13:$A$64,0),MATCH(CU$3,Вводные!$D$11:$F$11,0))*(1+IF(CU$4=$A48,Вводные!$D$5*INDEX(Вводные!$G$13:$G$64,MATCH($A48,Вводные!$A$13:$A$64,0)),0))</f>
        <v>0.05</v>
      </c>
      <c r="CV48" s="32" t="n">
        <f aca="false">INDEX(Вводные!$D$13:$F$64,MATCH($A48,Вводные!$A$13:$A$64,0),MATCH(CV$3,Вводные!$D$11:$F$11,0))*(1+IF(CV$4=$A48,Вводные!$D$5*INDEX(Вводные!$G$13:$G$64,MATCH($A48,Вводные!$A$13:$A$64,0)),0))</f>
        <v>0.05</v>
      </c>
      <c r="CW48" s="32" t="n">
        <f aca="false">INDEX(Вводные!$D$13:$F$64,MATCH($A48,Вводные!$A$13:$A$64,0),MATCH(CW$3,Вводные!$D$11:$F$11,0))*(1+IF(CW$4=$A48,Вводные!$D$5*INDEX(Вводные!$G$13:$G$64,MATCH($A48,Вводные!$A$13:$A$64,0)),0))</f>
        <v>0.05</v>
      </c>
      <c r="CX48" s="32" t="n">
        <f aca="false">INDEX(Вводные!$D$13:$F$64,MATCH($A48,Вводные!$A$13:$A$64,0),MATCH(CX$3,Вводные!$D$11:$F$11,0))*(1+IF(CX$4=$A48,Вводные!$D$5*INDEX(Вводные!$G$13:$G$64,MATCH($A48,Вводные!$A$13:$A$64,0)),0))</f>
        <v>0.05</v>
      </c>
      <c r="CY48" s="32" t="n">
        <f aca="false">INDEX(Вводные!$D$13:$F$64,MATCH($A48,Вводные!$A$13:$A$64,0),MATCH(CY$3,Вводные!$D$11:$F$11,0))*(1+IF(CY$4=$A48,Вводные!$D$5*INDEX(Вводные!$G$13:$G$64,MATCH($A48,Вводные!$A$13:$A$64,0)),0))</f>
        <v>0.05</v>
      </c>
      <c r="CZ48" s="32" t="n">
        <f aca="false">INDEX(Вводные!$D$13:$F$64,MATCH($A48,Вводные!$A$13:$A$64,0),MATCH(CZ$3,Вводные!$D$11:$F$11,0))*(1+IF(CZ$4=$A48,Вводные!$D$5*INDEX(Вводные!$G$13:$G$64,MATCH($A48,Вводные!$A$13:$A$64,0)),0))</f>
        <v>0.05</v>
      </c>
      <c r="DA48" s="32" t="n">
        <f aca="false">INDEX(Вводные!$D$13:$F$64,MATCH($A48,Вводные!$A$13:$A$64,0),MATCH(DA$3,Вводные!$D$11:$F$11,0))*(1+IF(DA$4=$A48,Вводные!$D$5*INDEX(Вводные!$G$13:$G$64,MATCH($A48,Вводные!$A$13:$A$64,0)),0))</f>
        <v>0.05</v>
      </c>
      <c r="DB48" s="32" t="n">
        <f aca="false">INDEX(Вводные!$D$13:$F$64,MATCH($A48,Вводные!$A$13:$A$64,0),MATCH(DB$3,Вводные!$D$11:$F$11,0))*(1+IF(DB$4=$A48,Вводные!$D$5*INDEX(Вводные!$G$13:$G$64,MATCH($A48,Вводные!$A$13:$A$64,0)),0))</f>
        <v>0.05</v>
      </c>
      <c r="DC48" s="32" t="n">
        <f aca="false">INDEX(Вводные!$D$13:$F$64,MATCH($A48,Вводные!$A$13:$A$64,0),MATCH(DC$3,Вводные!$D$11:$F$11,0))*(1+IF(DC$4=$A48,Вводные!$D$5*INDEX(Вводные!$G$13:$G$64,MATCH($A48,Вводные!$A$13:$A$64,0)),0))</f>
        <v>0.05</v>
      </c>
      <c r="DD48" s="32" t="n">
        <f aca="false">INDEX(Вводные!$D$13:$F$64,MATCH($A48,Вводные!$A$13:$A$64,0),MATCH(DD$3,Вводные!$D$11:$F$11,0))*(1+IF(DD$4=$A48,Вводные!$D$5*INDEX(Вводные!$G$13:$G$64,MATCH($A48,Вводные!$A$13:$A$64,0)),0))</f>
        <v>0.05</v>
      </c>
      <c r="DE48" s="32" t="n">
        <f aca="false">INDEX(Вводные!$D$13:$F$64,MATCH($A48,Вводные!$A$13:$A$64,0),MATCH(DE$3,Вводные!$D$11:$F$11,0))*(1+IF(DE$4=$A48,Вводные!$D$5*INDEX(Вводные!$G$13:$G$64,MATCH($A48,Вводные!$A$13:$A$64,0)),0))</f>
        <v>0.05</v>
      </c>
      <c r="DF48" s="32" t="n">
        <f aca="false">INDEX(Вводные!$D$13:$F$64,MATCH($A48,Вводные!$A$13:$A$64,0),MATCH(DF$3,Вводные!$D$11:$F$11,0))*(1+IF(DF$4=$A48,Вводные!$D$5*INDEX(Вводные!$G$13:$G$64,MATCH($A48,Вводные!$A$13:$A$64,0)),0))</f>
        <v>0.05</v>
      </c>
      <c r="DG48" s="32" t="n">
        <f aca="false">INDEX(Вводные!$D$13:$F$64,MATCH($A48,Вводные!$A$13:$A$64,0),MATCH(DG$3,Вводные!$D$11:$F$11,0))*(1+IF(DG$4=$A48,Вводные!$D$5*INDEX(Вводные!$G$13:$G$64,MATCH($A48,Вводные!$A$13:$A$64,0)),0))</f>
        <v>0.05</v>
      </c>
      <c r="DH48" s="32" t="n">
        <f aca="false">INDEX(Вводные!$D$13:$F$64,MATCH($A48,Вводные!$A$13:$A$64,0),MATCH(DH$3,Вводные!$D$11:$F$11,0))*(1+IF(DH$4=$A48,Вводные!$D$5*INDEX(Вводные!$G$13:$G$64,MATCH($A48,Вводные!$A$13:$A$64,0)),0))</f>
        <v>0.05</v>
      </c>
      <c r="DI48" s="32" t="n">
        <f aca="false">INDEX(Вводные!$D$13:$F$64,MATCH($A48,Вводные!$A$13:$A$64,0),MATCH(DI$3,Вводные!$D$11:$F$11,0))*(1+IF(DI$4=$A48,Вводные!$D$5*INDEX(Вводные!$G$13:$G$64,MATCH($A48,Вводные!$A$13:$A$64,0)),0))</f>
        <v>0.05</v>
      </c>
      <c r="DJ48" s="32" t="n">
        <f aca="false">INDEX(Вводные!$D$13:$F$64,MATCH($A48,Вводные!$A$13:$A$64,0),MATCH(DJ$3,Вводные!$D$11:$F$11,0))*(1+IF(DJ$4=$A48,Вводные!$D$5*INDEX(Вводные!$G$13:$G$64,MATCH($A48,Вводные!$A$13:$A$64,0)),0))</f>
        <v>0.05</v>
      </c>
      <c r="DK48" s="32" t="n">
        <f aca="false">INDEX(Вводные!$D$13:$F$64,MATCH($A48,Вводные!$A$13:$A$64,0),MATCH(DK$3,Вводные!$D$11:$F$11,0))*(1+IF(DK$4=$A48,Вводные!$D$5*INDEX(Вводные!$G$13:$G$64,MATCH($A48,Вводные!$A$13:$A$64,0)),0))</f>
        <v>0.05</v>
      </c>
      <c r="DL48" s="32" t="n">
        <f aca="false">INDEX(Вводные!$D$13:$F$64,MATCH($A48,Вводные!$A$13:$A$64,0),MATCH(DL$3,Вводные!$D$11:$F$11,0))*(1+IF(DL$4=$A48,Вводные!$D$5*INDEX(Вводные!$G$13:$G$64,MATCH($A48,Вводные!$A$13:$A$64,0)),0))</f>
        <v>0.0505</v>
      </c>
      <c r="DM48" s="32" t="n">
        <f aca="false">INDEX(Вводные!$D$13:$F$64,MATCH($A48,Вводные!$A$13:$A$64,0),MATCH(DM$3,Вводные!$D$11:$F$11,0))*(1+IF(DM$4=$A48,Вводные!$D$5*INDEX(Вводные!$G$13:$G$64,MATCH($A48,Вводные!$A$13:$A$64,0)),0))</f>
        <v>0.05</v>
      </c>
      <c r="DN48" s="32" t="n">
        <f aca="false">INDEX(Вводные!$D$13:$F$64,MATCH($A48,Вводные!$A$13:$A$64,0),MATCH(DN$3,Вводные!$D$11:$F$11,0))*(1+IF(DN$4=$A48,Вводные!$D$5*INDEX(Вводные!$G$13:$G$64,MATCH($A48,Вводные!$A$13:$A$64,0)),0))</f>
        <v>0.05</v>
      </c>
      <c r="DO48" s="32" t="n">
        <f aca="false">INDEX(Вводные!$D$13:$F$64,MATCH($A48,Вводные!$A$13:$A$64,0),MATCH(DO$3,Вводные!$D$11:$F$11,0))*(1+IF(DO$4=$A48,Вводные!$D$5*INDEX(Вводные!$G$13:$G$64,MATCH($A48,Вводные!$A$13:$A$64,0)),0))</f>
        <v>0.05</v>
      </c>
      <c r="DP48" s="32" t="n">
        <f aca="false">INDEX(Вводные!$D$13:$F$64,MATCH($A48,Вводные!$A$13:$A$64,0),MATCH(DP$3,Вводные!$D$11:$F$11,0))*(1+IF(DP$4=$A48,Вводные!$D$5*INDEX(Вводные!$G$13:$G$64,MATCH($A48,Вводные!$A$13:$A$64,0)),0))</f>
        <v>0.05</v>
      </c>
      <c r="DQ48" s="32" t="n">
        <f aca="false">INDEX(Вводные!$D$13:$F$64,MATCH($A48,Вводные!$A$13:$A$64,0),MATCH(DQ$3,Вводные!$D$11:$F$11,0))*(1+IF(DQ$4=$A48,Вводные!$D$5*INDEX(Вводные!$G$13:$G$64,MATCH($A48,Вводные!$A$13:$A$64,0)),0))</f>
        <v>0.05</v>
      </c>
      <c r="DR48" s="32" t="n">
        <f aca="false">INDEX(Вводные!$D$13:$F$64,MATCH($A48,Вводные!$A$13:$A$64,0),MATCH(DR$3,Вводные!$D$11:$F$11,0))*(1+IF(DR$4=$A48,Вводные!$D$5*INDEX(Вводные!$G$13:$G$64,MATCH($A48,Вводные!$A$13:$A$64,0)),0))</f>
        <v>0.05</v>
      </c>
      <c r="DS48" s="32" t="n">
        <f aca="false">INDEX(Вводные!$D$13:$F$64,MATCH($A48,Вводные!$A$13:$A$64,0),MATCH(DS$3,Вводные!$D$11:$F$11,0))*(1+IF(DS$4=$A48,Вводные!$D$5*INDEX(Вводные!$G$13:$G$64,MATCH($A48,Вводные!$A$13:$A$64,0)),0))</f>
        <v>0.05</v>
      </c>
      <c r="DT48" s="32" t="n">
        <f aca="false">INDEX(Вводные!$D$13:$F$64,MATCH($A48,Вводные!$A$13:$A$64,0),MATCH(DT$3,Вводные!$D$11:$F$11,0))*(1+IF(DT$4=$A48,Вводные!$D$5*INDEX(Вводные!$G$13:$G$64,MATCH($A48,Вводные!$A$13:$A$64,0)),0))</f>
        <v>0.05</v>
      </c>
      <c r="DU48" s="32" t="n">
        <f aca="false">INDEX(Вводные!$D$13:$F$64,MATCH($A48,Вводные!$A$13:$A$64,0),MATCH(DU$3,Вводные!$D$11:$F$11,0))*(1+IF(DU$4=$A48,Вводные!$D$5*INDEX(Вводные!$G$13:$G$64,MATCH($A48,Вводные!$A$13:$A$64,0)),0))</f>
        <v>0.05</v>
      </c>
      <c r="DV48" s="32" t="n">
        <f aca="false">INDEX(Вводные!$D$13:$F$64,MATCH($A48,Вводные!$A$13:$A$64,0),MATCH(DV$3,Вводные!$D$11:$F$11,0))*(1+IF(DV$4=$A48,Вводные!$D$5*INDEX(Вводные!$G$13:$G$64,MATCH($A48,Вводные!$A$13:$A$64,0)),0))</f>
        <v>0.05</v>
      </c>
      <c r="DW48" s="32" t="n">
        <f aca="false">INDEX(Вводные!$D$13:$F$64,MATCH($A48,Вводные!$A$13:$A$64,0),MATCH(DW$3,Вводные!$D$11:$F$11,0))*(1+IF(DW$4=$A48,Вводные!$D$5*INDEX(Вводные!$G$13:$G$64,MATCH($A48,Вводные!$A$13:$A$64,0)),0))</f>
        <v>0.05</v>
      </c>
      <c r="DX48" s="32" t="n">
        <f aca="false">INDEX(Вводные!$D$13:$F$64,MATCH($A48,Вводные!$A$13:$A$64,0),MATCH(DX$3,Вводные!$D$11:$F$11,0))*(1+IF(DX$4=$A48,Вводные!$D$5*INDEX(Вводные!$G$13:$G$64,MATCH($A48,Вводные!$A$13:$A$64,0)),0))</f>
        <v>0.05</v>
      </c>
      <c r="DY48" s="32" t="n">
        <f aca="false">INDEX(Вводные!$D$13:$F$64,MATCH($A48,Вводные!$A$13:$A$64,0),MATCH(DY$3,Вводные!$D$11:$F$11,0))*(1+IF(DY$4=$A48,Вводные!$D$5*INDEX(Вводные!$G$13:$G$64,MATCH($A48,Вводные!$A$13:$A$64,0)),0))</f>
        <v>0.05</v>
      </c>
      <c r="DZ48" s="32" t="n">
        <f aca="false">INDEX(Вводные!$D$13:$F$64,MATCH($A48,Вводные!$A$13:$A$64,0),MATCH(DZ$3,Вводные!$D$11:$F$11,0))*(1+IF(DZ$4=$A48,Вводные!$D$5*INDEX(Вводные!$G$13:$G$64,MATCH($A48,Вводные!$A$13:$A$64,0)),0))</f>
        <v>0.05</v>
      </c>
      <c r="EA48" s="32" t="n">
        <f aca="false">INDEX(Вводные!$D$13:$F$64,MATCH($A48,Вводные!$A$13:$A$64,0),MATCH(EA$3,Вводные!$D$11:$F$11,0))*(1+IF(EA$4=$A48,Вводные!$D$5*INDEX(Вводные!$G$13:$G$64,MATCH($A48,Вводные!$A$13:$A$64,0)),0))</f>
        <v>0.05</v>
      </c>
      <c r="EB48" s="32" t="n">
        <f aca="false">INDEX(Вводные!$D$13:$F$64,MATCH($A48,Вводные!$A$13:$A$64,0),MATCH(EB$3,Вводные!$D$11:$F$11,0))*(1+IF(EB$4=$A48,Вводные!$D$5*INDEX(Вводные!$G$13:$G$64,MATCH($A48,Вводные!$A$13:$A$64,0)),0))</f>
        <v>0.05</v>
      </c>
      <c r="EC48" s="32" t="n">
        <f aca="false">INDEX(Вводные!$D$13:$F$64,MATCH($A48,Вводные!$A$13:$A$64,0),MATCH(EC$3,Вводные!$D$11:$F$11,0))*(1+IF(EC$4=$A48,Вводные!$D$5*INDEX(Вводные!$G$13:$G$64,MATCH($A48,Вводные!$A$13:$A$64,0)),0))</f>
        <v>0.05</v>
      </c>
      <c r="ED48" s="32" t="n">
        <f aca="false">INDEX(Вводные!$D$13:$F$64,MATCH($A48,Вводные!$A$13:$A$64,0),MATCH(ED$3,Вводные!$D$11:$F$11,0))*(1+IF(ED$4=$A48,Вводные!$D$5*INDEX(Вводные!$G$13:$G$64,MATCH($A48,Вводные!$A$13:$A$64,0)),0))</f>
        <v>0.05</v>
      </c>
      <c r="EE48" s="32" t="n">
        <f aca="false">INDEX(Вводные!$D$13:$F$64,MATCH($A48,Вводные!$A$13:$A$64,0),MATCH(EE$3,Вводные!$D$11:$F$11,0))*(1+IF(EE$4=$A48,Вводные!$D$5*INDEX(Вводные!$G$13:$G$64,MATCH($A48,Вводные!$A$13:$A$64,0)),0))</f>
        <v>0.05</v>
      </c>
      <c r="EF48" s="32" t="n">
        <f aca="false">INDEX(Вводные!$D$13:$F$64,MATCH($A48,Вводные!$A$13:$A$64,0),MATCH(EF$3,Вводные!$D$11:$F$11,0))*(1+IF(EF$4=$A48,Вводные!$D$5*INDEX(Вводные!$G$13:$G$64,MATCH($A48,Вводные!$A$13:$A$64,0)),0))</f>
        <v>0.08</v>
      </c>
      <c r="EG48" s="32" t="n">
        <f aca="false">INDEX(Вводные!$D$13:$F$64,MATCH($A48,Вводные!$A$13:$A$64,0),MATCH(EG$3,Вводные!$D$11:$F$11,0))*(1+IF(EG$4=$A48,Вводные!$D$5*INDEX(Вводные!$G$13:$G$64,MATCH($A48,Вводные!$A$13:$A$64,0)),0))</f>
        <v>0.08</v>
      </c>
      <c r="EH48" s="32" t="n">
        <f aca="false">INDEX(Вводные!$D$13:$F$64,MATCH($A48,Вводные!$A$13:$A$64,0),MATCH(EH$3,Вводные!$D$11:$F$11,0))*(1+IF(EH$4=$A48,Вводные!$D$5*INDEX(Вводные!$G$13:$G$64,MATCH($A48,Вводные!$A$13:$A$64,0)),0))</f>
        <v>0.08</v>
      </c>
      <c r="EI48" s="32" t="n">
        <f aca="false">INDEX(Вводные!$D$13:$F$64,MATCH($A48,Вводные!$A$13:$A$64,0),MATCH(EI$3,Вводные!$D$11:$F$11,0))*(1+IF(EI$4=$A48,Вводные!$D$5*INDEX(Вводные!$G$13:$G$64,MATCH($A48,Вводные!$A$13:$A$64,0)),0))</f>
        <v>0.08</v>
      </c>
      <c r="EJ48" s="32" t="n">
        <f aca="false">INDEX(Вводные!$D$13:$F$64,MATCH($A48,Вводные!$A$13:$A$64,0),MATCH(EJ$3,Вводные!$D$11:$F$11,0))*(1+IF(EJ$4=$A48,Вводные!$D$5*INDEX(Вводные!$G$13:$G$64,MATCH($A48,Вводные!$A$13:$A$64,0)),0))</f>
        <v>0.08</v>
      </c>
      <c r="EK48" s="32" t="n">
        <f aca="false">INDEX(Вводные!$D$13:$F$64,MATCH($A48,Вводные!$A$13:$A$64,0),MATCH(EK$3,Вводные!$D$11:$F$11,0))*(1+IF(EK$4=$A48,Вводные!$D$5*INDEX(Вводные!$G$13:$G$64,MATCH($A48,Вводные!$A$13:$A$64,0)),0))</f>
        <v>0.08</v>
      </c>
      <c r="EL48" s="32" t="n">
        <f aca="false">INDEX(Вводные!$D$13:$F$64,MATCH($A48,Вводные!$A$13:$A$64,0),MATCH(EL$3,Вводные!$D$11:$F$11,0))*(1+IF(EL$4=$A48,Вводные!$D$5*INDEX(Вводные!$G$13:$G$64,MATCH($A48,Вводные!$A$13:$A$64,0)),0))</f>
        <v>0.08</v>
      </c>
      <c r="EM48" s="32" t="n">
        <f aca="false">INDEX(Вводные!$D$13:$F$64,MATCH($A48,Вводные!$A$13:$A$64,0),MATCH(EM$3,Вводные!$D$11:$F$11,0))*(1+IF(EM$4=$A48,Вводные!$D$5*INDEX(Вводные!$G$13:$G$64,MATCH($A48,Вводные!$A$13:$A$64,0)),0))</f>
        <v>0.08</v>
      </c>
      <c r="EN48" s="32" t="n">
        <f aca="false">INDEX(Вводные!$D$13:$F$64,MATCH($A48,Вводные!$A$13:$A$64,0),MATCH(EN$3,Вводные!$D$11:$F$11,0))*(1+IF(EN$4=$A48,Вводные!$D$5*INDEX(Вводные!$G$13:$G$64,MATCH($A48,Вводные!$A$13:$A$64,0)),0))</f>
        <v>0.08</v>
      </c>
      <c r="EO48" s="32" t="n">
        <f aca="false">INDEX(Вводные!$D$13:$F$64,MATCH($A48,Вводные!$A$13:$A$64,0),MATCH(EO$3,Вводные!$D$11:$F$11,0))*(1+IF(EO$4=$A48,Вводные!$D$5*INDEX(Вводные!$G$13:$G$64,MATCH($A48,Вводные!$A$13:$A$64,0)),0))</f>
        <v>0.08</v>
      </c>
      <c r="EP48" s="32" t="n">
        <f aca="false">INDEX(Вводные!$D$13:$F$64,MATCH($A48,Вводные!$A$13:$A$64,0),MATCH(EP$3,Вводные!$D$11:$F$11,0))*(1+IF(EP$4=$A48,Вводные!$D$5*INDEX(Вводные!$G$13:$G$64,MATCH($A48,Вводные!$A$13:$A$64,0)),0))</f>
        <v>0.08</v>
      </c>
      <c r="EQ48" s="32" t="n">
        <f aca="false">INDEX(Вводные!$D$13:$F$64,MATCH($A48,Вводные!$A$13:$A$64,0),MATCH(EQ$3,Вводные!$D$11:$F$11,0))*(1+IF(EQ$4=$A48,Вводные!$D$5*INDEX(Вводные!$G$13:$G$64,MATCH($A48,Вводные!$A$13:$A$64,0)),0))</f>
        <v>0.08</v>
      </c>
      <c r="ER48" s="32" t="n">
        <f aca="false">INDEX(Вводные!$D$13:$F$64,MATCH($A48,Вводные!$A$13:$A$64,0),MATCH(ER$3,Вводные!$D$11:$F$11,0))*(1+IF(ER$4=$A48,Вводные!$D$5*INDEX(Вводные!$G$13:$G$64,MATCH($A48,Вводные!$A$13:$A$64,0)),0))</f>
        <v>0.08</v>
      </c>
      <c r="ES48" s="32" t="n">
        <f aca="false">INDEX(Вводные!$D$13:$F$64,MATCH($A48,Вводные!$A$13:$A$64,0),MATCH(ES$3,Вводные!$D$11:$F$11,0))*(1+IF(ES$4=$A48,Вводные!$D$5*INDEX(Вводные!$G$13:$G$64,MATCH($A48,Вводные!$A$13:$A$64,0)),0))</f>
        <v>0.08</v>
      </c>
      <c r="ET48" s="32" t="n">
        <f aca="false">INDEX(Вводные!$D$13:$F$64,MATCH($A48,Вводные!$A$13:$A$64,0),MATCH(ET$3,Вводные!$D$11:$F$11,0))*(1+IF(ET$4=$A48,Вводные!$D$5*INDEX(Вводные!$G$13:$G$64,MATCH($A48,Вводные!$A$13:$A$64,0)),0))</f>
        <v>0.08</v>
      </c>
      <c r="EU48" s="32" t="n">
        <f aca="false">INDEX(Вводные!$D$13:$F$64,MATCH($A48,Вводные!$A$13:$A$64,0),MATCH(EU$3,Вводные!$D$11:$F$11,0))*(1+IF(EU$4=$A48,Вводные!$D$5*INDEX(Вводные!$G$13:$G$64,MATCH($A48,Вводные!$A$13:$A$64,0)),0))</f>
        <v>0.08</v>
      </c>
      <c r="EV48" s="32" t="n">
        <f aca="false">INDEX(Вводные!$D$13:$F$64,MATCH($A48,Вводные!$A$13:$A$64,0),MATCH(EV$3,Вводные!$D$11:$F$11,0))*(1+IF(EV$4=$A48,Вводные!$D$5*INDEX(Вводные!$G$13:$G$64,MATCH($A48,Вводные!$A$13:$A$64,0)),0))</f>
        <v>0.08</v>
      </c>
      <c r="EW48" s="32" t="n">
        <f aca="false">INDEX(Вводные!$D$13:$F$64,MATCH($A48,Вводные!$A$13:$A$64,0),MATCH(EW$3,Вводные!$D$11:$F$11,0))*(1+IF(EW$4=$A48,Вводные!$D$5*INDEX(Вводные!$G$13:$G$64,MATCH($A48,Вводные!$A$13:$A$64,0)),0))</f>
        <v>0.08</v>
      </c>
      <c r="EX48" s="32" t="n">
        <f aca="false">INDEX(Вводные!$D$13:$F$64,MATCH($A48,Вводные!$A$13:$A$64,0),MATCH(EX$3,Вводные!$D$11:$F$11,0))*(1+IF(EX$4=$A48,Вводные!$D$5*INDEX(Вводные!$G$13:$G$64,MATCH($A48,Вводные!$A$13:$A$64,0)),0))</f>
        <v>0.08</v>
      </c>
      <c r="EY48" s="32" t="n">
        <f aca="false">INDEX(Вводные!$D$13:$F$64,MATCH($A48,Вводные!$A$13:$A$64,0),MATCH(EY$3,Вводные!$D$11:$F$11,0))*(1+IF(EY$4=$A48,Вводные!$D$5*INDEX(Вводные!$G$13:$G$64,MATCH($A48,Вводные!$A$13:$A$64,0)),0))</f>
        <v>0.08</v>
      </c>
      <c r="EZ48" s="32" t="n">
        <f aca="false">INDEX(Вводные!$D$13:$F$64,MATCH($A48,Вводные!$A$13:$A$64,0),MATCH(EZ$3,Вводные!$D$11:$F$11,0))*(1+IF(EZ$4=$A48,Вводные!$D$5*INDEX(Вводные!$G$13:$G$64,MATCH($A48,Вводные!$A$13:$A$64,0)),0))</f>
        <v>0.08</v>
      </c>
      <c r="FA48" s="32" t="n">
        <f aca="false">INDEX(Вводные!$D$13:$F$64,MATCH($A48,Вводные!$A$13:$A$64,0),MATCH(FA$3,Вводные!$D$11:$F$11,0))*(1+IF(FA$4=$A48,Вводные!$D$5*INDEX(Вводные!$G$13:$G$64,MATCH($A48,Вводные!$A$13:$A$64,0)),0))</f>
        <v>0.08</v>
      </c>
      <c r="FB48" s="32" t="n">
        <f aca="false">INDEX(Вводные!$D$13:$F$64,MATCH($A48,Вводные!$A$13:$A$64,0),MATCH(FB$3,Вводные!$D$11:$F$11,0))*(1+IF(FB$4=$A48,Вводные!$D$5*INDEX(Вводные!$G$13:$G$64,MATCH($A48,Вводные!$A$13:$A$64,0)),0))</f>
        <v>0.0808</v>
      </c>
      <c r="FC48" s="32" t="n">
        <f aca="false">INDEX(Вводные!$D$13:$F$64,MATCH($A48,Вводные!$A$13:$A$64,0),MATCH(FC$3,Вводные!$D$11:$F$11,0))*(1+IF(FC$4=$A48,Вводные!$D$5*INDEX(Вводные!$G$13:$G$64,MATCH($A48,Вводные!$A$13:$A$64,0)),0))</f>
        <v>0.08</v>
      </c>
      <c r="FD48" s="32" t="n">
        <f aca="false">INDEX(Вводные!$D$13:$F$64,MATCH($A48,Вводные!$A$13:$A$64,0),MATCH(FD$3,Вводные!$D$11:$F$11,0))*(1+IF(FD$4=$A48,Вводные!$D$5*INDEX(Вводные!$G$13:$G$64,MATCH($A48,Вводные!$A$13:$A$64,0)),0))</f>
        <v>0.08</v>
      </c>
      <c r="FE48" s="32" t="n">
        <f aca="false">INDEX(Вводные!$D$13:$F$64,MATCH($A48,Вводные!$A$13:$A$64,0),MATCH(FE$3,Вводные!$D$11:$F$11,0))*(1+IF(FE$4=$A48,Вводные!$D$5*INDEX(Вводные!$G$13:$G$64,MATCH($A48,Вводные!$A$13:$A$64,0)),0))</f>
        <v>0.08</v>
      </c>
      <c r="FF48" s="32" t="n">
        <f aca="false">INDEX(Вводные!$D$13:$F$64,MATCH($A48,Вводные!$A$13:$A$64,0),MATCH(FF$3,Вводные!$D$11:$F$11,0))*(1+IF(FF$4=$A48,Вводные!$D$5*INDEX(Вводные!$G$13:$G$64,MATCH($A48,Вводные!$A$13:$A$64,0)),0))</f>
        <v>0.08</v>
      </c>
      <c r="FG48" s="32" t="n">
        <f aca="false">INDEX(Вводные!$D$13:$F$64,MATCH($A48,Вводные!$A$13:$A$64,0),MATCH(FG$3,Вводные!$D$11:$F$11,0))*(1+IF(FG$4=$A48,Вводные!$D$5*INDEX(Вводные!$G$13:$G$64,MATCH($A48,Вводные!$A$13:$A$64,0)),0))</f>
        <v>0.08</v>
      </c>
      <c r="FH48" s="32" t="n">
        <f aca="false">INDEX(Вводные!$D$13:$F$64,MATCH($A48,Вводные!$A$13:$A$64,0),MATCH(FH$3,Вводные!$D$11:$F$11,0))*(1+IF(FH$4=$A48,Вводные!$D$5*INDEX(Вводные!$G$13:$G$64,MATCH($A48,Вводные!$A$13:$A$64,0)),0))</f>
        <v>0.08</v>
      </c>
      <c r="FI48" s="32" t="n">
        <f aca="false">INDEX(Вводные!$D$13:$F$64,MATCH($A48,Вводные!$A$13:$A$64,0),MATCH(FI$3,Вводные!$D$11:$F$11,0))*(1+IF(FI$4=$A48,Вводные!$D$5*INDEX(Вводные!$G$13:$G$64,MATCH($A48,Вводные!$A$13:$A$64,0)),0))</f>
        <v>0.08</v>
      </c>
      <c r="FJ48" s="32" t="n">
        <f aca="false">INDEX(Вводные!$D$13:$F$64,MATCH($A48,Вводные!$A$13:$A$64,0),MATCH(FJ$3,Вводные!$D$11:$F$11,0))*(1+IF(FJ$4=$A48,Вводные!$D$5*INDEX(Вводные!$G$13:$G$64,MATCH($A48,Вводные!$A$13:$A$64,0)),0))</f>
        <v>0.08</v>
      </c>
      <c r="FK48" s="32" t="n">
        <f aca="false">INDEX(Вводные!$D$13:$F$64,MATCH($A48,Вводные!$A$13:$A$64,0),MATCH(FK$3,Вводные!$D$11:$F$11,0))*(1+IF(FK$4=$A48,Вводные!$D$5*INDEX(Вводные!$G$13:$G$64,MATCH($A48,Вводные!$A$13:$A$64,0)),0))</f>
        <v>0.08</v>
      </c>
      <c r="FL48" s="32" t="n">
        <f aca="false">INDEX(Вводные!$D$13:$F$64,MATCH($A48,Вводные!$A$13:$A$64,0),MATCH(FL$3,Вводные!$D$11:$F$11,0))*(1+IF(FL$4=$A48,Вводные!$D$5*INDEX(Вводные!$G$13:$G$64,MATCH($A48,Вводные!$A$13:$A$64,0)),0))</f>
        <v>0.08</v>
      </c>
      <c r="FM48" s="32" t="n">
        <f aca="false">INDEX(Вводные!$D$13:$F$64,MATCH($A48,Вводные!$A$13:$A$64,0),MATCH(FM$3,Вводные!$D$11:$F$11,0))*(1+IF(FM$4=$A48,Вводные!$D$5*INDEX(Вводные!$G$13:$G$64,MATCH($A48,Вводные!$A$13:$A$64,0)),0))</f>
        <v>0.08</v>
      </c>
      <c r="FN48" s="32" t="n">
        <f aca="false">INDEX(Вводные!$D$13:$F$64,MATCH($A48,Вводные!$A$13:$A$64,0),MATCH(FN$3,Вводные!$D$11:$F$11,0))*(1+IF(FN$4=$A48,Вводные!$D$5*INDEX(Вводные!$G$13:$G$64,MATCH($A48,Вводные!$A$13:$A$64,0)),0))</f>
        <v>0.08</v>
      </c>
      <c r="FO48" s="32" t="n">
        <f aca="false">INDEX(Вводные!$D$13:$F$64,MATCH($A48,Вводные!$A$13:$A$64,0),MATCH(FO$3,Вводные!$D$11:$F$11,0))*(1+IF(FO$4=$A48,Вводные!$D$5*INDEX(Вводные!$G$13:$G$64,MATCH($A48,Вводные!$A$13:$A$64,0)),0))</f>
        <v>0.08</v>
      </c>
      <c r="FP48" s="32" t="n">
        <f aca="false">INDEX(Вводные!$D$13:$F$64,MATCH($A48,Вводные!$A$13:$A$64,0),MATCH(FP$3,Вводные!$D$11:$F$11,0))*(1+IF(FP$4=$A48,Вводные!$D$5*INDEX(Вводные!$G$13:$G$64,MATCH($A48,Вводные!$A$13:$A$64,0)),0))</f>
        <v>0.08</v>
      </c>
      <c r="FQ48" s="32" t="n">
        <f aca="false">INDEX(Вводные!$D$13:$F$64,MATCH($A48,Вводные!$A$13:$A$64,0),MATCH(FQ$3,Вводные!$D$11:$F$11,0))*(1+IF(FQ$4=$A48,Вводные!$D$5*INDEX(Вводные!$G$13:$G$64,MATCH($A48,Вводные!$A$13:$A$64,0)),0))</f>
        <v>0.08</v>
      </c>
      <c r="FR48" s="32" t="n">
        <f aca="false">INDEX(Вводные!$D$13:$F$64,MATCH($A48,Вводные!$A$13:$A$64,0),MATCH(FR$3,Вводные!$D$11:$F$11,0))*(1+IF(FR$4=$A48,Вводные!$D$5*INDEX(Вводные!$G$13:$G$64,MATCH($A48,Вводные!$A$13:$A$64,0)),0))</f>
        <v>0.08</v>
      </c>
      <c r="FS48" s="32" t="n">
        <f aca="false">INDEX(Вводные!$D$13:$F$64,MATCH($A48,Вводные!$A$13:$A$64,0),MATCH(FS$3,Вводные!$D$11:$F$11,0))*(1+IF(FS$4=$A48,Вводные!$D$5*INDEX(Вводные!$G$13:$G$64,MATCH($A48,Вводные!$A$13:$A$64,0)),0))</f>
        <v>0.08</v>
      </c>
      <c r="FT48" s="32" t="n">
        <f aca="false">INDEX(Вводные!$D$13:$F$64,MATCH($A48,Вводные!$A$13:$A$64,0),MATCH(FT$3,Вводные!$D$11:$F$11,0))*(1+IF(FT$4=$A48,Вводные!$D$5*INDEX(Вводные!$G$13:$G$64,MATCH($A48,Вводные!$A$13:$A$64,0)),0))</f>
        <v>0.08</v>
      </c>
      <c r="FU48" s="32" t="n">
        <f aca="false">INDEX(Вводные!$D$13:$F$64,MATCH($A48,Вводные!$A$13:$A$64,0),MATCH(FU$3,Вводные!$D$11:$F$11,0))*(1+IF(FU$4=$A48,Вводные!$D$5*INDEX(Вводные!$G$13:$G$64,MATCH($A48,Вводные!$A$13:$A$64,0)),0))</f>
        <v>0.08</v>
      </c>
      <c r="FV48" s="32" t="n">
        <f aca="false">INDEX(Вводные!$D$13:$F$64,MATCH($A48,Вводные!$A$13:$A$64,0),MATCH(FV$3,Вводные!$D$11:$F$11,0))*(1+IF(FV$4=$A48,Вводные!$D$5*INDEX(Вводные!$G$13:$G$64,MATCH($A48,Вводные!$A$13:$A$64,0)),0))</f>
        <v>0.35</v>
      </c>
      <c r="FW48" s="32" t="n">
        <f aca="false">INDEX(Вводные!$D$13:$F$64,MATCH($A48,Вводные!$A$13:$A$64,0),MATCH(FW$3,Вводные!$D$11:$F$11,0))*(1+IF(FW$4=$A48,Вводные!$D$5*INDEX(Вводные!$G$13:$G$64,MATCH($A48,Вводные!$A$13:$A$64,0)),0))</f>
        <v>0.35</v>
      </c>
      <c r="FX48" s="32" t="n">
        <f aca="false">INDEX(Вводные!$D$13:$F$64,MATCH($A48,Вводные!$A$13:$A$64,0),MATCH(FX$3,Вводные!$D$11:$F$11,0))*(1+IF(FX$4=$A48,Вводные!$D$5*INDEX(Вводные!$G$13:$G$64,MATCH($A48,Вводные!$A$13:$A$64,0)),0))</f>
        <v>0.35</v>
      </c>
      <c r="FY48" s="32" t="n">
        <f aca="false">INDEX(Вводные!$D$13:$F$64,MATCH($A48,Вводные!$A$13:$A$64,0),MATCH(FY$3,Вводные!$D$11:$F$11,0))*(1+IF(FY$4=$A48,Вводные!$D$5*INDEX(Вводные!$G$13:$G$64,MATCH($A48,Вводные!$A$13:$A$64,0)),0))</f>
        <v>0.35</v>
      </c>
      <c r="FZ48" s="32" t="n">
        <f aca="false">INDEX(Вводные!$D$13:$F$64,MATCH($A48,Вводные!$A$13:$A$64,0),MATCH(FZ$3,Вводные!$D$11:$F$11,0))*(1+IF(FZ$4=$A48,Вводные!$D$5*INDEX(Вводные!$G$13:$G$64,MATCH($A48,Вводные!$A$13:$A$64,0)),0))</f>
        <v>0.35</v>
      </c>
      <c r="GA48" s="32" t="n">
        <f aca="false">INDEX(Вводные!$D$13:$F$64,MATCH($A48,Вводные!$A$13:$A$64,0),MATCH(GA$3,Вводные!$D$11:$F$11,0))*(1+IF(GA$4=$A48,Вводные!$D$5*INDEX(Вводные!$G$13:$G$64,MATCH($A48,Вводные!$A$13:$A$64,0)),0))</f>
        <v>0.35</v>
      </c>
      <c r="GB48" s="32" t="n">
        <f aca="false">INDEX(Вводные!$D$13:$F$64,MATCH($A48,Вводные!$A$13:$A$64,0),MATCH(GB$3,Вводные!$D$11:$F$11,0))*(1+IF(GB$4=$A48,Вводные!$D$5*INDEX(Вводные!$G$13:$G$64,MATCH($A48,Вводные!$A$13:$A$64,0)),0))</f>
        <v>0.35</v>
      </c>
      <c r="GC48" s="32" t="n">
        <f aca="false">INDEX(Вводные!$D$13:$F$64,MATCH($A48,Вводные!$A$13:$A$64,0),MATCH(GC$3,Вводные!$D$11:$F$11,0))*(1+IF(GC$4=$A48,Вводные!$D$5*INDEX(Вводные!$G$13:$G$64,MATCH($A48,Вводные!$A$13:$A$64,0)),0))</f>
        <v>0.35</v>
      </c>
      <c r="GD48" s="32" t="n">
        <f aca="false">INDEX(Вводные!$D$13:$F$64,MATCH($A48,Вводные!$A$13:$A$64,0),MATCH(GD$3,Вводные!$D$11:$F$11,0))*(1+IF(GD$4=$A48,Вводные!$D$5*INDEX(Вводные!$G$13:$G$64,MATCH($A48,Вводные!$A$13:$A$64,0)),0))</f>
        <v>0.35</v>
      </c>
      <c r="GE48" s="32" t="n">
        <f aca="false">INDEX(Вводные!$D$13:$F$64,MATCH($A48,Вводные!$A$13:$A$64,0),MATCH(GE$3,Вводные!$D$11:$F$11,0))*(1+IF(GE$4=$A48,Вводные!$D$5*INDEX(Вводные!$G$13:$G$64,MATCH($A48,Вводные!$A$13:$A$64,0)),0))</f>
        <v>0.35</v>
      </c>
      <c r="GF48" s="32" t="n">
        <f aca="false">INDEX(Вводные!$D$13:$F$64,MATCH($A48,Вводные!$A$13:$A$64,0),MATCH(GF$3,Вводные!$D$11:$F$11,0))*(1+IF(GF$4=$A48,Вводные!$D$5*INDEX(Вводные!$G$13:$G$64,MATCH($A48,Вводные!$A$13:$A$64,0)),0))</f>
        <v>0.35</v>
      </c>
      <c r="GG48" s="32" t="n">
        <f aca="false">INDEX(Вводные!$D$13:$F$64,MATCH($A48,Вводные!$A$13:$A$64,0),MATCH(GG$3,Вводные!$D$11:$F$11,0))*(1+IF(GG$4=$A48,Вводные!$D$5*INDEX(Вводные!$G$13:$G$64,MATCH($A48,Вводные!$A$13:$A$64,0)),0))</f>
        <v>0.35</v>
      </c>
      <c r="GH48" s="32" t="n">
        <f aca="false">INDEX(Вводные!$D$13:$F$64,MATCH($A48,Вводные!$A$13:$A$64,0),MATCH(GH$3,Вводные!$D$11:$F$11,0))*(1+IF(GH$4=$A48,Вводные!$D$5*INDEX(Вводные!$G$13:$G$64,MATCH($A48,Вводные!$A$13:$A$64,0)),0))</f>
        <v>0.35</v>
      </c>
      <c r="GI48" s="32" t="n">
        <f aca="false">INDEX(Вводные!$D$13:$F$64,MATCH($A48,Вводные!$A$13:$A$64,0),MATCH(GI$3,Вводные!$D$11:$F$11,0))*(1+IF(GI$4=$A48,Вводные!$D$5*INDEX(Вводные!$G$13:$G$64,MATCH($A48,Вводные!$A$13:$A$64,0)),0))</f>
        <v>0.35</v>
      </c>
      <c r="GJ48" s="32" t="n">
        <f aca="false">INDEX(Вводные!$D$13:$F$64,MATCH($A48,Вводные!$A$13:$A$64,0),MATCH(GJ$3,Вводные!$D$11:$F$11,0))*(1+IF(GJ$4=$A48,Вводные!$D$5*INDEX(Вводные!$G$13:$G$64,MATCH($A48,Вводные!$A$13:$A$64,0)),0))</f>
        <v>0.35</v>
      </c>
      <c r="GK48" s="32" t="n">
        <f aca="false">INDEX(Вводные!$D$13:$F$64,MATCH($A48,Вводные!$A$13:$A$64,0),MATCH(GK$3,Вводные!$D$11:$F$11,0))*(1+IF(GK$4=$A48,Вводные!$D$5*INDEX(Вводные!$G$13:$G$64,MATCH($A48,Вводные!$A$13:$A$64,0)),0))</f>
        <v>0.35</v>
      </c>
      <c r="GL48" s="32" t="n">
        <f aca="false">INDEX(Вводные!$D$13:$F$64,MATCH($A48,Вводные!$A$13:$A$64,0),MATCH(GL$3,Вводные!$D$11:$F$11,0))*(1+IF(GL$4=$A48,Вводные!$D$5*INDEX(Вводные!$G$13:$G$64,MATCH($A48,Вводные!$A$13:$A$64,0)),0))</f>
        <v>0.35</v>
      </c>
      <c r="GM48" s="32" t="n">
        <f aca="false">INDEX(Вводные!$D$13:$F$64,MATCH($A48,Вводные!$A$13:$A$64,0),MATCH(GM$3,Вводные!$D$11:$F$11,0))*(1+IF(GM$4=$A48,Вводные!$D$5*INDEX(Вводные!$G$13:$G$64,MATCH($A48,Вводные!$A$13:$A$64,0)),0))</f>
        <v>0.35</v>
      </c>
      <c r="GN48" s="32" t="n">
        <f aca="false">INDEX(Вводные!$D$13:$F$64,MATCH($A48,Вводные!$A$13:$A$64,0),MATCH(GN$3,Вводные!$D$11:$F$11,0))*(1+IF(GN$4=$A48,Вводные!$D$5*INDEX(Вводные!$G$13:$G$64,MATCH($A48,Вводные!$A$13:$A$64,0)),0))</f>
        <v>0.35</v>
      </c>
      <c r="GO48" s="32" t="n">
        <f aca="false">INDEX(Вводные!$D$13:$F$64,MATCH($A48,Вводные!$A$13:$A$64,0),MATCH(GO$3,Вводные!$D$11:$F$11,0))*(1+IF(GO$4=$A48,Вводные!$D$5*INDEX(Вводные!$G$13:$G$64,MATCH($A48,Вводные!$A$13:$A$64,0)),0))</f>
        <v>0.35</v>
      </c>
      <c r="GP48" s="32" t="n">
        <f aca="false">INDEX(Вводные!$D$13:$F$64,MATCH($A48,Вводные!$A$13:$A$64,0),MATCH(GP$3,Вводные!$D$11:$F$11,0))*(1+IF(GP$4=$A48,Вводные!$D$5*INDEX(Вводные!$G$13:$G$64,MATCH($A48,Вводные!$A$13:$A$64,0)),0))</f>
        <v>0.35</v>
      </c>
      <c r="GQ48" s="32" t="n">
        <f aca="false">INDEX(Вводные!$D$13:$F$64,MATCH($A48,Вводные!$A$13:$A$64,0),MATCH(GQ$3,Вводные!$D$11:$F$11,0))*(1+IF(GQ$4=$A48,Вводные!$D$5*INDEX(Вводные!$G$13:$G$64,MATCH($A48,Вводные!$A$13:$A$64,0)),0))</f>
        <v>0.35</v>
      </c>
      <c r="GR48" s="32" t="n">
        <f aca="false">INDEX(Вводные!$D$13:$F$64,MATCH($A48,Вводные!$A$13:$A$64,0),MATCH(GR$3,Вводные!$D$11:$F$11,0))*(1+IF(GR$4=$A48,Вводные!$D$5*INDEX(Вводные!$G$13:$G$64,MATCH($A48,Вводные!$A$13:$A$64,0)),0))</f>
        <v>0.3535</v>
      </c>
      <c r="GS48" s="32" t="n">
        <f aca="false">INDEX(Вводные!$D$13:$F$64,MATCH($A48,Вводные!$A$13:$A$64,0),MATCH(GS$3,Вводные!$D$11:$F$11,0))*(1+IF(GS$4=$A48,Вводные!$D$5*INDEX(Вводные!$G$13:$G$64,MATCH($A48,Вводные!$A$13:$A$64,0)),0))</f>
        <v>0.35</v>
      </c>
      <c r="GT48" s="32" t="n">
        <f aca="false">INDEX(Вводные!$D$13:$F$64,MATCH($A48,Вводные!$A$13:$A$64,0),MATCH(GT$3,Вводные!$D$11:$F$11,0))*(1+IF(GT$4=$A48,Вводные!$D$5*INDEX(Вводные!$G$13:$G$64,MATCH($A48,Вводные!$A$13:$A$64,0)),0))</f>
        <v>0.35</v>
      </c>
      <c r="GU48" s="32" t="n">
        <f aca="false">INDEX(Вводные!$D$13:$F$64,MATCH($A48,Вводные!$A$13:$A$64,0),MATCH(GU$3,Вводные!$D$11:$F$11,0))*(1+IF(GU$4=$A48,Вводные!$D$5*INDEX(Вводные!$G$13:$G$64,MATCH($A48,Вводные!$A$13:$A$64,0)),0))</f>
        <v>0.35</v>
      </c>
      <c r="GV48" s="32" t="n">
        <f aca="false">INDEX(Вводные!$D$13:$F$64,MATCH($A48,Вводные!$A$13:$A$64,0),MATCH(GV$3,Вводные!$D$11:$F$11,0))*(1+IF(GV$4=$A48,Вводные!$D$5*INDEX(Вводные!$G$13:$G$64,MATCH($A48,Вводные!$A$13:$A$64,0)),0))</f>
        <v>0.35</v>
      </c>
      <c r="GW48" s="32" t="n">
        <f aca="false">INDEX(Вводные!$D$13:$F$64,MATCH($A48,Вводные!$A$13:$A$64,0),MATCH(GW$3,Вводные!$D$11:$F$11,0))*(1+IF(GW$4=$A48,Вводные!$D$5*INDEX(Вводные!$G$13:$G$64,MATCH($A48,Вводные!$A$13:$A$64,0)),0))</f>
        <v>0.35</v>
      </c>
      <c r="GX48" s="32" t="n">
        <f aca="false">INDEX(Вводные!$D$13:$F$64,MATCH($A48,Вводные!$A$13:$A$64,0),MATCH(GX$3,Вводные!$D$11:$F$11,0))*(1+IF(GX$4=$A48,Вводные!$D$5*INDEX(Вводные!$G$13:$G$64,MATCH($A48,Вводные!$A$13:$A$64,0)),0))</f>
        <v>0.35</v>
      </c>
      <c r="GY48" s="32" t="n">
        <f aca="false">INDEX(Вводные!$D$13:$F$64,MATCH($A48,Вводные!$A$13:$A$64,0),MATCH(GY$3,Вводные!$D$11:$F$11,0))*(1+IF(GY$4=$A48,Вводные!$D$5*INDEX(Вводные!$G$13:$G$64,MATCH($A48,Вводные!$A$13:$A$64,0)),0))</f>
        <v>0.35</v>
      </c>
      <c r="GZ48" s="32" t="n">
        <f aca="false">INDEX(Вводные!$D$13:$F$64,MATCH($A48,Вводные!$A$13:$A$64,0),MATCH(GZ$3,Вводные!$D$11:$F$11,0))*(1+IF(GZ$4=$A48,Вводные!$D$5*INDEX(Вводные!$G$13:$G$64,MATCH($A48,Вводные!$A$13:$A$64,0)),0))</f>
        <v>0.35</v>
      </c>
      <c r="HA48" s="32" t="n">
        <f aca="false">INDEX(Вводные!$D$13:$F$64,MATCH($A48,Вводные!$A$13:$A$64,0),MATCH(HA$3,Вводные!$D$11:$F$11,0))*(1+IF(HA$4=$A48,Вводные!$D$5*INDEX(Вводные!$G$13:$G$64,MATCH($A48,Вводные!$A$13:$A$64,0)),0))</f>
        <v>0.35</v>
      </c>
      <c r="HB48" s="32" t="n">
        <f aca="false">INDEX(Вводные!$D$13:$F$64,MATCH($A48,Вводные!$A$13:$A$64,0),MATCH(HB$3,Вводные!$D$11:$F$11,0))*(1+IF(HB$4=$A48,Вводные!$D$5*INDEX(Вводные!$G$13:$G$64,MATCH($A48,Вводные!$A$13:$A$64,0)),0))</f>
        <v>0.35</v>
      </c>
      <c r="HC48" s="32" t="n">
        <f aca="false">INDEX(Вводные!$D$13:$F$64,MATCH($A48,Вводные!$A$13:$A$64,0),MATCH(HC$3,Вводные!$D$11:$F$11,0))*(1+IF(HC$4=$A48,Вводные!$D$5*INDEX(Вводные!$G$13:$G$64,MATCH($A48,Вводные!$A$13:$A$64,0)),0))</f>
        <v>0.35</v>
      </c>
      <c r="HD48" s="32" t="n">
        <f aca="false">INDEX(Вводные!$D$13:$F$64,MATCH($A48,Вводные!$A$13:$A$64,0),MATCH(HD$3,Вводные!$D$11:$F$11,0))*(1+IF(HD$4=$A48,Вводные!$D$5*INDEX(Вводные!$G$13:$G$64,MATCH($A48,Вводные!$A$13:$A$64,0)),0))</f>
        <v>0.35</v>
      </c>
      <c r="HE48" s="32" t="n">
        <f aca="false">INDEX(Вводные!$D$13:$F$64,MATCH($A48,Вводные!$A$13:$A$64,0),MATCH(HE$3,Вводные!$D$11:$F$11,0))*(1+IF(HE$4=$A48,Вводные!$D$5*INDEX(Вводные!$G$13:$G$64,MATCH($A48,Вводные!$A$13:$A$64,0)),0))</f>
        <v>0.35</v>
      </c>
      <c r="HF48" s="32" t="n">
        <f aca="false">INDEX(Вводные!$D$13:$F$64,MATCH($A48,Вводные!$A$13:$A$64,0),MATCH(HF$3,Вводные!$D$11:$F$11,0))*(1+IF(HF$4=$A48,Вводные!$D$5*INDEX(Вводные!$G$13:$G$64,MATCH($A48,Вводные!$A$13:$A$64,0)),0))</f>
        <v>0.35</v>
      </c>
      <c r="HG48" s="32" t="n">
        <f aca="false">INDEX(Вводные!$D$13:$F$64,MATCH($A48,Вводные!$A$13:$A$64,0),MATCH(HG$3,Вводные!$D$11:$F$11,0))*(1+IF(HG$4=$A48,Вводные!$D$5*INDEX(Вводные!$G$13:$G$64,MATCH($A48,Вводные!$A$13:$A$64,0)),0))</f>
        <v>0.35</v>
      </c>
      <c r="HH48" s="32" t="n">
        <f aca="false">INDEX(Вводные!$D$13:$F$64,MATCH($A48,Вводные!$A$13:$A$64,0),MATCH(HH$3,Вводные!$D$11:$F$11,0))*(1+IF(HH$4=$A48,Вводные!$D$5*INDEX(Вводные!$G$13:$G$64,MATCH($A48,Вводные!$A$13:$A$64,0)),0))</f>
        <v>0.35</v>
      </c>
      <c r="HI48" s="32" t="n">
        <f aca="false">INDEX(Вводные!$D$13:$F$64,MATCH($A48,Вводные!$A$13:$A$64,0),MATCH(HI$3,Вводные!$D$11:$F$11,0))*(1+IF(HI$4=$A48,Вводные!$D$5*INDEX(Вводные!$G$13:$G$64,MATCH($A48,Вводные!$A$13:$A$64,0)),0))</f>
        <v>0.35</v>
      </c>
      <c r="HJ48" s="32" t="n">
        <f aca="false">INDEX(Вводные!$D$13:$F$64,MATCH($A48,Вводные!$A$13:$A$64,0),MATCH(HJ$3,Вводные!$D$11:$F$11,0))*(1+IF(HJ$4=$A48,Вводные!$D$5*INDEX(Вводные!$G$13:$G$64,MATCH($A48,Вводные!$A$13:$A$64,0)),0))</f>
        <v>0.35</v>
      </c>
      <c r="HK48" s="32" t="n">
        <f aca="false">INDEX(Вводные!$D$13:$F$64,MATCH($A48,Вводные!$A$13:$A$64,0),MATCH(HK$3,Вводные!$D$11:$F$11,0))*(1+IF(HK$4=$A48,Вводные!$D$5*INDEX(Вводные!$G$13:$G$64,MATCH($A48,Вводные!$A$13:$A$64,0)),0))</f>
        <v>0.35</v>
      </c>
      <c r="HL48" s="32" t="n">
        <f aca="false">INDEX(Вводные!$D$13:$F$64,MATCH($A48,Вводные!$A$13:$A$64,0),MATCH(HL$3,Вводные!$D$11:$F$11,0))*(1+IF(HL$4=$A48,Вводные!$D$5*INDEX(Вводные!$G$13:$G$64,MATCH($A48,Вводные!$A$13:$A$64,0)),0))</f>
        <v>0.05</v>
      </c>
      <c r="HM48" s="32" t="n">
        <f aca="false">INDEX(Вводные!$D$13:$F$64,MATCH($A48,Вводные!$A$13:$A$64,0),MATCH(HM$3,Вводные!$D$11:$F$11,0))*(1+IF(HM$4=$A48,Вводные!$D$5*INDEX(Вводные!$G$13:$G$64,MATCH($A48,Вводные!$A$13:$A$64,0)),0))</f>
        <v>0.05</v>
      </c>
      <c r="HN48" s="32" t="n">
        <f aca="false">INDEX(Вводные!$D$13:$F$64,MATCH($A48,Вводные!$A$13:$A$64,0),MATCH(HN$3,Вводные!$D$11:$F$11,0))*(1+IF(HN$4=$A48,Вводные!$D$5*INDEX(Вводные!$G$13:$G$64,MATCH($A48,Вводные!$A$13:$A$64,0)),0))</f>
        <v>0.05</v>
      </c>
      <c r="HO48" s="32" t="n">
        <f aca="false">INDEX(Вводные!$D$13:$F$64,MATCH($A48,Вводные!$A$13:$A$64,0),MATCH(HO$3,Вводные!$D$11:$F$11,0))*(1+IF(HO$4=$A48,Вводные!$D$5*INDEX(Вводные!$G$13:$G$64,MATCH($A48,Вводные!$A$13:$A$64,0)),0))</f>
        <v>0.05</v>
      </c>
      <c r="HP48" s="32" t="n">
        <f aca="false">INDEX(Вводные!$D$13:$F$64,MATCH($A48,Вводные!$A$13:$A$64,0),MATCH(HP$3,Вводные!$D$11:$F$11,0))*(1+IF(HP$4=$A48,Вводные!$D$5*INDEX(Вводные!$G$13:$G$64,MATCH($A48,Вводные!$A$13:$A$64,0)),0))</f>
        <v>0.05</v>
      </c>
      <c r="HQ48" s="32" t="n">
        <f aca="false">INDEX(Вводные!$D$13:$F$64,MATCH($A48,Вводные!$A$13:$A$64,0),MATCH(HQ$3,Вводные!$D$11:$F$11,0))*(1+IF(HQ$4=$A48,Вводные!$D$5*INDEX(Вводные!$G$13:$G$64,MATCH($A48,Вводные!$A$13:$A$64,0)),0))</f>
        <v>0.05</v>
      </c>
      <c r="HR48" s="32" t="n">
        <f aca="false">INDEX(Вводные!$D$13:$F$64,MATCH($A48,Вводные!$A$13:$A$64,0),MATCH(HR$3,Вводные!$D$11:$F$11,0))*(1+IF(HR$4=$A48,Вводные!$D$5*INDEX(Вводные!$G$13:$G$64,MATCH($A48,Вводные!$A$13:$A$64,0)),0))</f>
        <v>0.05</v>
      </c>
      <c r="HS48" s="32" t="n">
        <f aca="false">INDEX(Вводные!$D$13:$F$64,MATCH($A48,Вводные!$A$13:$A$64,0),MATCH(HS$3,Вводные!$D$11:$F$11,0))*(1+IF(HS$4=$A48,Вводные!$D$5*INDEX(Вводные!$G$13:$G$64,MATCH($A48,Вводные!$A$13:$A$64,0)),0))</f>
        <v>0.05</v>
      </c>
      <c r="HT48" s="32" t="n">
        <f aca="false">INDEX(Вводные!$D$13:$F$64,MATCH($A48,Вводные!$A$13:$A$64,0),MATCH(HT$3,Вводные!$D$11:$F$11,0))*(1+IF(HT$4=$A48,Вводные!$D$5*INDEX(Вводные!$G$13:$G$64,MATCH($A48,Вводные!$A$13:$A$64,0)),0))</f>
        <v>0.05</v>
      </c>
      <c r="HU48" s="32" t="n">
        <f aca="false">INDEX(Вводные!$D$13:$F$64,MATCH($A48,Вводные!$A$13:$A$64,0),MATCH(HU$3,Вводные!$D$11:$F$11,0))*(1+IF(HU$4=$A48,Вводные!$D$5*INDEX(Вводные!$G$13:$G$64,MATCH($A48,Вводные!$A$13:$A$64,0)),0))</f>
        <v>0.05</v>
      </c>
      <c r="HV48" s="32" t="n">
        <f aca="false">INDEX(Вводные!$D$13:$F$64,MATCH($A48,Вводные!$A$13:$A$64,0),MATCH(HV$3,Вводные!$D$11:$F$11,0))*(1+IF(HV$4=$A48,Вводные!$D$5*INDEX(Вводные!$G$13:$G$64,MATCH($A48,Вводные!$A$13:$A$64,0)),0))</f>
        <v>0.05</v>
      </c>
      <c r="HW48" s="32" t="n">
        <f aca="false">INDEX(Вводные!$D$13:$F$64,MATCH($A48,Вводные!$A$13:$A$64,0),MATCH(HW$3,Вводные!$D$11:$F$11,0))*(1+IF(HW$4=$A48,Вводные!$D$5*INDEX(Вводные!$G$13:$G$64,MATCH($A48,Вводные!$A$13:$A$64,0)),0))</f>
        <v>0.05</v>
      </c>
      <c r="HX48" s="32" t="n">
        <f aca="false">INDEX(Вводные!$D$13:$F$64,MATCH($A48,Вводные!$A$13:$A$64,0),MATCH(HX$3,Вводные!$D$11:$F$11,0))*(1+IF(HX$4=$A48,Вводные!$D$5*INDEX(Вводные!$G$13:$G$64,MATCH($A48,Вводные!$A$13:$A$64,0)),0))</f>
        <v>0.05</v>
      </c>
      <c r="HY48" s="32" t="n">
        <f aca="false">INDEX(Вводные!$D$13:$F$64,MATCH($A48,Вводные!$A$13:$A$64,0),MATCH(HY$3,Вводные!$D$11:$F$11,0))*(1+IF(HY$4=$A48,Вводные!$D$5*INDEX(Вводные!$G$13:$G$64,MATCH($A48,Вводные!$A$13:$A$64,0)),0))</f>
        <v>0.05</v>
      </c>
      <c r="HZ48" s="32" t="n">
        <f aca="false">INDEX(Вводные!$D$13:$F$64,MATCH($A48,Вводные!$A$13:$A$64,0),MATCH(HZ$3,Вводные!$D$11:$F$11,0))*(1+IF(HZ$4=$A48,Вводные!$D$5*INDEX(Вводные!$G$13:$G$64,MATCH($A48,Вводные!$A$13:$A$64,0)),0))</f>
        <v>0.05</v>
      </c>
      <c r="IA48" s="32" t="n">
        <f aca="false">INDEX(Вводные!$D$13:$F$64,MATCH($A48,Вводные!$A$13:$A$64,0),MATCH(IA$3,Вводные!$D$11:$F$11,0))*(1+IF(IA$4=$A48,Вводные!$D$5*INDEX(Вводные!$G$13:$G$64,MATCH($A48,Вводные!$A$13:$A$64,0)),0))</f>
        <v>0.05</v>
      </c>
      <c r="IB48" s="32" t="n">
        <f aca="false">INDEX(Вводные!$D$13:$F$64,MATCH($A48,Вводные!$A$13:$A$64,0),MATCH(IB$3,Вводные!$D$11:$F$11,0))*(1+IF(IB$4=$A48,Вводные!$D$5*INDEX(Вводные!$G$13:$G$64,MATCH($A48,Вводные!$A$13:$A$64,0)),0))</f>
        <v>0.05</v>
      </c>
      <c r="IC48" s="32" t="n">
        <f aca="false">INDEX(Вводные!$D$13:$F$64,MATCH($A48,Вводные!$A$13:$A$64,0),MATCH(IC$3,Вводные!$D$11:$F$11,0))*(1+IF(IC$4=$A48,Вводные!$D$5*INDEX(Вводные!$G$13:$G$64,MATCH($A48,Вводные!$A$13:$A$64,0)),0))</f>
        <v>0.05</v>
      </c>
      <c r="ID48" s="32" t="n">
        <f aca="false">INDEX(Вводные!$D$13:$F$64,MATCH($A48,Вводные!$A$13:$A$64,0),MATCH(ID$3,Вводные!$D$11:$F$11,0))*(1+IF(ID$4=$A48,Вводные!$D$5*INDEX(Вводные!$G$13:$G$64,MATCH($A48,Вводные!$A$13:$A$64,0)),0))</f>
        <v>0.05</v>
      </c>
      <c r="IE48" s="32" t="n">
        <f aca="false">INDEX(Вводные!$D$13:$F$64,MATCH($A48,Вводные!$A$13:$A$64,0),MATCH(IE$3,Вводные!$D$11:$F$11,0))*(1+IF(IE$4=$A48,Вводные!$D$5*INDEX(Вводные!$G$13:$G$64,MATCH($A48,Вводные!$A$13:$A$64,0)),0))</f>
        <v>0.05</v>
      </c>
      <c r="IF48" s="32" t="n">
        <f aca="false">INDEX(Вводные!$D$13:$F$64,MATCH($A48,Вводные!$A$13:$A$64,0),MATCH(IF$3,Вводные!$D$11:$F$11,0))*(1+IF(IF$4=$A48,Вводные!$D$5*INDEX(Вводные!$G$13:$G$64,MATCH($A48,Вводные!$A$13:$A$64,0)),0))</f>
        <v>0.05</v>
      </c>
      <c r="IG48" s="32" t="n">
        <f aca="false">INDEX(Вводные!$D$13:$F$64,MATCH($A48,Вводные!$A$13:$A$64,0),MATCH(IG$3,Вводные!$D$11:$F$11,0))*(1+IF(IG$4=$A48,Вводные!$D$5*INDEX(Вводные!$G$13:$G$64,MATCH($A48,Вводные!$A$13:$A$64,0)),0))</f>
        <v>0.05</v>
      </c>
      <c r="IH48" s="32" t="n">
        <f aca="false">INDEX(Вводные!$D$13:$F$64,MATCH($A48,Вводные!$A$13:$A$64,0),MATCH(IH$3,Вводные!$D$11:$F$11,0))*(1+IF(IH$4=$A48,Вводные!$D$5*INDEX(Вводные!$G$13:$G$64,MATCH($A48,Вводные!$A$13:$A$64,0)),0))</f>
        <v>0.0505</v>
      </c>
      <c r="II48" s="32" t="n">
        <f aca="false">INDEX(Вводные!$D$13:$F$64,MATCH($A48,Вводные!$A$13:$A$64,0),MATCH(II$3,Вводные!$D$11:$F$11,0))*(1+IF(II$4=$A48,Вводные!$D$5*INDEX(Вводные!$G$13:$G$64,MATCH($A48,Вводные!$A$13:$A$64,0)),0))</f>
        <v>0.05</v>
      </c>
      <c r="IJ48" s="32" t="n">
        <f aca="false">INDEX(Вводные!$D$13:$F$64,MATCH($A48,Вводные!$A$13:$A$64,0),MATCH(IJ$3,Вводные!$D$11:$F$11,0))*(1+IF(IJ$4=$A48,Вводные!$D$5*INDEX(Вводные!$G$13:$G$64,MATCH($A48,Вводные!$A$13:$A$64,0)),0))</f>
        <v>0.05</v>
      </c>
      <c r="IK48" s="32" t="n">
        <f aca="false">INDEX(Вводные!$D$13:$F$64,MATCH($A48,Вводные!$A$13:$A$64,0),MATCH(IK$3,Вводные!$D$11:$F$11,0))*(1+IF(IK$4=$A48,Вводные!$D$5*INDEX(Вводные!$G$13:$G$64,MATCH($A48,Вводные!$A$13:$A$64,0)),0))</f>
        <v>0.05</v>
      </c>
      <c r="IL48" s="32" t="n">
        <f aca="false">INDEX(Вводные!$D$13:$F$64,MATCH($A48,Вводные!$A$13:$A$64,0),MATCH(IL$3,Вводные!$D$11:$F$11,0))*(1+IF(IL$4=$A48,Вводные!$D$5*INDEX(Вводные!$G$13:$G$64,MATCH($A48,Вводные!$A$13:$A$64,0)),0))</f>
        <v>0.05</v>
      </c>
      <c r="IM48" s="32" t="n">
        <f aca="false">INDEX(Вводные!$D$13:$F$64,MATCH($A48,Вводные!$A$13:$A$64,0),MATCH(IM$3,Вводные!$D$11:$F$11,0))*(1+IF(IM$4=$A48,Вводные!$D$5*INDEX(Вводные!$G$13:$G$64,MATCH($A48,Вводные!$A$13:$A$64,0)),0))</f>
        <v>0.05</v>
      </c>
      <c r="IN48" s="32" t="n">
        <f aca="false">INDEX(Вводные!$D$13:$F$64,MATCH($A48,Вводные!$A$13:$A$64,0),MATCH(IN$3,Вводные!$D$11:$F$11,0))*(1+IF(IN$4=$A48,Вводные!$D$5*INDEX(Вводные!$G$13:$G$64,MATCH($A48,Вводные!$A$13:$A$64,0)),0))</f>
        <v>0.05</v>
      </c>
      <c r="IO48" s="32" t="n">
        <f aca="false">INDEX(Вводные!$D$13:$F$64,MATCH($A48,Вводные!$A$13:$A$64,0),MATCH(IO$3,Вводные!$D$11:$F$11,0))*(1+IF(IO$4=$A48,Вводные!$D$5*INDEX(Вводные!$G$13:$G$64,MATCH($A48,Вводные!$A$13:$A$64,0)),0))</f>
        <v>0.05</v>
      </c>
      <c r="IP48" s="32" t="n">
        <f aca="false">INDEX(Вводные!$D$13:$F$64,MATCH($A48,Вводные!$A$13:$A$64,0),MATCH(IP$3,Вводные!$D$11:$F$11,0))*(1+IF(IP$4=$A48,Вводные!$D$5*INDEX(Вводные!$G$13:$G$64,MATCH($A48,Вводные!$A$13:$A$64,0)),0))</f>
        <v>0.05</v>
      </c>
      <c r="IQ48" s="32" t="n">
        <f aca="false">INDEX(Вводные!$D$13:$F$64,MATCH($A48,Вводные!$A$13:$A$64,0),MATCH(IQ$3,Вводные!$D$11:$F$11,0))*(1+IF(IQ$4=$A48,Вводные!$D$5*INDEX(Вводные!$G$13:$G$64,MATCH($A48,Вводные!$A$13:$A$64,0)),0))</f>
        <v>0.05</v>
      </c>
      <c r="IR48" s="32" t="n">
        <f aca="false">INDEX(Вводные!$D$13:$F$64,MATCH($A48,Вводные!$A$13:$A$64,0),MATCH(IR$3,Вводные!$D$11:$F$11,0))*(1+IF(IR$4=$A48,Вводные!$D$5*INDEX(Вводные!$G$13:$G$64,MATCH($A48,Вводные!$A$13:$A$64,0)),0))</f>
        <v>0.05</v>
      </c>
      <c r="IS48" s="32" t="n">
        <f aca="false">INDEX(Вводные!$D$13:$F$64,MATCH($A48,Вводные!$A$13:$A$64,0),MATCH(IS$3,Вводные!$D$11:$F$11,0))*(1+IF(IS$4=$A48,Вводные!$D$5*INDEX(Вводные!$G$13:$G$64,MATCH($A48,Вводные!$A$13:$A$64,0)),0))</f>
        <v>0.05</v>
      </c>
      <c r="IT48" s="32" t="n">
        <f aca="false">INDEX(Вводные!$D$13:$F$64,MATCH($A48,Вводные!$A$13:$A$64,0),MATCH(IT$3,Вводные!$D$11:$F$11,0))*(1+IF(IT$4=$A48,Вводные!$D$5*INDEX(Вводные!$G$13:$G$64,MATCH($A48,Вводные!$A$13:$A$64,0)),0))</f>
        <v>0.05</v>
      </c>
      <c r="IU48" s="32" t="n">
        <f aca="false">INDEX(Вводные!$D$13:$F$64,MATCH($A48,Вводные!$A$13:$A$64,0),MATCH(IU$3,Вводные!$D$11:$F$11,0))*(1+IF(IU$4=$A48,Вводные!$D$5*INDEX(Вводные!$G$13:$G$64,MATCH($A48,Вводные!$A$13:$A$64,0)),0))</f>
        <v>0.05</v>
      </c>
      <c r="IV48" s="32" t="n">
        <f aca="false">INDEX(Вводные!$D$13:$F$64,MATCH($A48,Вводные!$A$13:$A$64,0),MATCH(IV$3,Вводные!$D$11:$F$11,0))*(1+IF(IV$4=$A48,Вводные!$D$5*INDEX(Вводные!$G$13:$G$64,MATCH($A48,Вводные!$A$13:$A$64,0)),0))</f>
        <v>0.05</v>
      </c>
      <c r="IW48" s="32" t="n">
        <f aca="false">INDEX(Вводные!$D$13:$F$64,MATCH($A48,Вводные!$A$13:$A$64,0),MATCH(IW$3,Вводные!$D$11:$F$11,0))*(1+IF(IW$4=$A48,Вводные!$D$5*INDEX(Вводные!$G$13:$G$64,MATCH($A48,Вводные!$A$13:$A$64,0)),0))</f>
        <v>0.05</v>
      </c>
      <c r="IX48" s="32" t="n">
        <f aca="false">INDEX(Вводные!$D$13:$F$64,MATCH($A48,Вводные!$A$13:$A$64,0),MATCH(IX$3,Вводные!$D$11:$F$11,0))*(1+IF(IX$4=$A48,Вводные!$D$5*INDEX(Вводные!$G$13:$G$64,MATCH($A48,Вводные!$A$13:$A$64,0)),0))</f>
        <v>0.05</v>
      </c>
      <c r="IY48" s="32" t="n">
        <f aca="false">INDEX(Вводные!$D$13:$F$64,MATCH($A48,Вводные!$A$13:$A$64,0),MATCH(IY$3,Вводные!$D$11:$F$11,0))*(1+IF(IY$4=$A48,Вводные!$D$5*INDEX(Вводные!$G$13:$G$64,MATCH($A48,Вводные!$A$13:$A$64,0)),0))</f>
        <v>0.05</v>
      </c>
      <c r="IZ48" s="32" t="n">
        <f aca="false">INDEX(Вводные!$D$13:$F$64,MATCH($A48,Вводные!$A$13:$A$64,0),MATCH(IZ$3,Вводные!$D$11:$F$11,0))*(1+IF(IZ$4=$A48,Вводные!$D$5*INDEX(Вводные!$G$13:$G$64,MATCH($A48,Вводные!$A$13:$A$64,0)),0))</f>
        <v>0.05</v>
      </c>
      <c r="JA48" s="32" t="n">
        <f aca="false">INDEX(Вводные!$D$13:$F$64,MATCH($A48,Вводные!$A$13:$A$64,0),MATCH(JA$3,Вводные!$D$11:$F$11,0))*(1+IF(JA$4=$A48,Вводные!$D$5*INDEX(Вводные!$G$13:$G$64,MATCH($A48,Вводные!$A$13:$A$64,0)),0))</f>
        <v>0.05</v>
      </c>
    </row>
    <row r="49" customFormat="false" ht="15" hidden="false" customHeight="false" outlineLevel="0" collapsed="false">
      <c r="A49" s="13" t="s">
        <v>239</v>
      </c>
      <c r="B49" s="13" t="s">
        <v>240</v>
      </c>
      <c r="C49" s="13" t="s">
        <v>179</v>
      </c>
      <c r="D49" s="9" t="s">
        <v>36</v>
      </c>
      <c r="E49" s="14" t="n">
        <f aca="false">INDEX(Вводные!$D$13:$F$64,MATCH($A49,Вводные!$A$13:$A$64,0),MATCH(E$3,Вводные!$D$11:$F$11,0))*(1+IF(E$4=$A49,Вводные!$D$5*INDEX(Вводные!$G$13:$G$64,MATCH($A49,Вводные!$A$13:$A$64,0)),0))</f>
        <v>3000</v>
      </c>
      <c r="F49" s="14" t="n">
        <f aca="false">INDEX(Вводные!$D$13:$F$64,MATCH($A49,Вводные!$A$13:$A$64,0),MATCH(F$3,Вводные!$D$11:$F$11,0))*(1+IF(F$4=$A49,Вводные!$D$5*INDEX(Вводные!$G$13:$G$64,MATCH($A49,Вводные!$A$13:$A$64,0)),0))</f>
        <v>80000</v>
      </c>
      <c r="G49" s="14" t="n">
        <f aca="false">INDEX(Вводные!$D$13:$F$64,MATCH($A49,Вводные!$A$13:$A$64,0),MATCH(G$3,Вводные!$D$11:$F$11,0))*(1+IF(G$4=$A49,Вводные!$D$5*INDEX(Вводные!$G$13:$G$64,MATCH($A49,Вводные!$A$13:$A$64,0)),0))</f>
        <v>50000000</v>
      </c>
      <c r="H49" s="59"/>
      <c r="J49" s="14" t="n">
        <f aca="false">INDEX(Вводные!$D$13:$F$64,MATCH($A49,Вводные!$A$13:$A$64,0),MATCH(J$3,Вводные!$D$11:$F$11,0))*(1+IF(J$4=$A49,Вводные!$D$5*INDEX(Вводные!$G$13:$G$64,MATCH($A49,Вводные!$A$13:$A$64,0)),0))</f>
        <v>3000</v>
      </c>
      <c r="K49" s="14" t="n">
        <f aca="false">INDEX(Вводные!$D$13:$F$64,MATCH($A49,Вводные!$A$13:$A$64,0),MATCH(K$3,Вводные!$D$11:$F$11,0))*(1+IF(K$4=$A49,Вводные!$D$5*INDEX(Вводные!$G$13:$G$64,MATCH($A49,Вводные!$A$13:$A$64,0)),0))</f>
        <v>3000</v>
      </c>
      <c r="L49" s="14" t="n">
        <f aca="false">INDEX(Вводные!$D$13:$F$64,MATCH($A49,Вводные!$A$13:$A$64,0),MATCH(L$3,Вводные!$D$11:$F$11,0))*(1+IF(L$4=$A49,Вводные!$D$5*INDEX(Вводные!$G$13:$G$64,MATCH($A49,Вводные!$A$13:$A$64,0)),0))</f>
        <v>3000</v>
      </c>
      <c r="M49" s="14" t="n">
        <f aca="false">INDEX(Вводные!$D$13:$F$64,MATCH($A49,Вводные!$A$13:$A$64,0),MATCH(M$3,Вводные!$D$11:$F$11,0))*(1+IF(M$4=$A49,Вводные!$D$5*INDEX(Вводные!$G$13:$G$64,MATCH($A49,Вводные!$A$13:$A$64,0)),0))</f>
        <v>3000</v>
      </c>
      <c r="N49" s="14" t="n">
        <f aca="false">INDEX(Вводные!$D$13:$F$64,MATCH($A49,Вводные!$A$13:$A$64,0),MATCH(N$3,Вводные!$D$11:$F$11,0))*(1+IF(N$4=$A49,Вводные!$D$5*INDEX(Вводные!$G$13:$G$64,MATCH($A49,Вводные!$A$13:$A$64,0)),0))</f>
        <v>3000</v>
      </c>
      <c r="O49" s="14" t="n">
        <f aca="false">INDEX(Вводные!$D$13:$F$64,MATCH($A49,Вводные!$A$13:$A$64,0),MATCH(O$3,Вводные!$D$11:$F$11,0))*(1+IF(O$4=$A49,Вводные!$D$5*INDEX(Вводные!$G$13:$G$64,MATCH($A49,Вводные!$A$13:$A$64,0)),0))</f>
        <v>3000</v>
      </c>
      <c r="P49" s="14" t="n">
        <f aca="false">INDEX(Вводные!$D$13:$F$64,MATCH($A49,Вводные!$A$13:$A$64,0),MATCH(P$3,Вводные!$D$11:$F$11,0))*(1+IF(P$4=$A49,Вводные!$D$5*INDEX(Вводные!$G$13:$G$64,MATCH($A49,Вводные!$A$13:$A$64,0)),0))</f>
        <v>3000</v>
      </c>
      <c r="Q49" s="14" t="n">
        <f aca="false">INDEX(Вводные!$D$13:$F$64,MATCH($A49,Вводные!$A$13:$A$64,0),MATCH(Q$3,Вводные!$D$11:$F$11,0))*(1+IF(Q$4=$A49,Вводные!$D$5*INDEX(Вводные!$G$13:$G$64,MATCH($A49,Вводные!$A$13:$A$64,0)),0))</f>
        <v>3000</v>
      </c>
      <c r="R49" s="14" t="n">
        <f aca="false">INDEX(Вводные!$D$13:$F$64,MATCH($A49,Вводные!$A$13:$A$64,0),MATCH(R$3,Вводные!$D$11:$F$11,0))*(1+IF(R$4=$A49,Вводные!$D$5*INDEX(Вводные!$G$13:$G$64,MATCH($A49,Вводные!$A$13:$A$64,0)),0))</f>
        <v>3000</v>
      </c>
      <c r="S49" s="14" t="n">
        <f aca="false">INDEX(Вводные!$D$13:$F$64,MATCH($A49,Вводные!$A$13:$A$64,0),MATCH(S$3,Вводные!$D$11:$F$11,0))*(1+IF(S$4=$A49,Вводные!$D$5*INDEX(Вводные!$G$13:$G$64,MATCH($A49,Вводные!$A$13:$A$64,0)),0))</f>
        <v>3000</v>
      </c>
      <c r="T49" s="14" t="n">
        <f aca="false">INDEX(Вводные!$D$13:$F$64,MATCH($A49,Вводные!$A$13:$A$64,0),MATCH(T$3,Вводные!$D$11:$F$11,0))*(1+IF(T$4=$A49,Вводные!$D$5*INDEX(Вводные!$G$13:$G$64,MATCH($A49,Вводные!$A$13:$A$64,0)),0))</f>
        <v>3000</v>
      </c>
      <c r="U49" s="14" t="n">
        <f aca="false">INDEX(Вводные!$D$13:$F$64,MATCH($A49,Вводные!$A$13:$A$64,0),MATCH(U$3,Вводные!$D$11:$F$11,0))*(1+IF(U$4=$A49,Вводные!$D$5*INDEX(Вводные!$G$13:$G$64,MATCH($A49,Вводные!$A$13:$A$64,0)),0))</f>
        <v>3000</v>
      </c>
      <c r="V49" s="14" t="n">
        <f aca="false">INDEX(Вводные!$D$13:$F$64,MATCH($A49,Вводные!$A$13:$A$64,0),MATCH(V$3,Вводные!$D$11:$F$11,0))*(1+IF(V$4=$A49,Вводные!$D$5*INDEX(Вводные!$G$13:$G$64,MATCH($A49,Вводные!$A$13:$A$64,0)),0))</f>
        <v>3000</v>
      </c>
      <c r="W49" s="14" t="n">
        <f aca="false">INDEX(Вводные!$D$13:$F$64,MATCH($A49,Вводные!$A$13:$A$64,0),MATCH(W$3,Вводные!$D$11:$F$11,0))*(1+IF(W$4=$A49,Вводные!$D$5*INDEX(Вводные!$G$13:$G$64,MATCH($A49,Вводные!$A$13:$A$64,0)),0))</f>
        <v>3000</v>
      </c>
      <c r="X49" s="14" t="n">
        <f aca="false">INDEX(Вводные!$D$13:$F$64,MATCH($A49,Вводные!$A$13:$A$64,0),MATCH(X$3,Вводные!$D$11:$F$11,0))*(1+IF(X$4=$A49,Вводные!$D$5*INDEX(Вводные!$G$13:$G$64,MATCH($A49,Вводные!$A$13:$A$64,0)),0))</f>
        <v>3000</v>
      </c>
      <c r="Y49" s="14" t="n">
        <f aca="false">INDEX(Вводные!$D$13:$F$64,MATCH($A49,Вводные!$A$13:$A$64,0),MATCH(Y$3,Вводные!$D$11:$F$11,0))*(1+IF(Y$4=$A49,Вводные!$D$5*INDEX(Вводные!$G$13:$G$64,MATCH($A49,Вводные!$A$13:$A$64,0)),0))</f>
        <v>3000</v>
      </c>
      <c r="Z49" s="14" t="n">
        <f aca="false">INDEX(Вводные!$D$13:$F$64,MATCH($A49,Вводные!$A$13:$A$64,0),MATCH(Z$3,Вводные!$D$11:$F$11,0))*(1+IF(Z$4=$A49,Вводные!$D$5*INDEX(Вводные!$G$13:$G$64,MATCH($A49,Вводные!$A$13:$A$64,0)),0))</f>
        <v>3000</v>
      </c>
      <c r="AA49" s="14" t="n">
        <f aca="false">INDEX(Вводные!$D$13:$F$64,MATCH($A49,Вводные!$A$13:$A$64,0),MATCH(AA$3,Вводные!$D$11:$F$11,0))*(1+IF(AA$4=$A49,Вводные!$D$5*INDEX(Вводные!$G$13:$G$64,MATCH($A49,Вводные!$A$13:$A$64,0)),0))</f>
        <v>3000</v>
      </c>
      <c r="AB49" s="14" t="n">
        <f aca="false">INDEX(Вводные!$D$13:$F$64,MATCH($A49,Вводные!$A$13:$A$64,0),MATCH(AB$3,Вводные!$D$11:$F$11,0))*(1+IF(AB$4=$A49,Вводные!$D$5*INDEX(Вводные!$G$13:$G$64,MATCH($A49,Вводные!$A$13:$A$64,0)),0))</f>
        <v>3000</v>
      </c>
      <c r="AC49" s="14" t="n">
        <f aca="false">INDEX(Вводные!$D$13:$F$64,MATCH($A49,Вводные!$A$13:$A$64,0),MATCH(AC$3,Вводные!$D$11:$F$11,0))*(1+IF(AC$4=$A49,Вводные!$D$5*INDEX(Вводные!$G$13:$G$64,MATCH($A49,Вводные!$A$13:$A$64,0)),0))</f>
        <v>3000</v>
      </c>
      <c r="AD49" s="14" t="n">
        <f aca="false">INDEX(Вводные!$D$13:$F$64,MATCH($A49,Вводные!$A$13:$A$64,0),MATCH(AD$3,Вводные!$D$11:$F$11,0))*(1+IF(AD$4=$A49,Вводные!$D$5*INDEX(Вводные!$G$13:$G$64,MATCH($A49,Вводные!$A$13:$A$64,0)),0))</f>
        <v>3000</v>
      </c>
      <c r="AE49" s="14" t="n">
        <f aca="false">INDEX(Вводные!$D$13:$F$64,MATCH($A49,Вводные!$A$13:$A$64,0),MATCH(AE$3,Вводные!$D$11:$F$11,0))*(1+IF(AE$4=$A49,Вводные!$D$5*INDEX(Вводные!$G$13:$G$64,MATCH($A49,Вводные!$A$13:$A$64,0)),0))</f>
        <v>3000</v>
      </c>
      <c r="AF49" s="14" t="n">
        <f aca="false">INDEX(Вводные!$D$13:$F$64,MATCH($A49,Вводные!$A$13:$A$64,0),MATCH(AF$3,Вводные!$D$11:$F$11,0))*(1+IF(AF$4=$A49,Вводные!$D$5*INDEX(Вводные!$G$13:$G$64,MATCH($A49,Вводные!$A$13:$A$64,0)),0))</f>
        <v>3000</v>
      </c>
      <c r="AG49" s="14" t="n">
        <f aca="false">INDEX(Вводные!$D$13:$F$64,MATCH($A49,Вводные!$A$13:$A$64,0),MATCH(AG$3,Вводные!$D$11:$F$11,0))*(1+IF(AG$4=$A49,Вводные!$D$5*INDEX(Вводные!$G$13:$G$64,MATCH($A49,Вводные!$A$13:$A$64,0)),0))</f>
        <v>3030</v>
      </c>
      <c r="AH49" s="14" t="n">
        <f aca="false">INDEX(Вводные!$D$13:$F$64,MATCH($A49,Вводные!$A$13:$A$64,0),MATCH(AH$3,Вводные!$D$11:$F$11,0))*(1+IF(AH$4=$A49,Вводные!$D$5*INDEX(Вводные!$G$13:$G$64,MATCH($A49,Вводные!$A$13:$A$64,0)),0))</f>
        <v>3000</v>
      </c>
      <c r="AI49" s="14" t="n">
        <f aca="false">INDEX(Вводные!$D$13:$F$64,MATCH($A49,Вводные!$A$13:$A$64,0),MATCH(AI$3,Вводные!$D$11:$F$11,0))*(1+IF(AI$4=$A49,Вводные!$D$5*INDEX(Вводные!$G$13:$G$64,MATCH($A49,Вводные!$A$13:$A$64,0)),0))</f>
        <v>3000</v>
      </c>
      <c r="AJ49" s="14" t="n">
        <f aca="false">INDEX(Вводные!$D$13:$F$64,MATCH($A49,Вводные!$A$13:$A$64,0),MATCH(AJ$3,Вводные!$D$11:$F$11,0))*(1+IF(AJ$4=$A49,Вводные!$D$5*INDEX(Вводные!$G$13:$G$64,MATCH($A49,Вводные!$A$13:$A$64,0)),0))</f>
        <v>3000</v>
      </c>
      <c r="AK49" s="14" t="n">
        <f aca="false">INDEX(Вводные!$D$13:$F$64,MATCH($A49,Вводные!$A$13:$A$64,0),MATCH(AK$3,Вводные!$D$11:$F$11,0))*(1+IF(AK$4=$A49,Вводные!$D$5*INDEX(Вводные!$G$13:$G$64,MATCH($A49,Вводные!$A$13:$A$64,0)),0))</f>
        <v>3000</v>
      </c>
      <c r="AL49" s="14" t="n">
        <f aca="false">INDEX(Вводные!$D$13:$F$64,MATCH($A49,Вводные!$A$13:$A$64,0),MATCH(AL$3,Вводные!$D$11:$F$11,0))*(1+IF(AL$4=$A49,Вводные!$D$5*INDEX(Вводные!$G$13:$G$64,MATCH($A49,Вводные!$A$13:$A$64,0)),0))</f>
        <v>3000</v>
      </c>
      <c r="AM49" s="14" t="n">
        <f aca="false">INDEX(Вводные!$D$13:$F$64,MATCH($A49,Вводные!$A$13:$A$64,0),MATCH(AM$3,Вводные!$D$11:$F$11,0))*(1+IF(AM$4=$A49,Вводные!$D$5*INDEX(Вводные!$G$13:$G$64,MATCH($A49,Вводные!$A$13:$A$64,0)),0))</f>
        <v>3000</v>
      </c>
      <c r="AN49" s="14" t="n">
        <f aca="false">INDEX(Вводные!$D$13:$F$64,MATCH($A49,Вводные!$A$13:$A$64,0),MATCH(AN$3,Вводные!$D$11:$F$11,0))*(1+IF(AN$4=$A49,Вводные!$D$5*INDEX(Вводные!$G$13:$G$64,MATCH($A49,Вводные!$A$13:$A$64,0)),0))</f>
        <v>3000</v>
      </c>
      <c r="AO49" s="14" t="n">
        <f aca="false">INDEX(Вводные!$D$13:$F$64,MATCH($A49,Вводные!$A$13:$A$64,0),MATCH(AO$3,Вводные!$D$11:$F$11,0))*(1+IF(AO$4=$A49,Вводные!$D$5*INDEX(Вводные!$G$13:$G$64,MATCH($A49,Вводные!$A$13:$A$64,0)),0))</f>
        <v>3000</v>
      </c>
      <c r="AP49" s="14" t="n">
        <f aca="false">INDEX(Вводные!$D$13:$F$64,MATCH($A49,Вводные!$A$13:$A$64,0),MATCH(AP$3,Вводные!$D$11:$F$11,0))*(1+IF(AP$4=$A49,Вводные!$D$5*INDEX(Вводные!$G$13:$G$64,MATCH($A49,Вводные!$A$13:$A$64,0)),0))</f>
        <v>3000</v>
      </c>
      <c r="AQ49" s="14" t="n">
        <f aca="false">INDEX(Вводные!$D$13:$F$64,MATCH($A49,Вводные!$A$13:$A$64,0),MATCH(AQ$3,Вводные!$D$11:$F$11,0))*(1+IF(AQ$4=$A49,Вводные!$D$5*INDEX(Вводные!$G$13:$G$64,MATCH($A49,Вводные!$A$13:$A$64,0)),0))</f>
        <v>3000</v>
      </c>
      <c r="AR49" s="14" t="n">
        <f aca="false">INDEX(Вводные!$D$13:$F$64,MATCH($A49,Вводные!$A$13:$A$64,0),MATCH(AR$3,Вводные!$D$11:$F$11,0))*(1+IF(AR$4=$A49,Вводные!$D$5*INDEX(Вводные!$G$13:$G$64,MATCH($A49,Вводные!$A$13:$A$64,0)),0))</f>
        <v>3000</v>
      </c>
      <c r="AS49" s="14" t="n">
        <f aca="false">INDEX(Вводные!$D$13:$F$64,MATCH($A49,Вводные!$A$13:$A$64,0),MATCH(AS$3,Вводные!$D$11:$F$11,0))*(1+IF(AS$4=$A49,Вводные!$D$5*INDEX(Вводные!$G$13:$G$64,MATCH($A49,Вводные!$A$13:$A$64,0)),0))</f>
        <v>3000</v>
      </c>
      <c r="AT49" s="14" t="n">
        <f aca="false">INDEX(Вводные!$D$13:$F$64,MATCH($A49,Вводные!$A$13:$A$64,0),MATCH(AT$3,Вводные!$D$11:$F$11,0))*(1+IF(AT$4=$A49,Вводные!$D$5*INDEX(Вводные!$G$13:$G$64,MATCH($A49,Вводные!$A$13:$A$64,0)),0))</f>
        <v>3000</v>
      </c>
      <c r="AU49" s="14" t="n">
        <f aca="false">INDEX(Вводные!$D$13:$F$64,MATCH($A49,Вводные!$A$13:$A$64,0),MATCH(AU$3,Вводные!$D$11:$F$11,0))*(1+IF(AU$4=$A49,Вводные!$D$5*INDEX(Вводные!$G$13:$G$64,MATCH($A49,Вводные!$A$13:$A$64,0)),0))</f>
        <v>3000</v>
      </c>
      <c r="AV49" s="14" t="n">
        <f aca="false">INDEX(Вводные!$D$13:$F$64,MATCH($A49,Вводные!$A$13:$A$64,0),MATCH(AV$3,Вводные!$D$11:$F$11,0))*(1+IF(AV$4=$A49,Вводные!$D$5*INDEX(Вводные!$G$13:$G$64,MATCH($A49,Вводные!$A$13:$A$64,0)),0))</f>
        <v>3000</v>
      </c>
      <c r="AW49" s="14" t="n">
        <f aca="false">INDEX(Вводные!$D$13:$F$64,MATCH($A49,Вводные!$A$13:$A$64,0),MATCH(AW$3,Вводные!$D$11:$F$11,0))*(1+IF(AW$4=$A49,Вводные!$D$5*INDEX(Вводные!$G$13:$G$64,MATCH($A49,Вводные!$A$13:$A$64,0)),0))</f>
        <v>3000</v>
      </c>
      <c r="AX49" s="14" t="n">
        <f aca="false">INDEX(Вводные!$D$13:$F$64,MATCH($A49,Вводные!$A$13:$A$64,0),MATCH(AX$3,Вводные!$D$11:$F$11,0))*(1+IF(AX$4=$A49,Вводные!$D$5*INDEX(Вводные!$G$13:$G$64,MATCH($A49,Вводные!$A$13:$A$64,0)),0))</f>
        <v>3000</v>
      </c>
      <c r="AY49" s="14" t="n">
        <f aca="false">INDEX(Вводные!$D$13:$F$64,MATCH($A49,Вводные!$A$13:$A$64,0),MATCH(AY$3,Вводные!$D$11:$F$11,0))*(1+IF(AY$4=$A49,Вводные!$D$5*INDEX(Вводные!$G$13:$G$64,MATCH($A49,Вводные!$A$13:$A$64,0)),0))</f>
        <v>3000</v>
      </c>
      <c r="AZ49" s="14" t="n">
        <f aca="false">INDEX(Вводные!$D$13:$F$64,MATCH($A49,Вводные!$A$13:$A$64,0),MATCH(AZ$3,Вводные!$D$11:$F$11,0))*(1+IF(AZ$4=$A49,Вводные!$D$5*INDEX(Вводные!$G$13:$G$64,MATCH($A49,Вводные!$A$13:$A$64,0)),0))</f>
        <v>80000</v>
      </c>
      <c r="BA49" s="14" t="n">
        <f aca="false">INDEX(Вводные!$D$13:$F$64,MATCH($A49,Вводные!$A$13:$A$64,0),MATCH(BA$3,Вводные!$D$11:$F$11,0))*(1+IF(BA$4=$A49,Вводные!$D$5*INDEX(Вводные!$G$13:$G$64,MATCH($A49,Вводные!$A$13:$A$64,0)),0))</f>
        <v>80000</v>
      </c>
      <c r="BB49" s="14" t="n">
        <f aca="false">INDEX(Вводные!$D$13:$F$64,MATCH($A49,Вводные!$A$13:$A$64,0),MATCH(BB$3,Вводные!$D$11:$F$11,0))*(1+IF(BB$4=$A49,Вводные!$D$5*INDEX(Вводные!$G$13:$G$64,MATCH($A49,Вводные!$A$13:$A$64,0)),0))</f>
        <v>80000</v>
      </c>
      <c r="BC49" s="14" t="n">
        <f aca="false">INDEX(Вводные!$D$13:$F$64,MATCH($A49,Вводные!$A$13:$A$64,0),MATCH(BC$3,Вводные!$D$11:$F$11,0))*(1+IF(BC$4=$A49,Вводные!$D$5*INDEX(Вводные!$G$13:$G$64,MATCH($A49,Вводные!$A$13:$A$64,0)),0))</f>
        <v>80000</v>
      </c>
      <c r="BD49" s="14" t="n">
        <f aca="false">INDEX(Вводные!$D$13:$F$64,MATCH($A49,Вводные!$A$13:$A$64,0),MATCH(BD$3,Вводные!$D$11:$F$11,0))*(1+IF(BD$4=$A49,Вводные!$D$5*INDEX(Вводные!$G$13:$G$64,MATCH($A49,Вводные!$A$13:$A$64,0)),0))</f>
        <v>80000</v>
      </c>
      <c r="BE49" s="14" t="n">
        <f aca="false">INDEX(Вводные!$D$13:$F$64,MATCH($A49,Вводные!$A$13:$A$64,0),MATCH(BE$3,Вводные!$D$11:$F$11,0))*(1+IF(BE$4=$A49,Вводные!$D$5*INDEX(Вводные!$G$13:$G$64,MATCH($A49,Вводные!$A$13:$A$64,0)),0))</f>
        <v>80000</v>
      </c>
      <c r="BF49" s="14" t="n">
        <f aca="false">INDEX(Вводные!$D$13:$F$64,MATCH($A49,Вводные!$A$13:$A$64,0),MATCH(BF$3,Вводные!$D$11:$F$11,0))*(1+IF(BF$4=$A49,Вводные!$D$5*INDEX(Вводные!$G$13:$G$64,MATCH($A49,Вводные!$A$13:$A$64,0)),0))</f>
        <v>80000</v>
      </c>
      <c r="BG49" s="14" t="n">
        <f aca="false">INDEX(Вводные!$D$13:$F$64,MATCH($A49,Вводные!$A$13:$A$64,0),MATCH(BG$3,Вводные!$D$11:$F$11,0))*(1+IF(BG$4=$A49,Вводные!$D$5*INDEX(Вводные!$G$13:$G$64,MATCH($A49,Вводные!$A$13:$A$64,0)),0))</f>
        <v>80000</v>
      </c>
      <c r="BH49" s="14" t="n">
        <f aca="false">INDEX(Вводные!$D$13:$F$64,MATCH($A49,Вводные!$A$13:$A$64,0),MATCH(BH$3,Вводные!$D$11:$F$11,0))*(1+IF(BH$4=$A49,Вводные!$D$5*INDEX(Вводные!$G$13:$G$64,MATCH($A49,Вводные!$A$13:$A$64,0)),0))</f>
        <v>80000</v>
      </c>
      <c r="BI49" s="14" t="n">
        <f aca="false">INDEX(Вводные!$D$13:$F$64,MATCH($A49,Вводные!$A$13:$A$64,0),MATCH(BI$3,Вводные!$D$11:$F$11,0))*(1+IF(BI$4=$A49,Вводные!$D$5*INDEX(Вводные!$G$13:$G$64,MATCH($A49,Вводные!$A$13:$A$64,0)),0))</f>
        <v>80000</v>
      </c>
      <c r="BJ49" s="14" t="n">
        <f aca="false">INDEX(Вводные!$D$13:$F$64,MATCH($A49,Вводные!$A$13:$A$64,0),MATCH(BJ$3,Вводные!$D$11:$F$11,0))*(1+IF(BJ$4=$A49,Вводные!$D$5*INDEX(Вводные!$G$13:$G$64,MATCH($A49,Вводные!$A$13:$A$64,0)),0))</f>
        <v>80000</v>
      </c>
      <c r="BK49" s="14" t="n">
        <f aca="false">INDEX(Вводные!$D$13:$F$64,MATCH($A49,Вводные!$A$13:$A$64,0),MATCH(BK$3,Вводные!$D$11:$F$11,0))*(1+IF(BK$4=$A49,Вводные!$D$5*INDEX(Вводные!$G$13:$G$64,MATCH($A49,Вводные!$A$13:$A$64,0)),0))</f>
        <v>80000</v>
      </c>
      <c r="BL49" s="14" t="n">
        <f aca="false">INDEX(Вводные!$D$13:$F$64,MATCH($A49,Вводные!$A$13:$A$64,0),MATCH(BL$3,Вводные!$D$11:$F$11,0))*(1+IF(BL$4=$A49,Вводные!$D$5*INDEX(Вводные!$G$13:$G$64,MATCH($A49,Вводные!$A$13:$A$64,0)),0))</f>
        <v>80000</v>
      </c>
      <c r="BM49" s="14" t="n">
        <f aca="false">INDEX(Вводные!$D$13:$F$64,MATCH($A49,Вводные!$A$13:$A$64,0),MATCH(BM$3,Вводные!$D$11:$F$11,0))*(1+IF(BM$4=$A49,Вводные!$D$5*INDEX(Вводные!$G$13:$G$64,MATCH($A49,Вводные!$A$13:$A$64,0)),0))</f>
        <v>80000</v>
      </c>
      <c r="BN49" s="14" t="n">
        <f aca="false">INDEX(Вводные!$D$13:$F$64,MATCH($A49,Вводные!$A$13:$A$64,0),MATCH(BN$3,Вводные!$D$11:$F$11,0))*(1+IF(BN$4=$A49,Вводные!$D$5*INDEX(Вводные!$G$13:$G$64,MATCH($A49,Вводные!$A$13:$A$64,0)),0))</f>
        <v>80000</v>
      </c>
      <c r="BO49" s="14" t="n">
        <f aca="false">INDEX(Вводные!$D$13:$F$64,MATCH($A49,Вводные!$A$13:$A$64,0),MATCH(BO$3,Вводные!$D$11:$F$11,0))*(1+IF(BO$4=$A49,Вводные!$D$5*INDEX(Вводные!$G$13:$G$64,MATCH($A49,Вводные!$A$13:$A$64,0)),0))</f>
        <v>80000</v>
      </c>
      <c r="BP49" s="14" t="n">
        <f aca="false">INDEX(Вводные!$D$13:$F$64,MATCH($A49,Вводные!$A$13:$A$64,0),MATCH(BP$3,Вводные!$D$11:$F$11,0))*(1+IF(BP$4=$A49,Вводные!$D$5*INDEX(Вводные!$G$13:$G$64,MATCH($A49,Вводные!$A$13:$A$64,0)),0))</f>
        <v>80000</v>
      </c>
      <c r="BQ49" s="14" t="n">
        <f aca="false">INDEX(Вводные!$D$13:$F$64,MATCH($A49,Вводные!$A$13:$A$64,0),MATCH(BQ$3,Вводные!$D$11:$F$11,0))*(1+IF(BQ$4=$A49,Вводные!$D$5*INDEX(Вводные!$G$13:$G$64,MATCH($A49,Вводные!$A$13:$A$64,0)),0))</f>
        <v>80000</v>
      </c>
      <c r="BR49" s="14" t="n">
        <f aca="false">INDEX(Вводные!$D$13:$F$64,MATCH($A49,Вводные!$A$13:$A$64,0),MATCH(BR$3,Вводные!$D$11:$F$11,0))*(1+IF(BR$4=$A49,Вводные!$D$5*INDEX(Вводные!$G$13:$G$64,MATCH($A49,Вводные!$A$13:$A$64,0)),0))</f>
        <v>80000</v>
      </c>
      <c r="BS49" s="14" t="n">
        <f aca="false">INDEX(Вводные!$D$13:$F$64,MATCH($A49,Вводные!$A$13:$A$64,0),MATCH(BS$3,Вводные!$D$11:$F$11,0))*(1+IF(BS$4=$A49,Вводные!$D$5*INDEX(Вводные!$G$13:$G$64,MATCH($A49,Вводные!$A$13:$A$64,0)),0))</f>
        <v>80000</v>
      </c>
      <c r="BT49" s="14" t="n">
        <f aca="false">INDEX(Вводные!$D$13:$F$64,MATCH($A49,Вводные!$A$13:$A$64,0),MATCH(BT$3,Вводные!$D$11:$F$11,0))*(1+IF(BT$4=$A49,Вводные!$D$5*INDEX(Вводные!$G$13:$G$64,MATCH($A49,Вводные!$A$13:$A$64,0)),0))</f>
        <v>80000</v>
      </c>
      <c r="BU49" s="14" t="n">
        <f aca="false">INDEX(Вводные!$D$13:$F$64,MATCH($A49,Вводные!$A$13:$A$64,0),MATCH(BU$3,Вводные!$D$11:$F$11,0))*(1+IF(BU$4=$A49,Вводные!$D$5*INDEX(Вводные!$G$13:$G$64,MATCH($A49,Вводные!$A$13:$A$64,0)),0))</f>
        <v>80000</v>
      </c>
      <c r="BV49" s="14" t="n">
        <f aca="false">INDEX(Вводные!$D$13:$F$64,MATCH($A49,Вводные!$A$13:$A$64,0),MATCH(BV$3,Вводные!$D$11:$F$11,0))*(1+IF(BV$4=$A49,Вводные!$D$5*INDEX(Вводные!$G$13:$G$64,MATCH($A49,Вводные!$A$13:$A$64,0)),0))</f>
        <v>80000</v>
      </c>
      <c r="BW49" s="14" t="n">
        <f aca="false">INDEX(Вводные!$D$13:$F$64,MATCH($A49,Вводные!$A$13:$A$64,0),MATCH(BW$3,Вводные!$D$11:$F$11,0))*(1+IF(BW$4=$A49,Вводные!$D$5*INDEX(Вводные!$G$13:$G$64,MATCH($A49,Вводные!$A$13:$A$64,0)),0))</f>
        <v>80800</v>
      </c>
      <c r="BX49" s="14" t="n">
        <f aca="false">INDEX(Вводные!$D$13:$F$64,MATCH($A49,Вводные!$A$13:$A$64,0),MATCH(BX$3,Вводные!$D$11:$F$11,0))*(1+IF(BX$4=$A49,Вводные!$D$5*INDEX(Вводные!$G$13:$G$64,MATCH($A49,Вводные!$A$13:$A$64,0)),0))</f>
        <v>80000</v>
      </c>
      <c r="BY49" s="14" t="n">
        <f aca="false">INDEX(Вводные!$D$13:$F$64,MATCH($A49,Вводные!$A$13:$A$64,0),MATCH(BY$3,Вводные!$D$11:$F$11,0))*(1+IF(BY$4=$A49,Вводные!$D$5*INDEX(Вводные!$G$13:$G$64,MATCH($A49,Вводные!$A$13:$A$64,0)),0))</f>
        <v>80000</v>
      </c>
      <c r="BZ49" s="14" t="n">
        <f aca="false">INDEX(Вводные!$D$13:$F$64,MATCH($A49,Вводные!$A$13:$A$64,0),MATCH(BZ$3,Вводные!$D$11:$F$11,0))*(1+IF(BZ$4=$A49,Вводные!$D$5*INDEX(Вводные!$G$13:$G$64,MATCH($A49,Вводные!$A$13:$A$64,0)),0))</f>
        <v>80000</v>
      </c>
      <c r="CA49" s="14" t="n">
        <f aca="false">INDEX(Вводные!$D$13:$F$64,MATCH($A49,Вводные!$A$13:$A$64,0),MATCH(CA$3,Вводные!$D$11:$F$11,0))*(1+IF(CA$4=$A49,Вводные!$D$5*INDEX(Вводные!$G$13:$G$64,MATCH($A49,Вводные!$A$13:$A$64,0)),0))</f>
        <v>80000</v>
      </c>
      <c r="CB49" s="14" t="n">
        <f aca="false">INDEX(Вводные!$D$13:$F$64,MATCH($A49,Вводные!$A$13:$A$64,0),MATCH(CB$3,Вводные!$D$11:$F$11,0))*(1+IF(CB$4=$A49,Вводные!$D$5*INDEX(Вводные!$G$13:$G$64,MATCH($A49,Вводные!$A$13:$A$64,0)),0))</f>
        <v>80000</v>
      </c>
      <c r="CC49" s="14" t="n">
        <f aca="false">INDEX(Вводные!$D$13:$F$64,MATCH($A49,Вводные!$A$13:$A$64,0),MATCH(CC$3,Вводные!$D$11:$F$11,0))*(1+IF(CC$4=$A49,Вводные!$D$5*INDEX(Вводные!$G$13:$G$64,MATCH($A49,Вводные!$A$13:$A$64,0)),0))</f>
        <v>80000</v>
      </c>
      <c r="CD49" s="14" t="n">
        <f aca="false">INDEX(Вводные!$D$13:$F$64,MATCH($A49,Вводные!$A$13:$A$64,0),MATCH(CD$3,Вводные!$D$11:$F$11,0))*(1+IF(CD$4=$A49,Вводные!$D$5*INDEX(Вводные!$G$13:$G$64,MATCH($A49,Вводные!$A$13:$A$64,0)),0))</f>
        <v>80000</v>
      </c>
      <c r="CE49" s="14" t="n">
        <f aca="false">INDEX(Вводные!$D$13:$F$64,MATCH($A49,Вводные!$A$13:$A$64,0),MATCH(CE$3,Вводные!$D$11:$F$11,0))*(1+IF(CE$4=$A49,Вводные!$D$5*INDEX(Вводные!$G$13:$G$64,MATCH($A49,Вводные!$A$13:$A$64,0)),0))</f>
        <v>80000</v>
      </c>
      <c r="CF49" s="14" t="n">
        <f aca="false">INDEX(Вводные!$D$13:$F$64,MATCH($A49,Вводные!$A$13:$A$64,0),MATCH(CF$3,Вводные!$D$11:$F$11,0))*(1+IF(CF$4=$A49,Вводные!$D$5*INDEX(Вводные!$G$13:$G$64,MATCH($A49,Вводные!$A$13:$A$64,0)),0))</f>
        <v>80000</v>
      </c>
      <c r="CG49" s="14" t="n">
        <f aca="false">INDEX(Вводные!$D$13:$F$64,MATCH($A49,Вводные!$A$13:$A$64,0),MATCH(CG$3,Вводные!$D$11:$F$11,0))*(1+IF(CG$4=$A49,Вводные!$D$5*INDEX(Вводные!$G$13:$G$64,MATCH($A49,Вводные!$A$13:$A$64,0)),0))</f>
        <v>80000</v>
      </c>
      <c r="CH49" s="14" t="n">
        <f aca="false">INDEX(Вводные!$D$13:$F$64,MATCH($A49,Вводные!$A$13:$A$64,0),MATCH(CH$3,Вводные!$D$11:$F$11,0))*(1+IF(CH$4=$A49,Вводные!$D$5*INDEX(Вводные!$G$13:$G$64,MATCH($A49,Вводные!$A$13:$A$64,0)),0))</f>
        <v>80000</v>
      </c>
      <c r="CI49" s="14" t="n">
        <f aca="false">INDEX(Вводные!$D$13:$F$64,MATCH($A49,Вводные!$A$13:$A$64,0),MATCH(CI$3,Вводные!$D$11:$F$11,0))*(1+IF(CI$4=$A49,Вводные!$D$5*INDEX(Вводные!$G$13:$G$64,MATCH($A49,Вводные!$A$13:$A$64,0)),0))</f>
        <v>80000</v>
      </c>
      <c r="CJ49" s="14" t="n">
        <f aca="false">INDEX(Вводные!$D$13:$F$64,MATCH($A49,Вводные!$A$13:$A$64,0),MATCH(CJ$3,Вводные!$D$11:$F$11,0))*(1+IF(CJ$4=$A49,Вводные!$D$5*INDEX(Вводные!$G$13:$G$64,MATCH($A49,Вводные!$A$13:$A$64,0)),0))</f>
        <v>80000</v>
      </c>
      <c r="CK49" s="14" t="n">
        <f aca="false">INDEX(Вводные!$D$13:$F$64,MATCH($A49,Вводные!$A$13:$A$64,0),MATCH(CK$3,Вводные!$D$11:$F$11,0))*(1+IF(CK$4=$A49,Вводные!$D$5*INDEX(Вводные!$G$13:$G$64,MATCH($A49,Вводные!$A$13:$A$64,0)),0))</f>
        <v>80000</v>
      </c>
      <c r="CL49" s="14" t="n">
        <f aca="false">INDEX(Вводные!$D$13:$F$64,MATCH($A49,Вводные!$A$13:$A$64,0),MATCH(CL$3,Вводные!$D$11:$F$11,0))*(1+IF(CL$4=$A49,Вводные!$D$5*INDEX(Вводные!$G$13:$G$64,MATCH($A49,Вводные!$A$13:$A$64,0)),0))</f>
        <v>80000</v>
      </c>
      <c r="CM49" s="14" t="n">
        <f aca="false">INDEX(Вводные!$D$13:$F$64,MATCH($A49,Вводные!$A$13:$A$64,0),MATCH(CM$3,Вводные!$D$11:$F$11,0))*(1+IF(CM$4=$A49,Вводные!$D$5*INDEX(Вводные!$G$13:$G$64,MATCH($A49,Вводные!$A$13:$A$64,0)),0))</f>
        <v>80000</v>
      </c>
      <c r="CN49" s="14" t="n">
        <f aca="false">INDEX(Вводные!$D$13:$F$64,MATCH($A49,Вводные!$A$13:$A$64,0),MATCH(CN$3,Вводные!$D$11:$F$11,0))*(1+IF(CN$4=$A49,Вводные!$D$5*INDEX(Вводные!$G$13:$G$64,MATCH($A49,Вводные!$A$13:$A$64,0)),0))</f>
        <v>80000</v>
      </c>
      <c r="CO49" s="14" t="n">
        <f aca="false">INDEX(Вводные!$D$13:$F$64,MATCH($A49,Вводные!$A$13:$A$64,0),MATCH(CO$3,Вводные!$D$11:$F$11,0))*(1+IF(CO$4=$A49,Вводные!$D$5*INDEX(Вводные!$G$13:$G$64,MATCH($A49,Вводные!$A$13:$A$64,0)),0))</f>
        <v>80000</v>
      </c>
      <c r="CP49" s="14" t="n">
        <f aca="false">INDEX(Вводные!$D$13:$F$64,MATCH($A49,Вводные!$A$13:$A$64,0),MATCH(CP$3,Вводные!$D$11:$F$11,0))*(1+IF(CP$4=$A49,Вводные!$D$5*INDEX(Вводные!$G$13:$G$64,MATCH($A49,Вводные!$A$13:$A$64,0)),0))</f>
        <v>50000000</v>
      </c>
      <c r="CQ49" s="14" t="n">
        <f aca="false">INDEX(Вводные!$D$13:$F$64,MATCH($A49,Вводные!$A$13:$A$64,0),MATCH(CQ$3,Вводные!$D$11:$F$11,0))*(1+IF(CQ$4=$A49,Вводные!$D$5*INDEX(Вводные!$G$13:$G$64,MATCH($A49,Вводные!$A$13:$A$64,0)),0))</f>
        <v>50000000</v>
      </c>
      <c r="CR49" s="14" t="n">
        <f aca="false">INDEX(Вводные!$D$13:$F$64,MATCH($A49,Вводные!$A$13:$A$64,0),MATCH(CR$3,Вводные!$D$11:$F$11,0))*(1+IF(CR$4=$A49,Вводные!$D$5*INDEX(Вводные!$G$13:$G$64,MATCH($A49,Вводные!$A$13:$A$64,0)),0))</f>
        <v>50000000</v>
      </c>
      <c r="CS49" s="14" t="n">
        <f aca="false">INDEX(Вводные!$D$13:$F$64,MATCH($A49,Вводные!$A$13:$A$64,0),MATCH(CS$3,Вводные!$D$11:$F$11,0))*(1+IF(CS$4=$A49,Вводные!$D$5*INDEX(Вводные!$G$13:$G$64,MATCH($A49,Вводные!$A$13:$A$64,0)),0))</f>
        <v>50000000</v>
      </c>
      <c r="CT49" s="14" t="n">
        <f aca="false">INDEX(Вводные!$D$13:$F$64,MATCH($A49,Вводные!$A$13:$A$64,0),MATCH(CT$3,Вводные!$D$11:$F$11,0))*(1+IF(CT$4=$A49,Вводные!$D$5*INDEX(Вводные!$G$13:$G$64,MATCH($A49,Вводные!$A$13:$A$64,0)),0))</f>
        <v>50000000</v>
      </c>
      <c r="CU49" s="14" t="n">
        <f aca="false">INDEX(Вводные!$D$13:$F$64,MATCH($A49,Вводные!$A$13:$A$64,0),MATCH(CU$3,Вводные!$D$11:$F$11,0))*(1+IF(CU$4=$A49,Вводные!$D$5*INDEX(Вводные!$G$13:$G$64,MATCH($A49,Вводные!$A$13:$A$64,0)),0))</f>
        <v>50000000</v>
      </c>
      <c r="CV49" s="14" t="n">
        <f aca="false">INDEX(Вводные!$D$13:$F$64,MATCH($A49,Вводные!$A$13:$A$64,0),MATCH(CV$3,Вводные!$D$11:$F$11,0))*(1+IF(CV$4=$A49,Вводные!$D$5*INDEX(Вводные!$G$13:$G$64,MATCH($A49,Вводные!$A$13:$A$64,0)),0))</f>
        <v>50000000</v>
      </c>
      <c r="CW49" s="14" t="n">
        <f aca="false">INDEX(Вводные!$D$13:$F$64,MATCH($A49,Вводные!$A$13:$A$64,0),MATCH(CW$3,Вводные!$D$11:$F$11,0))*(1+IF(CW$4=$A49,Вводные!$D$5*INDEX(Вводные!$G$13:$G$64,MATCH($A49,Вводные!$A$13:$A$64,0)),0))</f>
        <v>50000000</v>
      </c>
      <c r="CX49" s="14" t="n">
        <f aca="false">INDEX(Вводные!$D$13:$F$64,MATCH($A49,Вводные!$A$13:$A$64,0),MATCH(CX$3,Вводные!$D$11:$F$11,0))*(1+IF(CX$4=$A49,Вводные!$D$5*INDEX(Вводные!$G$13:$G$64,MATCH($A49,Вводные!$A$13:$A$64,0)),0))</f>
        <v>50000000</v>
      </c>
      <c r="CY49" s="14" t="n">
        <f aca="false">INDEX(Вводные!$D$13:$F$64,MATCH($A49,Вводные!$A$13:$A$64,0),MATCH(CY$3,Вводные!$D$11:$F$11,0))*(1+IF(CY$4=$A49,Вводные!$D$5*INDEX(Вводные!$G$13:$G$64,MATCH($A49,Вводные!$A$13:$A$64,0)),0))</f>
        <v>50000000</v>
      </c>
      <c r="CZ49" s="14" t="n">
        <f aca="false">INDEX(Вводные!$D$13:$F$64,MATCH($A49,Вводные!$A$13:$A$64,0),MATCH(CZ$3,Вводные!$D$11:$F$11,0))*(1+IF(CZ$4=$A49,Вводные!$D$5*INDEX(Вводные!$G$13:$G$64,MATCH($A49,Вводные!$A$13:$A$64,0)),0))</f>
        <v>50000000</v>
      </c>
      <c r="DA49" s="14" t="n">
        <f aca="false">INDEX(Вводные!$D$13:$F$64,MATCH($A49,Вводные!$A$13:$A$64,0),MATCH(DA$3,Вводные!$D$11:$F$11,0))*(1+IF(DA$4=$A49,Вводные!$D$5*INDEX(Вводные!$G$13:$G$64,MATCH($A49,Вводные!$A$13:$A$64,0)),0))</f>
        <v>50000000</v>
      </c>
      <c r="DB49" s="14" t="n">
        <f aca="false">INDEX(Вводные!$D$13:$F$64,MATCH($A49,Вводные!$A$13:$A$64,0),MATCH(DB$3,Вводные!$D$11:$F$11,0))*(1+IF(DB$4=$A49,Вводные!$D$5*INDEX(Вводные!$G$13:$G$64,MATCH($A49,Вводные!$A$13:$A$64,0)),0))</f>
        <v>50000000</v>
      </c>
      <c r="DC49" s="14" t="n">
        <f aca="false">INDEX(Вводные!$D$13:$F$64,MATCH($A49,Вводные!$A$13:$A$64,0),MATCH(DC$3,Вводные!$D$11:$F$11,0))*(1+IF(DC$4=$A49,Вводные!$D$5*INDEX(Вводные!$G$13:$G$64,MATCH($A49,Вводные!$A$13:$A$64,0)),0))</f>
        <v>50000000</v>
      </c>
      <c r="DD49" s="14" t="n">
        <f aca="false">INDEX(Вводные!$D$13:$F$64,MATCH($A49,Вводные!$A$13:$A$64,0),MATCH(DD$3,Вводные!$D$11:$F$11,0))*(1+IF(DD$4=$A49,Вводные!$D$5*INDEX(Вводные!$G$13:$G$64,MATCH($A49,Вводные!$A$13:$A$64,0)),0))</f>
        <v>50000000</v>
      </c>
      <c r="DE49" s="14" t="n">
        <f aca="false">INDEX(Вводные!$D$13:$F$64,MATCH($A49,Вводные!$A$13:$A$64,0),MATCH(DE$3,Вводные!$D$11:$F$11,0))*(1+IF(DE$4=$A49,Вводные!$D$5*INDEX(Вводные!$G$13:$G$64,MATCH($A49,Вводные!$A$13:$A$64,0)),0))</f>
        <v>50000000</v>
      </c>
      <c r="DF49" s="14" t="n">
        <f aca="false">INDEX(Вводные!$D$13:$F$64,MATCH($A49,Вводные!$A$13:$A$64,0),MATCH(DF$3,Вводные!$D$11:$F$11,0))*(1+IF(DF$4=$A49,Вводные!$D$5*INDEX(Вводные!$G$13:$G$64,MATCH($A49,Вводные!$A$13:$A$64,0)),0))</f>
        <v>50000000</v>
      </c>
      <c r="DG49" s="14" t="n">
        <f aca="false">INDEX(Вводные!$D$13:$F$64,MATCH($A49,Вводные!$A$13:$A$64,0),MATCH(DG$3,Вводные!$D$11:$F$11,0))*(1+IF(DG$4=$A49,Вводные!$D$5*INDEX(Вводные!$G$13:$G$64,MATCH($A49,Вводные!$A$13:$A$64,0)),0))</f>
        <v>50000000</v>
      </c>
      <c r="DH49" s="14" t="n">
        <f aca="false">INDEX(Вводные!$D$13:$F$64,MATCH($A49,Вводные!$A$13:$A$64,0),MATCH(DH$3,Вводные!$D$11:$F$11,0))*(1+IF(DH$4=$A49,Вводные!$D$5*INDEX(Вводные!$G$13:$G$64,MATCH($A49,Вводные!$A$13:$A$64,0)),0))</f>
        <v>50000000</v>
      </c>
      <c r="DI49" s="14" t="n">
        <f aca="false">INDEX(Вводные!$D$13:$F$64,MATCH($A49,Вводные!$A$13:$A$64,0),MATCH(DI$3,Вводные!$D$11:$F$11,0))*(1+IF(DI$4=$A49,Вводные!$D$5*INDEX(Вводные!$G$13:$G$64,MATCH($A49,Вводные!$A$13:$A$64,0)),0))</f>
        <v>50000000</v>
      </c>
      <c r="DJ49" s="14" t="n">
        <f aca="false">INDEX(Вводные!$D$13:$F$64,MATCH($A49,Вводные!$A$13:$A$64,0),MATCH(DJ$3,Вводные!$D$11:$F$11,0))*(1+IF(DJ$4=$A49,Вводные!$D$5*INDEX(Вводные!$G$13:$G$64,MATCH($A49,Вводные!$A$13:$A$64,0)),0))</f>
        <v>50000000</v>
      </c>
      <c r="DK49" s="14" t="n">
        <f aca="false">INDEX(Вводные!$D$13:$F$64,MATCH($A49,Вводные!$A$13:$A$64,0),MATCH(DK$3,Вводные!$D$11:$F$11,0))*(1+IF(DK$4=$A49,Вводные!$D$5*INDEX(Вводные!$G$13:$G$64,MATCH($A49,Вводные!$A$13:$A$64,0)),0))</f>
        <v>50000000</v>
      </c>
      <c r="DL49" s="14" t="n">
        <f aca="false">INDEX(Вводные!$D$13:$F$64,MATCH($A49,Вводные!$A$13:$A$64,0),MATCH(DL$3,Вводные!$D$11:$F$11,0))*(1+IF(DL$4=$A49,Вводные!$D$5*INDEX(Вводные!$G$13:$G$64,MATCH($A49,Вводные!$A$13:$A$64,0)),0))</f>
        <v>50000000</v>
      </c>
      <c r="DM49" s="14" t="n">
        <f aca="false">INDEX(Вводные!$D$13:$F$64,MATCH($A49,Вводные!$A$13:$A$64,0),MATCH(DM$3,Вводные!$D$11:$F$11,0))*(1+IF(DM$4=$A49,Вводные!$D$5*INDEX(Вводные!$G$13:$G$64,MATCH($A49,Вводные!$A$13:$A$64,0)),0))</f>
        <v>50500000</v>
      </c>
      <c r="DN49" s="14" t="n">
        <f aca="false">INDEX(Вводные!$D$13:$F$64,MATCH($A49,Вводные!$A$13:$A$64,0),MATCH(DN$3,Вводные!$D$11:$F$11,0))*(1+IF(DN$4=$A49,Вводные!$D$5*INDEX(Вводные!$G$13:$G$64,MATCH($A49,Вводные!$A$13:$A$64,0)),0))</f>
        <v>50000000</v>
      </c>
      <c r="DO49" s="14" t="n">
        <f aca="false">INDEX(Вводные!$D$13:$F$64,MATCH($A49,Вводные!$A$13:$A$64,0),MATCH(DO$3,Вводные!$D$11:$F$11,0))*(1+IF(DO$4=$A49,Вводные!$D$5*INDEX(Вводные!$G$13:$G$64,MATCH($A49,Вводные!$A$13:$A$64,0)),0))</f>
        <v>50000000</v>
      </c>
      <c r="DP49" s="14" t="n">
        <f aca="false">INDEX(Вводные!$D$13:$F$64,MATCH($A49,Вводные!$A$13:$A$64,0),MATCH(DP$3,Вводные!$D$11:$F$11,0))*(1+IF(DP$4=$A49,Вводные!$D$5*INDEX(Вводные!$G$13:$G$64,MATCH($A49,Вводные!$A$13:$A$64,0)),0))</f>
        <v>50000000</v>
      </c>
      <c r="DQ49" s="14" t="n">
        <f aca="false">INDEX(Вводные!$D$13:$F$64,MATCH($A49,Вводные!$A$13:$A$64,0),MATCH(DQ$3,Вводные!$D$11:$F$11,0))*(1+IF(DQ$4=$A49,Вводные!$D$5*INDEX(Вводные!$G$13:$G$64,MATCH($A49,Вводные!$A$13:$A$64,0)),0))</f>
        <v>50000000</v>
      </c>
      <c r="DR49" s="14" t="n">
        <f aca="false">INDEX(Вводные!$D$13:$F$64,MATCH($A49,Вводные!$A$13:$A$64,0),MATCH(DR$3,Вводные!$D$11:$F$11,0))*(1+IF(DR$4=$A49,Вводные!$D$5*INDEX(Вводные!$G$13:$G$64,MATCH($A49,Вводные!$A$13:$A$64,0)),0))</f>
        <v>50000000</v>
      </c>
      <c r="DS49" s="14" t="n">
        <f aca="false">INDEX(Вводные!$D$13:$F$64,MATCH($A49,Вводные!$A$13:$A$64,0),MATCH(DS$3,Вводные!$D$11:$F$11,0))*(1+IF(DS$4=$A49,Вводные!$D$5*INDEX(Вводные!$G$13:$G$64,MATCH($A49,Вводные!$A$13:$A$64,0)),0))</f>
        <v>50000000</v>
      </c>
      <c r="DT49" s="14" t="n">
        <f aca="false">INDEX(Вводные!$D$13:$F$64,MATCH($A49,Вводные!$A$13:$A$64,0),MATCH(DT$3,Вводные!$D$11:$F$11,0))*(1+IF(DT$4=$A49,Вводные!$D$5*INDEX(Вводные!$G$13:$G$64,MATCH($A49,Вводные!$A$13:$A$64,0)),0))</f>
        <v>50000000</v>
      </c>
      <c r="DU49" s="14" t="n">
        <f aca="false">INDEX(Вводные!$D$13:$F$64,MATCH($A49,Вводные!$A$13:$A$64,0),MATCH(DU$3,Вводные!$D$11:$F$11,0))*(1+IF(DU$4=$A49,Вводные!$D$5*INDEX(Вводные!$G$13:$G$64,MATCH($A49,Вводные!$A$13:$A$64,0)),0))</f>
        <v>50000000</v>
      </c>
      <c r="DV49" s="14" t="n">
        <f aca="false">INDEX(Вводные!$D$13:$F$64,MATCH($A49,Вводные!$A$13:$A$64,0),MATCH(DV$3,Вводные!$D$11:$F$11,0))*(1+IF(DV$4=$A49,Вводные!$D$5*INDEX(Вводные!$G$13:$G$64,MATCH($A49,Вводные!$A$13:$A$64,0)),0))</f>
        <v>50000000</v>
      </c>
      <c r="DW49" s="14" t="n">
        <f aca="false">INDEX(Вводные!$D$13:$F$64,MATCH($A49,Вводные!$A$13:$A$64,0),MATCH(DW$3,Вводные!$D$11:$F$11,0))*(1+IF(DW$4=$A49,Вводные!$D$5*INDEX(Вводные!$G$13:$G$64,MATCH($A49,Вводные!$A$13:$A$64,0)),0))</f>
        <v>50000000</v>
      </c>
      <c r="DX49" s="14" t="n">
        <f aca="false">INDEX(Вводные!$D$13:$F$64,MATCH($A49,Вводные!$A$13:$A$64,0),MATCH(DX$3,Вводные!$D$11:$F$11,0))*(1+IF(DX$4=$A49,Вводные!$D$5*INDEX(Вводные!$G$13:$G$64,MATCH($A49,Вводные!$A$13:$A$64,0)),0))</f>
        <v>50000000</v>
      </c>
      <c r="DY49" s="14" t="n">
        <f aca="false">INDEX(Вводные!$D$13:$F$64,MATCH($A49,Вводные!$A$13:$A$64,0),MATCH(DY$3,Вводные!$D$11:$F$11,0))*(1+IF(DY$4=$A49,Вводные!$D$5*INDEX(Вводные!$G$13:$G$64,MATCH($A49,Вводные!$A$13:$A$64,0)),0))</f>
        <v>50000000</v>
      </c>
      <c r="DZ49" s="14" t="n">
        <f aca="false">INDEX(Вводные!$D$13:$F$64,MATCH($A49,Вводные!$A$13:$A$64,0),MATCH(DZ$3,Вводные!$D$11:$F$11,0))*(1+IF(DZ$4=$A49,Вводные!$D$5*INDEX(Вводные!$G$13:$G$64,MATCH($A49,Вводные!$A$13:$A$64,0)),0))</f>
        <v>50000000</v>
      </c>
      <c r="EA49" s="14" t="n">
        <f aca="false">INDEX(Вводные!$D$13:$F$64,MATCH($A49,Вводные!$A$13:$A$64,0),MATCH(EA$3,Вводные!$D$11:$F$11,0))*(1+IF(EA$4=$A49,Вводные!$D$5*INDEX(Вводные!$G$13:$G$64,MATCH($A49,Вводные!$A$13:$A$64,0)),0))</f>
        <v>50000000</v>
      </c>
      <c r="EB49" s="14" t="n">
        <f aca="false">INDEX(Вводные!$D$13:$F$64,MATCH($A49,Вводные!$A$13:$A$64,0),MATCH(EB$3,Вводные!$D$11:$F$11,0))*(1+IF(EB$4=$A49,Вводные!$D$5*INDEX(Вводные!$G$13:$G$64,MATCH($A49,Вводные!$A$13:$A$64,0)),0))</f>
        <v>50000000</v>
      </c>
      <c r="EC49" s="14" t="n">
        <f aca="false">INDEX(Вводные!$D$13:$F$64,MATCH($A49,Вводные!$A$13:$A$64,0),MATCH(EC$3,Вводные!$D$11:$F$11,0))*(1+IF(EC$4=$A49,Вводные!$D$5*INDEX(Вводные!$G$13:$G$64,MATCH($A49,Вводные!$A$13:$A$64,0)),0))</f>
        <v>50000000</v>
      </c>
      <c r="ED49" s="14" t="n">
        <f aca="false">INDEX(Вводные!$D$13:$F$64,MATCH($A49,Вводные!$A$13:$A$64,0),MATCH(ED$3,Вводные!$D$11:$F$11,0))*(1+IF(ED$4=$A49,Вводные!$D$5*INDEX(Вводные!$G$13:$G$64,MATCH($A49,Вводные!$A$13:$A$64,0)),0))</f>
        <v>50000000</v>
      </c>
      <c r="EE49" s="14" t="n">
        <f aca="false">INDEX(Вводные!$D$13:$F$64,MATCH($A49,Вводные!$A$13:$A$64,0),MATCH(EE$3,Вводные!$D$11:$F$11,0))*(1+IF(EE$4=$A49,Вводные!$D$5*INDEX(Вводные!$G$13:$G$64,MATCH($A49,Вводные!$A$13:$A$64,0)),0))</f>
        <v>50000000</v>
      </c>
      <c r="EF49" s="14" t="n">
        <f aca="false">INDEX(Вводные!$D$13:$F$64,MATCH($A49,Вводные!$A$13:$A$64,0),MATCH(EF$3,Вводные!$D$11:$F$11,0))*(1+IF(EF$4=$A49,Вводные!$D$5*INDEX(Вводные!$G$13:$G$64,MATCH($A49,Вводные!$A$13:$A$64,0)),0))</f>
        <v>3000</v>
      </c>
      <c r="EG49" s="14" t="n">
        <f aca="false">INDEX(Вводные!$D$13:$F$64,MATCH($A49,Вводные!$A$13:$A$64,0),MATCH(EG$3,Вводные!$D$11:$F$11,0))*(1+IF(EG$4=$A49,Вводные!$D$5*INDEX(Вводные!$G$13:$G$64,MATCH($A49,Вводные!$A$13:$A$64,0)),0))</f>
        <v>3000</v>
      </c>
      <c r="EH49" s="14" t="n">
        <f aca="false">INDEX(Вводные!$D$13:$F$64,MATCH($A49,Вводные!$A$13:$A$64,0),MATCH(EH$3,Вводные!$D$11:$F$11,0))*(1+IF(EH$4=$A49,Вводные!$D$5*INDEX(Вводные!$G$13:$G$64,MATCH($A49,Вводные!$A$13:$A$64,0)),0))</f>
        <v>3000</v>
      </c>
      <c r="EI49" s="14" t="n">
        <f aca="false">INDEX(Вводные!$D$13:$F$64,MATCH($A49,Вводные!$A$13:$A$64,0),MATCH(EI$3,Вводные!$D$11:$F$11,0))*(1+IF(EI$4=$A49,Вводные!$D$5*INDEX(Вводные!$G$13:$G$64,MATCH($A49,Вводные!$A$13:$A$64,0)),0))</f>
        <v>3000</v>
      </c>
      <c r="EJ49" s="14" t="n">
        <f aca="false">INDEX(Вводные!$D$13:$F$64,MATCH($A49,Вводные!$A$13:$A$64,0),MATCH(EJ$3,Вводные!$D$11:$F$11,0))*(1+IF(EJ$4=$A49,Вводные!$D$5*INDEX(Вводные!$G$13:$G$64,MATCH($A49,Вводные!$A$13:$A$64,0)),0))</f>
        <v>3000</v>
      </c>
      <c r="EK49" s="14" t="n">
        <f aca="false">INDEX(Вводные!$D$13:$F$64,MATCH($A49,Вводные!$A$13:$A$64,0),MATCH(EK$3,Вводные!$D$11:$F$11,0))*(1+IF(EK$4=$A49,Вводные!$D$5*INDEX(Вводные!$G$13:$G$64,MATCH($A49,Вводные!$A$13:$A$64,0)),0))</f>
        <v>3000</v>
      </c>
      <c r="EL49" s="14" t="n">
        <f aca="false">INDEX(Вводные!$D$13:$F$64,MATCH($A49,Вводные!$A$13:$A$64,0),MATCH(EL$3,Вводные!$D$11:$F$11,0))*(1+IF(EL$4=$A49,Вводные!$D$5*INDEX(Вводные!$G$13:$G$64,MATCH($A49,Вводные!$A$13:$A$64,0)),0))</f>
        <v>3000</v>
      </c>
      <c r="EM49" s="14" t="n">
        <f aca="false">INDEX(Вводные!$D$13:$F$64,MATCH($A49,Вводные!$A$13:$A$64,0),MATCH(EM$3,Вводные!$D$11:$F$11,0))*(1+IF(EM$4=$A49,Вводные!$D$5*INDEX(Вводные!$G$13:$G$64,MATCH($A49,Вводные!$A$13:$A$64,0)),0))</f>
        <v>3000</v>
      </c>
      <c r="EN49" s="14" t="n">
        <f aca="false">INDEX(Вводные!$D$13:$F$64,MATCH($A49,Вводные!$A$13:$A$64,0),MATCH(EN$3,Вводные!$D$11:$F$11,0))*(1+IF(EN$4=$A49,Вводные!$D$5*INDEX(Вводные!$G$13:$G$64,MATCH($A49,Вводные!$A$13:$A$64,0)),0))</f>
        <v>3000</v>
      </c>
      <c r="EO49" s="14" t="n">
        <f aca="false">INDEX(Вводные!$D$13:$F$64,MATCH($A49,Вводные!$A$13:$A$64,0),MATCH(EO$3,Вводные!$D$11:$F$11,0))*(1+IF(EO$4=$A49,Вводные!$D$5*INDEX(Вводные!$G$13:$G$64,MATCH($A49,Вводные!$A$13:$A$64,0)),0))</f>
        <v>3000</v>
      </c>
      <c r="EP49" s="14" t="n">
        <f aca="false">INDEX(Вводные!$D$13:$F$64,MATCH($A49,Вводные!$A$13:$A$64,0),MATCH(EP$3,Вводные!$D$11:$F$11,0))*(1+IF(EP$4=$A49,Вводные!$D$5*INDEX(Вводные!$G$13:$G$64,MATCH($A49,Вводные!$A$13:$A$64,0)),0))</f>
        <v>3000</v>
      </c>
      <c r="EQ49" s="14" t="n">
        <f aca="false">INDEX(Вводные!$D$13:$F$64,MATCH($A49,Вводные!$A$13:$A$64,0),MATCH(EQ$3,Вводные!$D$11:$F$11,0))*(1+IF(EQ$4=$A49,Вводные!$D$5*INDEX(Вводные!$G$13:$G$64,MATCH($A49,Вводные!$A$13:$A$64,0)),0))</f>
        <v>3000</v>
      </c>
      <c r="ER49" s="14" t="n">
        <f aca="false">INDEX(Вводные!$D$13:$F$64,MATCH($A49,Вводные!$A$13:$A$64,0),MATCH(ER$3,Вводные!$D$11:$F$11,0))*(1+IF(ER$4=$A49,Вводные!$D$5*INDEX(Вводные!$G$13:$G$64,MATCH($A49,Вводные!$A$13:$A$64,0)),0))</f>
        <v>3000</v>
      </c>
      <c r="ES49" s="14" t="n">
        <f aca="false">INDEX(Вводные!$D$13:$F$64,MATCH($A49,Вводные!$A$13:$A$64,0),MATCH(ES$3,Вводные!$D$11:$F$11,0))*(1+IF(ES$4=$A49,Вводные!$D$5*INDEX(Вводные!$G$13:$G$64,MATCH($A49,Вводные!$A$13:$A$64,0)),0))</f>
        <v>3000</v>
      </c>
      <c r="ET49" s="14" t="n">
        <f aca="false">INDEX(Вводные!$D$13:$F$64,MATCH($A49,Вводные!$A$13:$A$64,0),MATCH(ET$3,Вводные!$D$11:$F$11,0))*(1+IF(ET$4=$A49,Вводные!$D$5*INDEX(Вводные!$G$13:$G$64,MATCH($A49,Вводные!$A$13:$A$64,0)),0))</f>
        <v>3000</v>
      </c>
      <c r="EU49" s="14" t="n">
        <f aca="false">INDEX(Вводные!$D$13:$F$64,MATCH($A49,Вводные!$A$13:$A$64,0),MATCH(EU$3,Вводные!$D$11:$F$11,0))*(1+IF(EU$4=$A49,Вводные!$D$5*INDEX(Вводные!$G$13:$G$64,MATCH($A49,Вводные!$A$13:$A$64,0)),0))</f>
        <v>3000</v>
      </c>
      <c r="EV49" s="14" t="n">
        <f aca="false">INDEX(Вводные!$D$13:$F$64,MATCH($A49,Вводные!$A$13:$A$64,0),MATCH(EV$3,Вводные!$D$11:$F$11,0))*(1+IF(EV$4=$A49,Вводные!$D$5*INDEX(Вводные!$G$13:$G$64,MATCH($A49,Вводные!$A$13:$A$64,0)),0))</f>
        <v>3000</v>
      </c>
      <c r="EW49" s="14" t="n">
        <f aca="false">INDEX(Вводные!$D$13:$F$64,MATCH($A49,Вводные!$A$13:$A$64,0),MATCH(EW$3,Вводные!$D$11:$F$11,0))*(1+IF(EW$4=$A49,Вводные!$D$5*INDEX(Вводные!$G$13:$G$64,MATCH($A49,Вводные!$A$13:$A$64,0)),0))</f>
        <v>3000</v>
      </c>
      <c r="EX49" s="14" t="n">
        <f aca="false">INDEX(Вводные!$D$13:$F$64,MATCH($A49,Вводные!$A$13:$A$64,0),MATCH(EX$3,Вводные!$D$11:$F$11,0))*(1+IF(EX$4=$A49,Вводные!$D$5*INDEX(Вводные!$G$13:$G$64,MATCH($A49,Вводные!$A$13:$A$64,0)),0))</f>
        <v>3000</v>
      </c>
      <c r="EY49" s="14" t="n">
        <f aca="false">INDEX(Вводные!$D$13:$F$64,MATCH($A49,Вводные!$A$13:$A$64,0),MATCH(EY$3,Вводные!$D$11:$F$11,0))*(1+IF(EY$4=$A49,Вводные!$D$5*INDEX(Вводные!$G$13:$G$64,MATCH($A49,Вводные!$A$13:$A$64,0)),0))</f>
        <v>3000</v>
      </c>
      <c r="EZ49" s="14" t="n">
        <f aca="false">INDEX(Вводные!$D$13:$F$64,MATCH($A49,Вводные!$A$13:$A$64,0),MATCH(EZ$3,Вводные!$D$11:$F$11,0))*(1+IF(EZ$4=$A49,Вводные!$D$5*INDEX(Вводные!$G$13:$G$64,MATCH($A49,Вводные!$A$13:$A$64,0)),0))</f>
        <v>3000</v>
      </c>
      <c r="FA49" s="14" t="n">
        <f aca="false">INDEX(Вводные!$D$13:$F$64,MATCH($A49,Вводные!$A$13:$A$64,0),MATCH(FA$3,Вводные!$D$11:$F$11,0))*(1+IF(FA$4=$A49,Вводные!$D$5*INDEX(Вводные!$G$13:$G$64,MATCH($A49,Вводные!$A$13:$A$64,0)),0))</f>
        <v>3000</v>
      </c>
      <c r="FB49" s="14" t="n">
        <f aca="false">INDEX(Вводные!$D$13:$F$64,MATCH($A49,Вводные!$A$13:$A$64,0),MATCH(FB$3,Вводные!$D$11:$F$11,0))*(1+IF(FB$4=$A49,Вводные!$D$5*INDEX(Вводные!$G$13:$G$64,MATCH($A49,Вводные!$A$13:$A$64,0)),0))</f>
        <v>3000</v>
      </c>
      <c r="FC49" s="14" t="n">
        <f aca="false">INDEX(Вводные!$D$13:$F$64,MATCH($A49,Вводные!$A$13:$A$64,0),MATCH(FC$3,Вводные!$D$11:$F$11,0))*(1+IF(FC$4=$A49,Вводные!$D$5*INDEX(Вводные!$G$13:$G$64,MATCH($A49,Вводные!$A$13:$A$64,0)),0))</f>
        <v>3030</v>
      </c>
      <c r="FD49" s="14" t="n">
        <f aca="false">INDEX(Вводные!$D$13:$F$64,MATCH($A49,Вводные!$A$13:$A$64,0),MATCH(FD$3,Вводные!$D$11:$F$11,0))*(1+IF(FD$4=$A49,Вводные!$D$5*INDEX(Вводные!$G$13:$G$64,MATCH($A49,Вводные!$A$13:$A$64,0)),0))</f>
        <v>3000</v>
      </c>
      <c r="FE49" s="14" t="n">
        <f aca="false">INDEX(Вводные!$D$13:$F$64,MATCH($A49,Вводные!$A$13:$A$64,0),MATCH(FE$3,Вводные!$D$11:$F$11,0))*(1+IF(FE$4=$A49,Вводные!$D$5*INDEX(Вводные!$G$13:$G$64,MATCH($A49,Вводные!$A$13:$A$64,0)),0))</f>
        <v>3000</v>
      </c>
      <c r="FF49" s="14" t="n">
        <f aca="false">INDEX(Вводные!$D$13:$F$64,MATCH($A49,Вводные!$A$13:$A$64,0),MATCH(FF$3,Вводные!$D$11:$F$11,0))*(1+IF(FF$4=$A49,Вводные!$D$5*INDEX(Вводные!$G$13:$G$64,MATCH($A49,Вводные!$A$13:$A$64,0)),0))</f>
        <v>3000</v>
      </c>
      <c r="FG49" s="14" t="n">
        <f aca="false">INDEX(Вводные!$D$13:$F$64,MATCH($A49,Вводные!$A$13:$A$64,0),MATCH(FG$3,Вводные!$D$11:$F$11,0))*(1+IF(FG$4=$A49,Вводные!$D$5*INDEX(Вводные!$G$13:$G$64,MATCH($A49,Вводные!$A$13:$A$64,0)),0))</f>
        <v>3000</v>
      </c>
      <c r="FH49" s="14" t="n">
        <f aca="false">INDEX(Вводные!$D$13:$F$64,MATCH($A49,Вводные!$A$13:$A$64,0),MATCH(FH$3,Вводные!$D$11:$F$11,0))*(1+IF(FH$4=$A49,Вводные!$D$5*INDEX(Вводные!$G$13:$G$64,MATCH($A49,Вводные!$A$13:$A$64,0)),0))</f>
        <v>3000</v>
      </c>
      <c r="FI49" s="14" t="n">
        <f aca="false">INDEX(Вводные!$D$13:$F$64,MATCH($A49,Вводные!$A$13:$A$64,0),MATCH(FI$3,Вводные!$D$11:$F$11,0))*(1+IF(FI$4=$A49,Вводные!$D$5*INDEX(Вводные!$G$13:$G$64,MATCH($A49,Вводные!$A$13:$A$64,0)),0))</f>
        <v>3000</v>
      </c>
      <c r="FJ49" s="14" t="n">
        <f aca="false">INDEX(Вводные!$D$13:$F$64,MATCH($A49,Вводные!$A$13:$A$64,0),MATCH(FJ$3,Вводные!$D$11:$F$11,0))*(1+IF(FJ$4=$A49,Вводные!$D$5*INDEX(Вводные!$G$13:$G$64,MATCH($A49,Вводные!$A$13:$A$64,0)),0))</f>
        <v>3000</v>
      </c>
      <c r="FK49" s="14" t="n">
        <f aca="false">INDEX(Вводные!$D$13:$F$64,MATCH($A49,Вводные!$A$13:$A$64,0),MATCH(FK$3,Вводные!$D$11:$F$11,0))*(1+IF(FK$4=$A49,Вводные!$D$5*INDEX(Вводные!$G$13:$G$64,MATCH($A49,Вводные!$A$13:$A$64,0)),0))</f>
        <v>3000</v>
      </c>
      <c r="FL49" s="14" t="n">
        <f aca="false">INDEX(Вводные!$D$13:$F$64,MATCH($A49,Вводные!$A$13:$A$64,0),MATCH(FL$3,Вводные!$D$11:$F$11,0))*(1+IF(FL$4=$A49,Вводные!$D$5*INDEX(Вводные!$G$13:$G$64,MATCH($A49,Вводные!$A$13:$A$64,0)),0))</f>
        <v>3000</v>
      </c>
      <c r="FM49" s="14" t="n">
        <f aca="false">INDEX(Вводные!$D$13:$F$64,MATCH($A49,Вводные!$A$13:$A$64,0),MATCH(FM$3,Вводные!$D$11:$F$11,0))*(1+IF(FM$4=$A49,Вводные!$D$5*INDEX(Вводные!$G$13:$G$64,MATCH($A49,Вводные!$A$13:$A$64,0)),0))</f>
        <v>3000</v>
      </c>
      <c r="FN49" s="14" t="n">
        <f aca="false">INDEX(Вводные!$D$13:$F$64,MATCH($A49,Вводные!$A$13:$A$64,0),MATCH(FN$3,Вводные!$D$11:$F$11,0))*(1+IF(FN$4=$A49,Вводные!$D$5*INDEX(Вводные!$G$13:$G$64,MATCH($A49,Вводные!$A$13:$A$64,0)),0))</f>
        <v>3000</v>
      </c>
      <c r="FO49" s="14" t="n">
        <f aca="false">INDEX(Вводные!$D$13:$F$64,MATCH($A49,Вводные!$A$13:$A$64,0),MATCH(FO$3,Вводные!$D$11:$F$11,0))*(1+IF(FO$4=$A49,Вводные!$D$5*INDEX(Вводные!$G$13:$G$64,MATCH($A49,Вводные!$A$13:$A$64,0)),0))</f>
        <v>3000</v>
      </c>
      <c r="FP49" s="14" t="n">
        <f aca="false">INDEX(Вводные!$D$13:$F$64,MATCH($A49,Вводные!$A$13:$A$64,0),MATCH(FP$3,Вводные!$D$11:$F$11,0))*(1+IF(FP$4=$A49,Вводные!$D$5*INDEX(Вводные!$G$13:$G$64,MATCH($A49,Вводные!$A$13:$A$64,0)),0))</f>
        <v>3000</v>
      </c>
      <c r="FQ49" s="14" t="n">
        <f aca="false">INDEX(Вводные!$D$13:$F$64,MATCH($A49,Вводные!$A$13:$A$64,0),MATCH(FQ$3,Вводные!$D$11:$F$11,0))*(1+IF(FQ$4=$A49,Вводные!$D$5*INDEX(Вводные!$G$13:$G$64,MATCH($A49,Вводные!$A$13:$A$64,0)),0))</f>
        <v>3000</v>
      </c>
      <c r="FR49" s="14" t="n">
        <f aca="false">INDEX(Вводные!$D$13:$F$64,MATCH($A49,Вводные!$A$13:$A$64,0),MATCH(FR$3,Вводные!$D$11:$F$11,0))*(1+IF(FR$4=$A49,Вводные!$D$5*INDEX(Вводные!$G$13:$G$64,MATCH($A49,Вводные!$A$13:$A$64,0)),0))</f>
        <v>3000</v>
      </c>
      <c r="FS49" s="14" t="n">
        <f aca="false">INDEX(Вводные!$D$13:$F$64,MATCH($A49,Вводные!$A$13:$A$64,0),MATCH(FS$3,Вводные!$D$11:$F$11,0))*(1+IF(FS$4=$A49,Вводные!$D$5*INDEX(Вводные!$G$13:$G$64,MATCH($A49,Вводные!$A$13:$A$64,0)),0))</f>
        <v>3000</v>
      </c>
      <c r="FT49" s="14" t="n">
        <f aca="false">INDEX(Вводные!$D$13:$F$64,MATCH($A49,Вводные!$A$13:$A$64,0),MATCH(FT$3,Вводные!$D$11:$F$11,0))*(1+IF(FT$4=$A49,Вводные!$D$5*INDEX(Вводные!$G$13:$G$64,MATCH($A49,Вводные!$A$13:$A$64,0)),0))</f>
        <v>3000</v>
      </c>
      <c r="FU49" s="14" t="n">
        <f aca="false">INDEX(Вводные!$D$13:$F$64,MATCH($A49,Вводные!$A$13:$A$64,0),MATCH(FU$3,Вводные!$D$11:$F$11,0))*(1+IF(FU$4=$A49,Вводные!$D$5*INDEX(Вводные!$G$13:$G$64,MATCH($A49,Вводные!$A$13:$A$64,0)),0))</f>
        <v>3000</v>
      </c>
      <c r="FV49" s="14" t="n">
        <f aca="false">INDEX(Вводные!$D$13:$F$64,MATCH($A49,Вводные!$A$13:$A$64,0),MATCH(FV$3,Вводные!$D$11:$F$11,0))*(1+IF(FV$4=$A49,Вводные!$D$5*INDEX(Вводные!$G$13:$G$64,MATCH($A49,Вводные!$A$13:$A$64,0)),0))</f>
        <v>80000</v>
      </c>
      <c r="FW49" s="14" t="n">
        <f aca="false">INDEX(Вводные!$D$13:$F$64,MATCH($A49,Вводные!$A$13:$A$64,0),MATCH(FW$3,Вводные!$D$11:$F$11,0))*(1+IF(FW$4=$A49,Вводные!$D$5*INDEX(Вводные!$G$13:$G$64,MATCH($A49,Вводные!$A$13:$A$64,0)),0))</f>
        <v>80000</v>
      </c>
      <c r="FX49" s="14" t="n">
        <f aca="false">INDEX(Вводные!$D$13:$F$64,MATCH($A49,Вводные!$A$13:$A$64,0),MATCH(FX$3,Вводные!$D$11:$F$11,0))*(1+IF(FX$4=$A49,Вводные!$D$5*INDEX(Вводные!$G$13:$G$64,MATCH($A49,Вводные!$A$13:$A$64,0)),0))</f>
        <v>80000</v>
      </c>
      <c r="FY49" s="14" t="n">
        <f aca="false">INDEX(Вводные!$D$13:$F$64,MATCH($A49,Вводные!$A$13:$A$64,0),MATCH(FY$3,Вводные!$D$11:$F$11,0))*(1+IF(FY$4=$A49,Вводные!$D$5*INDEX(Вводные!$G$13:$G$64,MATCH($A49,Вводные!$A$13:$A$64,0)),0))</f>
        <v>80000</v>
      </c>
      <c r="FZ49" s="14" t="n">
        <f aca="false">INDEX(Вводные!$D$13:$F$64,MATCH($A49,Вводные!$A$13:$A$64,0),MATCH(FZ$3,Вводные!$D$11:$F$11,0))*(1+IF(FZ$4=$A49,Вводные!$D$5*INDEX(Вводные!$G$13:$G$64,MATCH($A49,Вводные!$A$13:$A$64,0)),0))</f>
        <v>80000</v>
      </c>
      <c r="GA49" s="14" t="n">
        <f aca="false">INDEX(Вводные!$D$13:$F$64,MATCH($A49,Вводные!$A$13:$A$64,0),MATCH(GA$3,Вводные!$D$11:$F$11,0))*(1+IF(GA$4=$A49,Вводные!$D$5*INDEX(Вводные!$G$13:$G$64,MATCH($A49,Вводные!$A$13:$A$64,0)),0))</f>
        <v>80000</v>
      </c>
      <c r="GB49" s="14" t="n">
        <f aca="false">INDEX(Вводные!$D$13:$F$64,MATCH($A49,Вводные!$A$13:$A$64,0),MATCH(GB$3,Вводные!$D$11:$F$11,0))*(1+IF(GB$4=$A49,Вводные!$D$5*INDEX(Вводные!$G$13:$G$64,MATCH($A49,Вводные!$A$13:$A$64,0)),0))</f>
        <v>80000</v>
      </c>
      <c r="GC49" s="14" t="n">
        <f aca="false">INDEX(Вводные!$D$13:$F$64,MATCH($A49,Вводные!$A$13:$A$64,0),MATCH(GC$3,Вводные!$D$11:$F$11,0))*(1+IF(GC$4=$A49,Вводные!$D$5*INDEX(Вводные!$G$13:$G$64,MATCH($A49,Вводные!$A$13:$A$64,0)),0))</f>
        <v>80000</v>
      </c>
      <c r="GD49" s="14" t="n">
        <f aca="false">INDEX(Вводные!$D$13:$F$64,MATCH($A49,Вводные!$A$13:$A$64,0),MATCH(GD$3,Вводные!$D$11:$F$11,0))*(1+IF(GD$4=$A49,Вводные!$D$5*INDEX(Вводные!$G$13:$G$64,MATCH($A49,Вводные!$A$13:$A$64,0)),0))</f>
        <v>80000</v>
      </c>
      <c r="GE49" s="14" t="n">
        <f aca="false">INDEX(Вводные!$D$13:$F$64,MATCH($A49,Вводные!$A$13:$A$64,0),MATCH(GE$3,Вводные!$D$11:$F$11,0))*(1+IF(GE$4=$A49,Вводные!$D$5*INDEX(Вводные!$G$13:$G$64,MATCH($A49,Вводные!$A$13:$A$64,0)),0))</f>
        <v>80000</v>
      </c>
      <c r="GF49" s="14" t="n">
        <f aca="false">INDEX(Вводные!$D$13:$F$64,MATCH($A49,Вводные!$A$13:$A$64,0),MATCH(GF$3,Вводные!$D$11:$F$11,0))*(1+IF(GF$4=$A49,Вводные!$D$5*INDEX(Вводные!$G$13:$G$64,MATCH($A49,Вводные!$A$13:$A$64,0)),0))</f>
        <v>80000</v>
      </c>
      <c r="GG49" s="14" t="n">
        <f aca="false">INDEX(Вводные!$D$13:$F$64,MATCH($A49,Вводные!$A$13:$A$64,0),MATCH(GG$3,Вводные!$D$11:$F$11,0))*(1+IF(GG$4=$A49,Вводные!$D$5*INDEX(Вводные!$G$13:$G$64,MATCH($A49,Вводные!$A$13:$A$64,0)),0))</f>
        <v>80000</v>
      </c>
      <c r="GH49" s="14" t="n">
        <f aca="false">INDEX(Вводные!$D$13:$F$64,MATCH($A49,Вводные!$A$13:$A$64,0),MATCH(GH$3,Вводные!$D$11:$F$11,0))*(1+IF(GH$4=$A49,Вводные!$D$5*INDEX(Вводные!$G$13:$G$64,MATCH($A49,Вводные!$A$13:$A$64,0)),0))</f>
        <v>80000</v>
      </c>
      <c r="GI49" s="14" t="n">
        <f aca="false">INDEX(Вводные!$D$13:$F$64,MATCH($A49,Вводные!$A$13:$A$64,0),MATCH(GI$3,Вводные!$D$11:$F$11,0))*(1+IF(GI$4=$A49,Вводные!$D$5*INDEX(Вводные!$G$13:$G$64,MATCH($A49,Вводные!$A$13:$A$64,0)),0))</f>
        <v>80000</v>
      </c>
      <c r="GJ49" s="14" t="n">
        <f aca="false">INDEX(Вводные!$D$13:$F$64,MATCH($A49,Вводные!$A$13:$A$64,0),MATCH(GJ$3,Вводные!$D$11:$F$11,0))*(1+IF(GJ$4=$A49,Вводные!$D$5*INDEX(Вводные!$G$13:$G$64,MATCH($A49,Вводные!$A$13:$A$64,0)),0))</f>
        <v>80000</v>
      </c>
      <c r="GK49" s="14" t="n">
        <f aca="false">INDEX(Вводные!$D$13:$F$64,MATCH($A49,Вводные!$A$13:$A$64,0),MATCH(GK$3,Вводные!$D$11:$F$11,0))*(1+IF(GK$4=$A49,Вводные!$D$5*INDEX(Вводные!$G$13:$G$64,MATCH($A49,Вводные!$A$13:$A$64,0)),0))</f>
        <v>80000</v>
      </c>
      <c r="GL49" s="14" t="n">
        <f aca="false">INDEX(Вводные!$D$13:$F$64,MATCH($A49,Вводные!$A$13:$A$64,0),MATCH(GL$3,Вводные!$D$11:$F$11,0))*(1+IF(GL$4=$A49,Вводные!$D$5*INDEX(Вводные!$G$13:$G$64,MATCH($A49,Вводные!$A$13:$A$64,0)),0))</f>
        <v>80000</v>
      </c>
      <c r="GM49" s="14" t="n">
        <f aca="false">INDEX(Вводные!$D$13:$F$64,MATCH($A49,Вводные!$A$13:$A$64,0),MATCH(GM$3,Вводные!$D$11:$F$11,0))*(1+IF(GM$4=$A49,Вводные!$D$5*INDEX(Вводные!$G$13:$G$64,MATCH($A49,Вводные!$A$13:$A$64,0)),0))</f>
        <v>80000</v>
      </c>
      <c r="GN49" s="14" t="n">
        <f aca="false">INDEX(Вводные!$D$13:$F$64,MATCH($A49,Вводные!$A$13:$A$64,0),MATCH(GN$3,Вводные!$D$11:$F$11,0))*(1+IF(GN$4=$A49,Вводные!$D$5*INDEX(Вводные!$G$13:$G$64,MATCH($A49,Вводные!$A$13:$A$64,0)),0))</f>
        <v>80000</v>
      </c>
      <c r="GO49" s="14" t="n">
        <f aca="false">INDEX(Вводные!$D$13:$F$64,MATCH($A49,Вводные!$A$13:$A$64,0),MATCH(GO$3,Вводные!$D$11:$F$11,0))*(1+IF(GO$4=$A49,Вводные!$D$5*INDEX(Вводные!$G$13:$G$64,MATCH($A49,Вводные!$A$13:$A$64,0)),0))</f>
        <v>80000</v>
      </c>
      <c r="GP49" s="14" t="n">
        <f aca="false">INDEX(Вводные!$D$13:$F$64,MATCH($A49,Вводные!$A$13:$A$64,0),MATCH(GP$3,Вводные!$D$11:$F$11,0))*(1+IF(GP$4=$A49,Вводные!$D$5*INDEX(Вводные!$G$13:$G$64,MATCH($A49,Вводные!$A$13:$A$64,0)),0))</f>
        <v>80000</v>
      </c>
      <c r="GQ49" s="14" t="n">
        <f aca="false">INDEX(Вводные!$D$13:$F$64,MATCH($A49,Вводные!$A$13:$A$64,0),MATCH(GQ$3,Вводные!$D$11:$F$11,0))*(1+IF(GQ$4=$A49,Вводные!$D$5*INDEX(Вводные!$G$13:$G$64,MATCH($A49,Вводные!$A$13:$A$64,0)),0))</f>
        <v>80000</v>
      </c>
      <c r="GR49" s="14" t="n">
        <f aca="false">INDEX(Вводные!$D$13:$F$64,MATCH($A49,Вводные!$A$13:$A$64,0),MATCH(GR$3,Вводные!$D$11:$F$11,0))*(1+IF(GR$4=$A49,Вводные!$D$5*INDEX(Вводные!$G$13:$G$64,MATCH($A49,Вводные!$A$13:$A$64,0)),0))</f>
        <v>80000</v>
      </c>
      <c r="GS49" s="14" t="n">
        <f aca="false">INDEX(Вводные!$D$13:$F$64,MATCH($A49,Вводные!$A$13:$A$64,0),MATCH(GS$3,Вводные!$D$11:$F$11,0))*(1+IF(GS$4=$A49,Вводные!$D$5*INDEX(Вводные!$G$13:$G$64,MATCH($A49,Вводные!$A$13:$A$64,0)),0))</f>
        <v>80800</v>
      </c>
      <c r="GT49" s="14" t="n">
        <f aca="false">INDEX(Вводные!$D$13:$F$64,MATCH($A49,Вводные!$A$13:$A$64,0),MATCH(GT$3,Вводные!$D$11:$F$11,0))*(1+IF(GT$4=$A49,Вводные!$D$5*INDEX(Вводные!$G$13:$G$64,MATCH($A49,Вводные!$A$13:$A$64,0)),0))</f>
        <v>80000</v>
      </c>
      <c r="GU49" s="14" t="n">
        <f aca="false">INDEX(Вводные!$D$13:$F$64,MATCH($A49,Вводные!$A$13:$A$64,0),MATCH(GU$3,Вводные!$D$11:$F$11,0))*(1+IF(GU$4=$A49,Вводные!$D$5*INDEX(Вводные!$G$13:$G$64,MATCH($A49,Вводные!$A$13:$A$64,0)),0))</f>
        <v>80000</v>
      </c>
      <c r="GV49" s="14" t="n">
        <f aca="false">INDEX(Вводные!$D$13:$F$64,MATCH($A49,Вводные!$A$13:$A$64,0),MATCH(GV$3,Вводные!$D$11:$F$11,0))*(1+IF(GV$4=$A49,Вводные!$D$5*INDEX(Вводные!$G$13:$G$64,MATCH($A49,Вводные!$A$13:$A$64,0)),0))</f>
        <v>80000</v>
      </c>
      <c r="GW49" s="14" t="n">
        <f aca="false">INDEX(Вводные!$D$13:$F$64,MATCH($A49,Вводные!$A$13:$A$64,0),MATCH(GW$3,Вводные!$D$11:$F$11,0))*(1+IF(GW$4=$A49,Вводные!$D$5*INDEX(Вводные!$G$13:$G$64,MATCH($A49,Вводные!$A$13:$A$64,0)),0))</f>
        <v>80000</v>
      </c>
      <c r="GX49" s="14" t="n">
        <f aca="false">INDEX(Вводные!$D$13:$F$64,MATCH($A49,Вводные!$A$13:$A$64,0),MATCH(GX$3,Вводные!$D$11:$F$11,0))*(1+IF(GX$4=$A49,Вводные!$D$5*INDEX(Вводные!$G$13:$G$64,MATCH($A49,Вводные!$A$13:$A$64,0)),0))</f>
        <v>80000</v>
      </c>
      <c r="GY49" s="14" t="n">
        <f aca="false">INDEX(Вводные!$D$13:$F$64,MATCH($A49,Вводные!$A$13:$A$64,0),MATCH(GY$3,Вводные!$D$11:$F$11,0))*(1+IF(GY$4=$A49,Вводные!$D$5*INDEX(Вводные!$G$13:$G$64,MATCH($A49,Вводные!$A$13:$A$64,0)),0))</f>
        <v>80000</v>
      </c>
      <c r="GZ49" s="14" t="n">
        <f aca="false">INDEX(Вводные!$D$13:$F$64,MATCH($A49,Вводные!$A$13:$A$64,0),MATCH(GZ$3,Вводные!$D$11:$F$11,0))*(1+IF(GZ$4=$A49,Вводные!$D$5*INDEX(Вводные!$G$13:$G$64,MATCH($A49,Вводные!$A$13:$A$64,0)),0))</f>
        <v>80000</v>
      </c>
      <c r="HA49" s="14" t="n">
        <f aca="false">INDEX(Вводные!$D$13:$F$64,MATCH($A49,Вводные!$A$13:$A$64,0),MATCH(HA$3,Вводные!$D$11:$F$11,0))*(1+IF(HA$4=$A49,Вводные!$D$5*INDEX(Вводные!$G$13:$G$64,MATCH($A49,Вводные!$A$13:$A$64,0)),0))</f>
        <v>80000</v>
      </c>
      <c r="HB49" s="14" t="n">
        <f aca="false">INDEX(Вводные!$D$13:$F$64,MATCH($A49,Вводные!$A$13:$A$64,0),MATCH(HB$3,Вводные!$D$11:$F$11,0))*(1+IF(HB$4=$A49,Вводные!$D$5*INDEX(Вводные!$G$13:$G$64,MATCH($A49,Вводные!$A$13:$A$64,0)),0))</f>
        <v>80000</v>
      </c>
      <c r="HC49" s="14" t="n">
        <f aca="false">INDEX(Вводные!$D$13:$F$64,MATCH($A49,Вводные!$A$13:$A$64,0),MATCH(HC$3,Вводные!$D$11:$F$11,0))*(1+IF(HC$4=$A49,Вводные!$D$5*INDEX(Вводные!$G$13:$G$64,MATCH($A49,Вводные!$A$13:$A$64,0)),0))</f>
        <v>80000</v>
      </c>
      <c r="HD49" s="14" t="n">
        <f aca="false">INDEX(Вводные!$D$13:$F$64,MATCH($A49,Вводные!$A$13:$A$64,0),MATCH(HD$3,Вводные!$D$11:$F$11,0))*(1+IF(HD$4=$A49,Вводные!$D$5*INDEX(Вводные!$G$13:$G$64,MATCH($A49,Вводные!$A$13:$A$64,0)),0))</f>
        <v>80000</v>
      </c>
      <c r="HE49" s="14" t="n">
        <f aca="false">INDEX(Вводные!$D$13:$F$64,MATCH($A49,Вводные!$A$13:$A$64,0),MATCH(HE$3,Вводные!$D$11:$F$11,0))*(1+IF(HE$4=$A49,Вводные!$D$5*INDEX(Вводные!$G$13:$G$64,MATCH($A49,Вводные!$A$13:$A$64,0)),0))</f>
        <v>80000</v>
      </c>
      <c r="HF49" s="14" t="n">
        <f aca="false">INDEX(Вводные!$D$13:$F$64,MATCH($A49,Вводные!$A$13:$A$64,0),MATCH(HF$3,Вводные!$D$11:$F$11,0))*(1+IF(HF$4=$A49,Вводные!$D$5*INDEX(Вводные!$G$13:$G$64,MATCH($A49,Вводные!$A$13:$A$64,0)),0))</f>
        <v>80000</v>
      </c>
      <c r="HG49" s="14" t="n">
        <f aca="false">INDEX(Вводные!$D$13:$F$64,MATCH($A49,Вводные!$A$13:$A$64,0),MATCH(HG$3,Вводные!$D$11:$F$11,0))*(1+IF(HG$4=$A49,Вводные!$D$5*INDEX(Вводные!$G$13:$G$64,MATCH($A49,Вводные!$A$13:$A$64,0)),0))</f>
        <v>80000</v>
      </c>
      <c r="HH49" s="14" t="n">
        <f aca="false">INDEX(Вводные!$D$13:$F$64,MATCH($A49,Вводные!$A$13:$A$64,0),MATCH(HH$3,Вводные!$D$11:$F$11,0))*(1+IF(HH$4=$A49,Вводные!$D$5*INDEX(Вводные!$G$13:$G$64,MATCH($A49,Вводные!$A$13:$A$64,0)),0))</f>
        <v>80000</v>
      </c>
      <c r="HI49" s="14" t="n">
        <f aca="false">INDEX(Вводные!$D$13:$F$64,MATCH($A49,Вводные!$A$13:$A$64,0),MATCH(HI$3,Вводные!$D$11:$F$11,0))*(1+IF(HI$4=$A49,Вводные!$D$5*INDEX(Вводные!$G$13:$G$64,MATCH($A49,Вводные!$A$13:$A$64,0)),0))</f>
        <v>80000</v>
      </c>
      <c r="HJ49" s="14" t="n">
        <f aca="false">INDEX(Вводные!$D$13:$F$64,MATCH($A49,Вводные!$A$13:$A$64,0),MATCH(HJ$3,Вводные!$D$11:$F$11,0))*(1+IF(HJ$4=$A49,Вводные!$D$5*INDEX(Вводные!$G$13:$G$64,MATCH($A49,Вводные!$A$13:$A$64,0)),0))</f>
        <v>80000</v>
      </c>
      <c r="HK49" s="14" t="n">
        <f aca="false">INDEX(Вводные!$D$13:$F$64,MATCH($A49,Вводные!$A$13:$A$64,0),MATCH(HK$3,Вводные!$D$11:$F$11,0))*(1+IF(HK$4=$A49,Вводные!$D$5*INDEX(Вводные!$G$13:$G$64,MATCH($A49,Вводные!$A$13:$A$64,0)),0))</f>
        <v>80000</v>
      </c>
      <c r="HL49" s="14" t="n">
        <f aca="false">INDEX(Вводные!$D$13:$F$64,MATCH($A49,Вводные!$A$13:$A$64,0),MATCH(HL$3,Вводные!$D$11:$F$11,0))*(1+IF(HL$4=$A49,Вводные!$D$5*INDEX(Вводные!$G$13:$G$64,MATCH($A49,Вводные!$A$13:$A$64,0)),0))</f>
        <v>50000000</v>
      </c>
      <c r="HM49" s="14" t="n">
        <f aca="false">INDEX(Вводные!$D$13:$F$64,MATCH($A49,Вводные!$A$13:$A$64,0),MATCH(HM$3,Вводные!$D$11:$F$11,0))*(1+IF(HM$4=$A49,Вводные!$D$5*INDEX(Вводные!$G$13:$G$64,MATCH($A49,Вводные!$A$13:$A$64,0)),0))</f>
        <v>50000000</v>
      </c>
      <c r="HN49" s="14" t="n">
        <f aca="false">INDEX(Вводные!$D$13:$F$64,MATCH($A49,Вводные!$A$13:$A$64,0),MATCH(HN$3,Вводные!$D$11:$F$11,0))*(1+IF(HN$4=$A49,Вводные!$D$5*INDEX(Вводные!$G$13:$G$64,MATCH($A49,Вводные!$A$13:$A$64,0)),0))</f>
        <v>50000000</v>
      </c>
      <c r="HO49" s="14" t="n">
        <f aca="false">INDEX(Вводные!$D$13:$F$64,MATCH($A49,Вводные!$A$13:$A$64,0),MATCH(HO$3,Вводные!$D$11:$F$11,0))*(1+IF(HO$4=$A49,Вводные!$D$5*INDEX(Вводные!$G$13:$G$64,MATCH($A49,Вводные!$A$13:$A$64,0)),0))</f>
        <v>50000000</v>
      </c>
      <c r="HP49" s="14" t="n">
        <f aca="false">INDEX(Вводные!$D$13:$F$64,MATCH($A49,Вводные!$A$13:$A$64,0),MATCH(HP$3,Вводные!$D$11:$F$11,0))*(1+IF(HP$4=$A49,Вводные!$D$5*INDEX(Вводные!$G$13:$G$64,MATCH($A49,Вводные!$A$13:$A$64,0)),0))</f>
        <v>50000000</v>
      </c>
      <c r="HQ49" s="14" t="n">
        <f aca="false">INDEX(Вводные!$D$13:$F$64,MATCH($A49,Вводные!$A$13:$A$64,0),MATCH(HQ$3,Вводные!$D$11:$F$11,0))*(1+IF(HQ$4=$A49,Вводные!$D$5*INDEX(Вводные!$G$13:$G$64,MATCH($A49,Вводные!$A$13:$A$64,0)),0))</f>
        <v>50000000</v>
      </c>
      <c r="HR49" s="14" t="n">
        <f aca="false">INDEX(Вводные!$D$13:$F$64,MATCH($A49,Вводные!$A$13:$A$64,0),MATCH(HR$3,Вводные!$D$11:$F$11,0))*(1+IF(HR$4=$A49,Вводные!$D$5*INDEX(Вводные!$G$13:$G$64,MATCH($A49,Вводные!$A$13:$A$64,0)),0))</f>
        <v>50000000</v>
      </c>
      <c r="HS49" s="14" t="n">
        <f aca="false">INDEX(Вводные!$D$13:$F$64,MATCH($A49,Вводные!$A$13:$A$64,0),MATCH(HS$3,Вводные!$D$11:$F$11,0))*(1+IF(HS$4=$A49,Вводные!$D$5*INDEX(Вводные!$G$13:$G$64,MATCH($A49,Вводные!$A$13:$A$64,0)),0))</f>
        <v>50000000</v>
      </c>
      <c r="HT49" s="14" t="n">
        <f aca="false">INDEX(Вводные!$D$13:$F$64,MATCH($A49,Вводные!$A$13:$A$64,0),MATCH(HT$3,Вводные!$D$11:$F$11,0))*(1+IF(HT$4=$A49,Вводные!$D$5*INDEX(Вводные!$G$13:$G$64,MATCH($A49,Вводные!$A$13:$A$64,0)),0))</f>
        <v>50000000</v>
      </c>
      <c r="HU49" s="14" t="n">
        <f aca="false">INDEX(Вводные!$D$13:$F$64,MATCH($A49,Вводные!$A$13:$A$64,0),MATCH(HU$3,Вводные!$D$11:$F$11,0))*(1+IF(HU$4=$A49,Вводные!$D$5*INDEX(Вводные!$G$13:$G$64,MATCH($A49,Вводные!$A$13:$A$64,0)),0))</f>
        <v>50000000</v>
      </c>
      <c r="HV49" s="14" t="n">
        <f aca="false">INDEX(Вводные!$D$13:$F$64,MATCH($A49,Вводные!$A$13:$A$64,0),MATCH(HV$3,Вводные!$D$11:$F$11,0))*(1+IF(HV$4=$A49,Вводные!$D$5*INDEX(Вводные!$G$13:$G$64,MATCH($A49,Вводные!$A$13:$A$64,0)),0))</f>
        <v>50000000</v>
      </c>
      <c r="HW49" s="14" t="n">
        <f aca="false">INDEX(Вводные!$D$13:$F$64,MATCH($A49,Вводные!$A$13:$A$64,0),MATCH(HW$3,Вводные!$D$11:$F$11,0))*(1+IF(HW$4=$A49,Вводные!$D$5*INDEX(Вводные!$G$13:$G$64,MATCH($A49,Вводные!$A$13:$A$64,0)),0))</f>
        <v>50000000</v>
      </c>
      <c r="HX49" s="14" t="n">
        <f aca="false">INDEX(Вводные!$D$13:$F$64,MATCH($A49,Вводные!$A$13:$A$64,0),MATCH(HX$3,Вводные!$D$11:$F$11,0))*(1+IF(HX$4=$A49,Вводные!$D$5*INDEX(Вводные!$G$13:$G$64,MATCH($A49,Вводные!$A$13:$A$64,0)),0))</f>
        <v>50000000</v>
      </c>
      <c r="HY49" s="14" t="n">
        <f aca="false">INDEX(Вводные!$D$13:$F$64,MATCH($A49,Вводные!$A$13:$A$64,0),MATCH(HY$3,Вводные!$D$11:$F$11,0))*(1+IF(HY$4=$A49,Вводные!$D$5*INDEX(Вводные!$G$13:$G$64,MATCH($A49,Вводные!$A$13:$A$64,0)),0))</f>
        <v>50000000</v>
      </c>
      <c r="HZ49" s="14" t="n">
        <f aca="false">INDEX(Вводные!$D$13:$F$64,MATCH($A49,Вводные!$A$13:$A$64,0),MATCH(HZ$3,Вводные!$D$11:$F$11,0))*(1+IF(HZ$4=$A49,Вводные!$D$5*INDEX(Вводные!$G$13:$G$64,MATCH($A49,Вводные!$A$13:$A$64,0)),0))</f>
        <v>50000000</v>
      </c>
      <c r="IA49" s="14" t="n">
        <f aca="false">INDEX(Вводные!$D$13:$F$64,MATCH($A49,Вводные!$A$13:$A$64,0),MATCH(IA$3,Вводные!$D$11:$F$11,0))*(1+IF(IA$4=$A49,Вводные!$D$5*INDEX(Вводные!$G$13:$G$64,MATCH($A49,Вводные!$A$13:$A$64,0)),0))</f>
        <v>50000000</v>
      </c>
      <c r="IB49" s="14" t="n">
        <f aca="false">INDEX(Вводные!$D$13:$F$64,MATCH($A49,Вводные!$A$13:$A$64,0),MATCH(IB$3,Вводные!$D$11:$F$11,0))*(1+IF(IB$4=$A49,Вводные!$D$5*INDEX(Вводные!$G$13:$G$64,MATCH($A49,Вводные!$A$13:$A$64,0)),0))</f>
        <v>50000000</v>
      </c>
      <c r="IC49" s="14" t="n">
        <f aca="false">INDEX(Вводные!$D$13:$F$64,MATCH($A49,Вводные!$A$13:$A$64,0),MATCH(IC$3,Вводные!$D$11:$F$11,0))*(1+IF(IC$4=$A49,Вводные!$D$5*INDEX(Вводные!$G$13:$G$64,MATCH($A49,Вводные!$A$13:$A$64,0)),0))</f>
        <v>50000000</v>
      </c>
      <c r="ID49" s="14" t="n">
        <f aca="false">INDEX(Вводные!$D$13:$F$64,MATCH($A49,Вводные!$A$13:$A$64,0),MATCH(ID$3,Вводные!$D$11:$F$11,0))*(1+IF(ID$4=$A49,Вводные!$D$5*INDEX(Вводные!$G$13:$G$64,MATCH($A49,Вводные!$A$13:$A$64,0)),0))</f>
        <v>50000000</v>
      </c>
      <c r="IE49" s="14" t="n">
        <f aca="false">INDEX(Вводные!$D$13:$F$64,MATCH($A49,Вводные!$A$13:$A$64,0),MATCH(IE$3,Вводные!$D$11:$F$11,0))*(1+IF(IE$4=$A49,Вводные!$D$5*INDEX(Вводные!$G$13:$G$64,MATCH($A49,Вводные!$A$13:$A$64,0)),0))</f>
        <v>50000000</v>
      </c>
      <c r="IF49" s="14" t="n">
        <f aca="false">INDEX(Вводные!$D$13:$F$64,MATCH($A49,Вводные!$A$13:$A$64,0),MATCH(IF$3,Вводные!$D$11:$F$11,0))*(1+IF(IF$4=$A49,Вводные!$D$5*INDEX(Вводные!$G$13:$G$64,MATCH($A49,Вводные!$A$13:$A$64,0)),0))</f>
        <v>50000000</v>
      </c>
      <c r="IG49" s="14" t="n">
        <f aca="false">INDEX(Вводные!$D$13:$F$64,MATCH($A49,Вводные!$A$13:$A$64,0),MATCH(IG$3,Вводные!$D$11:$F$11,0))*(1+IF(IG$4=$A49,Вводные!$D$5*INDEX(Вводные!$G$13:$G$64,MATCH($A49,Вводные!$A$13:$A$64,0)),0))</f>
        <v>50000000</v>
      </c>
      <c r="IH49" s="14" t="n">
        <f aca="false">INDEX(Вводные!$D$13:$F$64,MATCH($A49,Вводные!$A$13:$A$64,0),MATCH(IH$3,Вводные!$D$11:$F$11,0))*(1+IF(IH$4=$A49,Вводные!$D$5*INDEX(Вводные!$G$13:$G$64,MATCH($A49,Вводные!$A$13:$A$64,0)),0))</f>
        <v>50000000</v>
      </c>
      <c r="II49" s="14" t="n">
        <f aca="false">INDEX(Вводные!$D$13:$F$64,MATCH($A49,Вводные!$A$13:$A$64,0),MATCH(II$3,Вводные!$D$11:$F$11,0))*(1+IF(II$4=$A49,Вводные!$D$5*INDEX(Вводные!$G$13:$G$64,MATCH($A49,Вводные!$A$13:$A$64,0)),0))</f>
        <v>50500000</v>
      </c>
      <c r="IJ49" s="14" t="n">
        <f aca="false">INDEX(Вводные!$D$13:$F$64,MATCH($A49,Вводные!$A$13:$A$64,0),MATCH(IJ$3,Вводные!$D$11:$F$11,0))*(1+IF(IJ$4=$A49,Вводные!$D$5*INDEX(Вводные!$G$13:$G$64,MATCH($A49,Вводные!$A$13:$A$64,0)),0))</f>
        <v>50000000</v>
      </c>
      <c r="IK49" s="14" t="n">
        <f aca="false">INDEX(Вводные!$D$13:$F$64,MATCH($A49,Вводные!$A$13:$A$64,0),MATCH(IK$3,Вводные!$D$11:$F$11,0))*(1+IF(IK$4=$A49,Вводные!$D$5*INDEX(Вводные!$G$13:$G$64,MATCH($A49,Вводные!$A$13:$A$64,0)),0))</f>
        <v>50000000</v>
      </c>
      <c r="IL49" s="14" t="n">
        <f aca="false">INDEX(Вводные!$D$13:$F$64,MATCH($A49,Вводные!$A$13:$A$64,0),MATCH(IL$3,Вводные!$D$11:$F$11,0))*(1+IF(IL$4=$A49,Вводные!$D$5*INDEX(Вводные!$G$13:$G$64,MATCH($A49,Вводные!$A$13:$A$64,0)),0))</f>
        <v>50000000</v>
      </c>
      <c r="IM49" s="14" t="n">
        <f aca="false">INDEX(Вводные!$D$13:$F$64,MATCH($A49,Вводные!$A$13:$A$64,0),MATCH(IM$3,Вводные!$D$11:$F$11,0))*(1+IF(IM$4=$A49,Вводные!$D$5*INDEX(Вводные!$G$13:$G$64,MATCH($A49,Вводные!$A$13:$A$64,0)),0))</f>
        <v>50000000</v>
      </c>
      <c r="IN49" s="14" t="n">
        <f aca="false">INDEX(Вводные!$D$13:$F$64,MATCH($A49,Вводные!$A$13:$A$64,0),MATCH(IN$3,Вводные!$D$11:$F$11,0))*(1+IF(IN$4=$A49,Вводные!$D$5*INDEX(Вводные!$G$13:$G$64,MATCH($A49,Вводные!$A$13:$A$64,0)),0))</f>
        <v>50000000</v>
      </c>
      <c r="IO49" s="14" t="n">
        <f aca="false">INDEX(Вводные!$D$13:$F$64,MATCH($A49,Вводные!$A$13:$A$64,0),MATCH(IO$3,Вводные!$D$11:$F$11,0))*(1+IF(IO$4=$A49,Вводные!$D$5*INDEX(Вводные!$G$13:$G$64,MATCH($A49,Вводные!$A$13:$A$64,0)),0))</f>
        <v>50000000</v>
      </c>
      <c r="IP49" s="14" t="n">
        <f aca="false">INDEX(Вводные!$D$13:$F$64,MATCH($A49,Вводные!$A$13:$A$64,0),MATCH(IP$3,Вводные!$D$11:$F$11,0))*(1+IF(IP$4=$A49,Вводные!$D$5*INDEX(Вводные!$G$13:$G$64,MATCH($A49,Вводные!$A$13:$A$64,0)),0))</f>
        <v>50000000</v>
      </c>
      <c r="IQ49" s="14" t="n">
        <f aca="false">INDEX(Вводные!$D$13:$F$64,MATCH($A49,Вводные!$A$13:$A$64,0),MATCH(IQ$3,Вводные!$D$11:$F$11,0))*(1+IF(IQ$4=$A49,Вводные!$D$5*INDEX(Вводные!$G$13:$G$64,MATCH($A49,Вводные!$A$13:$A$64,0)),0))</f>
        <v>50000000</v>
      </c>
      <c r="IR49" s="14" t="n">
        <f aca="false">INDEX(Вводные!$D$13:$F$64,MATCH($A49,Вводные!$A$13:$A$64,0),MATCH(IR$3,Вводные!$D$11:$F$11,0))*(1+IF(IR$4=$A49,Вводные!$D$5*INDEX(Вводные!$G$13:$G$64,MATCH($A49,Вводные!$A$13:$A$64,0)),0))</f>
        <v>50000000</v>
      </c>
      <c r="IS49" s="14" t="n">
        <f aca="false">INDEX(Вводные!$D$13:$F$64,MATCH($A49,Вводные!$A$13:$A$64,0),MATCH(IS$3,Вводные!$D$11:$F$11,0))*(1+IF(IS$4=$A49,Вводные!$D$5*INDEX(Вводные!$G$13:$G$64,MATCH($A49,Вводные!$A$13:$A$64,0)),0))</f>
        <v>50000000</v>
      </c>
      <c r="IT49" s="14" t="n">
        <f aca="false">INDEX(Вводные!$D$13:$F$64,MATCH($A49,Вводные!$A$13:$A$64,0),MATCH(IT$3,Вводные!$D$11:$F$11,0))*(1+IF(IT$4=$A49,Вводные!$D$5*INDEX(Вводные!$G$13:$G$64,MATCH($A49,Вводные!$A$13:$A$64,0)),0))</f>
        <v>50000000</v>
      </c>
      <c r="IU49" s="14" t="n">
        <f aca="false">INDEX(Вводные!$D$13:$F$64,MATCH($A49,Вводные!$A$13:$A$64,0),MATCH(IU$3,Вводные!$D$11:$F$11,0))*(1+IF(IU$4=$A49,Вводные!$D$5*INDEX(Вводные!$G$13:$G$64,MATCH($A49,Вводные!$A$13:$A$64,0)),0))</f>
        <v>50000000</v>
      </c>
      <c r="IV49" s="14" t="n">
        <f aca="false">INDEX(Вводные!$D$13:$F$64,MATCH($A49,Вводные!$A$13:$A$64,0),MATCH(IV$3,Вводные!$D$11:$F$11,0))*(1+IF(IV$4=$A49,Вводные!$D$5*INDEX(Вводные!$G$13:$G$64,MATCH($A49,Вводные!$A$13:$A$64,0)),0))</f>
        <v>50000000</v>
      </c>
      <c r="IW49" s="14" t="n">
        <f aca="false">INDEX(Вводные!$D$13:$F$64,MATCH($A49,Вводные!$A$13:$A$64,0),MATCH(IW$3,Вводные!$D$11:$F$11,0))*(1+IF(IW$4=$A49,Вводные!$D$5*INDEX(Вводные!$G$13:$G$64,MATCH($A49,Вводные!$A$13:$A$64,0)),0))</f>
        <v>50000000</v>
      </c>
      <c r="IX49" s="14" t="n">
        <f aca="false">INDEX(Вводные!$D$13:$F$64,MATCH($A49,Вводные!$A$13:$A$64,0),MATCH(IX$3,Вводные!$D$11:$F$11,0))*(1+IF(IX$4=$A49,Вводные!$D$5*INDEX(Вводные!$G$13:$G$64,MATCH($A49,Вводные!$A$13:$A$64,0)),0))</f>
        <v>50000000</v>
      </c>
      <c r="IY49" s="14" t="n">
        <f aca="false">INDEX(Вводные!$D$13:$F$64,MATCH($A49,Вводные!$A$13:$A$64,0),MATCH(IY$3,Вводные!$D$11:$F$11,0))*(1+IF(IY$4=$A49,Вводные!$D$5*INDEX(Вводные!$G$13:$G$64,MATCH($A49,Вводные!$A$13:$A$64,0)),0))</f>
        <v>50000000</v>
      </c>
      <c r="IZ49" s="14" t="n">
        <f aca="false">INDEX(Вводные!$D$13:$F$64,MATCH($A49,Вводные!$A$13:$A$64,0),MATCH(IZ$3,Вводные!$D$11:$F$11,0))*(1+IF(IZ$4=$A49,Вводные!$D$5*INDEX(Вводные!$G$13:$G$64,MATCH($A49,Вводные!$A$13:$A$64,0)),0))</f>
        <v>50000000</v>
      </c>
      <c r="JA49" s="14" t="n">
        <f aca="false">INDEX(Вводные!$D$13:$F$64,MATCH($A49,Вводные!$A$13:$A$64,0),MATCH(JA$3,Вводные!$D$11:$F$11,0))*(1+IF(JA$4=$A49,Вводные!$D$5*INDEX(Вводные!$G$13:$G$64,MATCH($A49,Вводные!$A$13:$A$64,0)),0))</f>
        <v>50000000</v>
      </c>
    </row>
    <row r="50" customFormat="false" ht="15" hidden="false" customHeight="false" outlineLevel="0" collapsed="false">
      <c r="A50" s="2" t="s">
        <v>234</v>
      </c>
      <c r="B50" s="13" t="s">
        <v>235</v>
      </c>
      <c r="C50" s="13" t="s">
        <v>179</v>
      </c>
      <c r="D50" s="9" t="s">
        <v>236</v>
      </c>
      <c r="E50" s="59" t="n">
        <f aca="false">E16*E48*E49</f>
        <v>121710000</v>
      </c>
      <c r="F50" s="59" t="n">
        <f aca="false">F16*F48*F49</f>
        <v>423080000</v>
      </c>
      <c r="G50" s="59" t="n">
        <f aca="false">G16*G48*G49</f>
        <v>1005000000</v>
      </c>
      <c r="H50" s="59" t="n">
        <f aca="false">SUM(E50:G50)</f>
        <v>1549790000</v>
      </c>
      <c r="J50" s="59" t="n">
        <f aca="false">J16*J48*J49</f>
        <v>121710000</v>
      </c>
      <c r="K50" s="59" t="n">
        <f aca="false">K16*K48*K49</f>
        <v>121799100</v>
      </c>
      <c r="L50" s="59" t="n">
        <f aca="false">L16*L48*L49</f>
        <v>121799100</v>
      </c>
      <c r="M50" s="59" t="n">
        <f aca="false">M16*M48*M49</f>
        <v>121799100</v>
      </c>
      <c r="N50" s="59" t="n">
        <f aca="false">N16*N48*N49</f>
        <v>121782000</v>
      </c>
      <c r="O50" s="59" t="n">
        <f aca="false">O16*O48*O49</f>
        <v>121710000</v>
      </c>
      <c r="P50" s="59" t="n">
        <f aca="false">P16*P48*P49</f>
        <v>121710000</v>
      </c>
      <c r="Q50" s="59" t="n">
        <f aca="false">Q16*Q48*Q49</f>
        <v>121710000</v>
      </c>
      <c r="R50" s="59" t="n">
        <f aca="false">R16*R48*R49</f>
        <v>121710000</v>
      </c>
      <c r="S50" s="59" t="n">
        <f aca="false">S16*S48*S49</f>
        <v>121710000</v>
      </c>
      <c r="T50" s="59" t="n">
        <f aca="false">T16*T48*T49</f>
        <v>121710000</v>
      </c>
      <c r="U50" s="59" t="n">
        <f aca="false">U16*U48*U49</f>
        <v>121710000</v>
      </c>
      <c r="V50" s="59" t="n">
        <f aca="false">V16*V48*V49</f>
        <v>121710000</v>
      </c>
      <c r="W50" s="59" t="n">
        <f aca="false">W16*W48*W49</f>
        <v>121710000</v>
      </c>
      <c r="X50" s="59" t="n">
        <f aca="false">X16*X48*X49</f>
        <v>121710000</v>
      </c>
      <c r="Y50" s="59" t="n">
        <f aca="false">Y16*Y48*Y49</f>
        <v>121710000</v>
      </c>
      <c r="Z50" s="59" t="n">
        <f aca="false">Z16*Z48*Z49</f>
        <v>121710000</v>
      </c>
      <c r="AA50" s="59" t="n">
        <f aca="false">AA16*AA48*AA49</f>
        <v>121710000</v>
      </c>
      <c r="AB50" s="59" t="n">
        <f aca="false">AB16*AB48*AB49</f>
        <v>121710000</v>
      </c>
      <c r="AC50" s="59" t="n">
        <f aca="false">AC16*AC48*AC49</f>
        <v>121710000</v>
      </c>
      <c r="AD50" s="59" t="n">
        <f aca="false">AD16*AD48*AD49</f>
        <v>121710000</v>
      </c>
      <c r="AE50" s="59" t="n">
        <f aca="false">AE16*AE48*AE49</f>
        <v>121710000</v>
      </c>
      <c r="AF50" s="59" t="n">
        <f aca="false">AF16*AF48*AF49</f>
        <v>122927100</v>
      </c>
      <c r="AG50" s="59" t="n">
        <f aca="false">AG16*AG48*AG49</f>
        <v>122927100</v>
      </c>
      <c r="AH50" s="59" t="n">
        <f aca="false">AH16*AH48*AH49</f>
        <v>121710000</v>
      </c>
      <c r="AI50" s="59" t="n">
        <f aca="false">AI16*AI48*AI49</f>
        <v>121710000</v>
      </c>
      <c r="AJ50" s="59" t="n">
        <f aca="false">AJ16*AJ48*AJ49</f>
        <v>121710000</v>
      </c>
      <c r="AK50" s="59" t="n">
        <f aca="false">AK16*AK48*AK49</f>
        <v>121710000</v>
      </c>
      <c r="AL50" s="59" t="n">
        <f aca="false">AL16*AL48*AL49</f>
        <v>121710000</v>
      </c>
      <c r="AM50" s="59" t="n">
        <f aca="false">AM16*AM48*AM49</f>
        <v>121710000</v>
      </c>
      <c r="AN50" s="59" t="n">
        <f aca="false">AN16*AN48*AN49</f>
        <v>121710000</v>
      </c>
      <c r="AO50" s="59" t="n">
        <f aca="false">AO16*AO48*AO49</f>
        <v>121710000</v>
      </c>
      <c r="AP50" s="59" t="n">
        <f aca="false">AP16*AP48*AP49</f>
        <v>121710000</v>
      </c>
      <c r="AQ50" s="59" t="n">
        <f aca="false">AQ16*AQ48*AQ49</f>
        <v>121710000</v>
      </c>
      <c r="AR50" s="59" t="n">
        <f aca="false">AR16*AR48*AR49</f>
        <v>121710000</v>
      </c>
      <c r="AS50" s="59" t="n">
        <f aca="false">AS16*AS48*AS49</f>
        <v>121710000</v>
      </c>
      <c r="AT50" s="59" t="n">
        <f aca="false">AT16*AT48*AT49</f>
        <v>121710000</v>
      </c>
      <c r="AU50" s="59" t="n">
        <f aca="false">AU16*AU48*AU49</f>
        <v>121710000</v>
      </c>
      <c r="AV50" s="59" t="n">
        <f aca="false">AV16*AV48*AV49</f>
        <v>121710000</v>
      </c>
      <c r="AW50" s="59" t="n">
        <f aca="false">AW16*AW48*AW49</f>
        <v>121710000</v>
      </c>
      <c r="AX50" s="59" t="n">
        <f aca="false">AX16*AX48*AX49</f>
        <v>121710000</v>
      </c>
      <c r="AY50" s="59" t="n">
        <f aca="false">AY16*AY48*AY49</f>
        <v>121710000</v>
      </c>
      <c r="AZ50" s="59" t="n">
        <f aca="false">AZ16*AZ48*AZ49</f>
        <v>423080000</v>
      </c>
      <c r="BA50" s="59" t="n">
        <f aca="false">BA16*BA48*BA49</f>
        <v>423236800</v>
      </c>
      <c r="BB50" s="59" t="n">
        <f aca="false">BB16*BB48*BB49</f>
        <v>423236800</v>
      </c>
      <c r="BC50" s="59" t="n">
        <f aca="false">BC16*BC48*BC49</f>
        <v>423236800</v>
      </c>
      <c r="BD50" s="59" t="n">
        <f aca="false">BD16*BD48*BD49</f>
        <v>423206000</v>
      </c>
      <c r="BE50" s="59" t="n">
        <f aca="false">BE16*BE48*BE49</f>
        <v>423080000</v>
      </c>
      <c r="BF50" s="59" t="n">
        <f aca="false">BF16*BF48*BF49</f>
        <v>423080000</v>
      </c>
      <c r="BG50" s="59" t="n">
        <f aca="false">BG16*BG48*BG49</f>
        <v>423080000</v>
      </c>
      <c r="BH50" s="59" t="n">
        <f aca="false">BH16*BH48*BH49</f>
        <v>423080000</v>
      </c>
      <c r="BI50" s="59" t="n">
        <f aca="false">BI16*BI48*BI49</f>
        <v>423080000</v>
      </c>
      <c r="BJ50" s="59" t="n">
        <f aca="false">BJ16*BJ48*BJ49</f>
        <v>423080000</v>
      </c>
      <c r="BK50" s="59" t="n">
        <f aca="false">BK16*BK48*BK49</f>
        <v>423080000</v>
      </c>
      <c r="BL50" s="59" t="n">
        <f aca="false">BL16*BL48*BL49</f>
        <v>423080000</v>
      </c>
      <c r="BM50" s="59" t="n">
        <f aca="false">BM16*BM48*BM49</f>
        <v>423080000</v>
      </c>
      <c r="BN50" s="59" t="n">
        <f aca="false">BN16*BN48*BN49</f>
        <v>423080000</v>
      </c>
      <c r="BO50" s="59" t="n">
        <f aca="false">BO16*BO48*BO49</f>
        <v>423080000</v>
      </c>
      <c r="BP50" s="59" t="n">
        <f aca="false">BP16*BP48*BP49</f>
        <v>423080000</v>
      </c>
      <c r="BQ50" s="59" t="n">
        <f aca="false">BQ16*BQ48*BQ49</f>
        <v>423080000</v>
      </c>
      <c r="BR50" s="59" t="n">
        <f aca="false">BR16*BR48*BR49</f>
        <v>423080000</v>
      </c>
      <c r="BS50" s="59" t="n">
        <f aca="false">BS16*BS48*BS49</f>
        <v>423080000</v>
      </c>
      <c r="BT50" s="59" t="n">
        <f aca="false">BT16*BT48*BT49</f>
        <v>423080000</v>
      </c>
      <c r="BU50" s="59" t="n">
        <f aca="false">BU16*BU48*BU49</f>
        <v>423080000</v>
      </c>
      <c r="BV50" s="59" t="n">
        <f aca="false">BV16*BV48*BV49</f>
        <v>427310800</v>
      </c>
      <c r="BW50" s="59" t="n">
        <f aca="false">BW16*BW48*BW49</f>
        <v>427310800</v>
      </c>
      <c r="BX50" s="59" t="n">
        <f aca="false">BX16*BX48*BX49</f>
        <v>423080000</v>
      </c>
      <c r="BY50" s="59" t="n">
        <f aca="false">BY16*BY48*BY49</f>
        <v>423080000</v>
      </c>
      <c r="BZ50" s="59" t="n">
        <f aca="false">BZ16*BZ48*BZ49</f>
        <v>423080000</v>
      </c>
      <c r="CA50" s="59" t="n">
        <f aca="false">CA16*CA48*CA49</f>
        <v>423080000</v>
      </c>
      <c r="CB50" s="59" t="n">
        <f aca="false">CB16*CB48*CB49</f>
        <v>423080000</v>
      </c>
      <c r="CC50" s="59" t="n">
        <f aca="false">CC16*CC48*CC49</f>
        <v>423080000</v>
      </c>
      <c r="CD50" s="59" t="n">
        <f aca="false">CD16*CD48*CD49</f>
        <v>423080000</v>
      </c>
      <c r="CE50" s="59" t="n">
        <f aca="false">CE16*CE48*CE49</f>
        <v>423080000</v>
      </c>
      <c r="CF50" s="59" t="n">
        <f aca="false">CF16*CF48*CF49</f>
        <v>423080000</v>
      </c>
      <c r="CG50" s="59" t="n">
        <f aca="false">CG16*CG48*CG49</f>
        <v>423080000</v>
      </c>
      <c r="CH50" s="59" t="n">
        <f aca="false">CH16*CH48*CH49</f>
        <v>423080000</v>
      </c>
      <c r="CI50" s="59" t="n">
        <f aca="false">CI16*CI48*CI49</f>
        <v>423080000</v>
      </c>
      <c r="CJ50" s="59" t="n">
        <f aca="false">CJ16*CJ48*CJ49</f>
        <v>423080000</v>
      </c>
      <c r="CK50" s="59" t="n">
        <f aca="false">CK16*CK48*CK49</f>
        <v>423080000</v>
      </c>
      <c r="CL50" s="59" t="n">
        <f aca="false">CL16*CL48*CL49</f>
        <v>423080000</v>
      </c>
      <c r="CM50" s="59" t="n">
        <f aca="false">CM16*CM48*CM49</f>
        <v>423080000</v>
      </c>
      <c r="CN50" s="59" t="n">
        <f aca="false">CN16*CN48*CN49</f>
        <v>423080000</v>
      </c>
      <c r="CO50" s="59" t="n">
        <f aca="false">CO16*CO48*CO49</f>
        <v>423080000</v>
      </c>
      <c r="CP50" s="59" t="n">
        <f aca="false">CP16*CP48*CP49</f>
        <v>1005000000</v>
      </c>
      <c r="CQ50" s="59" t="n">
        <f aca="false">CQ16*CQ48*CQ49</f>
        <v>1005450000</v>
      </c>
      <c r="CR50" s="59" t="n">
        <f aca="false">CR16*CR48*CR49</f>
        <v>1005450000</v>
      </c>
      <c r="CS50" s="59" t="n">
        <f aca="false">CS16*CS48*CS49</f>
        <v>1005450000</v>
      </c>
      <c r="CT50" s="59" t="n">
        <f aca="false">CT16*CT48*CT49</f>
        <v>1005400000</v>
      </c>
      <c r="CU50" s="59" t="n">
        <f aca="false">CU16*CU48*CU49</f>
        <v>1005000000</v>
      </c>
      <c r="CV50" s="59" t="n">
        <f aca="false">CV16*CV48*CV49</f>
        <v>1005000000</v>
      </c>
      <c r="CW50" s="59" t="n">
        <f aca="false">CW16*CW48*CW49</f>
        <v>1005000000</v>
      </c>
      <c r="CX50" s="59" t="n">
        <f aca="false">CX16*CX48*CX49</f>
        <v>1005000000</v>
      </c>
      <c r="CY50" s="59" t="n">
        <f aca="false">CY16*CY48*CY49</f>
        <v>1005000000</v>
      </c>
      <c r="CZ50" s="59" t="n">
        <f aca="false">CZ16*CZ48*CZ49</f>
        <v>1005000000</v>
      </c>
      <c r="DA50" s="59" t="n">
        <f aca="false">DA16*DA48*DA49</f>
        <v>1005000000</v>
      </c>
      <c r="DB50" s="59" t="n">
        <f aca="false">DB16*DB48*DB49</f>
        <v>1005000000</v>
      </c>
      <c r="DC50" s="59" t="n">
        <f aca="false">DC16*DC48*DC49</f>
        <v>1005000000</v>
      </c>
      <c r="DD50" s="59" t="n">
        <f aca="false">DD16*DD48*DD49</f>
        <v>1005000000</v>
      </c>
      <c r="DE50" s="59" t="n">
        <f aca="false">DE16*DE48*DE49</f>
        <v>1005000000</v>
      </c>
      <c r="DF50" s="59" t="n">
        <f aca="false">DF16*DF48*DF49</f>
        <v>1005000000</v>
      </c>
      <c r="DG50" s="59" t="n">
        <f aca="false">DG16*DG48*DG49</f>
        <v>1005000000</v>
      </c>
      <c r="DH50" s="59" t="n">
        <f aca="false">DH16*DH48*DH49</f>
        <v>1005000000</v>
      </c>
      <c r="DI50" s="59" t="n">
        <f aca="false">DI16*DI48*DI49</f>
        <v>1005000000</v>
      </c>
      <c r="DJ50" s="59" t="n">
        <f aca="false">DJ16*DJ48*DJ49</f>
        <v>1005000000</v>
      </c>
      <c r="DK50" s="59" t="n">
        <f aca="false">DK16*DK48*DK49</f>
        <v>1005000000</v>
      </c>
      <c r="DL50" s="59" t="n">
        <f aca="false">DL16*DL48*DL49</f>
        <v>1015050000</v>
      </c>
      <c r="DM50" s="59" t="n">
        <f aca="false">DM16*DM48*DM49</f>
        <v>1015050000</v>
      </c>
      <c r="DN50" s="59" t="n">
        <f aca="false">DN16*DN48*DN49</f>
        <v>1005000000</v>
      </c>
      <c r="DO50" s="59" t="n">
        <f aca="false">DO16*DO48*DO49</f>
        <v>1005000000</v>
      </c>
      <c r="DP50" s="59" t="n">
        <f aca="false">DP16*DP48*DP49</f>
        <v>1005000000</v>
      </c>
      <c r="DQ50" s="59" t="n">
        <f aca="false">DQ16*DQ48*DQ49</f>
        <v>1005000000</v>
      </c>
      <c r="DR50" s="59" t="n">
        <f aca="false">DR16*DR48*DR49</f>
        <v>1005000000</v>
      </c>
      <c r="DS50" s="59" t="n">
        <f aca="false">DS16*DS48*DS49</f>
        <v>1005000000</v>
      </c>
      <c r="DT50" s="59" t="n">
        <f aca="false">DT16*DT48*DT49</f>
        <v>1005000000</v>
      </c>
      <c r="DU50" s="59" t="n">
        <f aca="false">DU16*DU48*DU49</f>
        <v>1005000000</v>
      </c>
      <c r="DV50" s="59" t="n">
        <f aca="false">DV16*DV48*DV49</f>
        <v>1005000000</v>
      </c>
      <c r="DW50" s="59" t="n">
        <f aca="false">DW16*DW48*DW49</f>
        <v>1005000000</v>
      </c>
      <c r="DX50" s="59" t="n">
        <f aca="false">DX16*DX48*DX49</f>
        <v>1005000000</v>
      </c>
      <c r="DY50" s="59" t="n">
        <f aca="false">DY16*DY48*DY49</f>
        <v>1005000000</v>
      </c>
      <c r="DZ50" s="59" t="n">
        <f aca="false">DZ16*DZ48*DZ49</f>
        <v>1005000000</v>
      </c>
      <c r="EA50" s="59" t="n">
        <f aca="false">EA16*EA48*EA49</f>
        <v>1005000000</v>
      </c>
      <c r="EB50" s="59" t="n">
        <f aca="false">EB16*EB48*EB49</f>
        <v>1005000000</v>
      </c>
      <c r="EC50" s="59" t="n">
        <f aca="false">EC16*EC48*EC49</f>
        <v>1005000000</v>
      </c>
      <c r="ED50" s="59" t="n">
        <f aca="false">ED16*ED48*ED49</f>
        <v>1005000000</v>
      </c>
      <c r="EE50" s="59" t="n">
        <f aca="false">EE16*EE48*EE49</f>
        <v>1005000000</v>
      </c>
      <c r="EF50" s="59" t="n">
        <f aca="false">EF16*EF48*EF49</f>
        <v>148500000</v>
      </c>
      <c r="EG50" s="59" t="n">
        <f aca="false">EG16*EG48*EG49</f>
        <v>149985000</v>
      </c>
      <c r="EH50" s="59" t="n">
        <f aca="false">EH16*EH48*EH49</f>
        <v>149985000</v>
      </c>
      <c r="EI50" s="59" t="n">
        <f aca="false">EI16*EI48*EI49</f>
        <v>149985000</v>
      </c>
      <c r="EJ50" s="59" t="n">
        <f aca="false">EJ16*EJ48*EJ49</f>
        <v>150000000</v>
      </c>
      <c r="EK50" s="59" t="n">
        <f aca="false">EK16*EK48*EK49</f>
        <v>148500000</v>
      </c>
      <c r="EL50" s="59" t="n">
        <f aca="false">EL16*EL48*EL49</f>
        <v>148500000</v>
      </c>
      <c r="EM50" s="59" t="n">
        <f aca="false">EM16*EM48*EM49</f>
        <v>148500000</v>
      </c>
      <c r="EN50" s="59" t="n">
        <f aca="false">EN16*EN48*EN49</f>
        <v>148500000</v>
      </c>
      <c r="EO50" s="59" t="n">
        <f aca="false">EO16*EO48*EO49</f>
        <v>148500000</v>
      </c>
      <c r="EP50" s="59" t="n">
        <f aca="false">EP16*EP48*EP49</f>
        <v>148500000</v>
      </c>
      <c r="EQ50" s="59" t="n">
        <f aca="false">EQ16*EQ48*EQ49</f>
        <v>148500000</v>
      </c>
      <c r="ER50" s="59" t="n">
        <f aca="false">ER16*ER48*ER49</f>
        <v>148500000</v>
      </c>
      <c r="ES50" s="59" t="n">
        <f aca="false">ES16*ES48*ES49</f>
        <v>148500000</v>
      </c>
      <c r="ET50" s="59" t="n">
        <f aca="false">ET16*ET48*ET49</f>
        <v>148500000</v>
      </c>
      <c r="EU50" s="59" t="n">
        <f aca="false">EU16*EU48*EU49</f>
        <v>148500000</v>
      </c>
      <c r="EV50" s="59" t="n">
        <f aca="false">EV16*EV48*EV49</f>
        <v>148500000</v>
      </c>
      <c r="EW50" s="59" t="n">
        <f aca="false">EW16*EW48*EW49</f>
        <v>148500000</v>
      </c>
      <c r="EX50" s="59" t="n">
        <f aca="false">EX16*EX48*EX49</f>
        <v>148500000</v>
      </c>
      <c r="EY50" s="59" t="n">
        <f aca="false">EY16*EY48*EY49</f>
        <v>148500000</v>
      </c>
      <c r="EZ50" s="59" t="n">
        <f aca="false">EZ16*EZ48*EZ49</f>
        <v>148500000</v>
      </c>
      <c r="FA50" s="59" t="n">
        <f aca="false">FA16*FA48*FA49</f>
        <v>148500000</v>
      </c>
      <c r="FB50" s="59" t="n">
        <f aca="false">FB16*FB48*FB49</f>
        <v>149985000</v>
      </c>
      <c r="FC50" s="59" t="n">
        <f aca="false">FC16*FC48*FC49</f>
        <v>149985000</v>
      </c>
      <c r="FD50" s="59" t="n">
        <f aca="false">FD16*FD48*FD49</f>
        <v>148500000</v>
      </c>
      <c r="FE50" s="59" t="n">
        <f aca="false">FE16*FE48*FE49</f>
        <v>148500000</v>
      </c>
      <c r="FF50" s="59" t="n">
        <f aca="false">FF16*FF48*FF49</f>
        <v>148500000</v>
      </c>
      <c r="FG50" s="59" t="n">
        <f aca="false">FG16*FG48*FG49</f>
        <v>148500000</v>
      </c>
      <c r="FH50" s="59" t="n">
        <f aca="false">FH16*FH48*FH49</f>
        <v>148500000</v>
      </c>
      <c r="FI50" s="59" t="n">
        <f aca="false">FI16*FI48*FI49</f>
        <v>148500000</v>
      </c>
      <c r="FJ50" s="59" t="n">
        <f aca="false">FJ16*FJ48*FJ49</f>
        <v>148500000</v>
      </c>
      <c r="FK50" s="59" t="n">
        <f aca="false">FK16*FK48*FK49</f>
        <v>148500000</v>
      </c>
      <c r="FL50" s="59" t="n">
        <f aca="false">FL16*FL48*FL49</f>
        <v>148500000</v>
      </c>
      <c r="FM50" s="59" t="n">
        <f aca="false">FM16*FM48*FM49</f>
        <v>148500000</v>
      </c>
      <c r="FN50" s="59" t="n">
        <f aca="false">FN16*FN48*FN49</f>
        <v>148500000</v>
      </c>
      <c r="FO50" s="59" t="n">
        <f aca="false">FO16*FO48*FO49</f>
        <v>148500000</v>
      </c>
      <c r="FP50" s="59" t="n">
        <f aca="false">FP16*FP48*FP49</f>
        <v>148500000</v>
      </c>
      <c r="FQ50" s="59" t="n">
        <f aca="false">FQ16*FQ48*FQ49</f>
        <v>148500000</v>
      </c>
      <c r="FR50" s="59" t="n">
        <f aca="false">FR16*FR48*FR49</f>
        <v>148500000</v>
      </c>
      <c r="FS50" s="59" t="n">
        <f aca="false">FS16*FS48*FS49</f>
        <v>148500000</v>
      </c>
      <c r="FT50" s="59" t="n">
        <f aca="false">FT16*FT48*FT49</f>
        <v>148500000</v>
      </c>
      <c r="FU50" s="59" t="n">
        <f aca="false">FU16*FU48*FU49</f>
        <v>148500000</v>
      </c>
      <c r="FV50" s="59" t="n">
        <f aca="false">FV16*FV48*FV49</f>
        <v>522666666.666667</v>
      </c>
      <c r="FW50" s="59" t="n">
        <f aca="false">FW16*FW48*FW49</f>
        <v>527893333.333333</v>
      </c>
      <c r="FX50" s="59" t="n">
        <f aca="false">FX16*FX48*FX49</f>
        <v>527893333.333333</v>
      </c>
      <c r="FY50" s="59" t="n">
        <f aca="false">FY16*FY48*FY49</f>
        <v>527893333.333333</v>
      </c>
      <c r="FZ50" s="59" t="n">
        <f aca="false">FZ16*FZ48*FZ49</f>
        <v>527946127.946128</v>
      </c>
      <c r="GA50" s="59" t="n">
        <f aca="false">GA16*GA48*GA49</f>
        <v>522666666.666667</v>
      </c>
      <c r="GB50" s="59" t="n">
        <f aca="false">GB16*GB48*GB49</f>
        <v>522666666.666667</v>
      </c>
      <c r="GC50" s="59" t="n">
        <f aca="false">GC16*GC48*GC49</f>
        <v>522666666.666667</v>
      </c>
      <c r="GD50" s="59" t="n">
        <f aca="false">GD16*GD48*GD49</f>
        <v>522666666.666667</v>
      </c>
      <c r="GE50" s="59" t="n">
        <f aca="false">GE16*GE48*GE49</f>
        <v>522666666.666667</v>
      </c>
      <c r="GF50" s="59" t="n">
        <f aca="false">GF16*GF48*GF49</f>
        <v>522666666.666667</v>
      </c>
      <c r="GG50" s="59" t="n">
        <f aca="false">GG16*GG48*GG49</f>
        <v>522666666.666667</v>
      </c>
      <c r="GH50" s="59" t="n">
        <f aca="false">GH16*GH48*GH49</f>
        <v>522666666.666667</v>
      </c>
      <c r="GI50" s="59" t="n">
        <f aca="false">GI16*GI48*GI49</f>
        <v>522666666.666667</v>
      </c>
      <c r="GJ50" s="59" t="n">
        <f aca="false">GJ16*GJ48*GJ49</f>
        <v>522666666.666667</v>
      </c>
      <c r="GK50" s="59" t="n">
        <f aca="false">GK16*GK48*GK49</f>
        <v>522666666.666667</v>
      </c>
      <c r="GL50" s="59" t="n">
        <f aca="false">GL16*GL48*GL49</f>
        <v>522666666.666667</v>
      </c>
      <c r="GM50" s="59" t="n">
        <f aca="false">GM16*GM48*GM49</f>
        <v>522666666.666667</v>
      </c>
      <c r="GN50" s="59" t="n">
        <f aca="false">GN16*GN48*GN49</f>
        <v>522666666.666667</v>
      </c>
      <c r="GO50" s="59" t="n">
        <f aca="false">GO16*GO48*GO49</f>
        <v>522666666.666667</v>
      </c>
      <c r="GP50" s="59" t="n">
        <f aca="false">GP16*GP48*GP49</f>
        <v>522666666.666667</v>
      </c>
      <c r="GQ50" s="59" t="n">
        <f aca="false">GQ16*GQ48*GQ49</f>
        <v>522666666.666667</v>
      </c>
      <c r="GR50" s="59" t="n">
        <f aca="false">GR16*GR48*GR49</f>
        <v>527893333.333333</v>
      </c>
      <c r="GS50" s="59" t="n">
        <f aca="false">GS16*GS48*GS49</f>
        <v>527893333.333333</v>
      </c>
      <c r="GT50" s="59" t="n">
        <f aca="false">GT16*GT48*GT49</f>
        <v>522666666.666667</v>
      </c>
      <c r="GU50" s="59" t="n">
        <f aca="false">GU16*GU48*GU49</f>
        <v>522666666.666667</v>
      </c>
      <c r="GV50" s="59" t="n">
        <f aca="false">GV16*GV48*GV49</f>
        <v>522666666.666667</v>
      </c>
      <c r="GW50" s="59" t="n">
        <f aca="false">GW16*GW48*GW49</f>
        <v>522666666.666667</v>
      </c>
      <c r="GX50" s="59" t="n">
        <f aca="false">GX16*GX48*GX49</f>
        <v>522666666.666667</v>
      </c>
      <c r="GY50" s="59" t="n">
        <f aca="false">GY16*GY48*GY49</f>
        <v>522666666.666667</v>
      </c>
      <c r="GZ50" s="59" t="n">
        <f aca="false">GZ16*GZ48*GZ49</f>
        <v>522666666.666667</v>
      </c>
      <c r="HA50" s="59" t="n">
        <f aca="false">HA16*HA48*HA49</f>
        <v>522666666.666667</v>
      </c>
      <c r="HB50" s="59" t="n">
        <f aca="false">HB16*HB48*HB49</f>
        <v>522666666.666667</v>
      </c>
      <c r="HC50" s="59" t="n">
        <f aca="false">HC16*HC48*HC49</f>
        <v>522666666.666667</v>
      </c>
      <c r="HD50" s="59" t="n">
        <f aca="false">HD16*HD48*HD49</f>
        <v>522666666.666667</v>
      </c>
      <c r="HE50" s="59" t="n">
        <f aca="false">HE16*HE48*HE49</f>
        <v>522666666.666667</v>
      </c>
      <c r="HF50" s="59" t="n">
        <f aca="false">HF16*HF48*HF49</f>
        <v>522666666.666667</v>
      </c>
      <c r="HG50" s="59" t="n">
        <f aca="false">HG16*HG48*HG49</f>
        <v>522666666.666667</v>
      </c>
      <c r="HH50" s="59" t="n">
        <f aca="false">HH16*HH48*HH49</f>
        <v>522666666.666667</v>
      </c>
      <c r="HI50" s="59" t="n">
        <f aca="false">HI16*HI48*HI49</f>
        <v>522666666.666667</v>
      </c>
      <c r="HJ50" s="59" t="n">
        <f aca="false">HJ16*HJ48*HJ49</f>
        <v>522666666.666667</v>
      </c>
      <c r="HK50" s="59" t="n">
        <f aca="false">HK16*HK48*HK49</f>
        <v>522666666.666667</v>
      </c>
      <c r="HL50" s="59" t="n">
        <f aca="false">HL16*HL48*HL49</f>
        <v>1125000000</v>
      </c>
      <c r="HM50" s="59" t="n">
        <f aca="false">HM16*HM48*HM49</f>
        <v>1136250000</v>
      </c>
      <c r="HN50" s="59" t="n">
        <f aca="false">HN16*HN48*HN49</f>
        <v>1136250000</v>
      </c>
      <c r="HO50" s="59" t="n">
        <f aca="false">HO16*HO48*HO49</f>
        <v>1136250000</v>
      </c>
      <c r="HP50" s="59" t="n">
        <f aca="false">HP16*HP48*HP49</f>
        <v>1136363636.36364</v>
      </c>
      <c r="HQ50" s="59" t="n">
        <f aca="false">HQ16*HQ48*HQ49</f>
        <v>1125000000</v>
      </c>
      <c r="HR50" s="59" t="n">
        <f aca="false">HR16*HR48*HR49</f>
        <v>1125000000</v>
      </c>
      <c r="HS50" s="59" t="n">
        <f aca="false">HS16*HS48*HS49</f>
        <v>1125000000</v>
      </c>
      <c r="HT50" s="59" t="n">
        <f aca="false">HT16*HT48*HT49</f>
        <v>1125000000</v>
      </c>
      <c r="HU50" s="59" t="n">
        <f aca="false">HU16*HU48*HU49</f>
        <v>1125000000</v>
      </c>
      <c r="HV50" s="59" t="n">
        <f aca="false">HV16*HV48*HV49</f>
        <v>1125000000</v>
      </c>
      <c r="HW50" s="59" t="n">
        <f aca="false">HW16*HW48*HW49</f>
        <v>1125000000</v>
      </c>
      <c r="HX50" s="59" t="n">
        <f aca="false">HX16*HX48*HX49</f>
        <v>1125000000</v>
      </c>
      <c r="HY50" s="59" t="n">
        <f aca="false">HY16*HY48*HY49</f>
        <v>1125000000</v>
      </c>
      <c r="HZ50" s="59" t="n">
        <f aca="false">HZ16*HZ48*HZ49</f>
        <v>1125000000</v>
      </c>
      <c r="IA50" s="59" t="n">
        <f aca="false">IA16*IA48*IA49</f>
        <v>1125000000</v>
      </c>
      <c r="IB50" s="59" t="n">
        <f aca="false">IB16*IB48*IB49</f>
        <v>1125000000</v>
      </c>
      <c r="IC50" s="59" t="n">
        <f aca="false">IC16*IC48*IC49</f>
        <v>1125000000</v>
      </c>
      <c r="ID50" s="59" t="n">
        <f aca="false">ID16*ID48*ID49</f>
        <v>1125000000</v>
      </c>
      <c r="IE50" s="59" t="n">
        <f aca="false">IE16*IE48*IE49</f>
        <v>1125000000</v>
      </c>
      <c r="IF50" s="59" t="n">
        <f aca="false">IF16*IF48*IF49</f>
        <v>1125000000</v>
      </c>
      <c r="IG50" s="59" t="n">
        <f aca="false">IG16*IG48*IG49</f>
        <v>1125000000</v>
      </c>
      <c r="IH50" s="59" t="n">
        <f aca="false">IH16*IH48*IH49</f>
        <v>1136250000</v>
      </c>
      <c r="II50" s="59" t="n">
        <f aca="false">II16*II48*II49</f>
        <v>1136250000</v>
      </c>
      <c r="IJ50" s="59" t="n">
        <f aca="false">IJ16*IJ48*IJ49</f>
        <v>1125000000</v>
      </c>
      <c r="IK50" s="59" t="n">
        <f aca="false">IK16*IK48*IK49</f>
        <v>1125000000</v>
      </c>
      <c r="IL50" s="59" t="n">
        <f aca="false">IL16*IL48*IL49</f>
        <v>1125000000</v>
      </c>
      <c r="IM50" s="59" t="n">
        <f aca="false">IM16*IM48*IM49</f>
        <v>1125000000</v>
      </c>
      <c r="IN50" s="59" t="n">
        <f aca="false">IN16*IN48*IN49</f>
        <v>1125000000</v>
      </c>
      <c r="IO50" s="59" t="n">
        <f aca="false">IO16*IO48*IO49</f>
        <v>1125000000</v>
      </c>
      <c r="IP50" s="59" t="n">
        <f aca="false">IP16*IP48*IP49</f>
        <v>1125000000</v>
      </c>
      <c r="IQ50" s="59" t="n">
        <f aca="false">IQ16*IQ48*IQ49</f>
        <v>1125000000</v>
      </c>
      <c r="IR50" s="59" t="n">
        <f aca="false">IR16*IR48*IR49</f>
        <v>1125000000</v>
      </c>
      <c r="IS50" s="59" t="n">
        <f aca="false">IS16*IS48*IS49</f>
        <v>1125000000</v>
      </c>
      <c r="IT50" s="59" t="n">
        <f aca="false">IT16*IT48*IT49</f>
        <v>1125000000</v>
      </c>
      <c r="IU50" s="59" t="n">
        <f aca="false">IU16*IU48*IU49</f>
        <v>1125000000</v>
      </c>
      <c r="IV50" s="59" t="n">
        <f aca="false">IV16*IV48*IV49</f>
        <v>1125000000</v>
      </c>
      <c r="IW50" s="59" t="n">
        <f aca="false">IW16*IW48*IW49</f>
        <v>1125000000</v>
      </c>
      <c r="IX50" s="59" t="n">
        <f aca="false">IX16*IX48*IX49</f>
        <v>1125000000</v>
      </c>
      <c r="IY50" s="59" t="n">
        <f aca="false">IY16*IY48*IY49</f>
        <v>1125000000</v>
      </c>
      <c r="IZ50" s="59" t="n">
        <f aca="false">IZ16*IZ48*IZ49</f>
        <v>1125000000</v>
      </c>
      <c r="JA50" s="59" t="n">
        <f aca="false">JA16*JA48*JA49</f>
        <v>1125000000</v>
      </c>
    </row>
    <row r="51" customFormat="false" ht="15" hidden="false" customHeight="false" outlineLevel="0" collapsed="false">
      <c r="A51" s="13" t="s">
        <v>241</v>
      </c>
      <c r="B51" s="13" t="s">
        <v>242</v>
      </c>
      <c r="C51" s="13" t="s">
        <v>194</v>
      </c>
      <c r="D51" s="9" t="s">
        <v>36</v>
      </c>
      <c r="E51" s="32" t="n">
        <f aca="false">INDEX(Вводные!$D$13:$F$64,MATCH($A51,Вводные!$A$13:$A$64,0),MATCH(E$3,Вводные!$D$11:$F$11,0))*(1+IF(E$4=$A51,Вводные!$D$5*INDEX(Вводные!$G$13:$G$64,MATCH($A51,Вводные!$A$13:$A$64,0)),0))</f>
        <v>0.01</v>
      </c>
      <c r="F51" s="32" t="n">
        <f aca="false">INDEX(Вводные!$D$13:$F$64,MATCH($A51,Вводные!$A$13:$A$64,0),MATCH(F$3,Вводные!$D$11:$F$11,0))*(1+IF(F$4=$A51,Вводные!$D$5*INDEX(Вводные!$G$13:$G$64,MATCH($A51,Вводные!$A$13:$A$64,0)),0))</f>
        <v>0.012</v>
      </c>
      <c r="G51" s="32" t="n">
        <f aca="false">INDEX(Вводные!$D$13:$F$64,MATCH($A51,Вводные!$A$13:$A$64,0),MATCH(G$3,Вводные!$D$11:$F$11,0))*(1+IF(G$4=$A51,Вводные!$D$5*INDEX(Вводные!$G$13:$G$64,MATCH($A51,Вводные!$A$13:$A$64,0)),0))</f>
        <v>0.01</v>
      </c>
      <c r="H51" s="60"/>
      <c r="J51" s="32" t="n">
        <f aca="false">INDEX(Вводные!$D$13:$F$64,MATCH($A51,Вводные!$A$13:$A$64,0),MATCH(J$3,Вводные!$D$11:$F$11,0))*(1+IF(J$4=$A51,Вводные!$D$5*INDEX(Вводные!$G$13:$G$64,MATCH($A51,Вводные!$A$13:$A$64,0)),0))</f>
        <v>0.01</v>
      </c>
      <c r="K51" s="32" t="n">
        <f aca="false">INDEX(Вводные!$D$13:$F$64,MATCH($A51,Вводные!$A$13:$A$64,0),MATCH(K$3,Вводные!$D$11:$F$11,0))*(1+IF(K$4=$A51,Вводные!$D$5*INDEX(Вводные!$G$13:$G$64,MATCH($A51,Вводные!$A$13:$A$64,0)),0))</f>
        <v>0.01</v>
      </c>
      <c r="L51" s="32" t="n">
        <f aca="false">INDEX(Вводные!$D$13:$F$64,MATCH($A51,Вводные!$A$13:$A$64,0),MATCH(L$3,Вводные!$D$11:$F$11,0))*(1+IF(L$4=$A51,Вводные!$D$5*INDEX(Вводные!$G$13:$G$64,MATCH($A51,Вводные!$A$13:$A$64,0)),0))</f>
        <v>0.01</v>
      </c>
      <c r="M51" s="32" t="n">
        <f aca="false">INDEX(Вводные!$D$13:$F$64,MATCH($A51,Вводные!$A$13:$A$64,0),MATCH(M$3,Вводные!$D$11:$F$11,0))*(1+IF(M$4=$A51,Вводные!$D$5*INDEX(Вводные!$G$13:$G$64,MATCH($A51,Вводные!$A$13:$A$64,0)),0))</f>
        <v>0.01</v>
      </c>
      <c r="N51" s="32" t="n">
        <f aca="false">INDEX(Вводные!$D$13:$F$64,MATCH($A51,Вводные!$A$13:$A$64,0),MATCH(N$3,Вводные!$D$11:$F$11,0))*(1+IF(N$4=$A51,Вводные!$D$5*INDEX(Вводные!$G$13:$G$64,MATCH($A51,Вводные!$A$13:$A$64,0)),0))</f>
        <v>0.01</v>
      </c>
      <c r="O51" s="32" t="n">
        <f aca="false">INDEX(Вводные!$D$13:$F$64,MATCH($A51,Вводные!$A$13:$A$64,0),MATCH(O$3,Вводные!$D$11:$F$11,0))*(1+IF(O$4=$A51,Вводные!$D$5*INDEX(Вводные!$G$13:$G$64,MATCH($A51,Вводные!$A$13:$A$64,0)),0))</f>
        <v>0.01</v>
      </c>
      <c r="P51" s="32" t="n">
        <f aca="false">INDEX(Вводные!$D$13:$F$64,MATCH($A51,Вводные!$A$13:$A$64,0),MATCH(P$3,Вводные!$D$11:$F$11,0))*(1+IF(P$4=$A51,Вводные!$D$5*INDEX(Вводные!$G$13:$G$64,MATCH($A51,Вводные!$A$13:$A$64,0)),0))</f>
        <v>0.01</v>
      </c>
      <c r="Q51" s="32" t="n">
        <f aca="false">INDEX(Вводные!$D$13:$F$64,MATCH($A51,Вводные!$A$13:$A$64,0),MATCH(Q$3,Вводные!$D$11:$F$11,0))*(1+IF(Q$4=$A51,Вводные!$D$5*INDEX(Вводные!$G$13:$G$64,MATCH($A51,Вводные!$A$13:$A$64,0)),0))</f>
        <v>0.01</v>
      </c>
      <c r="R51" s="32" t="n">
        <f aca="false">INDEX(Вводные!$D$13:$F$64,MATCH($A51,Вводные!$A$13:$A$64,0),MATCH(R$3,Вводные!$D$11:$F$11,0))*(1+IF(R$4=$A51,Вводные!$D$5*INDEX(Вводные!$G$13:$G$64,MATCH($A51,Вводные!$A$13:$A$64,0)),0))</f>
        <v>0.01</v>
      </c>
      <c r="S51" s="32" t="n">
        <f aca="false">INDEX(Вводные!$D$13:$F$64,MATCH($A51,Вводные!$A$13:$A$64,0),MATCH(S$3,Вводные!$D$11:$F$11,0))*(1+IF(S$4=$A51,Вводные!$D$5*INDEX(Вводные!$G$13:$G$64,MATCH($A51,Вводные!$A$13:$A$64,0)),0))</f>
        <v>0.01</v>
      </c>
      <c r="T51" s="32" t="n">
        <f aca="false">INDEX(Вводные!$D$13:$F$64,MATCH($A51,Вводные!$A$13:$A$64,0),MATCH(T$3,Вводные!$D$11:$F$11,0))*(1+IF(T$4=$A51,Вводные!$D$5*INDEX(Вводные!$G$13:$G$64,MATCH($A51,Вводные!$A$13:$A$64,0)),0))</f>
        <v>0.01</v>
      </c>
      <c r="U51" s="32" t="n">
        <f aca="false">INDEX(Вводные!$D$13:$F$64,MATCH($A51,Вводные!$A$13:$A$64,0),MATCH(U$3,Вводные!$D$11:$F$11,0))*(1+IF(U$4=$A51,Вводные!$D$5*INDEX(Вводные!$G$13:$G$64,MATCH($A51,Вводные!$A$13:$A$64,0)),0))</f>
        <v>0.01</v>
      </c>
      <c r="V51" s="32" t="n">
        <f aca="false">INDEX(Вводные!$D$13:$F$64,MATCH($A51,Вводные!$A$13:$A$64,0),MATCH(V$3,Вводные!$D$11:$F$11,0))*(1+IF(V$4=$A51,Вводные!$D$5*INDEX(Вводные!$G$13:$G$64,MATCH($A51,Вводные!$A$13:$A$64,0)),0))</f>
        <v>0.01</v>
      </c>
      <c r="W51" s="32" t="n">
        <f aca="false">INDEX(Вводные!$D$13:$F$64,MATCH($A51,Вводные!$A$13:$A$64,0),MATCH(W$3,Вводные!$D$11:$F$11,0))*(1+IF(W$4=$A51,Вводные!$D$5*INDEX(Вводные!$G$13:$G$64,MATCH($A51,Вводные!$A$13:$A$64,0)),0))</f>
        <v>0.01</v>
      </c>
      <c r="X51" s="32" t="n">
        <f aca="false">INDEX(Вводные!$D$13:$F$64,MATCH($A51,Вводные!$A$13:$A$64,0),MATCH(X$3,Вводные!$D$11:$F$11,0))*(1+IF(X$4=$A51,Вводные!$D$5*INDEX(Вводные!$G$13:$G$64,MATCH($A51,Вводные!$A$13:$A$64,0)),0))</f>
        <v>0.01</v>
      </c>
      <c r="Y51" s="32" t="n">
        <f aca="false">INDEX(Вводные!$D$13:$F$64,MATCH($A51,Вводные!$A$13:$A$64,0),MATCH(Y$3,Вводные!$D$11:$F$11,0))*(1+IF(Y$4=$A51,Вводные!$D$5*INDEX(Вводные!$G$13:$G$64,MATCH($A51,Вводные!$A$13:$A$64,0)),0))</f>
        <v>0.01</v>
      </c>
      <c r="Z51" s="32" t="n">
        <f aca="false">INDEX(Вводные!$D$13:$F$64,MATCH($A51,Вводные!$A$13:$A$64,0),MATCH(Z$3,Вводные!$D$11:$F$11,0))*(1+IF(Z$4=$A51,Вводные!$D$5*INDEX(Вводные!$G$13:$G$64,MATCH($A51,Вводные!$A$13:$A$64,0)),0))</f>
        <v>0.01</v>
      </c>
      <c r="AA51" s="32" t="n">
        <f aca="false">INDEX(Вводные!$D$13:$F$64,MATCH($A51,Вводные!$A$13:$A$64,0),MATCH(AA$3,Вводные!$D$11:$F$11,0))*(1+IF(AA$4=$A51,Вводные!$D$5*INDEX(Вводные!$G$13:$G$64,MATCH($A51,Вводные!$A$13:$A$64,0)),0))</f>
        <v>0.01</v>
      </c>
      <c r="AB51" s="32" t="n">
        <f aca="false">INDEX(Вводные!$D$13:$F$64,MATCH($A51,Вводные!$A$13:$A$64,0),MATCH(AB$3,Вводные!$D$11:$F$11,0))*(1+IF(AB$4=$A51,Вводные!$D$5*INDEX(Вводные!$G$13:$G$64,MATCH($A51,Вводные!$A$13:$A$64,0)),0))</f>
        <v>0.01</v>
      </c>
      <c r="AC51" s="32" t="n">
        <f aca="false">INDEX(Вводные!$D$13:$F$64,MATCH($A51,Вводные!$A$13:$A$64,0),MATCH(AC$3,Вводные!$D$11:$F$11,0))*(1+IF(AC$4=$A51,Вводные!$D$5*INDEX(Вводные!$G$13:$G$64,MATCH($A51,Вводные!$A$13:$A$64,0)),0))</f>
        <v>0.01</v>
      </c>
      <c r="AD51" s="32" t="n">
        <f aca="false">INDEX(Вводные!$D$13:$F$64,MATCH($A51,Вводные!$A$13:$A$64,0),MATCH(AD$3,Вводные!$D$11:$F$11,0))*(1+IF(AD$4=$A51,Вводные!$D$5*INDEX(Вводные!$G$13:$G$64,MATCH($A51,Вводные!$A$13:$A$64,0)),0))</f>
        <v>0.01</v>
      </c>
      <c r="AE51" s="32" t="n">
        <f aca="false">INDEX(Вводные!$D$13:$F$64,MATCH($A51,Вводные!$A$13:$A$64,0),MATCH(AE$3,Вводные!$D$11:$F$11,0))*(1+IF(AE$4=$A51,Вводные!$D$5*INDEX(Вводные!$G$13:$G$64,MATCH($A51,Вводные!$A$13:$A$64,0)),0))</f>
        <v>0.01</v>
      </c>
      <c r="AF51" s="32" t="n">
        <f aca="false">INDEX(Вводные!$D$13:$F$64,MATCH($A51,Вводные!$A$13:$A$64,0),MATCH(AF$3,Вводные!$D$11:$F$11,0))*(1+IF(AF$4=$A51,Вводные!$D$5*INDEX(Вводные!$G$13:$G$64,MATCH($A51,Вводные!$A$13:$A$64,0)),0))</f>
        <v>0.01</v>
      </c>
      <c r="AG51" s="32" t="n">
        <f aca="false">INDEX(Вводные!$D$13:$F$64,MATCH($A51,Вводные!$A$13:$A$64,0),MATCH(AG$3,Вводные!$D$11:$F$11,0))*(1+IF(AG$4=$A51,Вводные!$D$5*INDEX(Вводные!$G$13:$G$64,MATCH($A51,Вводные!$A$13:$A$64,0)),0))</f>
        <v>0.01</v>
      </c>
      <c r="AH51" s="32" t="n">
        <f aca="false">INDEX(Вводные!$D$13:$F$64,MATCH($A51,Вводные!$A$13:$A$64,0),MATCH(AH$3,Вводные!$D$11:$F$11,0))*(1+IF(AH$4=$A51,Вводные!$D$5*INDEX(Вводные!$G$13:$G$64,MATCH($A51,Вводные!$A$13:$A$64,0)),0))</f>
        <v>0.0101</v>
      </c>
      <c r="AI51" s="32" t="n">
        <f aca="false">INDEX(Вводные!$D$13:$F$64,MATCH($A51,Вводные!$A$13:$A$64,0),MATCH(AI$3,Вводные!$D$11:$F$11,0))*(1+IF(AI$4=$A51,Вводные!$D$5*INDEX(Вводные!$G$13:$G$64,MATCH($A51,Вводные!$A$13:$A$64,0)),0))</f>
        <v>0.01</v>
      </c>
      <c r="AJ51" s="32" t="n">
        <f aca="false">INDEX(Вводные!$D$13:$F$64,MATCH($A51,Вводные!$A$13:$A$64,0),MATCH(AJ$3,Вводные!$D$11:$F$11,0))*(1+IF(AJ$4=$A51,Вводные!$D$5*INDEX(Вводные!$G$13:$G$64,MATCH($A51,Вводные!$A$13:$A$64,0)),0))</f>
        <v>0.01</v>
      </c>
      <c r="AK51" s="32" t="n">
        <f aca="false">INDEX(Вводные!$D$13:$F$64,MATCH($A51,Вводные!$A$13:$A$64,0),MATCH(AK$3,Вводные!$D$11:$F$11,0))*(1+IF(AK$4=$A51,Вводные!$D$5*INDEX(Вводные!$G$13:$G$64,MATCH($A51,Вводные!$A$13:$A$64,0)),0))</f>
        <v>0.01</v>
      </c>
      <c r="AL51" s="32" t="n">
        <f aca="false">INDEX(Вводные!$D$13:$F$64,MATCH($A51,Вводные!$A$13:$A$64,0),MATCH(AL$3,Вводные!$D$11:$F$11,0))*(1+IF(AL$4=$A51,Вводные!$D$5*INDEX(Вводные!$G$13:$G$64,MATCH($A51,Вводные!$A$13:$A$64,0)),0))</f>
        <v>0.01</v>
      </c>
      <c r="AM51" s="32" t="n">
        <f aca="false">INDEX(Вводные!$D$13:$F$64,MATCH($A51,Вводные!$A$13:$A$64,0),MATCH(AM$3,Вводные!$D$11:$F$11,0))*(1+IF(AM$4=$A51,Вводные!$D$5*INDEX(Вводные!$G$13:$G$64,MATCH($A51,Вводные!$A$13:$A$64,0)),0))</f>
        <v>0.01</v>
      </c>
      <c r="AN51" s="32" t="n">
        <f aca="false">INDEX(Вводные!$D$13:$F$64,MATCH($A51,Вводные!$A$13:$A$64,0),MATCH(AN$3,Вводные!$D$11:$F$11,0))*(1+IF(AN$4=$A51,Вводные!$D$5*INDEX(Вводные!$G$13:$G$64,MATCH($A51,Вводные!$A$13:$A$64,0)),0))</f>
        <v>0.01</v>
      </c>
      <c r="AO51" s="32" t="n">
        <f aca="false">INDEX(Вводные!$D$13:$F$64,MATCH($A51,Вводные!$A$13:$A$64,0),MATCH(AO$3,Вводные!$D$11:$F$11,0))*(1+IF(AO$4=$A51,Вводные!$D$5*INDEX(Вводные!$G$13:$G$64,MATCH($A51,Вводные!$A$13:$A$64,0)),0))</f>
        <v>0.01</v>
      </c>
      <c r="AP51" s="32" t="n">
        <f aca="false">INDEX(Вводные!$D$13:$F$64,MATCH($A51,Вводные!$A$13:$A$64,0),MATCH(AP$3,Вводные!$D$11:$F$11,0))*(1+IF(AP$4=$A51,Вводные!$D$5*INDEX(Вводные!$G$13:$G$64,MATCH($A51,Вводные!$A$13:$A$64,0)),0))</f>
        <v>0.01</v>
      </c>
      <c r="AQ51" s="32" t="n">
        <f aca="false">INDEX(Вводные!$D$13:$F$64,MATCH($A51,Вводные!$A$13:$A$64,0),MATCH(AQ$3,Вводные!$D$11:$F$11,0))*(1+IF(AQ$4=$A51,Вводные!$D$5*INDEX(Вводные!$G$13:$G$64,MATCH($A51,Вводные!$A$13:$A$64,0)),0))</f>
        <v>0.01</v>
      </c>
      <c r="AR51" s="32" t="n">
        <f aca="false">INDEX(Вводные!$D$13:$F$64,MATCH($A51,Вводные!$A$13:$A$64,0),MATCH(AR$3,Вводные!$D$11:$F$11,0))*(1+IF(AR$4=$A51,Вводные!$D$5*INDEX(Вводные!$G$13:$G$64,MATCH($A51,Вводные!$A$13:$A$64,0)),0))</f>
        <v>0.01</v>
      </c>
      <c r="AS51" s="32" t="n">
        <f aca="false">INDEX(Вводные!$D$13:$F$64,MATCH($A51,Вводные!$A$13:$A$64,0),MATCH(AS$3,Вводные!$D$11:$F$11,0))*(1+IF(AS$4=$A51,Вводные!$D$5*INDEX(Вводные!$G$13:$G$64,MATCH($A51,Вводные!$A$13:$A$64,0)),0))</f>
        <v>0.01</v>
      </c>
      <c r="AT51" s="32" t="n">
        <f aca="false">INDEX(Вводные!$D$13:$F$64,MATCH($A51,Вводные!$A$13:$A$64,0),MATCH(AT$3,Вводные!$D$11:$F$11,0))*(1+IF(AT$4=$A51,Вводные!$D$5*INDEX(Вводные!$G$13:$G$64,MATCH($A51,Вводные!$A$13:$A$64,0)),0))</f>
        <v>0.01</v>
      </c>
      <c r="AU51" s="32" t="n">
        <f aca="false">INDEX(Вводные!$D$13:$F$64,MATCH($A51,Вводные!$A$13:$A$64,0),MATCH(AU$3,Вводные!$D$11:$F$11,0))*(1+IF(AU$4=$A51,Вводные!$D$5*INDEX(Вводные!$G$13:$G$64,MATCH($A51,Вводные!$A$13:$A$64,0)),0))</f>
        <v>0.01</v>
      </c>
      <c r="AV51" s="32" t="n">
        <f aca="false">INDEX(Вводные!$D$13:$F$64,MATCH($A51,Вводные!$A$13:$A$64,0),MATCH(AV$3,Вводные!$D$11:$F$11,0))*(1+IF(AV$4=$A51,Вводные!$D$5*INDEX(Вводные!$G$13:$G$64,MATCH($A51,Вводные!$A$13:$A$64,0)),0))</f>
        <v>0.01</v>
      </c>
      <c r="AW51" s="32" t="n">
        <f aca="false">INDEX(Вводные!$D$13:$F$64,MATCH($A51,Вводные!$A$13:$A$64,0),MATCH(AW$3,Вводные!$D$11:$F$11,0))*(1+IF(AW$4=$A51,Вводные!$D$5*INDEX(Вводные!$G$13:$G$64,MATCH($A51,Вводные!$A$13:$A$64,0)),0))</f>
        <v>0.01</v>
      </c>
      <c r="AX51" s="32" t="n">
        <f aca="false">INDEX(Вводные!$D$13:$F$64,MATCH($A51,Вводные!$A$13:$A$64,0),MATCH(AX$3,Вводные!$D$11:$F$11,0))*(1+IF(AX$4=$A51,Вводные!$D$5*INDEX(Вводные!$G$13:$G$64,MATCH($A51,Вводные!$A$13:$A$64,0)),0))</f>
        <v>0.01</v>
      </c>
      <c r="AY51" s="32" t="n">
        <f aca="false">INDEX(Вводные!$D$13:$F$64,MATCH($A51,Вводные!$A$13:$A$64,0),MATCH(AY$3,Вводные!$D$11:$F$11,0))*(1+IF(AY$4=$A51,Вводные!$D$5*INDEX(Вводные!$G$13:$G$64,MATCH($A51,Вводные!$A$13:$A$64,0)),0))</f>
        <v>0.01</v>
      </c>
      <c r="AZ51" s="32" t="n">
        <f aca="false">INDEX(Вводные!$D$13:$F$64,MATCH($A51,Вводные!$A$13:$A$64,0),MATCH(AZ$3,Вводные!$D$11:$F$11,0))*(1+IF(AZ$4=$A51,Вводные!$D$5*INDEX(Вводные!$G$13:$G$64,MATCH($A51,Вводные!$A$13:$A$64,0)),0))</f>
        <v>0.012</v>
      </c>
      <c r="BA51" s="32" t="n">
        <f aca="false">INDEX(Вводные!$D$13:$F$64,MATCH($A51,Вводные!$A$13:$A$64,0),MATCH(BA$3,Вводные!$D$11:$F$11,0))*(1+IF(BA$4=$A51,Вводные!$D$5*INDEX(Вводные!$G$13:$G$64,MATCH($A51,Вводные!$A$13:$A$64,0)),0))</f>
        <v>0.012</v>
      </c>
      <c r="BB51" s="32" t="n">
        <f aca="false">INDEX(Вводные!$D$13:$F$64,MATCH($A51,Вводные!$A$13:$A$64,0),MATCH(BB$3,Вводные!$D$11:$F$11,0))*(1+IF(BB$4=$A51,Вводные!$D$5*INDEX(Вводные!$G$13:$G$64,MATCH($A51,Вводные!$A$13:$A$64,0)),0))</f>
        <v>0.012</v>
      </c>
      <c r="BC51" s="32" t="n">
        <f aca="false">INDEX(Вводные!$D$13:$F$64,MATCH($A51,Вводные!$A$13:$A$64,0),MATCH(BC$3,Вводные!$D$11:$F$11,0))*(1+IF(BC$4=$A51,Вводные!$D$5*INDEX(Вводные!$G$13:$G$64,MATCH($A51,Вводные!$A$13:$A$64,0)),0))</f>
        <v>0.012</v>
      </c>
      <c r="BD51" s="32" t="n">
        <f aca="false">INDEX(Вводные!$D$13:$F$64,MATCH($A51,Вводные!$A$13:$A$64,0),MATCH(BD$3,Вводные!$D$11:$F$11,0))*(1+IF(BD$4=$A51,Вводные!$D$5*INDEX(Вводные!$G$13:$G$64,MATCH($A51,Вводные!$A$13:$A$64,0)),0))</f>
        <v>0.012</v>
      </c>
      <c r="BE51" s="32" t="n">
        <f aca="false">INDEX(Вводные!$D$13:$F$64,MATCH($A51,Вводные!$A$13:$A$64,0),MATCH(BE$3,Вводные!$D$11:$F$11,0))*(1+IF(BE$4=$A51,Вводные!$D$5*INDEX(Вводные!$G$13:$G$64,MATCH($A51,Вводные!$A$13:$A$64,0)),0))</f>
        <v>0.012</v>
      </c>
      <c r="BF51" s="32" t="n">
        <f aca="false">INDEX(Вводные!$D$13:$F$64,MATCH($A51,Вводные!$A$13:$A$64,0),MATCH(BF$3,Вводные!$D$11:$F$11,0))*(1+IF(BF$4=$A51,Вводные!$D$5*INDEX(Вводные!$G$13:$G$64,MATCH($A51,Вводные!$A$13:$A$64,0)),0))</f>
        <v>0.012</v>
      </c>
      <c r="BG51" s="32" t="n">
        <f aca="false">INDEX(Вводные!$D$13:$F$64,MATCH($A51,Вводные!$A$13:$A$64,0),MATCH(BG$3,Вводные!$D$11:$F$11,0))*(1+IF(BG$4=$A51,Вводные!$D$5*INDEX(Вводные!$G$13:$G$64,MATCH($A51,Вводные!$A$13:$A$64,0)),0))</f>
        <v>0.012</v>
      </c>
      <c r="BH51" s="32" t="n">
        <f aca="false">INDEX(Вводные!$D$13:$F$64,MATCH($A51,Вводные!$A$13:$A$64,0),MATCH(BH$3,Вводные!$D$11:$F$11,0))*(1+IF(BH$4=$A51,Вводные!$D$5*INDEX(Вводные!$G$13:$G$64,MATCH($A51,Вводные!$A$13:$A$64,0)),0))</f>
        <v>0.012</v>
      </c>
      <c r="BI51" s="32" t="n">
        <f aca="false">INDEX(Вводные!$D$13:$F$64,MATCH($A51,Вводные!$A$13:$A$64,0),MATCH(BI$3,Вводные!$D$11:$F$11,0))*(1+IF(BI$4=$A51,Вводные!$D$5*INDEX(Вводные!$G$13:$G$64,MATCH($A51,Вводные!$A$13:$A$64,0)),0))</f>
        <v>0.012</v>
      </c>
      <c r="BJ51" s="32" t="n">
        <f aca="false">INDEX(Вводные!$D$13:$F$64,MATCH($A51,Вводные!$A$13:$A$64,0),MATCH(BJ$3,Вводные!$D$11:$F$11,0))*(1+IF(BJ$4=$A51,Вводные!$D$5*INDEX(Вводные!$G$13:$G$64,MATCH($A51,Вводные!$A$13:$A$64,0)),0))</f>
        <v>0.012</v>
      </c>
      <c r="BK51" s="32" t="n">
        <f aca="false">INDEX(Вводные!$D$13:$F$64,MATCH($A51,Вводные!$A$13:$A$64,0),MATCH(BK$3,Вводные!$D$11:$F$11,0))*(1+IF(BK$4=$A51,Вводные!$D$5*INDEX(Вводные!$G$13:$G$64,MATCH($A51,Вводные!$A$13:$A$64,0)),0))</f>
        <v>0.012</v>
      </c>
      <c r="BL51" s="32" t="n">
        <f aca="false">INDEX(Вводные!$D$13:$F$64,MATCH($A51,Вводные!$A$13:$A$64,0),MATCH(BL$3,Вводные!$D$11:$F$11,0))*(1+IF(BL$4=$A51,Вводные!$D$5*INDEX(Вводные!$G$13:$G$64,MATCH($A51,Вводные!$A$13:$A$64,0)),0))</f>
        <v>0.012</v>
      </c>
      <c r="BM51" s="32" t="n">
        <f aca="false">INDEX(Вводные!$D$13:$F$64,MATCH($A51,Вводные!$A$13:$A$64,0),MATCH(BM$3,Вводные!$D$11:$F$11,0))*(1+IF(BM$4=$A51,Вводные!$D$5*INDEX(Вводные!$G$13:$G$64,MATCH($A51,Вводные!$A$13:$A$64,0)),0))</f>
        <v>0.012</v>
      </c>
      <c r="BN51" s="32" t="n">
        <f aca="false">INDEX(Вводные!$D$13:$F$64,MATCH($A51,Вводные!$A$13:$A$64,0),MATCH(BN$3,Вводные!$D$11:$F$11,0))*(1+IF(BN$4=$A51,Вводные!$D$5*INDEX(Вводные!$G$13:$G$64,MATCH($A51,Вводные!$A$13:$A$64,0)),0))</f>
        <v>0.012</v>
      </c>
      <c r="BO51" s="32" t="n">
        <f aca="false">INDEX(Вводные!$D$13:$F$64,MATCH($A51,Вводные!$A$13:$A$64,0),MATCH(BO$3,Вводные!$D$11:$F$11,0))*(1+IF(BO$4=$A51,Вводные!$D$5*INDEX(Вводные!$G$13:$G$64,MATCH($A51,Вводные!$A$13:$A$64,0)),0))</f>
        <v>0.012</v>
      </c>
      <c r="BP51" s="32" t="n">
        <f aca="false">INDEX(Вводные!$D$13:$F$64,MATCH($A51,Вводные!$A$13:$A$64,0),MATCH(BP$3,Вводные!$D$11:$F$11,0))*(1+IF(BP$4=$A51,Вводные!$D$5*INDEX(Вводные!$G$13:$G$64,MATCH($A51,Вводные!$A$13:$A$64,0)),0))</f>
        <v>0.012</v>
      </c>
      <c r="BQ51" s="32" t="n">
        <f aca="false">INDEX(Вводные!$D$13:$F$64,MATCH($A51,Вводные!$A$13:$A$64,0),MATCH(BQ$3,Вводные!$D$11:$F$11,0))*(1+IF(BQ$4=$A51,Вводные!$D$5*INDEX(Вводные!$G$13:$G$64,MATCH($A51,Вводные!$A$13:$A$64,0)),0))</f>
        <v>0.012</v>
      </c>
      <c r="BR51" s="32" t="n">
        <f aca="false">INDEX(Вводные!$D$13:$F$64,MATCH($A51,Вводные!$A$13:$A$64,0),MATCH(BR$3,Вводные!$D$11:$F$11,0))*(1+IF(BR$4=$A51,Вводные!$D$5*INDEX(Вводные!$G$13:$G$64,MATCH($A51,Вводные!$A$13:$A$64,0)),0))</f>
        <v>0.012</v>
      </c>
      <c r="BS51" s="32" t="n">
        <f aca="false">INDEX(Вводные!$D$13:$F$64,MATCH($A51,Вводные!$A$13:$A$64,0),MATCH(BS$3,Вводные!$D$11:$F$11,0))*(1+IF(BS$4=$A51,Вводные!$D$5*INDEX(Вводные!$G$13:$G$64,MATCH($A51,Вводные!$A$13:$A$64,0)),0))</f>
        <v>0.012</v>
      </c>
      <c r="BT51" s="32" t="n">
        <f aca="false">INDEX(Вводные!$D$13:$F$64,MATCH($A51,Вводные!$A$13:$A$64,0),MATCH(BT$3,Вводные!$D$11:$F$11,0))*(1+IF(BT$4=$A51,Вводные!$D$5*INDEX(Вводные!$G$13:$G$64,MATCH($A51,Вводные!$A$13:$A$64,0)),0))</f>
        <v>0.012</v>
      </c>
      <c r="BU51" s="32" t="n">
        <f aca="false">INDEX(Вводные!$D$13:$F$64,MATCH($A51,Вводные!$A$13:$A$64,0),MATCH(BU$3,Вводные!$D$11:$F$11,0))*(1+IF(BU$4=$A51,Вводные!$D$5*INDEX(Вводные!$G$13:$G$64,MATCH($A51,Вводные!$A$13:$A$64,0)),0))</f>
        <v>0.012</v>
      </c>
      <c r="BV51" s="32" t="n">
        <f aca="false">INDEX(Вводные!$D$13:$F$64,MATCH($A51,Вводные!$A$13:$A$64,0),MATCH(BV$3,Вводные!$D$11:$F$11,0))*(1+IF(BV$4=$A51,Вводные!$D$5*INDEX(Вводные!$G$13:$G$64,MATCH($A51,Вводные!$A$13:$A$64,0)),0))</f>
        <v>0.012</v>
      </c>
      <c r="BW51" s="32" t="n">
        <f aca="false">INDEX(Вводные!$D$13:$F$64,MATCH($A51,Вводные!$A$13:$A$64,0),MATCH(BW$3,Вводные!$D$11:$F$11,0))*(1+IF(BW$4=$A51,Вводные!$D$5*INDEX(Вводные!$G$13:$G$64,MATCH($A51,Вводные!$A$13:$A$64,0)),0))</f>
        <v>0.012</v>
      </c>
      <c r="BX51" s="32" t="n">
        <f aca="false">INDEX(Вводные!$D$13:$F$64,MATCH($A51,Вводные!$A$13:$A$64,0),MATCH(BX$3,Вводные!$D$11:$F$11,0))*(1+IF(BX$4=$A51,Вводные!$D$5*INDEX(Вводные!$G$13:$G$64,MATCH($A51,Вводные!$A$13:$A$64,0)),0))</f>
        <v>0.01212</v>
      </c>
      <c r="BY51" s="32" t="n">
        <f aca="false">INDEX(Вводные!$D$13:$F$64,MATCH($A51,Вводные!$A$13:$A$64,0),MATCH(BY$3,Вводные!$D$11:$F$11,0))*(1+IF(BY$4=$A51,Вводные!$D$5*INDEX(Вводные!$G$13:$G$64,MATCH($A51,Вводные!$A$13:$A$64,0)),0))</f>
        <v>0.012</v>
      </c>
      <c r="BZ51" s="32" t="n">
        <f aca="false">INDEX(Вводные!$D$13:$F$64,MATCH($A51,Вводные!$A$13:$A$64,0),MATCH(BZ$3,Вводные!$D$11:$F$11,0))*(1+IF(BZ$4=$A51,Вводные!$D$5*INDEX(Вводные!$G$13:$G$64,MATCH($A51,Вводные!$A$13:$A$64,0)),0))</f>
        <v>0.012</v>
      </c>
      <c r="CA51" s="32" t="n">
        <f aca="false">INDEX(Вводные!$D$13:$F$64,MATCH($A51,Вводные!$A$13:$A$64,0),MATCH(CA$3,Вводные!$D$11:$F$11,0))*(1+IF(CA$4=$A51,Вводные!$D$5*INDEX(Вводные!$G$13:$G$64,MATCH($A51,Вводные!$A$13:$A$64,0)),0))</f>
        <v>0.012</v>
      </c>
      <c r="CB51" s="32" t="n">
        <f aca="false">INDEX(Вводные!$D$13:$F$64,MATCH($A51,Вводные!$A$13:$A$64,0),MATCH(CB$3,Вводные!$D$11:$F$11,0))*(1+IF(CB$4=$A51,Вводные!$D$5*INDEX(Вводные!$G$13:$G$64,MATCH($A51,Вводные!$A$13:$A$64,0)),0))</f>
        <v>0.012</v>
      </c>
      <c r="CC51" s="32" t="n">
        <f aca="false">INDEX(Вводные!$D$13:$F$64,MATCH($A51,Вводные!$A$13:$A$64,0),MATCH(CC$3,Вводные!$D$11:$F$11,0))*(1+IF(CC$4=$A51,Вводные!$D$5*INDEX(Вводные!$G$13:$G$64,MATCH($A51,Вводные!$A$13:$A$64,0)),0))</f>
        <v>0.012</v>
      </c>
      <c r="CD51" s="32" t="n">
        <f aca="false">INDEX(Вводные!$D$13:$F$64,MATCH($A51,Вводные!$A$13:$A$64,0),MATCH(CD$3,Вводные!$D$11:$F$11,0))*(1+IF(CD$4=$A51,Вводные!$D$5*INDEX(Вводные!$G$13:$G$64,MATCH($A51,Вводные!$A$13:$A$64,0)),0))</f>
        <v>0.012</v>
      </c>
      <c r="CE51" s="32" t="n">
        <f aca="false">INDEX(Вводные!$D$13:$F$64,MATCH($A51,Вводные!$A$13:$A$64,0),MATCH(CE$3,Вводные!$D$11:$F$11,0))*(1+IF(CE$4=$A51,Вводные!$D$5*INDEX(Вводные!$G$13:$G$64,MATCH($A51,Вводные!$A$13:$A$64,0)),0))</f>
        <v>0.012</v>
      </c>
      <c r="CF51" s="32" t="n">
        <f aca="false">INDEX(Вводные!$D$13:$F$64,MATCH($A51,Вводные!$A$13:$A$64,0),MATCH(CF$3,Вводные!$D$11:$F$11,0))*(1+IF(CF$4=$A51,Вводные!$D$5*INDEX(Вводные!$G$13:$G$64,MATCH($A51,Вводные!$A$13:$A$64,0)),0))</f>
        <v>0.012</v>
      </c>
      <c r="CG51" s="32" t="n">
        <f aca="false">INDEX(Вводные!$D$13:$F$64,MATCH($A51,Вводные!$A$13:$A$64,0),MATCH(CG$3,Вводные!$D$11:$F$11,0))*(1+IF(CG$4=$A51,Вводные!$D$5*INDEX(Вводные!$G$13:$G$64,MATCH($A51,Вводные!$A$13:$A$64,0)),0))</f>
        <v>0.012</v>
      </c>
      <c r="CH51" s="32" t="n">
        <f aca="false">INDEX(Вводные!$D$13:$F$64,MATCH($A51,Вводные!$A$13:$A$64,0),MATCH(CH$3,Вводные!$D$11:$F$11,0))*(1+IF(CH$4=$A51,Вводные!$D$5*INDEX(Вводные!$G$13:$G$64,MATCH($A51,Вводные!$A$13:$A$64,0)),0))</f>
        <v>0.012</v>
      </c>
      <c r="CI51" s="32" t="n">
        <f aca="false">INDEX(Вводные!$D$13:$F$64,MATCH($A51,Вводные!$A$13:$A$64,0),MATCH(CI$3,Вводные!$D$11:$F$11,0))*(1+IF(CI$4=$A51,Вводные!$D$5*INDEX(Вводные!$G$13:$G$64,MATCH($A51,Вводные!$A$13:$A$64,0)),0))</f>
        <v>0.012</v>
      </c>
      <c r="CJ51" s="32" t="n">
        <f aca="false">INDEX(Вводные!$D$13:$F$64,MATCH($A51,Вводные!$A$13:$A$64,0),MATCH(CJ$3,Вводные!$D$11:$F$11,0))*(1+IF(CJ$4=$A51,Вводные!$D$5*INDEX(Вводные!$G$13:$G$64,MATCH($A51,Вводные!$A$13:$A$64,0)),0))</f>
        <v>0.012</v>
      </c>
      <c r="CK51" s="32" t="n">
        <f aca="false">INDEX(Вводные!$D$13:$F$64,MATCH($A51,Вводные!$A$13:$A$64,0),MATCH(CK$3,Вводные!$D$11:$F$11,0))*(1+IF(CK$4=$A51,Вводные!$D$5*INDEX(Вводные!$G$13:$G$64,MATCH($A51,Вводные!$A$13:$A$64,0)),0))</f>
        <v>0.012</v>
      </c>
      <c r="CL51" s="32" t="n">
        <f aca="false">INDEX(Вводные!$D$13:$F$64,MATCH($A51,Вводные!$A$13:$A$64,0),MATCH(CL$3,Вводные!$D$11:$F$11,0))*(1+IF(CL$4=$A51,Вводные!$D$5*INDEX(Вводные!$G$13:$G$64,MATCH($A51,Вводные!$A$13:$A$64,0)),0))</f>
        <v>0.012</v>
      </c>
      <c r="CM51" s="32" t="n">
        <f aca="false">INDEX(Вводные!$D$13:$F$64,MATCH($A51,Вводные!$A$13:$A$64,0),MATCH(CM$3,Вводные!$D$11:$F$11,0))*(1+IF(CM$4=$A51,Вводные!$D$5*INDEX(Вводные!$G$13:$G$64,MATCH($A51,Вводные!$A$13:$A$64,0)),0))</f>
        <v>0.012</v>
      </c>
      <c r="CN51" s="32" t="n">
        <f aca="false">INDEX(Вводные!$D$13:$F$64,MATCH($A51,Вводные!$A$13:$A$64,0),MATCH(CN$3,Вводные!$D$11:$F$11,0))*(1+IF(CN$4=$A51,Вводные!$D$5*INDEX(Вводные!$G$13:$G$64,MATCH($A51,Вводные!$A$13:$A$64,0)),0))</f>
        <v>0.012</v>
      </c>
      <c r="CO51" s="32" t="n">
        <f aca="false">INDEX(Вводные!$D$13:$F$64,MATCH($A51,Вводные!$A$13:$A$64,0),MATCH(CO$3,Вводные!$D$11:$F$11,0))*(1+IF(CO$4=$A51,Вводные!$D$5*INDEX(Вводные!$G$13:$G$64,MATCH($A51,Вводные!$A$13:$A$64,0)),0))</f>
        <v>0.012</v>
      </c>
      <c r="CP51" s="32" t="n">
        <f aca="false">INDEX(Вводные!$D$13:$F$64,MATCH($A51,Вводные!$A$13:$A$64,0),MATCH(CP$3,Вводные!$D$11:$F$11,0))*(1+IF(CP$4=$A51,Вводные!$D$5*INDEX(Вводные!$G$13:$G$64,MATCH($A51,Вводные!$A$13:$A$64,0)),0))</f>
        <v>0.01</v>
      </c>
      <c r="CQ51" s="32" t="n">
        <f aca="false">INDEX(Вводные!$D$13:$F$64,MATCH($A51,Вводные!$A$13:$A$64,0),MATCH(CQ$3,Вводные!$D$11:$F$11,0))*(1+IF(CQ$4=$A51,Вводные!$D$5*INDEX(Вводные!$G$13:$G$64,MATCH($A51,Вводные!$A$13:$A$64,0)),0))</f>
        <v>0.01</v>
      </c>
      <c r="CR51" s="32" t="n">
        <f aca="false">INDEX(Вводные!$D$13:$F$64,MATCH($A51,Вводные!$A$13:$A$64,0),MATCH(CR$3,Вводные!$D$11:$F$11,0))*(1+IF(CR$4=$A51,Вводные!$D$5*INDEX(Вводные!$G$13:$G$64,MATCH($A51,Вводные!$A$13:$A$64,0)),0))</f>
        <v>0.01</v>
      </c>
      <c r="CS51" s="32" t="n">
        <f aca="false">INDEX(Вводные!$D$13:$F$64,MATCH($A51,Вводные!$A$13:$A$64,0),MATCH(CS$3,Вводные!$D$11:$F$11,0))*(1+IF(CS$4=$A51,Вводные!$D$5*INDEX(Вводные!$G$13:$G$64,MATCH($A51,Вводные!$A$13:$A$64,0)),0))</f>
        <v>0.01</v>
      </c>
      <c r="CT51" s="32" t="n">
        <f aca="false">INDEX(Вводные!$D$13:$F$64,MATCH($A51,Вводные!$A$13:$A$64,0),MATCH(CT$3,Вводные!$D$11:$F$11,0))*(1+IF(CT$4=$A51,Вводные!$D$5*INDEX(Вводные!$G$13:$G$64,MATCH($A51,Вводные!$A$13:$A$64,0)),0))</f>
        <v>0.01</v>
      </c>
      <c r="CU51" s="32" t="n">
        <f aca="false">INDEX(Вводные!$D$13:$F$64,MATCH($A51,Вводные!$A$13:$A$64,0),MATCH(CU$3,Вводные!$D$11:$F$11,0))*(1+IF(CU$4=$A51,Вводные!$D$5*INDEX(Вводные!$G$13:$G$64,MATCH($A51,Вводные!$A$13:$A$64,0)),0))</f>
        <v>0.01</v>
      </c>
      <c r="CV51" s="32" t="n">
        <f aca="false">INDEX(Вводные!$D$13:$F$64,MATCH($A51,Вводные!$A$13:$A$64,0),MATCH(CV$3,Вводные!$D$11:$F$11,0))*(1+IF(CV$4=$A51,Вводные!$D$5*INDEX(Вводные!$G$13:$G$64,MATCH($A51,Вводные!$A$13:$A$64,0)),0))</f>
        <v>0.01</v>
      </c>
      <c r="CW51" s="32" t="n">
        <f aca="false">INDEX(Вводные!$D$13:$F$64,MATCH($A51,Вводные!$A$13:$A$64,0),MATCH(CW$3,Вводные!$D$11:$F$11,0))*(1+IF(CW$4=$A51,Вводные!$D$5*INDEX(Вводные!$G$13:$G$64,MATCH($A51,Вводные!$A$13:$A$64,0)),0))</f>
        <v>0.01</v>
      </c>
      <c r="CX51" s="32" t="n">
        <f aca="false">INDEX(Вводные!$D$13:$F$64,MATCH($A51,Вводные!$A$13:$A$64,0),MATCH(CX$3,Вводные!$D$11:$F$11,0))*(1+IF(CX$4=$A51,Вводные!$D$5*INDEX(Вводные!$G$13:$G$64,MATCH($A51,Вводные!$A$13:$A$64,0)),0))</f>
        <v>0.01</v>
      </c>
      <c r="CY51" s="32" t="n">
        <f aca="false">INDEX(Вводные!$D$13:$F$64,MATCH($A51,Вводные!$A$13:$A$64,0),MATCH(CY$3,Вводные!$D$11:$F$11,0))*(1+IF(CY$4=$A51,Вводные!$D$5*INDEX(Вводные!$G$13:$G$64,MATCH($A51,Вводные!$A$13:$A$64,0)),0))</f>
        <v>0.01</v>
      </c>
      <c r="CZ51" s="32" t="n">
        <f aca="false">INDEX(Вводные!$D$13:$F$64,MATCH($A51,Вводные!$A$13:$A$64,0),MATCH(CZ$3,Вводные!$D$11:$F$11,0))*(1+IF(CZ$4=$A51,Вводные!$D$5*INDEX(Вводные!$G$13:$G$64,MATCH($A51,Вводные!$A$13:$A$64,0)),0))</f>
        <v>0.01</v>
      </c>
      <c r="DA51" s="32" t="n">
        <f aca="false">INDEX(Вводные!$D$13:$F$64,MATCH($A51,Вводные!$A$13:$A$64,0),MATCH(DA$3,Вводные!$D$11:$F$11,0))*(1+IF(DA$4=$A51,Вводные!$D$5*INDEX(Вводные!$G$13:$G$64,MATCH($A51,Вводные!$A$13:$A$64,0)),0))</f>
        <v>0.01</v>
      </c>
      <c r="DB51" s="32" t="n">
        <f aca="false">INDEX(Вводные!$D$13:$F$64,MATCH($A51,Вводные!$A$13:$A$64,0),MATCH(DB$3,Вводные!$D$11:$F$11,0))*(1+IF(DB$4=$A51,Вводные!$D$5*INDEX(Вводные!$G$13:$G$64,MATCH($A51,Вводные!$A$13:$A$64,0)),0))</f>
        <v>0.01</v>
      </c>
      <c r="DC51" s="32" t="n">
        <f aca="false">INDEX(Вводные!$D$13:$F$64,MATCH($A51,Вводные!$A$13:$A$64,0),MATCH(DC$3,Вводные!$D$11:$F$11,0))*(1+IF(DC$4=$A51,Вводные!$D$5*INDEX(Вводные!$G$13:$G$64,MATCH($A51,Вводные!$A$13:$A$64,0)),0))</f>
        <v>0.01</v>
      </c>
      <c r="DD51" s="32" t="n">
        <f aca="false">INDEX(Вводные!$D$13:$F$64,MATCH($A51,Вводные!$A$13:$A$64,0),MATCH(DD$3,Вводные!$D$11:$F$11,0))*(1+IF(DD$4=$A51,Вводные!$D$5*INDEX(Вводные!$G$13:$G$64,MATCH($A51,Вводные!$A$13:$A$64,0)),0))</f>
        <v>0.01</v>
      </c>
      <c r="DE51" s="32" t="n">
        <f aca="false">INDEX(Вводные!$D$13:$F$64,MATCH($A51,Вводные!$A$13:$A$64,0),MATCH(DE$3,Вводные!$D$11:$F$11,0))*(1+IF(DE$4=$A51,Вводные!$D$5*INDEX(Вводные!$G$13:$G$64,MATCH($A51,Вводные!$A$13:$A$64,0)),0))</f>
        <v>0.01</v>
      </c>
      <c r="DF51" s="32" t="n">
        <f aca="false">INDEX(Вводные!$D$13:$F$64,MATCH($A51,Вводные!$A$13:$A$64,0),MATCH(DF$3,Вводные!$D$11:$F$11,0))*(1+IF(DF$4=$A51,Вводные!$D$5*INDEX(Вводные!$G$13:$G$64,MATCH($A51,Вводные!$A$13:$A$64,0)),0))</f>
        <v>0.01</v>
      </c>
      <c r="DG51" s="32" t="n">
        <f aca="false">INDEX(Вводные!$D$13:$F$64,MATCH($A51,Вводные!$A$13:$A$64,0),MATCH(DG$3,Вводные!$D$11:$F$11,0))*(1+IF(DG$4=$A51,Вводные!$D$5*INDEX(Вводные!$G$13:$G$64,MATCH($A51,Вводные!$A$13:$A$64,0)),0))</f>
        <v>0.01</v>
      </c>
      <c r="DH51" s="32" t="n">
        <f aca="false">INDEX(Вводные!$D$13:$F$64,MATCH($A51,Вводные!$A$13:$A$64,0),MATCH(DH$3,Вводные!$D$11:$F$11,0))*(1+IF(DH$4=$A51,Вводные!$D$5*INDEX(Вводные!$G$13:$G$64,MATCH($A51,Вводные!$A$13:$A$64,0)),0))</f>
        <v>0.01</v>
      </c>
      <c r="DI51" s="32" t="n">
        <f aca="false">INDEX(Вводные!$D$13:$F$64,MATCH($A51,Вводные!$A$13:$A$64,0),MATCH(DI$3,Вводные!$D$11:$F$11,0))*(1+IF(DI$4=$A51,Вводные!$D$5*INDEX(Вводные!$G$13:$G$64,MATCH($A51,Вводные!$A$13:$A$64,0)),0))</f>
        <v>0.01</v>
      </c>
      <c r="DJ51" s="32" t="n">
        <f aca="false">INDEX(Вводные!$D$13:$F$64,MATCH($A51,Вводные!$A$13:$A$64,0),MATCH(DJ$3,Вводные!$D$11:$F$11,0))*(1+IF(DJ$4=$A51,Вводные!$D$5*INDEX(Вводные!$G$13:$G$64,MATCH($A51,Вводные!$A$13:$A$64,0)),0))</f>
        <v>0.01</v>
      </c>
      <c r="DK51" s="32" t="n">
        <f aca="false">INDEX(Вводные!$D$13:$F$64,MATCH($A51,Вводные!$A$13:$A$64,0),MATCH(DK$3,Вводные!$D$11:$F$11,0))*(1+IF(DK$4=$A51,Вводные!$D$5*INDEX(Вводные!$G$13:$G$64,MATCH($A51,Вводные!$A$13:$A$64,0)),0))</f>
        <v>0.01</v>
      </c>
      <c r="DL51" s="32" t="n">
        <f aca="false">INDEX(Вводные!$D$13:$F$64,MATCH($A51,Вводные!$A$13:$A$64,0),MATCH(DL$3,Вводные!$D$11:$F$11,0))*(1+IF(DL$4=$A51,Вводные!$D$5*INDEX(Вводные!$G$13:$G$64,MATCH($A51,Вводные!$A$13:$A$64,0)),0))</f>
        <v>0.01</v>
      </c>
      <c r="DM51" s="32" t="n">
        <f aca="false">INDEX(Вводные!$D$13:$F$64,MATCH($A51,Вводные!$A$13:$A$64,0),MATCH(DM$3,Вводные!$D$11:$F$11,0))*(1+IF(DM$4=$A51,Вводные!$D$5*INDEX(Вводные!$G$13:$G$64,MATCH($A51,Вводные!$A$13:$A$64,0)),0))</f>
        <v>0.01</v>
      </c>
      <c r="DN51" s="32" t="n">
        <f aca="false">INDEX(Вводные!$D$13:$F$64,MATCH($A51,Вводные!$A$13:$A$64,0),MATCH(DN$3,Вводные!$D$11:$F$11,0))*(1+IF(DN$4=$A51,Вводные!$D$5*INDEX(Вводные!$G$13:$G$64,MATCH($A51,Вводные!$A$13:$A$64,0)),0))</f>
        <v>0.0101</v>
      </c>
      <c r="DO51" s="32" t="n">
        <f aca="false">INDEX(Вводные!$D$13:$F$64,MATCH($A51,Вводные!$A$13:$A$64,0),MATCH(DO$3,Вводные!$D$11:$F$11,0))*(1+IF(DO$4=$A51,Вводные!$D$5*INDEX(Вводные!$G$13:$G$64,MATCH($A51,Вводные!$A$13:$A$64,0)),0))</f>
        <v>0.01</v>
      </c>
      <c r="DP51" s="32" t="n">
        <f aca="false">INDEX(Вводные!$D$13:$F$64,MATCH($A51,Вводные!$A$13:$A$64,0),MATCH(DP$3,Вводные!$D$11:$F$11,0))*(1+IF(DP$4=$A51,Вводные!$D$5*INDEX(Вводные!$G$13:$G$64,MATCH($A51,Вводные!$A$13:$A$64,0)),0))</f>
        <v>0.01</v>
      </c>
      <c r="DQ51" s="32" t="n">
        <f aca="false">INDEX(Вводные!$D$13:$F$64,MATCH($A51,Вводные!$A$13:$A$64,0),MATCH(DQ$3,Вводные!$D$11:$F$11,0))*(1+IF(DQ$4=$A51,Вводные!$D$5*INDEX(Вводные!$G$13:$G$64,MATCH($A51,Вводные!$A$13:$A$64,0)),0))</f>
        <v>0.01</v>
      </c>
      <c r="DR51" s="32" t="n">
        <f aca="false">INDEX(Вводные!$D$13:$F$64,MATCH($A51,Вводные!$A$13:$A$64,0),MATCH(DR$3,Вводные!$D$11:$F$11,0))*(1+IF(DR$4=$A51,Вводные!$D$5*INDEX(Вводные!$G$13:$G$64,MATCH($A51,Вводные!$A$13:$A$64,0)),0))</f>
        <v>0.01</v>
      </c>
      <c r="DS51" s="32" t="n">
        <f aca="false">INDEX(Вводные!$D$13:$F$64,MATCH($A51,Вводные!$A$13:$A$64,0),MATCH(DS$3,Вводные!$D$11:$F$11,0))*(1+IF(DS$4=$A51,Вводные!$D$5*INDEX(Вводные!$G$13:$G$64,MATCH($A51,Вводные!$A$13:$A$64,0)),0))</f>
        <v>0.01</v>
      </c>
      <c r="DT51" s="32" t="n">
        <f aca="false">INDEX(Вводные!$D$13:$F$64,MATCH($A51,Вводные!$A$13:$A$64,0),MATCH(DT$3,Вводные!$D$11:$F$11,0))*(1+IF(DT$4=$A51,Вводные!$D$5*INDEX(Вводные!$G$13:$G$64,MATCH($A51,Вводные!$A$13:$A$64,0)),0))</f>
        <v>0.01</v>
      </c>
      <c r="DU51" s="32" t="n">
        <f aca="false">INDEX(Вводные!$D$13:$F$64,MATCH($A51,Вводные!$A$13:$A$64,0),MATCH(DU$3,Вводные!$D$11:$F$11,0))*(1+IF(DU$4=$A51,Вводные!$D$5*INDEX(Вводные!$G$13:$G$64,MATCH($A51,Вводные!$A$13:$A$64,0)),0))</f>
        <v>0.01</v>
      </c>
      <c r="DV51" s="32" t="n">
        <f aca="false">INDEX(Вводные!$D$13:$F$64,MATCH($A51,Вводные!$A$13:$A$64,0),MATCH(DV$3,Вводные!$D$11:$F$11,0))*(1+IF(DV$4=$A51,Вводные!$D$5*INDEX(Вводные!$G$13:$G$64,MATCH($A51,Вводные!$A$13:$A$64,0)),0))</f>
        <v>0.01</v>
      </c>
      <c r="DW51" s="32" t="n">
        <f aca="false">INDEX(Вводные!$D$13:$F$64,MATCH($A51,Вводные!$A$13:$A$64,0),MATCH(DW$3,Вводные!$D$11:$F$11,0))*(1+IF(DW$4=$A51,Вводные!$D$5*INDEX(Вводные!$G$13:$G$64,MATCH($A51,Вводные!$A$13:$A$64,0)),0))</f>
        <v>0.01</v>
      </c>
      <c r="DX51" s="32" t="n">
        <f aca="false">INDEX(Вводные!$D$13:$F$64,MATCH($A51,Вводные!$A$13:$A$64,0),MATCH(DX$3,Вводные!$D$11:$F$11,0))*(1+IF(DX$4=$A51,Вводные!$D$5*INDEX(Вводные!$G$13:$G$64,MATCH($A51,Вводные!$A$13:$A$64,0)),0))</f>
        <v>0.01</v>
      </c>
      <c r="DY51" s="32" t="n">
        <f aca="false">INDEX(Вводные!$D$13:$F$64,MATCH($A51,Вводные!$A$13:$A$64,0),MATCH(DY$3,Вводные!$D$11:$F$11,0))*(1+IF(DY$4=$A51,Вводные!$D$5*INDEX(Вводные!$G$13:$G$64,MATCH($A51,Вводные!$A$13:$A$64,0)),0))</f>
        <v>0.01</v>
      </c>
      <c r="DZ51" s="32" t="n">
        <f aca="false">INDEX(Вводные!$D$13:$F$64,MATCH($A51,Вводные!$A$13:$A$64,0),MATCH(DZ$3,Вводные!$D$11:$F$11,0))*(1+IF(DZ$4=$A51,Вводные!$D$5*INDEX(Вводные!$G$13:$G$64,MATCH($A51,Вводные!$A$13:$A$64,0)),0))</f>
        <v>0.01</v>
      </c>
      <c r="EA51" s="32" t="n">
        <f aca="false">INDEX(Вводные!$D$13:$F$64,MATCH($A51,Вводные!$A$13:$A$64,0),MATCH(EA$3,Вводные!$D$11:$F$11,0))*(1+IF(EA$4=$A51,Вводные!$D$5*INDEX(Вводные!$G$13:$G$64,MATCH($A51,Вводные!$A$13:$A$64,0)),0))</f>
        <v>0.01</v>
      </c>
      <c r="EB51" s="32" t="n">
        <f aca="false">INDEX(Вводные!$D$13:$F$64,MATCH($A51,Вводные!$A$13:$A$64,0),MATCH(EB$3,Вводные!$D$11:$F$11,0))*(1+IF(EB$4=$A51,Вводные!$D$5*INDEX(Вводные!$G$13:$G$64,MATCH($A51,Вводные!$A$13:$A$64,0)),0))</f>
        <v>0.01</v>
      </c>
      <c r="EC51" s="32" t="n">
        <f aca="false">INDEX(Вводные!$D$13:$F$64,MATCH($A51,Вводные!$A$13:$A$64,0),MATCH(EC$3,Вводные!$D$11:$F$11,0))*(1+IF(EC$4=$A51,Вводные!$D$5*INDEX(Вводные!$G$13:$G$64,MATCH($A51,Вводные!$A$13:$A$64,0)),0))</f>
        <v>0.01</v>
      </c>
      <c r="ED51" s="32" t="n">
        <f aca="false">INDEX(Вводные!$D$13:$F$64,MATCH($A51,Вводные!$A$13:$A$64,0),MATCH(ED$3,Вводные!$D$11:$F$11,0))*(1+IF(ED$4=$A51,Вводные!$D$5*INDEX(Вводные!$G$13:$G$64,MATCH($A51,Вводные!$A$13:$A$64,0)),0))</f>
        <v>0.01</v>
      </c>
      <c r="EE51" s="32" t="n">
        <f aca="false">INDEX(Вводные!$D$13:$F$64,MATCH($A51,Вводные!$A$13:$A$64,0),MATCH(EE$3,Вводные!$D$11:$F$11,0))*(1+IF(EE$4=$A51,Вводные!$D$5*INDEX(Вводные!$G$13:$G$64,MATCH($A51,Вводные!$A$13:$A$64,0)),0))</f>
        <v>0.01</v>
      </c>
      <c r="EF51" s="32" t="n">
        <f aca="false">INDEX(Вводные!$D$13:$F$64,MATCH($A51,Вводные!$A$13:$A$64,0),MATCH(EF$3,Вводные!$D$11:$F$11,0))*(1+IF(EF$4=$A51,Вводные!$D$5*INDEX(Вводные!$G$13:$G$64,MATCH($A51,Вводные!$A$13:$A$64,0)),0))</f>
        <v>0.01</v>
      </c>
      <c r="EG51" s="32" t="n">
        <f aca="false">INDEX(Вводные!$D$13:$F$64,MATCH($A51,Вводные!$A$13:$A$64,0),MATCH(EG$3,Вводные!$D$11:$F$11,0))*(1+IF(EG$4=$A51,Вводные!$D$5*INDEX(Вводные!$G$13:$G$64,MATCH($A51,Вводные!$A$13:$A$64,0)),0))</f>
        <v>0.01</v>
      </c>
      <c r="EH51" s="32" t="n">
        <f aca="false">INDEX(Вводные!$D$13:$F$64,MATCH($A51,Вводные!$A$13:$A$64,0),MATCH(EH$3,Вводные!$D$11:$F$11,0))*(1+IF(EH$4=$A51,Вводные!$D$5*INDEX(Вводные!$G$13:$G$64,MATCH($A51,Вводные!$A$13:$A$64,0)),0))</f>
        <v>0.01</v>
      </c>
      <c r="EI51" s="32" t="n">
        <f aca="false">INDEX(Вводные!$D$13:$F$64,MATCH($A51,Вводные!$A$13:$A$64,0),MATCH(EI$3,Вводные!$D$11:$F$11,0))*(1+IF(EI$4=$A51,Вводные!$D$5*INDEX(Вводные!$G$13:$G$64,MATCH($A51,Вводные!$A$13:$A$64,0)),0))</f>
        <v>0.01</v>
      </c>
      <c r="EJ51" s="32" t="n">
        <f aca="false">INDEX(Вводные!$D$13:$F$64,MATCH($A51,Вводные!$A$13:$A$64,0),MATCH(EJ$3,Вводные!$D$11:$F$11,0))*(1+IF(EJ$4=$A51,Вводные!$D$5*INDEX(Вводные!$G$13:$G$64,MATCH($A51,Вводные!$A$13:$A$64,0)),0))</f>
        <v>0.01</v>
      </c>
      <c r="EK51" s="32" t="n">
        <f aca="false">INDEX(Вводные!$D$13:$F$64,MATCH($A51,Вводные!$A$13:$A$64,0),MATCH(EK$3,Вводные!$D$11:$F$11,0))*(1+IF(EK$4=$A51,Вводные!$D$5*INDEX(Вводные!$G$13:$G$64,MATCH($A51,Вводные!$A$13:$A$64,0)),0))</f>
        <v>0.01</v>
      </c>
      <c r="EL51" s="32" t="n">
        <f aca="false">INDEX(Вводные!$D$13:$F$64,MATCH($A51,Вводные!$A$13:$A$64,0),MATCH(EL$3,Вводные!$D$11:$F$11,0))*(1+IF(EL$4=$A51,Вводные!$D$5*INDEX(Вводные!$G$13:$G$64,MATCH($A51,Вводные!$A$13:$A$64,0)),0))</f>
        <v>0.01</v>
      </c>
      <c r="EM51" s="32" t="n">
        <f aca="false">INDEX(Вводные!$D$13:$F$64,MATCH($A51,Вводные!$A$13:$A$64,0),MATCH(EM$3,Вводные!$D$11:$F$11,0))*(1+IF(EM$4=$A51,Вводные!$D$5*INDEX(Вводные!$G$13:$G$64,MATCH($A51,Вводные!$A$13:$A$64,0)),0))</f>
        <v>0.01</v>
      </c>
      <c r="EN51" s="32" t="n">
        <f aca="false">INDEX(Вводные!$D$13:$F$64,MATCH($A51,Вводные!$A$13:$A$64,0),MATCH(EN$3,Вводные!$D$11:$F$11,0))*(1+IF(EN$4=$A51,Вводные!$D$5*INDEX(Вводные!$G$13:$G$64,MATCH($A51,Вводные!$A$13:$A$64,0)),0))</f>
        <v>0.01</v>
      </c>
      <c r="EO51" s="32" t="n">
        <f aca="false">INDEX(Вводные!$D$13:$F$64,MATCH($A51,Вводные!$A$13:$A$64,0),MATCH(EO$3,Вводные!$D$11:$F$11,0))*(1+IF(EO$4=$A51,Вводные!$D$5*INDEX(Вводные!$G$13:$G$64,MATCH($A51,Вводные!$A$13:$A$64,0)),0))</f>
        <v>0.01</v>
      </c>
      <c r="EP51" s="32" t="n">
        <f aca="false">INDEX(Вводные!$D$13:$F$64,MATCH($A51,Вводные!$A$13:$A$64,0),MATCH(EP$3,Вводные!$D$11:$F$11,0))*(1+IF(EP$4=$A51,Вводные!$D$5*INDEX(Вводные!$G$13:$G$64,MATCH($A51,Вводные!$A$13:$A$64,0)),0))</f>
        <v>0.01</v>
      </c>
      <c r="EQ51" s="32" t="n">
        <f aca="false">INDEX(Вводные!$D$13:$F$64,MATCH($A51,Вводные!$A$13:$A$64,0),MATCH(EQ$3,Вводные!$D$11:$F$11,0))*(1+IF(EQ$4=$A51,Вводные!$D$5*INDEX(Вводные!$G$13:$G$64,MATCH($A51,Вводные!$A$13:$A$64,0)),0))</f>
        <v>0.01</v>
      </c>
      <c r="ER51" s="32" t="n">
        <f aca="false">INDEX(Вводные!$D$13:$F$64,MATCH($A51,Вводные!$A$13:$A$64,0),MATCH(ER$3,Вводные!$D$11:$F$11,0))*(1+IF(ER$4=$A51,Вводные!$D$5*INDEX(Вводные!$G$13:$G$64,MATCH($A51,Вводные!$A$13:$A$64,0)),0))</f>
        <v>0.01</v>
      </c>
      <c r="ES51" s="32" t="n">
        <f aca="false">INDEX(Вводные!$D$13:$F$64,MATCH($A51,Вводные!$A$13:$A$64,0),MATCH(ES$3,Вводные!$D$11:$F$11,0))*(1+IF(ES$4=$A51,Вводные!$D$5*INDEX(Вводные!$G$13:$G$64,MATCH($A51,Вводные!$A$13:$A$64,0)),0))</f>
        <v>0.01</v>
      </c>
      <c r="ET51" s="32" t="n">
        <f aca="false">INDEX(Вводные!$D$13:$F$64,MATCH($A51,Вводные!$A$13:$A$64,0),MATCH(ET$3,Вводные!$D$11:$F$11,0))*(1+IF(ET$4=$A51,Вводные!$D$5*INDEX(Вводные!$G$13:$G$64,MATCH($A51,Вводные!$A$13:$A$64,0)),0))</f>
        <v>0.01</v>
      </c>
      <c r="EU51" s="32" t="n">
        <f aca="false">INDEX(Вводные!$D$13:$F$64,MATCH($A51,Вводные!$A$13:$A$64,0),MATCH(EU$3,Вводные!$D$11:$F$11,0))*(1+IF(EU$4=$A51,Вводные!$D$5*INDEX(Вводные!$G$13:$G$64,MATCH($A51,Вводные!$A$13:$A$64,0)),0))</f>
        <v>0.01</v>
      </c>
      <c r="EV51" s="32" t="n">
        <f aca="false">INDEX(Вводные!$D$13:$F$64,MATCH($A51,Вводные!$A$13:$A$64,0),MATCH(EV$3,Вводные!$D$11:$F$11,0))*(1+IF(EV$4=$A51,Вводные!$D$5*INDEX(Вводные!$G$13:$G$64,MATCH($A51,Вводные!$A$13:$A$64,0)),0))</f>
        <v>0.01</v>
      </c>
      <c r="EW51" s="32" t="n">
        <f aca="false">INDEX(Вводные!$D$13:$F$64,MATCH($A51,Вводные!$A$13:$A$64,0),MATCH(EW$3,Вводные!$D$11:$F$11,0))*(1+IF(EW$4=$A51,Вводные!$D$5*INDEX(Вводные!$G$13:$G$64,MATCH($A51,Вводные!$A$13:$A$64,0)),0))</f>
        <v>0.01</v>
      </c>
      <c r="EX51" s="32" t="n">
        <f aca="false">INDEX(Вводные!$D$13:$F$64,MATCH($A51,Вводные!$A$13:$A$64,0),MATCH(EX$3,Вводные!$D$11:$F$11,0))*(1+IF(EX$4=$A51,Вводные!$D$5*INDEX(Вводные!$G$13:$G$64,MATCH($A51,Вводные!$A$13:$A$64,0)),0))</f>
        <v>0.01</v>
      </c>
      <c r="EY51" s="32" t="n">
        <f aca="false">INDEX(Вводные!$D$13:$F$64,MATCH($A51,Вводные!$A$13:$A$64,0),MATCH(EY$3,Вводные!$D$11:$F$11,0))*(1+IF(EY$4=$A51,Вводные!$D$5*INDEX(Вводные!$G$13:$G$64,MATCH($A51,Вводные!$A$13:$A$64,0)),0))</f>
        <v>0.01</v>
      </c>
      <c r="EZ51" s="32" t="n">
        <f aca="false">INDEX(Вводные!$D$13:$F$64,MATCH($A51,Вводные!$A$13:$A$64,0),MATCH(EZ$3,Вводные!$D$11:$F$11,0))*(1+IF(EZ$4=$A51,Вводные!$D$5*INDEX(Вводные!$G$13:$G$64,MATCH($A51,Вводные!$A$13:$A$64,0)),0))</f>
        <v>0.01</v>
      </c>
      <c r="FA51" s="32" t="n">
        <f aca="false">INDEX(Вводные!$D$13:$F$64,MATCH($A51,Вводные!$A$13:$A$64,0),MATCH(FA$3,Вводные!$D$11:$F$11,0))*(1+IF(FA$4=$A51,Вводные!$D$5*INDEX(Вводные!$G$13:$G$64,MATCH($A51,Вводные!$A$13:$A$64,0)),0))</f>
        <v>0.01</v>
      </c>
      <c r="FB51" s="32" t="n">
        <f aca="false">INDEX(Вводные!$D$13:$F$64,MATCH($A51,Вводные!$A$13:$A$64,0),MATCH(FB$3,Вводные!$D$11:$F$11,0))*(1+IF(FB$4=$A51,Вводные!$D$5*INDEX(Вводные!$G$13:$G$64,MATCH($A51,Вводные!$A$13:$A$64,0)),0))</f>
        <v>0.01</v>
      </c>
      <c r="FC51" s="32" t="n">
        <f aca="false">INDEX(Вводные!$D$13:$F$64,MATCH($A51,Вводные!$A$13:$A$64,0),MATCH(FC$3,Вводные!$D$11:$F$11,0))*(1+IF(FC$4=$A51,Вводные!$D$5*INDEX(Вводные!$G$13:$G$64,MATCH($A51,Вводные!$A$13:$A$64,0)),0))</f>
        <v>0.01</v>
      </c>
      <c r="FD51" s="32" t="n">
        <f aca="false">INDEX(Вводные!$D$13:$F$64,MATCH($A51,Вводные!$A$13:$A$64,0),MATCH(FD$3,Вводные!$D$11:$F$11,0))*(1+IF(FD$4=$A51,Вводные!$D$5*INDEX(Вводные!$G$13:$G$64,MATCH($A51,Вводные!$A$13:$A$64,0)),0))</f>
        <v>0.0101</v>
      </c>
      <c r="FE51" s="32" t="n">
        <f aca="false">INDEX(Вводные!$D$13:$F$64,MATCH($A51,Вводные!$A$13:$A$64,0),MATCH(FE$3,Вводные!$D$11:$F$11,0))*(1+IF(FE$4=$A51,Вводные!$D$5*INDEX(Вводные!$G$13:$G$64,MATCH($A51,Вводные!$A$13:$A$64,0)),0))</f>
        <v>0.01</v>
      </c>
      <c r="FF51" s="32" t="n">
        <f aca="false">INDEX(Вводные!$D$13:$F$64,MATCH($A51,Вводные!$A$13:$A$64,0),MATCH(FF$3,Вводные!$D$11:$F$11,0))*(1+IF(FF$4=$A51,Вводные!$D$5*INDEX(Вводные!$G$13:$G$64,MATCH($A51,Вводные!$A$13:$A$64,0)),0))</f>
        <v>0.01</v>
      </c>
      <c r="FG51" s="32" t="n">
        <f aca="false">INDEX(Вводные!$D$13:$F$64,MATCH($A51,Вводные!$A$13:$A$64,0),MATCH(FG$3,Вводные!$D$11:$F$11,0))*(1+IF(FG$4=$A51,Вводные!$D$5*INDEX(Вводные!$G$13:$G$64,MATCH($A51,Вводные!$A$13:$A$64,0)),0))</f>
        <v>0.01</v>
      </c>
      <c r="FH51" s="32" t="n">
        <f aca="false">INDEX(Вводные!$D$13:$F$64,MATCH($A51,Вводные!$A$13:$A$64,0),MATCH(FH$3,Вводные!$D$11:$F$11,0))*(1+IF(FH$4=$A51,Вводные!$D$5*INDEX(Вводные!$G$13:$G$64,MATCH($A51,Вводные!$A$13:$A$64,0)),0))</f>
        <v>0.01</v>
      </c>
      <c r="FI51" s="32" t="n">
        <f aca="false">INDEX(Вводные!$D$13:$F$64,MATCH($A51,Вводные!$A$13:$A$64,0),MATCH(FI$3,Вводные!$D$11:$F$11,0))*(1+IF(FI$4=$A51,Вводные!$D$5*INDEX(Вводные!$G$13:$G$64,MATCH($A51,Вводные!$A$13:$A$64,0)),0))</f>
        <v>0.01</v>
      </c>
      <c r="FJ51" s="32" t="n">
        <f aca="false">INDEX(Вводные!$D$13:$F$64,MATCH($A51,Вводные!$A$13:$A$64,0),MATCH(FJ$3,Вводные!$D$11:$F$11,0))*(1+IF(FJ$4=$A51,Вводные!$D$5*INDEX(Вводные!$G$13:$G$64,MATCH($A51,Вводные!$A$13:$A$64,0)),0))</f>
        <v>0.01</v>
      </c>
      <c r="FK51" s="32" t="n">
        <f aca="false">INDEX(Вводные!$D$13:$F$64,MATCH($A51,Вводные!$A$13:$A$64,0),MATCH(FK$3,Вводные!$D$11:$F$11,0))*(1+IF(FK$4=$A51,Вводные!$D$5*INDEX(Вводные!$G$13:$G$64,MATCH($A51,Вводные!$A$13:$A$64,0)),0))</f>
        <v>0.01</v>
      </c>
      <c r="FL51" s="32" t="n">
        <f aca="false">INDEX(Вводные!$D$13:$F$64,MATCH($A51,Вводные!$A$13:$A$64,0),MATCH(FL$3,Вводные!$D$11:$F$11,0))*(1+IF(FL$4=$A51,Вводные!$D$5*INDEX(Вводные!$G$13:$G$64,MATCH($A51,Вводные!$A$13:$A$64,0)),0))</f>
        <v>0.01</v>
      </c>
      <c r="FM51" s="32" t="n">
        <f aca="false">INDEX(Вводные!$D$13:$F$64,MATCH($A51,Вводные!$A$13:$A$64,0),MATCH(FM$3,Вводные!$D$11:$F$11,0))*(1+IF(FM$4=$A51,Вводные!$D$5*INDEX(Вводные!$G$13:$G$64,MATCH($A51,Вводные!$A$13:$A$64,0)),0))</f>
        <v>0.01</v>
      </c>
      <c r="FN51" s="32" t="n">
        <f aca="false">INDEX(Вводные!$D$13:$F$64,MATCH($A51,Вводные!$A$13:$A$64,0),MATCH(FN$3,Вводные!$D$11:$F$11,0))*(1+IF(FN$4=$A51,Вводные!$D$5*INDEX(Вводные!$G$13:$G$64,MATCH($A51,Вводные!$A$13:$A$64,0)),0))</f>
        <v>0.01</v>
      </c>
      <c r="FO51" s="32" t="n">
        <f aca="false">INDEX(Вводные!$D$13:$F$64,MATCH($A51,Вводные!$A$13:$A$64,0),MATCH(FO$3,Вводные!$D$11:$F$11,0))*(1+IF(FO$4=$A51,Вводные!$D$5*INDEX(Вводные!$G$13:$G$64,MATCH($A51,Вводные!$A$13:$A$64,0)),0))</f>
        <v>0.01</v>
      </c>
      <c r="FP51" s="32" t="n">
        <f aca="false">INDEX(Вводные!$D$13:$F$64,MATCH($A51,Вводные!$A$13:$A$64,0),MATCH(FP$3,Вводные!$D$11:$F$11,0))*(1+IF(FP$4=$A51,Вводные!$D$5*INDEX(Вводные!$G$13:$G$64,MATCH($A51,Вводные!$A$13:$A$64,0)),0))</f>
        <v>0.01</v>
      </c>
      <c r="FQ51" s="32" t="n">
        <f aca="false">INDEX(Вводные!$D$13:$F$64,MATCH($A51,Вводные!$A$13:$A$64,0),MATCH(FQ$3,Вводные!$D$11:$F$11,0))*(1+IF(FQ$4=$A51,Вводные!$D$5*INDEX(Вводные!$G$13:$G$64,MATCH($A51,Вводные!$A$13:$A$64,0)),0))</f>
        <v>0.01</v>
      </c>
      <c r="FR51" s="32" t="n">
        <f aca="false">INDEX(Вводные!$D$13:$F$64,MATCH($A51,Вводные!$A$13:$A$64,0),MATCH(FR$3,Вводные!$D$11:$F$11,0))*(1+IF(FR$4=$A51,Вводные!$D$5*INDEX(Вводные!$G$13:$G$64,MATCH($A51,Вводные!$A$13:$A$64,0)),0))</f>
        <v>0.01</v>
      </c>
      <c r="FS51" s="32" t="n">
        <f aca="false">INDEX(Вводные!$D$13:$F$64,MATCH($A51,Вводные!$A$13:$A$64,0),MATCH(FS$3,Вводные!$D$11:$F$11,0))*(1+IF(FS$4=$A51,Вводные!$D$5*INDEX(Вводные!$G$13:$G$64,MATCH($A51,Вводные!$A$13:$A$64,0)),0))</f>
        <v>0.01</v>
      </c>
      <c r="FT51" s="32" t="n">
        <f aca="false">INDEX(Вводные!$D$13:$F$64,MATCH($A51,Вводные!$A$13:$A$64,0),MATCH(FT$3,Вводные!$D$11:$F$11,0))*(1+IF(FT$4=$A51,Вводные!$D$5*INDEX(Вводные!$G$13:$G$64,MATCH($A51,Вводные!$A$13:$A$64,0)),0))</f>
        <v>0.01</v>
      </c>
      <c r="FU51" s="32" t="n">
        <f aca="false">INDEX(Вводные!$D$13:$F$64,MATCH($A51,Вводные!$A$13:$A$64,0),MATCH(FU$3,Вводные!$D$11:$F$11,0))*(1+IF(FU$4=$A51,Вводные!$D$5*INDEX(Вводные!$G$13:$G$64,MATCH($A51,Вводные!$A$13:$A$64,0)),0))</f>
        <v>0.01</v>
      </c>
      <c r="FV51" s="32" t="n">
        <f aca="false">INDEX(Вводные!$D$13:$F$64,MATCH($A51,Вводные!$A$13:$A$64,0),MATCH(FV$3,Вводные!$D$11:$F$11,0))*(1+IF(FV$4=$A51,Вводные!$D$5*INDEX(Вводные!$G$13:$G$64,MATCH($A51,Вводные!$A$13:$A$64,0)),0))</f>
        <v>0.012</v>
      </c>
      <c r="FW51" s="32" t="n">
        <f aca="false">INDEX(Вводные!$D$13:$F$64,MATCH($A51,Вводные!$A$13:$A$64,0),MATCH(FW$3,Вводные!$D$11:$F$11,0))*(1+IF(FW$4=$A51,Вводные!$D$5*INDEX(Вводные!$G$13:$G$64,MATCH($A51,Вводные!$A$13:$A$64,0)),0))</f>
        <v>0.012</v>
      </c>
      <c r="FX51" s="32" t="n">
        <f aca="false">INDEX(Вводные!$D$13:$F$64,MATCH($A51,Вводные!$A$13:$A$64,0),MATCH(FX$3,Вводные!$D$11:$F$11,0))*(1+IF(FX$4=$A51,Вводные!$D$5*INDEX(Вводные!$G$13:$G$64,MATCH($A51,Вводные!$A$13:$A$64,0)),0))</f>
        <v>0.012</v>
      </c>
      <c r="FY51" s="32" t="n">
        <f aca="false">INDEX(Вводные!$D$13:$F$64,MATCH($A51,Вводные!$A$13:$A$64,0),MATCH(FY$3,Вводные!$D$11:$F$11,0))*(1+IF(FY$4=$A51,Вводные!$D$5*INDEX(Вводные!$G$13:$G$64,MATCH($A51,Вводные!$A$13:$A$64,0)),0))</f>
        <v>0.012</v>
      </c>
      <c r="FZ51" s="32" t="n">
        <f aca="false">INDEX(Вводные!$D$13:$F$64,MATCH($A51,Вводные!$A$13:$A$64,0),MATCH(FZ$3,Вводные!$D$11:$F$11,0))*(1+IF(FZ$4=$A51,Вводные!$D$5*INDEX(Вводные!$G$13:$G$64,MATCH($A51,Вводные!$A$13:$A$64,0)),0))</f>
        <v>0.012</v>
      </c>
      <c r="GA51" s="32" t="n">
        <f aca="false">INDEX(Вводные!$D$13:$F$64,MATCH($A51,Вводные!$A$13:$A$64,0),MATCH(GA$3,Вводные!$D$11:$F$11,0))*(1+IF(GA$4=$A51,Вводные!$D$5*INDEX(Вводные!$G$13:$G$64,MATCH($A51,Вводные!$A$13:$A$64,0)),0))</f>
        <v>0.012</v>
      </c>
      <c r="GB51" s="32" t="n">
        <f aca="false">INDEX(Вводные!$D$13:$F$64,MATCH($A51,Вводные!$A$13:$A$64,0),MATCH(GB$3,Вводные!$D$11:$F$11,0))*(1+IF(GB$4=$A51,Вводные!$D$5*INDEX(Вводные!$G$13:$G$64,MATCH($A51,Вводные!$A$13:$A$64,0)),0))</f>
        <v>0.012</v>
      </c>
      <c r="GC51" s="32" t="n">
        <f aca="false">INDEX(Вводные!$D$13:$F$64,MATCH($A51,Вводные!$A$13:$A$64,0),MATCH(GC$3,Вводные!$D$11:$F$11,0))*(1+IF(GC$4=$A51,Вводные!$D$5*INDEX(Вводные!$G$13:$G$64,MATCH($A51,Вводные!$A$13:$A$64,0)),0))</f>
        <v>0.012</v>
      </c>
      <c r="GD51" s="32" t="n">
        <f aca="false">INDEX(Вводные!$D$13:$F$64,MATCH($A51,Вводные!$A$13:$A$64,0),MATCH(GD$3,Вводные!$D$11:$F$11,0))*(1+IF(GD$4=$A51,Вводные!$D$5*INDEX(Вводные!$G$13:$G$64,MATCH($A51,Вводные!$A$13:$A$64,0)),0))</f>
        <v>0.012</v>
      </c>
      <c r="GE51" s="32" t="n">
        <f aca="false">INDEX(Вводные!$D$13:$F$64,MATCH($A51,Вводные!$A$13:$A$64,0),MATCH(GE$3,Вводные!$D$11:$F$11,0))*(1+IF(GE$4=$A51,Вводные!$D$5*INDEX(Вводные!$G$13:$G$64,MATCH($A51,Вводные!$A$13:$A$64,0)),0))</f>
        <v>0.012</v>
      </c>
      <c r="GF51" s="32" t="n">
        <f aca="false">INDEX(Вводные!$D$13:$F$64,MATCH($A51,Вводные!$A$13:$A$64,0),MATCH(GF$3,Вводные!$D$11:$F$11,0))*(1+IF(GF$4=$A51,Вводные!$D$5*INDEX(Вводные!$G$13:$G$64,MATCH($A51,Вводные!$A$13:$A$64,0)),0))</f>
        <v>0.012</v>
      </c>
      <c r="GG51" s="32" t="n">
        <f aca="false">INDEX(Вводные!$D$13:$F$64,MATCH($A51,Вводные!$A$13:$A$64,0),MATCH(GG$3,Вводные!$D$11:$F$11,0))*(1+IF(GG$4=$A51,Вводные!$D$5*INDEX(Вводные!$G$13:$G$64,MATCH($A51,Вводные!$A$13:$A$64,0)),0))</f>
        <v>0.012</v>
      </c>
      <c r="GH51" s="32" t="n">
        <f aca="false">INDEX(Вводные!$D$13:$F$64,MATCH($A51,Вводные!$A$13:$A$64,0),MATCH(GH$3,Вводные!$D$11:$F$11,0))*(1+IF(GH$4=$A51,Вводные!$D$5*INDEX(Вводные!$G$13:$G$64,MATCH($A51,Вводные!$A$13:$A$64,0)),0))</f>
        <v>0.012</v>
      </c>
      <c r="GI51" s="32" t="n">
        <f aca="false">INDEX(Вводные!$D$13:$F$64,MATCH($A51,Вводные!$A$13:$A$64,0),MATCH(GI$3,Вводные!$D$11:$F$11,0))*(1+IF(GI$4=$A51,Вводные!$D$5*INDEX(Вводные!$G$13:$G$64,MATCH($A51,Вводные!$A$13:$A$64,0)),0))</f>
        <v>0.012</v>
      </c>
      <c r="GJ51" s="32" t="n">
        <f aca="false">INDEX(Вводные!$D$13:$F$64,MATCH($A51,Вводные!$A$13:$A$64,0),MATCH(GJ$3,Вводные!$D$11:$F$11,0))*(1+IF(GJ$4=$A51,Вводные!$D$5*INDEX(Вводные!$G$13:$G$64,MATCH($A51,Вводные!$A$13:$A$64,0)),0))</f>
        <v>0.012</v>
      </c>
      <c r="GK51" s="32" t="n">
        <f aca="false">INDEX(Вводные!$D$13:$F$64,MATCH($A51,Вводные!$A$13:$A$64,0),MATCH(GK$3,Вводные!$D$11:$F$11,0))*(1+IF(GK$4=$A51,Вводные!$D$5*INDEX(Вводные!$G$13:$G$64,MATCH($A51,Вводные!$A$13:$A$64,0)),0))</f>
        <v>0.012</v>
      </c>
      <c r="GL51" s="32" t="n">
        <f aca="false">INDEX(Вводные!$D$13:$F$64,MATCH($A51,Вводные!$A$13:$A$64,0),MATCH(GL$3,Вводные!$D$11:$F$11,0))*(1+IF(GL$4=$A51,Вводные!$D$5*INDEX(Вводные!$G$13:$G$64,MATCH($A51,Вводные!$A$13:$A$64,0)),0))</f>
        <v>0.012</v>
      </c>
      <c r="GM51" s="32" t="n">
        <f aca="false">INDEX(Вводные!$D$13:$F$64,MATCH($A51,Вводные!$A$13:$A$64,0),MATCH(GM$3,Вводные!$D$11:$F$11,0))*(1+IF(GM$4=$A51,Вводные!$D$5*INDEX(Вводные!$G$13:$G$64,MATCH($A51,Вводные!$A$13:$A$64,0)),0))</f>
        <v>0.012</v>
      </c>
      <c r="GN51" s="32" t="n">
        <f aca="false">INDEX(Вводные!$D$13:$F$64,MATCH($A51,Вводные!$A$13:$A$64,0),MATCH(GN$3,Вводные!$D$11:$F$11,0))*(1+IF(GN$4=$A51,Вводные!$D$5*INDEX(Вводные!$G$13:$G$64,MATCH($A51,Вводные!$A$13:$A$64,0)),0))</f>
        <v>0.012</v>
      </c>
      <c r="GO51" s="32" t="n">
        <f aca="false">INDEX(Вводные!$D$13:$F$64,MATCH($A51,Вводные!$A$13:$A$64,0),MATCH(GO$3,Вводные!$D$11:$F$11,0))*(1+IF(GO$4=$A51,Вводные!$D$5*INDEX(Вводные!$G$13:$G$64,MATCH($A51,Вводные!$A$13:$A$64,0)),0))</f>
        <v>0.012</v>
      </c>
      <c r="GP51" s="32" t="n">
        <f aca="false">INDEX(Вводные!$D$13:$F$64,MATCH($A51,Вводные!$A$13:$A$64,0),MATCH(GP$3,Вводные!$D$11:$F$11,0))*(1+IF(GP$4=$A51,Вводные!$D$5*INDEX(Вводные!$G$13:$G$64,MATCH($A51,Вводные!$A$13:$A$64,0)),0))</f>
        <v>0.012</v>
      </c>
      <c r="GQ51" s="32" t="n">
        <f aca="false">INDEX(Вводные!$D$13:$F$64,MATCH($A51,Вводные!$A$13:$A$64,0),MATCH(GQ$3,Вводные!$D$11:$F$11,0))*(1+IF(GQ$4=$A51,Вводные!$D$5*INDEX(Вводные!$G$13:$G$64,MATCH($A51,Вводные!$A$13:$A$64,0)),0))</f>
        <v>0.012</v>
      </c>
      <c r="GR51" s="32" t="n">
        <f aca="false">INDEX(Вводные!$D$13:$F$64,MATCH($A51,Вводные!$A$13:$A$64,0),MATCH(GR$3,Вводные!$D$11:$F$11,0))*(1+IF(GR$4=$A51,Вводные!$D$5*INDEX(Вводные!$G$13:$G$64,MATCH($A51,Вводные!$A$13:$A$64,0)),0))</f>
        <v>0.012</v>
      </c>
      <c r="GS51" s="32" t="n">
        <f aca="false">INDEX(Вводные!$D$13:$F$64,MATCH($A51,Вводные!$A$13:$A$64,0),MATCH(GS$3,Вводные!$D$11:$F$11,0))*(1+IF(GS$4=$A51,Вводные!$D$5*INDEX(Вводные!$G$13:$G$64,MATCH($A51,Вводные!$A$13:$A$64,0)),0))</f>
        <v>0.012</v>
      </c>
      <c r="GT51" s="32" t="n">
        <f aca="false">INDEX(Вводные!$D$13:$F$64,MATCH($A51,Вводные!$A$13:$A$64,0),MATCH(GT$3,Вводные!$D$11:$F$11,0))*(1+IF(GT$4=$A51,Вводные!$D$5*INDEX(Вводные!$G$13:$G$64,MATCH($A51,Вводные!$A$13:$A$64,0)),0))</f>
        <v>0.01212</v>
      </c>
      <c r="GU51" s="32" t="n">
        <f aca="false">INDEX(Вводные!$D$13:$F$64,MATCH($A51,Вводные!$A$13:$A$64,0),MATCH(GU$3,Вводные!$D$11:$F$11,0))*(1+IF(GU$4=$A51,Вводные!$D$5*INDEX(Вводные!$G$13:$G$64,MATCH($A51,Вводные!$A$13:$A$64,0)),0))</f>
        <v>0.012</v>
      </c>
      <c r="GV51" s="32" t="n">
        <f aca="false">INDEX(Вводные!$D$13:$F$64,MATCH($A51,Вводные!$A$13:$A$64,0),MATCH(GV$3,Вводные!$D$11:$F$11,0))*(1+IF(GV$4=$A51,Вводные!$D$5*INDEX(Вводные!$G$13:$G$64,MATCH($A51,Вводные!$A$13:$A$64,0)),0))</f>
        <v>0.012</v>
      </c>
      <c r="GW51" s="32" t="n">
        <f aca="false">INDEX(Вводные!$D$13:$F$64,MATCH($A51,Вводные!$A$13:$A$64,0),MATCH(GW$3,Вводные!$D$11:$F$11,0))*(1+IF(GW$4=$A51,Вводные!$D$5*INDEX(Вводные!$G$13:$G$64,MATCH($A51,Вводные!$A$13:$A$64,0)),0))</f>
        <v>0.012</v>
      </c>
      <c r="GX51" s="32" t="n">
        <f aca="false">INDEX(Вводные!$D$13:$F$64,MATCH($A51,Вводные!$A$13:$A$64,0),MATCH(GX$3,Вводные!$D$11:$F$11,0))*(1+IF(GX$4=$A51,Вводные!$D$5*INDEX(Вводные!$G$13:$G$64,MATCH($A51,Вводные!$A$13:$A$64,0)),0))</f>
        <v>0.012</v>
      </c>
      <c r="GY51" s="32" t="n">
        <f aca="false">INDEX(Вводные!$D$13:$F$64,MATCH($A51,Вводные!$A$13:$A$64,0),MATCH(GY$3,Вводные!$D$11:$F$11,0))*(1+IF(GY$4=$A51,Вводные!$D$5*INDEX(Вводные!$G$13:$G$64,MATCH($A51,Вводные!$A$13:$A$64,0)),0))</f>
        <v>0.012</v>
      </c>
      <c r="GZ51" s="32" t="n">
        <f aca="false">INDEX(Вводные!$D$13:$F$64,MATCH($A51,Вводные!$A$13:$A$64,0),MATCH(GZ$3,Вводные!$D$11:$F$11,0))*(1+IF(GZ$4=$A51,Вводные!$D$5*INDEX(Вводные!$G$13:$G$64,MATCH($A51,Вводные!$A$13:$A$64,0)),0))</f>
        <v>0.012</v>
      </c>
      <c r="HA51" s="32" t="n">
        <f aca="false">INDEX(Вводные!$D$13:$F$64,MATCH($A51,Вводные!$A$13:$A$64,0),MATCH(HA$3,Вводные!$D$11:$F$11,0))*(1+IF(HA$4=$A51,Вводные!$D$5*INDEX(Вводные!$G$13:$G$64,MATCH($A51,Вводные!$A$13:$A$64,0)),0))</f>
        <v>0.012</v>
      </c>
      <c r="HB51" s="32" t="n">
        <f aca="false">INDEX(Вводные!$D$13:$F$64,MATCH($A51,Вводные!$A$13:$A$64,0),MATCH(HB$3,Вводные!$D$11:$F$11,0))*(1+IF(HB$4=$A51,Вводные!$D$5*INDEX(Вводные!$G$13:$G$64,MATCH($A51,Вводные!$A$13:$A$64,0)),0))</f>
        <v>0.012</v>
      </c>
      <c r="HC51" s="32" t="n">
        <f aca="false">INDEX(Вводные!$D$13:$F$64,MATCH($A51,Вводные!$A$13:$A$64,0),MATCH(HC$3,Вводные!$D$11:$F$11,0))*(1+IF(HC$4=$A51,Вводные!$D$5*INDEX(Вводные!$G$13:$G$64,MATCH($A51,Вводные!$A$13:$A$64,0)),0))</f>
        <v>0.012</v>
      </c>
      <c r="HD51" s="32" t="n">
        <f aca="false">INDEX(Вводные!$D$13:$F$64,MATCH($A51,Вводные!$A$13:$A$64,0),MATCH(HD$3,Вводные!$D$11:$F$11,0))*(1+IF(HD$4=$A51,Вводные!$D$5*INDEX(Вводные!$G$13:$G$64,MATCH($A51,Вводные!$A$13:$A$64,0)),0))</f>
        <v>0.012</v>
      </c>
      <c r="HE51" s="32" t="n">
        <f aca="false">INDEX(Вводные!$D$13:$F$64,MATCH($A51,Вводные!$A$13:$A$64,0),MATCH(HE$3,Вводные!$D$11:$F$11,0))*(1+IF(HE$4=$A51,Вводные!$D$5*INDEX(Вводные!$G$13:$G$64,MATCH($A51,Вводные!$A$13:$A$64,0)),0))</f>
        <v>0.012</v>
      </c>
      <c r="HF51" s="32" t="n">
        <f aca="false">INDEX(Вводные!$D$13:$F$64,MATCH($A51,Вводные!$A$13:$A$64,0),MATCH(HF$3,Вводные!$D$11:$F$11,0))*(1+IF(HF$4=$A51,Вводные!$D$5*INDEX(Вводные!$G$13:$G$64,MATCH($A51,Вводные!$A$13:$A$64,0)),0))</f>
        <v>0.012</v>
      </c>
      <c r="HG51" s="32" t="n">
        <f aca="false">INDEX(Вводные!$D$13:$F$64,MATCH($A51,Вводные!$A$13:$A$64,0),MATCH(HG$3,Вводные!$D$11:$F$11,0))*(1+IF(HG$4=$A51,Вводные!$D$5*INDEX(Вводные!$G$13:$G$64,MATCH($A51,Вводные!$A$13:$A$64,0)),0))</f>
        <v>0.012</v>
      </c>
      <c r="HH51" s="32" t="n">
        <f aca="false">INDEX(Вводные!$D$13:$F$64,MATCH($A51,Вводные!$A$13:$A$64,0),MATCH(HH$3,Вводные!$D$11:$F$11,0))*(1+IF(HH$4=$A51,Вводные!$D$5*INDEX(Вводные!$G$13:$G$64,MATCH($A51,Вводные!$A$13:$A$64,0)),0))</f>
        <v>0.012</v>
      </c>
      <c r="HI51" s="32" t="n">
        <f aca="false">INDEX(Вводные!$D$13:$F$64,MATCH($A51,Вводные!$A$13:$A$64,0),MATCH(HI$3,Вводные!$D$11:$F$11,0))*(1+IF(HI$4=$A51,Вводные!$D$5*INDEX(Вводные!$G$13:$G$64,MATCH($A51,Вводные!$A$13:$A$64,0)),0))</f>
        <v>0.012</v>
      </c>
      <c r="HJ51" s="32" t="n">
        <f aca="false">INDEX(Вводные!$D$13:$F$64,MATCH($A51,Вводные!$A$13:$A$64,0),MATCH(HJ$3,Вводные!$D$11:$F$11,0))*(1+IF(HJ$4=$A51,Вводные!$D$5*INDEX(Вводные!$G$13:$G$64,MATCH($A51,Вводные!$A$13:$A$64,0)),0))</f>
        <v>0.012</v>
      </c>
      <c r="HK51" s="32" t="n">
        <f aca="false">INDEX(Вводные!$D$13:$F$64,MATCH($A51,Вводные!$A$13:$A$64,0),MATCH(HK$3,Вводные!$D$11:$F$11,0))*(1+IF(HK$4=$A51,Вводные!$D$5*INDEX(Вводные!$G$13:$G$64,MATCH($A51,Вводные!$A$13:$A$64,0)),0))</f>
        <v>0.012</v>
      </c>
      <c r="HL51" s="32" t="n">
        <f aca="false">INDEX(Вводные!$D$13:$F$64,MATCH($A51,Вводные!$A$13:$A$64,0),MATCH(HL$3,Вводные!$D$11:$F$11,0))*(1+IF(HL$4=$A51,Вводные!$D$5*INDEX(Вводные!$G$13:$G$64,MATCH($A51,Вводные!$A$13:$A$64,0)),0))</f>
        <v>0.01</v>
      </c>
      <c r="HM51" s="32" t="n">
        <f aca="false">INDEX(Вводные!$D$13:$F$64,MATCH($A51,Вводные!$A$13:$A$64,0),MATCH(HM$3,Вводные!$D$11:$F$11,0))*(1+IF(HM$4=$A51,Вводные!$D$5*INDEX(Вводные!$G$13:$G$64,MATCH($A51,Вводные!$A$13:$A$64,0)),0))</f>
        <v>0.01</v>
      </c>
      <c r="HN51" s="32" t="n">
        <f aca="false">INDEX(Вводные!$D$13:$F$64,MATCH($A51,Вводные!$A$13:$A$64,0),MATCH(HN$3,Вводные!$D$11:$F$11,0))*(1+IF(HN$4=$A51,Вводные!$D$5*INDEX(Вводные!$G$13:$G$64,MATCH($A51,Вводные!$A$13:$A$64,0)),0))</f>
        <v>0.01</v>
      </c>
      <c r="HO51" s="32" t="n">
        <f aca="false">INDEX(Вводные!$D$13:$F$64,MATCH($A51,Вводные!$A$13:$A$64,0),MATCH(HO$3,Вводные!$D$11:$F$11,0))*(1+IF(HO$4=$A51,Вводные!$D$5*INDEX(Вводные!$G$13:$G$64,MATCH($A51,Вводные!$A$13:$A$64,0)),0))</f>
        <v>0.01</v>
      </c>
      <c r="HP51" s="32" t="n">
        <f aca="false">INDEX(Вводные!$D$13:$F$64,MATCH($A51,Вводные!$A$13:$A$64,0),MATCH(HP$3,Вводные!$D$11:$F$11,0))*(1+IF(HP$4=$A51,Вводные!$D$5*INDEX(Вводные!$G$13:$G$64,MATCH($A51,Вводные!$A$13:$A$64,0)),0))</f>
        <v>0.01</v>
      </c>
      <c r="HQ51" s="32" t="n">
        <f aca="false">INDEX(Вводные!$D$13:$F$64,MATCH($A51,Вводные!$A$13:$A$64,0),MATCH(HQ$3,Вводные!$D$11:$F$11,0))*(1+IF(HQ$4=$A51,Вводные!$D$5*INDEX(Вводные!$G$13:$G$64,MATCH($A51,Вводные!$A$13:$A$64,0)),0))</f>
        <v>0.01</v>
      </c>
      <c r="HR51" s="32" t="n">
        <f aca="false">INDEX(Вводные!$D$13:$F$64,MATCH($A51,Вводные!$A$13:$A$64,0),MATCH(HR$3,Вводные!$D$11:$F$11,0))*(1+IF(HR$4=$A51,Вводные!$D$5*INDEX(Вводные!$G$13:$G$64,MATCH($A51,Вводные!$A$13:$A$64,0)),0))</f>
        <v>0.01</v>
      </c>
      <c r="HS51" s="32" t="n">
        <f aca="false">INDEX(Вводные!$D$13:$F$64,MATCH($A51,Вводные!$A$13:$A$64,0),MATCH(HS$3,Вводные!$D$11:$F$11,0))*(1+IF(HS$4=$A51,Вводные!$D$5*INDEX(Вводные!$G$13:$G$64,MATCH($A51,Вводные!$A$13:$A$64,0)),0))</f>
        <v>0.01</v>
      </c>
      <c r="HT51" s="32" t="n">
        <f aca="false">INDEX(Вводные!$D$13:$F$64,MATCH($A51,Вводные!$A$13:$A$64,0),MATCH(HT$3,Вводные!$D$11:$F$11,0))*(1+IF(HT$4=$A51,Вводные!$D$5*INDEX(Вводные!$G$13:$G$64,MATCH($A51,Вводные!$A$13:$A$64,0)),0))</f>
        <v>0.01</v>
      </c>
      <c r="HU51" s="32" t="n">
        <f aca="false">INDEX(Вводные!$D$13:$F$64,MATCH($A51,Вводные!$A$13:$A$64,0),MATCH(HU$3,Вводные!$D$11:$F$11,0))*(1+IF(HU$4=$A51,Вводные!$D$5*INDEX(Вводные!$G$13:$G$64,MATCH($A51,Вводные!$A$13:$A$64,0)),0))</f>
        <v>0.01</v>
      </c>
      <c r="HV51" s="32" t="n">
        <f aca="false">INDEX(Вводные!$D$13:$F$64,MATCH($A51,Вводные!$A$13:$A$64,0),MATCH(HV$3,Вводные!$D$11:$F$11,0))*(1+IF(HV$4=$A51,Вводные!$D$5*INDEX(Вводные!$G$13:$G$64,MATCH($A51,Вводные!$A$13:$A$64,0)),0))</f>
        <v>0.01</v>
      </c>
      <c r="HW51" s="32" t="n">
        <f aca="false">INDEX(Вводные!$D$13:$F$64,MATCH($A51,Вводные!$A$13:$A$64,0),MATCH(HW$3,Вводные!$D$11:$F$11,0))*(1+IF(HW$4=$A51,Вводные!$D$5*INDEX(Вводные!$G$13:$G$64,MATCH($A51,Вводные!$A$13:$A$64,0)),0))</f>
        <v>0.01</v>
      </c>
      <c r="HX51" s="32" t="n">
        <f aca="false">INDEX(Вводные!$D$13:$F$64,MATCH($A51,Вводные!$A$13:$A$64,0),MATCH(HX$3,Вводные!$D$11:$F$11,0))*(1+IF(HX$4=$A51,Вводные!$D$5*INDEX(Вводные!$G$13:$G$64,MATCH($A51,Вводные!$A$13:$A$64,0)),0))</f>
        <v>0.01</v>
      </c>
      <c r="HY51" s="32" t="n">
        <f aca="false">INDEX(Вводные!$D$13:$F$64,MATCH($A51,Вводные!$A$13:$A$64,0),MATCH(HY$3,Вводные!$D$11:$F$11,0))*(1+IF(HY$4=$A51,Вводные!$D$5*INDEX(Вводные!$G$13:$G$64,MATCH($A51,Вводные!$A$13:$A$64,0)),0))</f>
        <v>0.01</v>
      </c>
      <c r="HZ51" s="32" t="n">
        <f aca="false">INDEX(Вводные!$D$13:$F$64,MATCH($A51,Вводные!$A$13:$A$64,0),MATCH(HZ$3,Вводные!$D$11:$F$11,0))*(1+IF(HZ$4=$A51,Вводные!$D$5*INDEX(Вводные!$G$13:$G$64,MATCH($A51,Вводные!$A$13:$A$64,0)),0))</f>
        <v>0.01</v>
      </c>
      <c r="IA51" s="32" t="n">
        <f aca="false">INDEX(Вводные!$D$13:$F$64,MATCH($A51,Вводные!$A$13:$A$64,0),MATCH(IA$3,Вводные!$D$11:$F$11,0))*(1+IF(IA$4=$A51,Вводные!$D$5*INDEX(Вводные!$G$13:$G$64,MATCH($A51,Вводные!$A$13:$A$64,0)),0))</f>
        <v>0.01</v>
      </c>
      <c r="IB51" s="32" t="n">
        <f aca="false">INDEX(Вводные!$D$13:$F$64,MATCH($A51,Вводные!$A$13:$A$64,0),MATCH(IB$3,Вводные!$D$11:$F$11,0))*(1+IF(IB$4=$A51,Вводные!$D$5*INDEX(Вводные!$G$13:$G$64,MATCH($A51,Вводные!$A$13:$A$64,0)),0))</f>
        <v>0.01</v>
      </c>
      <c r="IC51" s="32" t="n">
        <f aca="false">INDEX(Вводные!$D$13:$F$64,MATCH($A51,Вводные!$A$13:$A$64,0),MATCH(IC$3,Вводные!$D$11:$F$11,0))*(1+IF(IC$4=$A51,Вводные!$D$5*INDEX(Вводные!$G$13:$G$64,MATCH($A51,Вводные!$A$13:$A$64,0)),0))</f>
        <v>0.01</v>
      </c>
      <c r="ID51" s="32" t="n">
        <f aca="false">INDEX(Вводные!$D$13:$F$64,MATCH($A51,Вводные!$A$13:$A$64,0),MATCH(ID$3,Вводные!$D$11:$F$11,0))*(1+IF(ID$4=$A51,Вводные!$D$5*INDEX(Вводные!$G$13:$G$64,MATCH($A51,Вводные!$A$13:$A$64,0)),0))</f>
        <v>0.01</v>
      </c>
      <c r="IE51" s="32" t="n">
        <f aca="false">INDEX(Вводные!$D$13:$F$64,MATCH($A51,Вводные!$A$13:$A$64,0),MATCH(IE$3,Вводные!$D$11:$F$11,0))*(1+IF(IE$4=$A51,Вводные!$D$5*INDEX(Вводные!$G$13:$G$64,MATCH($A51,Вводные!$A$13:$A$64,0)),0))</f>
        <v>0.01</v>
      </c>
      <c r="IF51" s="32" t="n">
        <f aca="false">INDEX(Вводные!$D$13:$F$64,MATCH($A51,Вводные!$A$13:$A$64,0),MATCH(IF$3,Вводные!$D$11:$F$11,0))*(1+IF(IF$4=$A51,Вводные!$D$5*INDEX(Вводные!$G$13:$G$64,MATCH($A51,Вводные!$A$13:$A$64,0)),0))</f>
        <v>0.01</v>
      </c>
      <c r="IG51" s="32" t="n">
        <f aca="false">INDEX(Вводные!$D$13:$F$64,MATCH($A51,Вводные!$A$13:$A$64,0),MATCH(IG$3,Вводные!$D$11:$F$11,0))*(1+IF(IG$4=$A51,Вводные!$D$5*INDEX(Вводные!$G$13:$G$64,MATCH($A51,Вводные!$A$13:$A$64,0)),0))</f>
        <v>0.01</v>
      </c>
      <c r="IH51" s="32" t="n">
        <f aca="false">INDEX(Вводные!$D$13:$F$64,MATCH($A51,Вводные!$A$13:$A$64,0),MATCH(IH$3,Вводные!$D$11:$F$11,0))*(1+IF(IH$4=$A51,Вводные!$D$5*INDEX(Вводные!$G$13:$G$64,MATCH($A51,Вводные!$A$13:$A$64,0)),0))</f>
        <v>0.01</v>
      </c>
      <c r="II51" s="32" t="n">
        <f aca="false">INDEX(Вводные!$D$13:$F$64,MATCH($A51,Вводные!$A$13:$A$64,0),MATCH(II$3,Вводные!$D$11:$F$11,0))*(1+IF(II$4=$A51,Вводные!$D$5*INDEX(Вводные!$G$13:$G$64,MATCH($A51,Вводные!$A$13:$A$64,0)),0))</f>
        <v>0.01</v>
      </c>
      <c r="IJ51" s="32" t="n">
        <f aca="false">INDEX(Вводные!$D$13:$F$64,MATCH($A51,Вводные!$A$13:$A$64,0),MATCH(IJ$3,Вводные!$D$11:$F$11,0))*(1+IF(IJ$4=$A51,Вводные!$D$5*INDEX(Вводные!$G$13:$G$64,MATCH($A51,Вводные!$A$13:$A$64,0)),0))</f>
        <v>0.0101</v>
      </c>
      <c r="IK51" s="32" t="n">
        <f aca="false">INDEX(Вводные!$D$13:$F$64,MATCH($A51,Вводные!$A$13:$A$64,0),MATCH(IK$3,Вводные!$D$11:$F$11,0))*(1+IF(IK$4=$A51,Вводные!$D$5*INDEX(Вводные!$G$13:$G$64,MATCH($A51,Вводные!$A$13:$A$64,0)),0))</f>
        <v>0.01</v>
      </c>
      <c r="IL51" s="32" t="n">
        <f aca="false">INDEX(Вводные!$D$13:$F$64,MATCH($A51,Вводные!$A$13:$A$64,0),MATCH(IL$3,Вводные!$D$11:$F$11,0))*(1+IF(IL$4=$A51,Вводные!$D$5*INDEX(Вводные!$G$13:$G$64,MATCH($A51,Вводные!$A$13:$A$64,0)),0))</f>
        <v>0.01</v>
      </c>
      <c r="IM51" s="32" t="n">
        <f aca="false">INDEX(Вводные!$D$13:$F$64,MATCH($A51,Вводные!$A$13:$A$64,0),MATCH(IM$3,Вводные!$D$11:$F$11,0))*(1+IF(IM$4=$A51,Вводные!$D$5*INDEX(Вводные!$G$13:$G$64,MATCH($A51,Вводные!$A$13:$A$64,0)),0))</f>
        <v>0.01</v>
      </c>
      <c r="IN51" s="32" t="n">
        <f aca="false">INDEX(Вводные!$D$13:$F$64,MATCH($A51,Вводные!$A$13:$A$64,0),MATCH(IN$3,Вводные!$D$11:$F$11,0))*(1+IF(IN$4=$A51,Вводные!$D$5*INDEX(Вводные!$G$13:$G$64,MATCH($A51,Вводные!$A$13:$A$64,0)),0))</f>
        <v>0.01</v>
      </c>
      <c r="IO51" s="32" t="n">
        <f aca="false">INDEX(Вводные!$D$13:$F$64,MATCH($A51,Вводные!$A$13:$A$64,0),MATCH(IO$3,Вводные!$D$11:$F$11,0))*(1+IF(IO$4=$A51,Вводные!$D$5*INDEX(Вводные!$G$13:$G$64,MATCH($A51,Вводные!$A$13:$A$64,0)),0))</f>
        <v>0.01</v>
      </c>
      <c r="IP51" s="32" t="n">
        <f aca="false">INDEX(Вводные!$D$13:$F$64,MATCH($A51,Вводные!$A$13:$A$64,0),MATCH(IP$3,Вводные!$D$11:$F$11,0))*(1+IF(IP$4=$A51,Вводные!$D$5*INDEX(Вводные!$G$13:$G$64,MATCH($A51,Вводные!$A$13:$A$64,0)),0))</f>
        <v>0.01</v>
      </c>
      <c r="IQ51" s="32" t="n">
        <f aca="false">INDEX(Вводные!$D$13:$F$64,MATCH($A51,Вводные!$A$13:$A$64,0),MATCH(IQ$3,Вводные!$D$11:$F$11,0))*(1+IF(IQ$4=$A51,Вводные!$D$5*INDEX(Вводные!$G$13:$G$64,MATCH($A51,Вводные!$A$13:$A$64,0)),0))</f>
        <v>0.01</v>
      </c>
      <c r="IR51" s="32" t="n">
        <f aca="false">INDEX(Вводные!$D$13:$F$64,MATCH($A51,Вводные!$A$13:$A$64,0),MATCH(IR$3,Вводные!$D$11:$F$11,0))*(1+IF(IR$4=$A51,Вводные!$D$5*INDEX(Вводные!$G$13:$G$64,MATCH($A51,Вводные!$A$13:$A$64,0)),0))</f>
        <v>0.01</v>
      </c>
      <c r="IS51" s="32" t="n">
        <f aca="false">INDEX(Вводные!$D$13:$F$64,MATCH($A51,Вводные!$A$13:$A$64,0),MATCH(IS$3,Вводные!$D$11:$F$11,0))*(1+IF(IS$4=$A51,Вводные!$D$5*INDEX(Вводные!$G$13:$G$64,MATCH($A51,Вводные!$A$13:$A$64,0)),0))</f>
        <v>0.01</v>
      </c>
      <c r="IT51" s="32" t="n">
        <f aca="false">INDEX(Вводные!$D$13:$F$64,MATCH($A51,Вводные!$A$13:$A$64,0),MATCH(IT$3,Вводные!$D$11:$F$11,0))*(1+IF(IT$4=$A51,Вводные!$D$5*INDEX(Вводные!$G$13:$G$64,MATCH($A51,Вводные!$A$13:$A$64,0)),0))</f>
        <v>0.01</v>
      </c>
      <c r="IU51" s="32" t="n">
        <f aca="false">INDEX(Вводные!$D$13:$F$64,MATCH($A51,Вводные!$A$13:$A$64,0),MATCH(IU$3,Вводные!$D$11:$F$11,0))*(1+IF(IU$4=$A51,Вводные!$D$5*INDEX(Вводные!$G$13:$G$64,MATCH($A51,Вводные!$A$13:$A$64,0)),0))</f>
        <v>0.01</v>
      </c>
      <c r="IV51" s="32" t="n">
        <f aca="false">INDEX(Вводные!$D$13:$F$64,MATCH($A51,Вводные!$A$13:$A$64,0),MATCH(IV$3,Вводные!$D$11:$F$11,0))*(1+IF(IV$4=$A51,Вводные!$D$5*INDEX(Вводные!$G$13:$G$64,MATCH($A51,Вводные!$A$13:$A$64,0)),0))</f>
        <v>0.01</v>
      </c>
      <c r="IW51" s="32" t="n">
        <f aca="false">INDEX(Вводные!$D$13:$F$64,MATCH($A51,Вводные!$A$13:$A$64,0),MATCH(IW$3,Вводные!$D$11:$F$11,0))*(1+IF(IW$4=$A51,Вводные!$D$5*INDEX(Вводные!$G$13:$G$64,MATCH($A51,Вводные!$A$13:$A$64,0)),0))</f>
        <v>0.01</v>
      </c>
      <c r="IX51" s="32" t="n">
        <f aca="false">INDEX(Вводные!$D$13:$F$64,MATCH($A51,Вводные!$A$13:$A$64,0),MATCH(IX$3,Вводные!$D$11:$F$11,0))*(1+IF(IX$4=$A51,Вводные!$D$5*INDEX(Вводные!$G$13:$G$64,MATCH($A51,Вводные!$A$13:$A$64,0)),0))</f>
        <v>0.01</v>
      </c>
      <c r="IY51" s="32" t="n">
        <f aca="false">INDEX(Вводные!$D$13:$F$64,MATCH($A51,Вводные!$A$13:$A$64,0),MATCH(IY$3,Вводные!$D$11:$F$11,0))*(1+IF(IY$4=$A51,Вводные!$D$5*INDEX(Вводные!$G$13:$G$64,MATCH($A51,Вводные!$A$13:$A$64,0)),0))</f>
        <v>0.01</v>
      </c>
      <c r="IZ51" s="32" t="n">
        <f aca="false">INDEX(Вводные!$D$13:$F$64,MATCH($A51,Вводные!$A$13:$A$64,0),MATCH(IZ$3,Вводные!$D$11:$F$11,0))*(1+IF(IZ$4=$A51,Вводные!$D$5*INDEX(Вводные!$G$13:$G$64,MATCH($A51,Вводные!$A$13:$A$64,0)),0))</f>
        <v>0.01</v>
      </c>
      <c r="JA51" s="32" t="n">
        <f aca="false">INDEX(Вводные!$D$13:$F$64,MATCH($A51,Вводные!$A$13:$A$64,0),MATCH(JA$3,Вводные!$D$11:$F$11,0))*(1+IF(JA$4=$A51,Вводные!$D$5*INDEX(Вводные!$G$13:$G$64,MATCH($A51,Вводные!$A$13:$A$64,0)),0))</f>
        <v>0.01</v>
      </c>
    </row>
    <row r="52" customFormat="false" ht="15" hidden="false" customHeight="false" outlineLevel="0" collapsed="false">
      <c r="A52" s="2" t="s">
        <v>105</v>
      </c>
      <c r="B52" s="13" t="s">
        <v>106</v>
      </c>
      <c r="C52" s="13" t="s">
        <v>179</v>
      </c>
      <c r="D52" s="9" t="s">
        <v>233</v>
      </c>
      <c r="E52" s="59" t="n">
        <f aca="false">E50*E51</f>
        <v>1217100</v>
      </c>
      <c r="F52" s="59" t="n">
        <f aca="false">F50*F51</f>
        <v>5076960</v>
      </c>
      <c r="G52" s="59" t="n">
        <f aca="false">G50*G51</f>
        <v>10050000</v>
      </c>
      <c r="H52" s="59" t="n">
        <f aca="false">SUM(E52:G52)</f>
        <v>16344060</v>
      </c>
      <c r="J52" s="59" t="n">
        <f aca="false">J50*J51</f>
        <v>1217100</v>
      </c>
      <c r="K52" s="59" t="n">
        <f aca="false">K50*K51</f>
        <v>1217991</v>
      </c>
      <c r="L52" s="59" t="n">
        <f aca="false">L50*L51</f>
        <v>1217991</v>
      </c>
      <c r="M52" s="59" t="n">
        <f aca="false">M50*M51</f>
        <v>1217991</v>
      </c>
      <c r="N52" s="59" t="n">
        <f aca="false">N50*N51</f>
        <v>1217820</v>
      </c>
      <c r="O52" s="59" t="n">
        <f aca="false">O50*O51</f>
        <v>1217100</v>
      </c>
      <c r="P52" s="59" t="n">
        <f aca="false">P50*P51</f>
        <v>1217100</v>
      </c>
      <c r="Q52" s="59" t="n">
        <f aca="false">Q50*Q51</f>
        <v>1217100</v>
      </c>
      <c r="R52" s="59" t="n">
        <f aca="false">R50*R51</f>
        <v>1217100</v>
      </c>
      <c r="S52" s="59" t="n">
        <f aca="false">S50*S51</f>
        <v>1217100</v>
      </c>
      <c r="T52" s="59" t="n">
        <f aca="false">T50*T51</f>
        <v>1217100</v>
      </c>
      <c r="U52" s="59" t="n">
        <f aca="false">U50*U51</f>
        <v>1217100</v>
      </c>
      <c r="V52" s="59" t="n">
        <f aca="false">V50*V51</f>
        <v>1217100</v>
      </c>
      <c r="W52" s="59" t="n">
        <f aca="false">W50*W51</f>
        <v>1217100</v>
      </c>
      <c r="X52" s="59" t="n">
        <f aca="false">X50*X51</f>
        <v>1217100</v>
      </c>
      <c r="Y52" s="59" t="n">
        <f aca="false">Y50*Y51</f>
        <v>1217100</v>
      </c>
      <c r="Z52" s="59" t="n">
        <f aca="false">Z50*Z51</f>
        <v>1217100</v>
      </c>
      <c r="AA52" s="59" t="n">
        <f aca="false">AA50*AA51</f>
        <v>1217100</v>
      </c>
      <c r="AB52" s="59" t="n">
        <f aca="false">AB50*AB51</f>
        <v>1217100</v>
      </c>
      <c r="AC52" s="59" t="n">
        <f aca="false">AC50*AC51</f>
        <v>1217100</v>
      </c>
      <c r="AD52" s="59" t="n">
        <f aca="false">AD50*AD51</f>
        <v>1217100</v>
      </c>
      <c r="AE52" s="59" t="n">
        <f aca="false">AE50*AE51</f>
        <v>1217100</v>
      </c>
      <c r="AF52" s="59" t="n">
        <f aca="false">AF50*AF51</f>
        <v>1229271</v>
      </c>
      <c r="AG52" s="59" t="n">
        <f aca="false">AG50*AG51</f>
        <v>1229271</v>
      </c>
      <c r="AH52" s="59" t="n">
        <f aca="false">AH50*AH51</f>
        <v>1229271</v>
      </c>
      <c r="AI52" s="59" t="n">
        <f aca="false">AI50*AI51</f>
        <v>1217100</v>
      </c>
      <c r="AJ52" s="59" t="n">
        <f aca="false">AJ50*AJ51</f>
        <v>1217100</v>
      </c>
      <c r="AK52" s="59" t="n">
        <f aca="false">AK50*AK51</f>
        <v>1217100</v>
      </c>
      <c r="AL52" s="59" t="n">
        <f aca="false">AL50*AL51</f>
        <v>1217100</v>
      </c>
      <c r="AM52" s="59" t="n">
        <f aca="false">AM50*AM51</f>
        <v>1217100</v>
      </c>
      <c r="AN52" s="59" t="n">
        <f aca="false">AN50*AN51</f>
        <v>1217100</v>
      </c>
      <c r="AO52" s="59" t="n">
        <f aca="false">AO50*AO51</f>
        <v>1217100</v>
      </c>
      <c r="AP52" s="59" t="n">
        <f aca="false">AP50*AP51</f>
        <v>1217100</v>
      </c>
      <c r="AQ52" s="59" t="n">
        <f aca="false">AQ50*AQ51</f>
        <v>1217100</v>
      </c>
      <c r="AR52" s="59" t="n">
        <f aca="false">AR50*AR51</f>
        <v>1217100</v>
      </c>
      <c r="AS52" s="59" t="n">
        <f aca="false">AS50*AS51</f>
        <v>1217100</v>
      </c>
      <c r="AT52" s="59" t="n">
        <f aca="false">AT50*AT51</f>
        <v>1217100</v>
      </c>
      <c r="AU52" s="59" t="n">
        <f aca="false">AU50*AU51</f>
        <v>1217100</v>
      </c>
      <c r="AV52" s="59" t="n">
        <f aca="false">AV50*AV51</f>
        <v>1217100</v>
      </c>
      <c r="AW52" s="59" t="n">
        <f aca="false">AW50*AW51</f>
        <v>1217100</v>
      </c>
      <c r="AX52" s="59" t="n">
        <f aca="false">AX50*AX51</f>
        <v>1217100</v>
      </c>
      <c r="AY52" s="59" t="n">
        <f aca="false">AY50*AY51</f>
        <v>1217100</v>
      </c>
      <c r="AZ52" s="59" t="n">
        <f aca="false">AZ50*AZ51</f>
        <v>5076960</v>
      </c>
      <c r="BA52" s="59" t="n">
        <f aca="false">BA50*BA51</f>
        <v>5078841.6</v>
      </c>
      <c r="BB52" s="59" t="n">
        <f aca="false">BB50*BB51</f>
        <v>5078841.6</v>
      </c>
      <c r="BC52" s="59" t="n">
        <f aca="false">BC50*BC51</f>
        <v>5078841.6</v>
      </c>
      <c r="BD52" s="59" t="n">
        <f aca="false">BD50*BD51</f>
        <v>5078472</v>
      </c>
      <c r="BE52" s="59" t="n">
        <f aca="false">BE50*BE51</f>
        <v>5076960</v>
      </c>
      <c r="BF52" s="59" t="n">
        <f aca="false">BF50*BF51</f>
        <v>5076960</v>
      </c>
      <c r="BG52" s="59" t="n">
        <f aca="false">BG50*BG51</f>
        <v>5076960</v>
      </c>
      <c r="BH52" s="59" t="n">
        <f aca="false">BH50*BH51</f>
        <v>5076960</v>
      </c>
      <c r="BI52" s="59" t="n">
        <f aca="false">BI50*BI51</f>
        <v>5076960</v>
      </c>
      <c r="BJ52" s="59" t="n">
        <f aca="false">BJ50*BJ51</f>
        <v>5076960</v>
      </c>
      <c r="BK52" s="59" t="n">
        <f aca="false">BK50*BK51</f>
        <v>5076960</v>
      </c>
      <c r="BL52" s="59" t="n">
        <f aca="false">BL50*BL51</f>
        <v>5076960</v>
      </c>
      <c r="BM52" s="59" t="n">
        <f aca="false">BM50*BM51</f>
        <v>5076960</v>
      </c>
      <c r="BN52" s="59" t="n">
        <f aca="false">BN50*BN51</f>
        <v>5076960</v>
      </c>
      <c r="BO52" s="59" t="n">
        <f aca="false">BO50*BO51</f>
        <v>5076960</v>
      </c>
      <c r="BP52" s="59" t="n">
        <f aca="false">BP50*BP51</f>
        <v>5076960</v>
      </c>
      <c r="BQ52" s="59" t="n">
        <f aca="false">BQ50*BQ51</f>
        <v>5076960</v>
      </c>
      <c r="BR52" s="59" t="n">
        <f aca="false">BR50*BR51</f>
        <v>5076960</v>
      </c>
      <c r="BS52" s="59" t="n">
        <f aca="false">BS50*BS51</f>
        <v>5076960</v>
      </c>
      <c r="BT52" s="59" t="n">
        <f aca="false">BT50*BT51</f>
        <v>5076960</v>
      </c>
      <c r="BU52" s="59" t="n">
        <f aca="false">BU50*BU51</f>
        <v>5076960</v>
      </c>
      <c r="BV52" s="59" t="n">
        <f aca="false">BV50*BV51</f>
        <v>5127729.6</v>
      </c>
      <c r="BW52" s="59" t="n">
        <f aca="false">BW50*BW51</f>
        <v>5127729.6</v>
      </c>
      <c r="BX52" s="59" t="n">
        <f aca="false">BX50*BX51</f>
        <v>5127729.6</v>
      </c>
      <c r="BY52" s="59" t="n">
        <f aca="false">BY50*BY51</f>
        <v>5076960</v>
      </c>
      <c r="BZ52" s="59" t="n">
        <f aca="false">BZ50*BZ51</f>
        <v>5076960</v>
      </c>
      <c r="CA52" s="59" t="n">
        <f aca="false">CA50*CA51</f>
        <v>5076960</v>
      </c>
      <c r="CB52" s="59" t="n">
        <f aca="false">CB50*CB51</f>
        <v>5076960</v>
      </c>
      <c r="CC52" s="59" t="n">
        <f aca="false">CC50*CC51</f>
        <v>5076960</v>
      </c>
      <c r="CD52" s="59" t="n">
        <f aca="false">CD50*CD51</f>
        <v>5076960</v>
      </c>
      <c r="CE52" s="59" t="n">
        <f aca="false">CE50*CE51</f>
        <v>5076960</v>
      </c>
      <c r="CF52" s="59" t="n">
        <f aca="false">CF50*CF51</f>
        <v>5076960</v>
      </c>
      <c r="CG52" s="59" t="n">
        <f aca="false">CG50*CG51</f>
        <v>5076960</v>
      </c>
      <c r="CH52" s="59" t="n">
        <f aca="false">CH50*CH51</f>
        <v>5076960</v>
      </c>
      <c r="CI52" s="59" t="n">
        <f aca="false">CI50*CI51</f>
        <v>5076960</v>
      </c>
      <c r="CJ52" s="59" t="n">
        <f aca="false">CJ50*CJ51</f>
        <v>5076960</v>
      </c>
      <c r="CK52" s="59" t="n">
        <f aca="false">CK50*CK51</f>
        <v>5076960</v>
      </c>
      <c r="CL52" s="59" t="n">
        <f aca="false">CL50*CL51</f>
        <v>5076960</v>
      </c>
      <c r="CM52" s="59" t="n">
        <f aca="false">CM50*CM51</f>
        <v>5076960</v>
      </c>
      <c r="CN52" s="59" t="n">
        <f aca="false">CN50*CN51</f>
        <v>5076960</v>
      </c>
      <c r="CO52" s="59" t="n">
        <f aca="false">CO50*CO51</f>
        <v>5076960</v>
      </c>
      <c r="CP52" s="59" t="n">
        <f aca="false">CP50*CP51</f>
        <v>10050000</v>
      </c>
      <c r="CQ52" s="59" t="n">
        <f aca="false">CQ50*CQ51</f>
        <v>10054500</v>
      </c>
      <c r="CR52" s="59" t="n">
        <f aca="false">CR50*CR51</f>
        <v>10054500</v>
      </c>
      <c r="CS52" s="59" t="n">
        <f aca="false">CS50*CS51</f>
        <v>10054500</v>
      </c>
      <c r="CT52" s="59" t="n">
        <f aca="false">CT50*CT51</f>
        <v>10054000</v>
      </c>
      <c r="CU52" s="59" t="n">
        <f aca="false">CU50*CU51</f>
        <v>10050000</v>
      </c>
      <c r="CV52" s="59" t="n">
        <f aca="false">CV50*CV51</f>
        <v>10050000</v>
      </c>
      <c r="CW52" s="59" t="n">
        <f aca="false">CW50*CW51</f>
        <v>10050000</v>
      </c>
      <c r="CX52" s="59" t="n">
        <f aca="false">CX50*CX51</f>
        <v>10050000</v>
      </c>
      <c r="CY52" s="59" t="n">
        <f aca="false">CY50*CY51</f>
        <v>10050000</v>
      </c>
      <c r="CZ52" s="59" t="n">
        <f aca="false">CZ50*CZ51</f>
        <v>10050000</v>
      </c>
      <c r="DA52" s="59" t="n">
        <f aca="false">DA50*DA51</f>
        <v>10050000</v>
      </c>
      <c r="DB52" s="59" t="n">
        <f aca="false">DB50*DB51</f>
        <v>10050000</v>
      </c>
      <c r="DC52" s="59" t="n">
        <f aca="false">DC50*DC51</f>
        <v>10050000</v>
      </c>
      <c r="DD52" s="59" t="n">
        <f aca="false">DD50*DD51</f>
        <v>10050000</v>
      </c>
      <c r="DE52" s="59" t="n">
        <f aca="false">DE50*DE51</f>
        <v>10050000</v>
      </c>
      <c r="DF52" s="59" t="n">
        <f aca="false">DF50*DF51</f>
        <v>10050000</v>
      </c>
      <c r="DG52" s="59" t="n">
        <f aca="false">DG50*DG51</f>
        <v>10050000</v>
      </c>
      <c r="DH52" s="59" t="n">
        <f aca="false">DH50*DH51</f>
        <v>10050000</v>
      </c>
      <c r="DI52" s="59" t="n">
        <f aca="false">DI50*DI51</f>
        <v>10050000</v>
      </c>
      <c r="DJ52" s="59" t="n">
        <f aca="false">DJ50*DJ51</f>
        <v>10050000</v>
      </c>
      <c r="DK52" s="59" t="n">
        <f aca="false">DK50*DK51</f>
        <v>10050000</v>
      </c>
      <c r="DL52" s="59" t="n">
        <f aca="false">DL50*DL51</f>
        <v>10150500</v>
      </c>
      <c r="DM52" s="59" t="n">
        <f aca="false">DM50*DM51</f>
        <v>10150500</v>
      </c>
      <c r="DN52" s="59" t="n">
        <f aca="false">DN50*DN51</f>
        <v>10150500</v>
      </c>
      <c r="DO52" s="59" t="n">
        <f aca="false">DO50*DO51</f>
        <v>10050000</v>
      </c>
      <c r="DP52" s="59" t="n">
        <f aca="false">DP50*DP51</f>
        <v>10050000</v>
      </c>
      <c r="DQ52" s="59" t="n">
        <f aca="false">DQ50*DQ51</f>
        <v>10050000</v>
      </c>
      <c r="DR52" s="59" t="n">
        <f aca="false">DR50*DR51</f>
        <v>10050000</v>
      </c>
      <c r="DS52" s="59" t="n">
        <f aca="false">DS50*DS51</f>
        <v>10050000</v>
      </c>
      <c r="DT52" s="59" t="n">
        <f aca="false">DT50*DT51</f>
        <v>10050000</v>
      </c>
      <c r="DU52" s="59" t="n">
        <f aca="false">DU50*DU51</f>
        <v>10050000</v>
      </c>
      <c r="DV52" s="59" t="n">
        <f aca="false">DV50*DV51</f>
        <v>10050000</v>
      </c>
      <c r="DW52" s="59" t="n">
        <f aca="false">DW50*DW51</f>
        <v>10050000</v>
      </c>
      <c r="DX52" s="59" t="n">
        <f aca="false">DX50*DX51</f>
        <v>10050000</v>
      </c>
      <c r="DY52" s="59" t="n">
        <f aca="false">DY50*DY51</f>
        <v>10050000</v>
      </c>
      <c r="DZ52" s="59" t="n">
        <f aca="false">DZ50*DZ51</f>
        <v>10050000</v>
      </c>
      <c r="EA52" s="59" t="n">
        <f aca="false">EA50*EA51</f>
        <v>10050000</v>
      </c>
      <c r="EB52" s="59" t="n">
        <f aca="false">EB50*EB51</f>
        <v>10050000</v>
      </c>
      <c r="EC52" s="59" t="n">
        <f aca="false">EC50*EC51</f>
        <v>10050000</v>
      </c>
      <c r="ED52" s="59" t="n">
        <f aca="false">ED50*ED51</f>
        <v>10050000</v>
      </c>
      <c r="EE52" s="59" t="n">
        <f aca="false">EE50*EE51</f>
        <v>10050000</v>
      </c>
      <c r="EF52" s="59" t="n">
        <f aca="false">EF50*EF51</f>
        <v>1485000</v>
      </c>
      <c r="EG52" s="59" t="n">
        <f aca="false">EG50*EG51</f>
        <v>1499850</v>
      </c>
      <c r="EH52" s="59" t="n">
        <f aca="false">EH50*EH51</f>
        <v>1499850</v>
      </c>
      <c r="EI52" s="59" t="n">
        <f aca="false">EI50*EI51</f>
        <v>1499850</v>
      </c>
      <c r="EJ52" s="59" t="n">
        <f aca="false">EJ50*EJ51</f>
        <v>1500000</v>
      </c>
      <c r="EK52" s="59" t="n">
        <f aca="false">EK50*EK51</f>
        <v>1485000</v>
      </c>
      <c r="EL52" s="59" t="n">
        <f aca="false">EL50*EL51</f>
        <v>1485000</v>
      </c>
      <c r="EM52" s="59" t="n">
        <f aca="false">EM50*EM51</f>
        <v>1485000</v>
      </c>
      <c r="EN52" s="59" t="n">
        <f aca="false">EN50*EN51</f>
        <v>1485000</v>
      </c>
      <c r="EO52" s="59" t="n">
        <f aca="false">EO50*EO51</f>
        <v>1485000</v>
      </c>
      <c r="EP52" s="59" t="n">
        <f aca="false">EP50*EP51</f>
        <v>1485000</v>
      </c>
      <c r="EQ52" s="59" t="n">
        <f aca="false">EQ50*EQ51</f>
        <v>1485000</v>
      </c>
      <c r="ER52" s="59" t="n">
        <f aca="false">ER50*ER51</f>
        <v>1485000</v>
      </c>
      <c r="ES52" s="59" t="n">
        <f aca="false">ES50*ES51</f>
        <v>1485000</v>
      </c>
      <c r="ET52" s="59" t="n">
        <f aca="false">ET50*ET51</f>
        <v>1485000</v>
      </c>
      <c r="EU52" s="59" t="n">
        <f aca="false">EU50*EU51</f>
        <v>1485000</v>
      </c>
      <c r="EV52" s="59" t="n">
        <f aca="false">EV50*EV51</f>
        <v>1485000</v>
      </c>
      <c r="EW52" s="59" t="n">
        <f aca="false">EW50*EW51</f>
        <v>1485000</v>
      </c>
      <c r="EX52" s="59" t="n">
        <f aca="false">EX50*EX51</f>
        <v>1485000</v>
      </c>
      <c r="EY52" s="59" t="n">
        <f aca="false">EY50*EY51</f>
        <v>1485000</v>
      </c>
      <c r="EZ52" s="59" t="n">
        <f aca="false">EZ50*EZ51</f>
        <v>1485000</v>
      </c>
      <c r="FA52" s="59" t="n">
        <f aca="false">FA50*FA51</f>
        <v>1485000</v>
      </c>
      <c r="FB52" s="59" t="n">
        <f aca="false">FB50*FB51</f>
        <v>1499850</v>
      </c>
      <c r="FC52" s="59" t="n">
        <f aca="false">FC50*FC51</f>
        <v>1499850</v>
      </c>
      <c r="FD52" s="59" t="n">
        <f aca="false">FD50*FD51</f>
        <v>1499850</v>
      </c>
      <c r="FE52" s="59" t="n">
        <f aca="false">FE50*FE51</f>
        <v>1485000</v>
      </c>
      <c r="FF52" s="59" t="n">
        <f aca="false">FF50*FF51</f>
        <v>1485000</v>
      </c>
      <c r="FG52" s="59" t="n">
        <f aca="false">FG50*FG51</f>
        <v>1485000</v>
      </c>
      <c r="FH52" s="59" t="n">
        <f aca="false">FH50*FH51</f>
        <v>1485000</v>
      </c>
      <c r="FI52" s="59" t="n">
        <f aca="false">FI50*FI51</f>
        <v>1485000</v>
      </c>
      <c r="FJ52" s="59" t="n">
        <f aca="false">FJ50*FJ51</f>
        <v>1485000</v>
      </c>
      <c r="FK52" s="59" t="n">
        <f aca="false">FK50*FK51</f>
        <v>1485000</v>
      </c>
      <c r="FL52" s="59" t="n">
        <f aca="false">FL50*FL51</f>
        <v>1485000</v>
      </c>
      <c r="FM52" s="59" t="n">
        <f aca="false">FM50*FM51</f>
        <v>1485000</v>
      </c>
      <c r="FN52" s="59" t="n">
        <f aca="false">FN50*FN51</f>
        <v>1485000</v>
      </c>
      <c r="FO52" s="59" t="n">
        <f aca="false">FO50*FO51</f>
        <v>1485000</v>
      </c>
      <c r="FP52" s="59" t="n">
        <f aca="false">FP50*FP51</f>
        <v>1485000</v>
      </c>
      <c r="FQ52" s="59" t="n">
        <f aca="false">FQ50*FQ51</f>
        <v>1485000</v>
      </c>
      <c r="FR52" s="59" t="n">
        <f aca="false">FR50*FR51</f>
        <v>1485000</v>
      </c>
      <c r="FS52" s="59" t="n">
        <f aca="false">FS50*FS51</f>
        <v>1485000</v>
      </c>
      <c r="FT52" s="59" t="n">
        <f aca="false">FT50*FT51</f>
        <v>1485000</v>
      </c>
      <c r="FU52" s="59" t="n">
        <f aca="false">FU50*FU51</f>
        <v>1485000</v>
      </c>
      <c r="FV52" s="59" t="n">
        <f aca="false">FV50*FV51</f>
        <v>6272000</v>
      </c>
      <c r="FW52" s="59" t="n">
        <f aca="false">FW50*FW51</f>
        <v>6334720</v>
      </c>
      <c r="FX52" s="59" t="n">
        <f aca="false">FX50*FX51</f>
        <v>6334720</v>
      </c>
      <c r="FY52" s="59" t="n">
        <f aca="false">FY50*FY51</f>
        <v>6334720</v>
      </c>
      <c r="FZ52" s="59" t="n">
        <f aca="false">FZ50*FZ51</f>
        <v>6335353.53535354</v>
      </c>
      <c r="GA52" s="59" t="n">
        <f aca="false">GA50*GA51</f>
        <v>6272000</v>
      </c>
      <c r="GB52" s="59" t="n">
        <f aca="false">GB50*GB51</f>
        <v>6272000</v>
      </c>
      <c r="GC52" s="59" t="n">
        <f aca="false">GC50*GC51</f>
        <v>6272000</v>
      </c>
      <c r="GD52" s="59" t="n">
        <f aca="false">GD50*GD51</f>
        <v>6272000</v>
      </c>
      <c r="GE52" s="59" t="n">
        <f aca="false">GE50*GE51</f>
        <v>6272000</v>
      </c>
      <c r="GF52" s="59" t="n">
        <f aca="false">GF50*GF51</f>
        <v>6272000</v>
      </c>
      <c r="GG52" s="59" t="n">
        <f aca="false">GG50*GG51</f>
        <v>6272000</v>
      </c>
      <c r="GH52" s="59" t="n">
        <f aca="false">GH50*GH51</f>
        <v>6272000</v>
      </c>
      <c r="GI52" s="59" t="n">
        <f aca="false">GI50*GI51</f>
        <v>6272000</v>
      </c>
      <c r="GJ52" s="59" t="n">
        <f aca="false">GJ50*GJ51</f>
        <v>6272000</v>
      </c>
      <c r="GK52" s="59" t="n">
        <f aca="false">GK50*GK51</f>
        <v>6272000</v>
      </c>
      <c r="GL52" s="59" t="n">
        <f aca="false">GL50*GL51</f>
        <v>6272000</v>
      </c>
      <c r="GM52" s="59" t="n">
        <f aca="false">GM50*GM51</f>
        <v>6272000</v>
      </c>
      <c r="GN52" s="59" t="n">
        <f aca="false">GN50*GN51</f>
        <v>6272000</v>
      </c>
      <c r="GO52" s="59" t="n">
        <f aca="false">GO50*GO51</f>
        <v>6272000</v>
      </c>
      <c r="GP52" s="59" t="n">
        <f aca="false">GP50*GP51</f>
        <v>6272000</v>
      </c>
      <c r="GQ52" s="59" t="n">
        <f aca="false">GQ50*GQ51</f>
        <v>6272000</v>
      </c>
      <c r="GR52" s="59" t="n">
        <f aca="false">GR50*GR51</f>
        <v>6334720</v>
      </c>
      <c r="GS52" s="59" t="n">
        <f aca="false">GS50*GS51</f>
        <v>6334720</v>
      </c>
      <c r="GT52" s="59" t="n">
        <f aca="false">GT50*GT51</f>
        <v>6334720</v>
      </c>
      <c r="GU52" s="59" t="n">
        <f aca="false">GU50*GU51</f>
        <v>6272000</v>
      </c>
      <c r="GV52" s="59" t="n">
        <f aca="false">GV50*GV51</f>
        <v>6272000</v>
      </c>
      <c r="GW52" s="59" t="n">
        <f aca="false">GW50*GW51</f>
        <v>6272000</v>
      </c>
      <c r="GX52" s="59" t="n">
        <f aca="false">GX50*GX51</f>
        <v>6272000</v>
      </c>
      <c r="GY52" s="59" t="n">
        <f aca="false">GY50*GY51</f>
        <v>6272000</v>
      </c>
      <c r="GZ52" s="59" t="n">
        <f aca="false">GZ50*GZ51</f>
        <v>6272000</v>
      </c>
      <c r="HA52" s="59" t="n">
        <f aca="false">HA50*HA51</f>
        <v>6272000</v>
      </c>
      <c r="HB52" s="59" t="n">
        <f aca="false">HB50*HB51</f>
        <v>6272000</v>
      </c>
      <c r="HC52" s="59" t="n">
        <f aca="false">HC50*HC51</f>
        <v>6272000</v>
      </c>
      <c r="HD52" s="59" t="n">
        <f aca="false">HD50*HD51</f>
        <v>6272000</v>
      </c>
      <c r="HE52" s="59" t="n">
        <f aca="false">HE50*HE51</f>
        <v>6272000</v>
      </c>
      <c r="HF52" s="59" t="n">
        <f aca="false">HF50*HF51</f>
        <v>6272000</v>
      </c>
      <c r="HG52" s="59" t="n">
        <f aca="false">HG50*HG51</f>
        <v>6272000</v>
      </c>
      <c r="HH52" s="59" t="n">
        <f aca="false">HH50*HH51</f>
        <v>6272000</v>
      </c>
      <c r="HI52" s="59" t="n">
        <f aca="false">HI50*HI51</f>
        <v>6272000</v>
      </c>
      <c r="HJ52" s="59" t="n">
        <f aca="false">HJ50*HJ51</f>
        <v>6272000</v>
      </c>
      <c r="HK52" s="59" t="n">
        <f aca="false">HK50*HK51</f>
        <v>6272000</v>
      </c>
      <c r="HL52" s="59" t="n">
        <f aca="false">HL50*HL51</f>
        <v>11250000</v>
      </c>
      <c r="HM52" s="59" t="n">
        <f aca="false">HM50*HM51</f>
        <v>11362500</v>
      </c>
      <c r="HN52" s="59" t="n">
        <f aca="false">HN50*HN51</f>
        <v>11362500</v>
      </c>
      <c r="HO52" s="59" t="n">
        <f aca="false">HO50*HO51</f>
        <v>11362500</v>
      </c>
      <c r="HP52" s="59" t="n">
        <f aca="false">HP50*HP51</f>
        <v>11363636.3636364</v>
      </c>
      <c r="HQ52" s="59" t="n">
        <f aca="false">HQ50*HQ51</f>
        <v>11250000</v>
      </c>
      <c r="HR52" s="59" t="n">
        <f aca="false">HR50*HR51</f>
        <v>11250000</v>
      </c>
      <c r="HS52" s="59" t="n">
        <f aca="false">HS50*HS51</f>
        <v>11250000</v>
      </c>
      <c r="HT52" s="59" t="n">
        <f aca="false">HT50*HT51</f>
        <v>11250000</v>
      </c>
      <c r="HU52" s="59" t="n">
        <f aca="false">HU50*HU51</f>
        <v>11250000</v>
      </c>
      <c r="HV52" s="59" t="n">
        <f aca="false">HV50*HV51</f>
        <v>11250000</v>
      </c>
      <c r="HW52" s="59" t="n">
        <f aca="false">HW50*HW51</f>
        <v>11250000</v>
      </c>
      <c r="HX52" s="59" t="n">
        <f aca="false">HX50*HX51</f>
        <v>11250000</v>
      </c>
      <c r="HY52" s="59" t="n">
        <f aca="false">HY50*HY51</f>
        <v>11250000</v>
      </c>
      <c r="HZ52" s="59" t="n">
        <f aca="false">HZ50*HZ51</f>
        <v>11250000</v>
      </c>
      <c r="IA52" s="59" t="n">
        <f aca="false">IA50*IA51</f>
        <v>11250000</v>
      </c>
      <c r="IB52" s="59" t="n">
        <f aca="false">IB50*IB51</f>
        <v>11250000</v>
      </c>
      <c r="IC52" s="59" t="n">
        <f aca="false">IC50*IC51</f>
        <v>11250000</v>
      </c>
      <c r="ID52" s="59" t="n">
        <f aca="false">ID50*ID51</f>
        <v>11250000</v>
      </c>
      <c r="IE52" s="59" t="n">
        <f aca="false">IE50*IE51</f>
        <v>11250000</v>
      </c>
      <c r="IF52" s="59" t="n">
        <f aca="false">IF50*IF51</f>
        <v>11250000</v>
      </c>
      <c r="IG52" s="59" t="n">
        <f aca="false">IG50*IG51</f>
        <v>11250000</v>
      </c>
      <c r="IH52" s="59" t="n">
        <f aca="false">IH50*IH51</f>
        <v>11362500</v>
      </c>
      <c r="II52" s="59" t="n">
        <f aca="false">II50*II51</f>
        <v>11362500</v>
      </c>
      <c r="IJ52" s="59" t="n">
        <f aca="false">IJ50*IJ51</f>
        <v>11362500</v>
      </c>
      <c r="IK52" s="59" t="n">
        <f aca="false">IK50*IK51</f>
        <v>11250000</v>
      </c>
      <c r="IL52" s="59" t="n">
        <f aca="false">IL50*IL51</f>
        <v>11250000</v>
      </c>
      <c r="IM52" s="59" t="n">
        <f aca="false">IM50*IM51</f>
        <v>11250000</v>
      </c>
      <c r="IN52" s="59" t="n">
        <f aca="false">IN50*IN51</f>
        <v>11250000</v>
      </c>
      <c r="IO52" s="59" t="n">
        <f aca="false">IO50*IO51</f>
        <v>11250000</v>
      </c>
      <c r="IP52" s="59" t="n">
        <f aca="false">IP50*IP51</f>
        <v>11250000</v>
      </c>
      <c r="IQ52" s="59" t="n">
        <f aca="false">IQ50*IQ51</f>
        <v>11250000</v>
      </c>
      <c r="IR52" s="59" t="n">
        <f aca="false">IR50*IR51</f>
        <v>11250000</v>
      </c>
      <c r="IS52" s="59" t="n">
        <f aca="false">IS50*IS51</f>
        <v>11250000</v>
      </c>
      <c r="IT52" s="59" t="n">
        <f aca="false">IT50*IT51</f>
        <v>11250000</v>
      </c>
      <c r="IU52" s="59" t="n">
        <f aca="false">IU50*IU51</f>
        <v>11250000</v>
      </c>
      <c r="IV52" s="59" t="n">
        <f aca="false">IV50*IV51</f>
        <v>11250000</v>
      </c>
      <c r="IW52" s="59" t="n">
        <f aca="false">IW50*IW51</f>
        <v>11250000</v>
      </c>
      <c r="IX52" s="59" t="n">
        <f aca="false">IX50*IX51</f>
        <v>11250000</v>
      </c>
      <c r="IY52" s="59" t="n">
        <f aca="false">IY50*IY51</f>
        <v>11250000</v>
      </c>
      <c r="IZ52" s="59" t="n">
        <f aca="false">IZ50*IZ51</f>
        <v>11250000</v>
      </c>
      <c r="JA52" s="59" t="n">
        <f aca="false">JA50*JA51</f>
        <v>11250000</v>
      </c>
    </row>
    <row r="53" customFormat="false" ht="15" hidden="false" customHeight="false" outlineLevel="0" collapsed="false">
      <c r="A53" s="4" t="s">
        <v>729</v>
      </c>
      <c r="B53" s="5"/>
      <c r="C53" s="5"/>
      <c r="D53" s="5"/>
      <c r="E53" s="5"/>
      <c r="F53" s="5"/>
      <c r="G53" s="5"/>
      <c r="H53" s="5"/>
    </row>
    <row r="54" customFormat="false" ht="15" hidden="false" customHeight="false" outlineLevel="0" collapsed="false">
      <c r="A54" s="13" t="s">
        <v>247</v>
      </c>
      <c r="B54" s="13" t="s">
        <v>248</v>
      </c>
      <c r="C54" s="13" t="s">
        <v>194</v>
      </c>
      <c r="D54" s="9" t="s">
        <v>36</v>
      </c>
      <c r="E54" s="32" t="n">
        <f aca="false">INDEX(Вводные!$D$13:$F$64,MATCH($A54,Вводные!$A$13:$A$64,0),MATCH(E$3,Вводные!$D$11:$F$11,0))*(1+IF(E$4=$A54,Вводные!$D$5*INDEX(Вводные!$G$13:$G$64,MATCH($A54,Вводные!$A$13:$A$64,0)),0))</f>
        <v>0.02</v>
      </c>
      <c r="F54" s="32" t="n">
        <f aca="false">INDEX(Вводные!$D$13:$F$64,MATCH($A54,Вводные!$A$13:$A$64,0),MATCH(F$3,Вводные!$D$11:$F$11,0))*(1+IF(F$4=$A54,Вводные!$D$5*INDEX(Вводные!$G$13:$G$64,MATCH($A54,Вводные!$A$13:$A$64,0)),0))</f>
        <v>0.2</v>
      </c>
      <c r="G54" s="32" t="n">
        <f aca="false">INDEX(Вводные!$D$13:$F$64,MATCH($A54,Вводные!$A$13:$A$64,0),MATCH(G$3,Вводные!$D$11:$F$11,0))*(1+IF(G$4=$A54,Вводные!$D$5*INDEX(Вводные!$G$13:$G$64,MATCH($A54,Вводные!$A$13:$A$64,0)),0))</f>
        <v>0.05</v>
      </c>
      <c r="H54" s="60"/>
      <c r="J54" s="32" t="n">
        <f aca="false">INDEX(Вводные!$D$13:$F$64,MATCH($A54,Вводные!$A$13:$A$64,0),MATCH(J$3,Вводные!$D$11:$F$11,0))*(1+IF(J$4=$A54,Вводные!$D$5*INDEX(Вводные!$G$13:$G$64,MATCH($A54,Вводные!$A$13:$A$64,0)),0))</f>
        <v>0.02</v>
      </c>
      <c r="K54" s="32" t="n">
        <f aca="false">INDEX(Вводные!$D$13:$F$64,MATCH($A54,Вводные!$A$13:$A$64,0),MATCH(K$3,Вводные!$D$11:$F$11,0))*(1+IF(K$4=$A54,Вводные!$D$5*INDEX(Вводные!$G$13:$G$64,MATCH($A54,Вводные!$A$13:$A$64,0)),0))</f>
        <v>0.02</v>
      </c>
      <c r="L54" s="32" t="n">
        <f aca="false">INDEX(Вводные!$D$13:$F$64,MATCH($A54,Вводные!$A$13:$A$64,0),MATCH(L$3,Вводные!$D$11:$F$11,0))*(1+IF(L$4=$A54,Вводные!$D$5*INDEX(Вводные!$G$13:$G$64,MATCH($A54,Вводные!$A$13:$A$64,0)),0))</f>
        <v>0.02</v>
      </c>
      <c r="M54" s="32" t="n">
        <f aca="false">INDEX(Вводные!$D$13:$F$64,MATCH($A54,Вводные!$A$13:$A$64,0),MATCH(M$3,Вводные!$D$11:$F$11,0))*(1+IF(M$4=$A54,Вводные!$D$5*INDEX(Вводные!$G$13:$G$64,MATCH($A54,Вводные!$A$13:$A$64,0)),0))</f>
        <v>0.02</v>
      </c>
      <c r="N54" s="32" t="n">
        <f aca="false">INDEX(Вводные!$D$13:$F$64,MATCH($A54,Вводные!$A$13:$A$64,0),MATCH(N$3,Вводные!$D$11:$F$11,0))*(1+IF(N$4=$A54,Вводные!$D$5*INDEX(Вводные!$G$13:$G$64,MATCH($A54,Вводные!$A$13:$A$64,0)),0))</f>
        <v>0.02</v>
      </c>
      <c r="O54" s="32" t="n">
        <f aca="false">INDEX(Вводные!$D$13:$F$64,MATCH($A54,Вводные!$A$13:$A$64,0),MATCH(O$3,Вводные!$D$11:$F$11,0))*(1+IF(O$4=$A54,Вводные!$D$5*INDEX(Вводные!$G$13:$G$64,MATCH($A54,Вводные!$A$13:$A$64,0)),0))</f>
        <v>0.02</v>
      </c>
      <c r="P54" s="32" t="n">
        <f aca="false">INDEX(Вводные!$D$13:$F$64,MATCH($A54,Вводные!$A$13:$A$64,0),MATCH(P$3,Вводные!$D$11:$F$11,0))*(1+IF(P$4=$A54,Вводные!$D$5*INDEX(Вводные!$G$13:$G$64,MATCH($A54,Вводные!$A$13:$A$64,0)),0))</f>
        <v>0.02</v>
      </c>
      <c r="Q54" s="32" t="n">
        <f aca="false">INDEX(Вводные!$D$13:$F$64,MATCH($A54,Вводные!$A$13:$A$64,0),MATCH(Q$3,Вводные!$D$11:$F$11,0))*(1+IF(Q$4=$A54,Вводные!$D$5*INDEX(Вводные!$G$13:$G$64,MATCH($A54,Вводные!$A$13:$A$64,0)),0))</f>
        <v>0.02</v>
      </c>
      <c r="R54" s="32" t="n">
        <f aca="false">INDEX(Вводные!$D$13:$F$64,MATCH($A54,Вводные!$A$13:$A$64,0),MATCH(R$3,Вводные!$D$11:$F$11,0))*(1+IF(R$4=$A54,Вводные!$D$5*INDEX(Вводные!$G$13:$G$64,MATCH($A54,Вводные!$A$13:$A$64,0)),0))</f>
        <v>0.02</v>
      </c>
      <c r="S54" s="32" t="n">
        <f aca="false">INDEX(Вводные!$D$13:$F$64,MATCH($A54,Вводные!$A$13:$A$64,0),MATCH(S$3,Вводные!$D$11:$F$11,0))*(1+IF(S$4=$A54,Вводные!$D$5*INDEX(Вводные!$G$13:$G$64,MATCH($A54,Вводные!$A$13:$A$64,0)),0))</f>
        <v>0.02</v>
      </c>
      <c r="T54" s="32" t="n">
        <f aca="false">INDEX(Вводные!$D$13:$F$64,MATCH($A54,Вводные!$A$13:$A$64,0),MATCH(T$3,Вводные!$D$11:$F$11,0))*(1+IF(T$4=$A54,Вводные!$D$5*INDEX(Вводные!$G$13:$G$64,MATCH($A54,Вводные!$A$13:$A$64,0)),0))</f>
        <v>0.02</v>
      </c>
      <c r="U54" s="32" t="n">
        <f aca="false">INDEX(Вводные!$D$13:$F$64,MATCH($A54,Вводные!$A$13:$A$64,0),MATCH(U$3,Вводные!$D$11:$F$11,0))*(1+IF(U$4=$A54,Вводные!$D$5*INDEX(Вводные!$G$13:$G$64,MATCH($A54,Вводные!$A$13:$A$64,0)),0))</f>
        <v>0.02</v>
      </c>
      <c r="V54" s="32" t="n">
        <f aca="false">INDEX(Вводные!$D$13:$F$64,MATCH($A54,Вводные!$A$13:$A$64,0),MATCH(V$3,Вводные!$D$11:$F$11,0))*(1+IF(V$4=$A54,Вводные!$D$5*INDEX(Вводные!$G$13:$G$64,MATCH($A54,Вводные!$A$13:$A$64,0)),0))</f>
        <v>0.02</v>
      </c>
      <c r="W54" s="32" t="n">
        <f aca="false">INDEX(Вводные!$D$13:$F$64,MATCH($A54,Вводные!$A$13:$A$64,0),MATCH(W$3,Вводные!$D$11:$F$11,0))*(1+IF(W$4=$A54,Вводные!$D$5*INDEX(Вводные!$G$13:$G$64,MATCH($A54,Вводные!$A$13:$A$64,0)),0))</f>
        <v>0.02</v>
      </c>
      <c r="X54" s="32" t="n">
        <f aca="false">INDEX(Вводные!$D$13:$F$64,MATCH($A54,Вводные!$A$13:$A$64,0),MATCH(X$3,Вводные!$D$11:$F$11,0))*(1+IF(X$4=$A54,Вводные!$D$5*INDEX(Вводные!$G$13:$G$64,MATCH($A54,Вводные!$A$13:$A$64,0)),0))</f>
        <v>0.02</v>
      </c>
      <c r="Y54" s="32" t="n">
        <f aca="false">INDEX(Вводные!$D$13:$F$64,MATCH($A54,Вводные!$A$13:$A$64,0),MATCH(Y$3,Вводные!$D$11:$F$11,0))*(1+IF(Y$4=$A54,Вводные!$D$5*INDEX(Вводные!$G$13:$G$64,MATCH($A54,Вводные!$A$13:$A$64,0)),0))</f>
        <v>0.02</v>
      </c>
      <c r="Z54" s="32" t="n">
        <f aca="false">INDEX(Вводные!$D$13:$F$64,MATCH($A54,Вводные!$A$13:$A$64,0),MATCH(Z$3,Вводные!$D$11:$F$11,0))*(1+IF(Z$4=$A54,Вводные!$D$5*INDEX(Вводные!$G$13:$G$64,MATCH($A54,Вводные!$A$13:$A$64,0)),0))</f>
        <v>0.02</v>
      </c>
      <c r="AA54" s="32" t="n">
        <f aca="false">INDEX(Вводные!$D$13:$F$64,MATCH($A54,Вводные!$A$13:$A$64,0),MATCH(AA$3,Вводные!$D$11:$F$11,0))*(1+IF(AA$4=$A54,Вводные!$D$5*INDEX(Вводные!$G$13:$G$64,MATCH($A54,Вводные!$A$13:$A$64,0)),0))</f>
        <v>0.02</v>
      </c>
      <c r="AB54" s="32" t="n">
        <f aca="false">INDEX(Вводные!$D$13:$F$64,MATCH($A54,Вводные!$A$13:$A$64,0),MATCH(AB$3,Вводные!$D$11:$F$11,0))*(1+IF(AB$4=$A54,Вводные!$D$5*INDEX(Вводные!$G$13:$G$64,MATCH($A54,Вводные!$A$13:$A$64,0)),0))</f>
        <v>0.02</v>
      </c>
      <c r="AC54" s="32" t="n">
        <f aca="false">INDEX(Вводные!$D$13:$F$64,MATCH($A54,Вводные!$A$13:$A$64,0),MATCH(AC$3,Вводные!$D$11:$F$11,0))*(1+IF(AC$4=$A54,Вводные!$D$5*INDEX(Вводные!$G$13:$G$64,MATCH($A54,Вводные!$A$13:$A$64,0)),0))</f>
        <v>0.02</v>
      </c>
      <c r="AD54" s="32" t="n">
        <f aca="false">INDEX(Вводные!$D$13:$F$64,MATCH($A54,Вводные!$A$13:$A$64,0),MATCH(AD$3,Вводные!$D$11:$F$11,0))*(1+IF(AD$4=$A54,Вводные!$D$5*INDEX(Вводные!$G$13:$G$64,MATCH($A54,Вводные!$A$13:$A$64,0)),0))</f>
        <v>0.02</v>
      </c>
      <c r="AE54" s="32" t="n">
        <f aca="false">INDEX(Вводные!$D$13:$F$64,MATCH($A54,Вводные!$A$13:$A$64,0),MATCH(AE$3,Вводные!$D$11:$F$11,0))*(1+IF(AE$4=$A54,Вводные!$D$5*INDEX(Вводные!$G$13:$G$64,MATCH($A54,Вводные!$A$13:$A$64,0)),0))</f>
        <v>0.02</v>
      </c>
      <c r="AF54" s="32" t="n">
        <f aca="false">INDEX(Вводные!$D$13:$F$64,MATCH($A54,Вводные!$A$13:$A$64,0),MATCH(AF$3,Вводные!$D$11:$F$11,0))*(1+IF(AF$4=$A54,Вводные!$D$5*INDEX(Вводные!$G$13:$G$64,MATCH($A54,Вводные!$A$13:$A$64,0)),0))</f>
        <v>0.02</v>
      </c>
      <c r="AG54" s="32" t="n">
        <f aca="false">INDEX(Вводные!$D$13:$F$64,MATCH($A54,Вводные!$A$13:$A$64,0),MATCH(AG$3,Вводные!$D$11:$F$11,0))*(1+IF(AG$4=$A54,Вводные!$D$5*INDEX(Вводные!$G$13:$G$64,MATCH($A54,Вводные!$A$13:$A$64,0)),0))</f>
        <v>0.02</v>
      </c>
      <c r="AH54" s="32" t="n">
        <f aca="false">INDEX(Вводные!$D$13:$F$64,MATCH($A54,Вводные!$A$13:$A$64,0),MATCH(AH$3,Вводные!$D$11:$F$11,0))*(1+IF(AH$4=$A54,Вводные!$D$5*INDEX(Вводные!$G$13:$G$64,MATCH($A54,Вводные!$A$13:$A$64,0)),0))</f>
        <v>0.02</v>
      </c>
      <c r="AI54" s="32" t="n">
        <f aca="false">INDEX(Вводные!$D$13:$F$64,MATCH($A54,Вводные!$A$13:$A$64,0),MATCH(AI$3,Вводные!$D$11:$F$11,0))*(1+IF(AI$4=$A54,Вводные!$D$5*INDEX(Вводные!$G$13:$G$64,MATCH($A54,Вводные!$A$13:$A$64,0)),0))</f>
        <v>0.0202</v>
      </c>
      <c r="AJ54" s="32" t="n">
        <f aca="false">INDEX(Вводные!$D$13:$F$64,MATCH($A54,Вводные!$A$13:$A$64,0),MATCH(AJ$3,Вводные!$D$11:$F$11,0))*(1+IF(AJ$4=$A54,Вводные!$D$5*INDEX(Вводные!$G$13:$G$64,MATCH($A54,Вводные!$A$13:$A$64,0)),0))</f>
        <v>0.02</v>
      </c>
      <c r="AK54" s="32" t="n">
        <f aca="false">INDEX(Вводные!$D$13:$F$64,MATCH($A54,Вводные!$A$13:$A$64,0),MATCH(AK$3,Вводные!$D$11:$F$11,0))*(1+IF(AK$4=$A54,Вводные!$D$5*INDEX(Вводные!$G$13:$G$64,MATCH($A54,Вводные!$A$13:$A$64,0)),0))</f>
        <v>0.02</v>
      </c>
      <c r="AL54" s="32" t="n">
        <f aca="false">INDEX(Вводные!$D$13:$F$64,MATCH($A54,Вводные!$A$13:$A$64,0),MATCH(AL$3,Вводные!$D$11:$F$11,0))*(1+IF(AL$4=$A54,Вводные!$D$5*INDEX(Вводные!$G$13:$G$64,MATCH($A54,Вводные!$A$13:$A$64,0)),0))</f>
        <v>0.02</v>
      </c>
      <c r="AM54" s="32" t="n">
        <f aca="false">INDEX(Вводные!$D$13:$F$64,MATCH($A54,Вводные!$A$13:$A$64,0),MATCH(AM$3,Вводные!$D$11:$F$11,0))*(1+IF(AM$4=$A54,Вводные!$D$5*INDEX(Вводные!$G$13:$G$64,MATCH($A54,Вводные!$A$13:$A$64,0)),0))</f>
        <v>0.02</v>
      </c>
      <c r="AN54" s="32" t="n">
        <f aca="false">INDEX(Вводные!$D$13:$F$64,MATCH($A54,Вводные!$A$13:$A$64,0),MATCH(AN$3,Вводные!$D$11:$F$11,0))*(1+IF(AN$4=$A54,Вводные!$D$5*INDEX(Вводные!$G$13:$G$64,MATCH($A54,Вводные!$A$13:$A$64,0)),0))</f>
        <v>0.02</v>
      </c>
      <c r="AO54" s="32" t="n">
        <f aca="false">INDEX(Вводные!$D$13:$F$64,MATCH($A54,Вводные!$A$13:$A$64,0),MATCH(AO$3,Вводные!$D$11:$F$11,0))*(1+IF(AO$4=$A54,Вводные!$D$5*INDEX(Вводные!$G$13:$G$64,MATCH($A54,Вводные!$A$13:$A$64,0)),0))</f>
        <v>0.02</v>
      </c>
      <c r="AP54" s="32" t="n">
        <f aca="false">INDEX(Вводные!$D$13:$F$64,MATCH($A54,Вводные!$A$13:$A$64,0),MATCH(AP$3,Вводные!$D$11:$F$11,0))*(1+IF(AP$4=$A54,Вводные!$D$5*INDEX(Вводные!$G$13:$G$64,MATCH($A54,Вводные!$A$13:$A$64,0)),0))</f>
        <v>0.02</v>
      </c>
      <c r="AQ54" s="32" t="n">
        <f aca="false">INDEX(Вводные!$D$13:$F$64,MATCH($A54,Вводные!$A$13:$A$64,0),MATCH(AQ$3,Вводные!$D$11:$F$11,0))*(1+IF(AQ$4=$A54,Вводные!$D$5*INDEX(Вводные!$G$13:$G$64,MATCH($A54,Вводные!$A$13:$A$64,0)),0))</f>
        <v>0.02</v>
      </c>
      <c r="AR54" s="32" t="n">
        <f aca="false">INDEX(Вводные!$D$13:$F$64,MATCH($A54,Вводные!$A$13:$A$64,0),MATCH(AR$3,Вводные!$D$11:$F$11,0))*(1+IF(AR$4=$A54,Вводные!$D$5*INDEX(Вводные!$G$13:$G$64,MATCH($A54,Вводные!$A$13:$A$64,0)),0))</f>
        <v>0.02</v>
      </c>
      <c r="AS54" s="32" t="n">
        <f aca="false">INDEX(Вводные!$D$13:$F$64,MATCH($A54,Вводные!$A$13:$A$64,0),MATCH(AS$3,Вводные!$D$11:$F$11,0))*(1+IF(AS$4=$A54,Вводные!$D$5*INDEX(Вводные!$G$13:$G$64,MATCH($A54,Вводные!$A$13:$A$64,0)),0))</f>
        <v>0.02</v>
      </c>
      <c r="AT54" s="32" t="n">
        <f aca="false">INDEX(Вводные!$D$13:$F$64,MATCH($A54,Вводные!$A$13:$A$64,0),MATCH(AT$3,Вводные!$D$11:$F$11,0))*(1+IF(AT$4=$A54,Вводные!$D$5*INDEX(Вводные!$G$13:$G$64,MATCH($A54,Вводные!$A$13:$A$64,0)),0))</f>
        <v>0.02</v>
      </c>
      <c r="AU54" s="32" t="n">
        <f aca="false">INDEX(Вводные!$D$13:$F$64,MATCH($A54,Вводные!$A$13:$A$64,0),MATCH(AU$3,Вводные!$D$11:$F$11,0))*(1+IF(AU$4=$A54,Вводные!$D$5*INDEX(Вводные!$G$13:$G$64,MATCH($A54,Вводные!$A$13:$A$64,0)),0))</f>
        <v>0.02</v>
      </c>
      <c r="AV54" s="32" t="n">
        <f aca="false">INDEX(Вводные!$D$13:$F$64,MATCH($A54,Вводные!$A$13:$A$64,0),MATCH(AV$3,Вводные!$D$11:$F$11,0))*(1+IF(AV$4=$A54,Вводные!$D$5*INDEX(Вводные!$G$13:$G$64,MATCH($A54,Вводные!$A$13:$A$64,0)),0))</f>
        <v>0.02</v>
      </c>
      <c r="AW54" s="32" t="n">
        <f aca="false">INDEX(Вводные!$D$13:$F$64,MATCH($A54,Вводные!$A$13:$A$64,0),MATCH(AW$3,Вводные!$D$11:$F$11,0))*(1+IF(AW$4=$A54,Вводные!$D$5*INDEX(Вводные!$G$13:$G$64,MATCH($A54,Вводные!$A$13:$A$64,0)),0))</f>
        <v>0.02</v>
      </c>
      <c r="AX54" s="32" t="n">
        <f aca="false">INDEX(Вводные!$D$13:$F$64,MATCH($A54,Вводные!$A$13:$A$64,0),MATCH(AX$3,Вводные!$D$11:$F$11,0))*(1+IF(AX$4=$A54,Вводные!$D$5*INDEX(Вводные!$G$13:$G$64,MATCH($A54,Вводные!$A$13:$A$64,0)),0))</f>
        <v>0.02</v>
      </c>
      <c r="AY54" s="32" t="n">
        <f aca="false">INDEX(Вводные!$D$13:$F$64,MATCH($A54,Вводные!$A$13:$A$64,0),MATCH(AY$3,Вводные!$D$11:$F$11,0))*(1+IF(AY$4=$A54,Вводные!$D$5*INDEX(Вводные!$G$13:$G$64,MATCH($A54,Вводные!$A$13:$A$64,0)),0))</f>
        <v>0.02</v>
      </c>
      <c r="AZ54" s="32" t="n">
        <f aca="false">INDEX(Вводные!$D$13:$F$64,MATCH($A54,Вводные!$A$13:$A$64,0),MATCH(AZ$3,Вводные!$D$11:$F$11,0))*(1+IF(AZ$4=$A54,Вводные!$D$5*INDEX(Вводные!$G$13:$G$64,MATCH($A54,Вводные!$A$13:$A$64,0)),0))</f>
        <v>0.2</v>
      </c>
      <c r="BA54" s="32" t="n">
        <f aca="false">INDEX(Вводные!$D$13:$F$64,MATCH($A54,Вводные!$A$13:$A$64,0),MATCH(BA$3,Вводные!$D$11:$F$11,0))*(1+IF(BA$4=$A54,Вводные!$D$5*INDEX(Вводные!$G$13:$G$64,MATCH($A54,Вводные!$A$13:$A$64,0)),0))</f>
        <v>0.2</v>
      </c>
      <c r="BB54" s="32" t="n">
        <f aca="false">INDEX(Вводные!$D$13:$F$64,MATCH($A54,Вводные!$A$13:$A$64,0),MATCH(BB$3,Вводные!$D$11:$F$11,0))*(1+IF(BB$4=$A54,Вводные!$D$5*INDEX(Вводные!$G$13:$G$64,MATCH($A54,Вводные!$A$13:$A$64,0)),0))</f>
        <v>0.2</v>
      </c>
      <c r="BC54" s="32" t="n">
        <f aca="false">INDEX(Вводные!$D$13:$F$64,MATCH($A54,Вводные!$A$13:$A$64,0),MATCH(BC$3,Вводные!$D$11:$F$11,0))*(1+IF(BC$4=$A54,Вводные!$D$5*INDEX(Вводные!$G$13:$G$64,MATCH($A54,Вводные!$A$13:$A$64,0)),0))</f>
        <v>0.2</v>
      </c>
      <c r="BD54" s="32" t="n">
        <f aca="false">INDEX(Вводные!$D$13:$F$64,MATCH($A54,Вводные!$A$13:$A$64,0),MATCH(BD$3,Вводные!$D$11:$F$11,0))*(1+IF(BD$4=$A54,Вводные!$D$5*INDEX(Вводные!$G$13:$G$64,MATCH($A54,Вводные!$A$13:$A$64,0)),0))</f>
        <v>0.2</v>
      </c>
      <c r="BE54" s="32" t="n">
        <f aca="false">INDEX(Вводные!$D$13:$F$64,MATCH($A54,Вводные!$A$13:$A$64,0),MATCH(BE$3,Вводные!$D$11:$F$11,0))*(1+IF(BE$4=$A54,Вводные!$D$5*INDEX(Вводные!$G$13:$G$64,MATCH($A54,Вводные!$A$13:$A$64,0)),0))</f>
        <v>0.2</v>
      </c>
      <c r="BF54" s="32" t="n">
        <f aca="false">INDEX(Вводные!$D$13:$F$64,MATCH($A54,Вводные!$A$13:$A$64,0),MATCH(BF$3,Вводные!$D$11:$F$11,0))*(1+IF(BF$4=$A54,Вводные!$D$5*INDEX(Вводные!$G$13:$G$64,MATCH($A54,Вводные!$A$13:$A$64,0)),0))</f>
        <v>0.2</v>
      </c>
      <c r="BG54" s="32" t="n">
        <f aca="false">INDEX(Вводные!$D$13:$F$64,MATCH($A54,Вводные!$A$13:$A$64,0),MATCH(BG$3,Вводные!$D$11:$F$11,0))*(1+IF(BG$4=$A54,Вводные!$D$5*INDEX(Вводные!$G$13:$G$64,MATCH($A54,Вводные!$A$13:$A$64,0)),0))</f>
        <v>0.2</v>
      </c>
      <c r="BH54" s="32" t="n">
        <f aca="false">INDEX(Вводные!$D$13:$F$64,MATCH($A54,Вводные!$A$13:$A$64,0),MATCH(BH$3,Вводные!$D$11:$F$11,0))*(1+IF(BH$4=$A54,Вводные!$D$5*INDEX(Вводные!$G$13:$G$64,MATCH($A54,Вводные!$A$13:$A$64,0)),0))</f>
        <v>0.2</v>
      </c>
      <c r="BI54" s="32" t="n">
        <f aca="false">INDEX(Вводные!$D$13:$F$64,MATCH($A54,Вводные!$A$13:$A$64,0),MATCH(BI$3,Вводные!$D$11:$F$11,0))*(1+IF(BI$4=$A54,Вводные!$D$5*INDEX(Вводные!$G$13:$G$64,MATCH($A54,Вводные!$A$13:$A$64,0)),0))</f>
        <v>0.2</v>
      </c>
      <c r="BJ54" s="32" t="n">
        <f aca="false">INDEX(Вводные!$D$13:$F$64,MATCH($A54,Вводные!$A$13:$A$64,0),MATCH(BJ$3,Вводные!$D$11:$F$11,0))*(1+IF(BJ$4=$A54,Вводные!$D$5*INDEX(Вводные!$G$13:$G$64,MATCH($A54,Вводные!$A$13:$A$64,0)),0))</f>
        <v>0.2</v>
      </c>
      <c r="BK54" s="32" t="n">
        <f aca="false">INDEX(Вводные!$D$13:$F$64,MATCH($A54,Вводные!$A$13:$A$64,0),MATCH(BK$3,Вводные!$D$11:$F$11,0))*(1+IF(BK$4=$A54,Вводные!$D$5*INDEX(Вводные!$G$13:$G$64,MATCH($A54,Вводные!$A$13:$A$64,0)),0))</f>
        <v>0.2</v>
      </c>
      <c r="BL54" s="32" t="n">
        <f aca="false">INDEX(Вводные!$D$13:$F$64,MATCH($A54,Вводные!$A$13:$A$64,0),MATCH(BL$3,Вводные!$D$11:$F$11,0))*(1+IF(BL$4=$A54,Вводные!$D$5*INDEX(Вводные!$G$13:$G$64,MATCH($A54,Вводные!$A$13:$A$64,0)),0))</f>
        <v>0.2</v>
      </c>
      <c r="BM54" s="32" t="n">
        <f aca="false">INDEX(Вводные!$D$13:$F$64,MATCH($A54,Вводные!$A$13:$A$64,0),MATCH(BM$3,Вводные!$D$11:$F$11,0))*(1+IF(BM$4=$A54,Вводные!$D$5*INDEX(Вводные!$G$13:$G$64,MATCH($A54,Вводные!$A$13:$A$64,0)),0))</f>
        <v>0.2</v>
      </c>
      <c r="BN54" s="32" t="n">
        <f aca="false">INDEX(Вводные!$D$13:$F$64,MATCH($A54,Вводные!$A$13:$A$64,0),MATCH(BN$3,Вводные!$D$11:$F$11,0))*(1+IF(BN$4=$A54,Вводные!$D$5*INDEX(Вводные!$G$13:$G$64,MATCH($A54,Вводные!$A$13:$A$64,0)),0))</f>
        <v>0.2</v>
      </c>
      <c r="BO54" s="32" t="n">
        <f aca="false">INDEX(Вводные!$D$13:$F$64,MATCH($A54,Вводные!$A$13:$A$64,0),MATCH(BO$3,Вводные!$D$11:$F$11,0))*(1+IF(BO$4=$A54,Вводные!$D$5*INDEX(Вводные!$G$13:$G$64,MATCH($A54,Вводные!$A$13:$A$64,0)),0))</f>
        <v>0.2</v>
      </c>
      <c r="BP54" s="32" t="n">
        <f aca="false">INDEX(Вводные!$D$13:$F$64,MATCH($A54,Вводные!$A$13:$A$64,0),MATCH(BP$3,Вводные!$D$11:$F$11,0))*(1+IF(BP$4=$A54,Вводные!$D$5*INDEX(Вводные!$G$13:$G$64,MATCH($A54,Вводные!$A$13:$A$64,0)),0))</f>
        <v>0.2</v>
      </c>
      <c r="BQ54" s="32" t="n">
        <f aca="false">INDEX(Вводные!$D$13:$F$64,MATCH($A54,Вводные!$A$13:$A$64,0),MATCH(BQ$3,Вводные!$D$11:$F$11,0))*(1+IF(BQ$4=$A54,Вводные!$D$5*INDEX(Вводные!$G$13:$G$64,MATCH($A54,Вводные!$A$13:$A$64,0)),0))</f>
        <v>0.2</v>
      </c>
      <c r="BR54" s="32" t="n">
        <f aca="false">INDEX(Вводные!$D$13:$F$64,MATCH($A54,Вводные!$A$13:$A$64,0),MATCH(BR$3,Вводные!$D$11:$F$11,0))*(1+IF(BR$4=$A54,Вводные!$D$5*INDEX(Вводные!$G$13:$G$64,MATCH($A54,Вводные!$A$13:$A$64,0)),0))</f>
        <v>0.2</v>
      </c>
      <c r="BS54" s="32" t="n">
        <f aca="false">INDEX(Вводные!$D$13:$F$64,MATCH($A54,Вводные!$A$13:$A$64,0),MATCH(BS$3,Вводные!$D$11:$F$11,0))*(1+IF(BS$4=$A54,Вводные!$D$5*INDEX(Вводные!$G$13:$G$64,MATCH($A54,Вводные!$A$13:$A$64,0)),0))</f>
        <v>0.2</v>
      </c>
      <c r="BT54" s="32" t="n">
        <f aca="false">INDEX(Вводные!$D$13:$F$64,MATCH($A54,Вводные!$A$13:$A$64,0),MATCH(BT$3,Вводные!$D$11:$F$11,0))*(1+IF(BT$4=$A54,Вводные!$D$5*INDEX(Вводные!$G$13:$G$64,MATCH($A54,Вводные!$A$13:$A$64,0)),0))</f>
        <v>0.2</v>
      </c>
      <c r="BU54" s="32" t="n">
        <f aca="false">INDEX(Вводные!$D$13:$F$64,MATCH($A54,Вводные!$A$13:$A$64,0),MATCH(BU$3,Вводные!$D$11:$F$11,0))*(1+IF(BU$4=$A54,Вводные!$D$5*INDEX(Вводные!$G$13:$G$64,MATCH($A54,Вводные!$A$13:$A$64,0)),0))</f>
        <v>0.2</v>
      </c>
      <c r="BV54" s="32" t="n">
        <f aca="false">INDEX(Вводные!$D$13:$F$64,MATCH($A54,Вводные!$A$13:$A$64,0),MATCH(BV$3,Вводные!$D$11:$F$11,0))*(1+IF(BV$4=$A54,Вводные!$D$5*INDEX(Вводные!$G$13:$G$64,MATCH($A54,Вводные!$A$13:$A$64,0)),0))</f>
        <v>0.2</v>
      </c>
      <c r="BW54" s="32" t="n">
        <f aca="false">INDEX(Вводные!$D$13:$F$64,MATCH($A54,Вводные!$A$13:$A$64,0),MATCH(BW$3,Вводные!$D$11:$F$11,0))*(1+IF(BW$4=$A54,Вводные!$D$5*INDEX(Вводные!$G$13:$G$64,MATCH($A54,Вводные!$A$13:$A$64,0)),0))</f>
        <v>0.2</v>
      </c>
      <c r="BX54" s="32" t="n">
        <f aca="false">INDEX(Вводные!$D$13:$F$64,MATCH($A54,Вводные!$A$13:$A$64,0),MATCH(BX$3,Вводные!$D$11:$F$11,0))*(1+IF(BX$4=$A54,Вводные!$D$5*INDEX(Вводные!$G$13:$G$64,MATCH($A54,Вводные!$A$13:$A$64,0)),0))</f>
        <v>0.2</v>
      </c>
      <c r="BY54" s="32" t="n">
        <f aca="false">INDEX(Вводные!$D$13:$F$64,MATCH($A54,Вводные!$A$13:$A$64,0),MATCH(BY$3,Вводные!$D$11:$F$11,0))*(1+IF(BY$4=$A54,Вводные!$D$5*INDEX(Вводные!$G$13:$G$64,MATCH($A54,Вводные!$A$13:$A$64,0)),0))</f>
        <v>0.202</v>
      </c>
      <c r="BZ54" s="32" t="n">
        <f aca="false">INDEX(Вводные!$D$13:$F$64,MATCH($A54,Вводные!$A$13:$A$64,0),MATCH(BZ$3,Вводные!$D$11:$F$11,0))*(1+IF(BZ$4=$A54,Вводные!$D$5*INDEX(Вводные!$G$13:$G$64,MATCH($A54,Вводные!$A$13:$A$64,0)),0))</f>
        <v>0.2</v>
      </c>
      <c r="CA54" s="32" t="n">
        <f aca="false">INDEX(Вводные!$D$13:$F$64,MATCH($A54,Вводные!$A$13:$A$64,0),MATCH(CA$3,Вводные!$D$11:$F$11,0))*(1+IF(CA$4=$A54,Вводные!$D$5*INDEX(Вводные!$G$13:$G$64,MATCH($A54,Вводные!$A$13:$A$64,0)),0))</f>
        <v>0.2</v>
      </c>
      <c r="CB54" s="32" t="n">
        <f aca="false">INDEX(Вводные!$D$13:$F$64,MATCH($A54,Вводные!$A$13:$A$64,0),MATCH(CB$3,Вводные!$D$11:$F$11,0))*(1+IF(CB$4=$A54,Вводные!$D$5*INDEX(Вводные!$G$13:$G$64,MATCH($A54,Вводные!$A$13:$A$64,0)),0))</f>
        <v>0.2</v>
      </c>
      <c r="CC54" s="32" t="n">
        <f aca="false">INDEX(Вводные!$D$13:$F$64,MATCH($A54,Вводные!$A$13:$A$64,0),MATCH(CC$3,Вводные!$D$11:$F$11,0))*(1+IF(CC$4=$A54,Вводные!$D$5*INDEX(Вводные!$G$13:$G$64,MATCH($A54,Вводные!$A$13:$A$64,0)),0))</f>
        <v>0.2</v>
      </c>
      <c r="CD54" s="32" t="n">
        <f aca="false">INDEX(Вводные!$D$13:$F$64,MATCH($A54,Вводные!$A$13:$A$64,0),MATCH(CD$3,Вводные!$D$11:$F$11,0))*(1+IF(CD$4=$A54,Вводные!$D$5*INDEX(Вводные!$G$13:$G$64,MATCH($A54,Вводные!$A$13:$A$64,0)),0))</f>
        <v>0.2</v>
      </c>
      <c r="CE54" s="32" t="n">
        <f aca="false">INDEX(Вводные!$D$13:$F$64,MATCH($A54,Вводные!$A$13:$A$64,0),MATCH(CE$3,Вводные!$D$11:$F$11,0))*(1+IF(CE$4=$A54,Вводные!$D$5*INDEX(Вводные!$G$13:$G$64,MATCH($A54,Вводные!$A$13:$A$64,0)),0))</f>
        <v>0.2</v>
      </c>
      <c r="CF54" s="32" t="n">
        <f aca="false">INDEX(Вводные!$D$13:$F$64,MATCH($A54,Вводные!$A$13:$A$64,0),MATCH(CF$3,Вводные!$D$11:$F$11,0))*(1+IF(CF$4=$A54,Вводные!$D$5*INDEX(Вводные!$G$13:$G$64,MATCH($A54,Вводные!$A$13:$A$64,0)),0))</f>
        <v>0.2</v>
      </c>
      <c r="CG54" s="32" t="n">
        <f aca="false">INDEX(Вводные!$D$13:$F$64,MATCH($A54,Вводные!$A$13:$A$64,0),MATCH(CG$3,Вводные!$D$11:$F$11,0))*(1+IF(CG$4=$A54,Вводные!$D$5*INDEX(Вводные!$G$13:$G$64,MATCH($A54,Вводные!$A$13:$A$64,0)),0))</f>
        <v>0.2</v>
      </c>
      <c r="CH54" s="32" t="n">
        <f aca="false">INDEX(Вводные!$D$13:$F$64,MATCH($A54,Вводные!$A$13:$A$64,0),MATCH(CH$3,Вводные!$D$11:$F$11,0))*(1+IF(CH$4=$A54,Вводные!$D$5*INDEX(Вводные!$G$13:$G$64,MATCH($A54,Вводные!$A$13:$A$64,0)),0))</f>
        <v>0.2</v>
      </c>
      <c r="CI54" s="32" t="n">
        <f aca="false">INDEX(Вводные!$D$13:$F$64,MATCH($A54,Вводные!$A$13:$A$64,0),MATCH(CI$3,Вводные!$D$11:$F$11,0))*(1+IF(CI$4=$A54,Вводные!$D$5*INDEX(Вводные!$G$13:$G$64,MATCH($A54,Вводные!$A$13:$A$64,0)),0))</f>
        <v>0.2</v>
      </c>
      <c r="CJ54" s="32" t="n">
        <f aca="false">INDEX(Вводные!$D$13:$F$64,MATCH($A54,Вводные!$A$13:$A$64,0),MATCH(CJ$3,Вводные!$D$11:$F$11,0))*(1+IF(CJ$4=$A54,Вводные!$D$5*INDEX(Вводные!$G$13:$G$64,MATCH($A54,Вводные!$A$13:$A$64,0)),0))</f>
        <v>0.2</v>
      </c>
      <c r="CK54" s="32" t="n">
        <f aca="false">INDEX(Вводные!$D$13:$F$64,MATCH($A54,Вводные!$A$13:$A$64,0),MATCH(CK$3,Вводные!$D$11:$F$11,0))*(1+IF(CK$4=$A54,Вводные!$D$5*INDEX(Вводные!$G$13:$G$64,MATCH($A54,Вводные!$A$13:$A$64,0)),0))</f>
        <v>0.2</v>
      </c>
      <c r="CL54" s="32" t="n">
        <f aca="false">INDEX(Вводные!$D$13:$F$64,MATCH($A54,Вводные!$A$13:$A$64,0),MATCH(CL$3,Вводные!$D$11:$F$11,0))*(1+IF(CL$4=$A54,Вводные!$D$5*INDEX(Вводные!$G$13:$G$64,MATCH($A54,Вводные!$A$13:$A$64,0)),0))</f>
        <v>0.2</v>
      </c>
      <c r="CM54" s="32" t="n">
        <f aca="false">INDEX(Вводные!$D$13:$F$64,MATCH($A54,Вводные!$A$13:$A$64,0),MATCH(CM$3,Вводные!$D$11:$F$11,0))*(1+IF(CM$4=$A54,Вводные!$D$5*INDEX(Вводные!$G$13:$G$64,MATCH($A54,Вводные!$A$13:$A$64,0)),0))</f>
        <v>0.2</v>
      </c>
      <c r="CN54" s="32" t="n">
        <f aca="false">INDEX(Вводные!$D$13:$F$64,MATCH($A54,Вводные!$A$13:$A$64,0),MATCH(CN$3,Вводные!$D$11:$F$11,0))*(1+IF(CN$4=$A54,Вводные!$D$5*INDEX(Вводные!$G$13:$G$64,MATCH($A54,Вводные!$A$13:$A$64,0)),0))</f>
        <v>0.2</v>
      </c>
      <c r="CO54" s="32" t="n">
        <f aca="false">INDEX(Вводные!$D$13:$F$64,MATCH($A54,Вводные!$A$13:$A$64,0),MATCH(CO$3,Вводные!$D$11:$F$11,0))*(1+IF(CO$4=$A54,Вводные!$D$5*INDEX(Вводные!$G$13:$G$64,MATCH($A54,Вводные!$A$13:$A$64,0)),0))</f>
        <v>0.2</v>
      </c>
      <c r="CP54" s="32" t="n">
        <f aca="false">INDEX(Вводные!$D$13:$F$64,MATCH($A54,Вводные!$A$13:$A$64,0),MATCH(CP$3,Вводные!$D$11:$F$11,0))*(1+IF(CP$4=$A54,Вводные!$D$5*INDEX(Вводные!$G$13:$G$64,MATCH($A54,Вводные!$A$13:$A$64,0)),0))</f>
        <v>0.05</v>
      </c>
      <c r="CQ54" s="32" t="n">
        <f aca="false">INDEX(Вводные!$D$13:$F$64,MATCH($A54,Вводные!$A$13:$A$64,0),MATCH(CQ$3,Вводные!$D$11:$F$11,0))*(1+IF(CQ$4=$A54,Вводные!$D$5*INDEX(Вводные!$G$13:$G$64,MATCH($A54,Вводные!$A$13:$A$64,0)),0))</f>
        <v>0.05</v>
      </c>
      <c r="CR54" s="32" t="n">
        <f aca="false">INDEX(Вводные!$D$13:$F$64,MATCH($A54,Вводные!$A$13:$A$64,0),MATCH(CR$3,Вводные!$D$11:$F$11,0))*(1+IF(CR$4=$A54,Вводные!$D$5*INDEX(Вводные!$G$13:$G$64,MATCH($A54,Вводные!$A$13:$A$64,0)),0))</f>
        <v>0.05</v>
      </c>
      <c r="CS54" s="32" t="n">
        <f aca="false">INDEX(Вводные!$D$13:$F$64,MATCH($A54,Вводные!$A$13:$A$64,0),MATCH(CS$3,Вводные!$D$11:$F$11,0))*(1+IF(CS$4=$A54,Вводные!$D$5*INDEX(Вводные!$G$13:$G$64,MATCH($A54,Вводные!$A$13:$A$64,0)),0))</f>
        <v>0.05</v>
      </c>
      <c r="CT54" s="32" t="n">
        <f aca="false">INDEX(Вводные!$D$13:$F$64,MATCH($A54,Вводные!$A$13:$A$64,0),MATCH(CT$3,Вводные!$D$11:$F$11,0))*(1+IF(CT$4=$A54,Вводные!$D$5*INDEX(Вводные!$G$13:$G$64,MATCH($A54,Вводные!$A$13:$A$64,0)),0))</f>
        <v>0.05</v>
      </c>
      <c r="CU54" s="32" t="n">
        <f aca="false">INDEX(Вводные!$D$13:$F$64,MATCH($A54,Вводные!$A$13:$A$64,0),MATCH(CU$3,Вводные!$D$11:$F$11,0))*(1+IF(CU$4=$A54,Вводные!$D$5*INDEX(Вводные!$G$13:$G$64,MATCH($A54,Вводные!$A$13:$A$64,0)),0))</f>
        <v>0.05</v>
      </c>
      <c r="CV54" s="32" t="n">
        <f aca="false">INDEX(Вводные!$D$13:$F$64,MATCH($A54,Вводные!$A$13:$A$64,0),MATCH(CV$3,Вводные!$D$11:$F$11,0))*(1+IF(CV$4=$A54,Вводные!$D$5*INDEX(Вводные!$G$13:$G$64,MATCH($A54,Вводные!$A$13:$A$64,0)),0))</f>
        <v>0.05</v>
      </c>
      <c r="CW54" s="32" t="n">
        <f aca="false">INDEX(Вводные!$D$13:$F$64,MATCH($A54,Вводные!$A$13:$A$64,0),MATCH(CW$3,Вводные!$D$11:$F$11,0))*(1+IF(CW$4=$A54,Вводные!$D$5*INDEX(Вводные!$G$13:$G$64,MATCH($A54,Вводные!$A$13:$A$64,0)),0))</f>
        <v>0.05</v>
      </c>
      <c r="CX54" s="32" t="n">
        <f aca="false">INDEX(Вводные!$D$13:$F$64,MATCH($A54,Вводные!$A$13:$A$64,0),MATCH(CX$3,Вводные!$D$11:$F$11,0))*(1+IF(CX$4=$A54,Вводные!$D$5*INDEX(Вводные!$G$13:$G$64,MATCH($A54,Вводные!$A$13:$A$64,0)),0))</f>
        <v>0.05</v>
      </c>
      <c r="CY54" s="32" t="n">
        <f aca="false">INDEX(Вводные!$D$13:$F$64,MATCH($A54,Вводные!$A$13:$A$64,0),MATCH(CY$3,Вводные!$D$11:$F$11,0))*(1+IF(CY$4=$A54,Вводные!$D$5*INDEX(Вводные!$G$13:$G$64,MATCH($A54,Вводные!$A$13:$A$64,0)),0))</f>
        <v>0.05</v>
      </c>
      <c r="CZ54" s="32" t="n">
        <f aca="false">INDEX(Вводные!$D$13:$F$64,MATCH($A54,Вводные!$A$13:$A$64,0),MATCH(CZ$3,Вводные!$D$11:$F$11,0))*(1+IF(CZ$4=$A54,Вводные!$D$5*INDEX(Вводные!$G$13:$G$64,MATCH($A54,Вводные!$A$13:$A$64,0)),0))</f>
        <v>0.05</v>
      </c>
      <c r="DA54" s="32" t="n">
        <f aca="false">INDEX(Вводные!$D$13:$F$64,MATCH($A54,Вводные!$A$13:$A$64,0),MATCH(DA$3,Вводные!$D$11:$F$11,0))*(1+IF(DA$4=$A54,Вводные!$D$5*INDEX(Вводные!$G$13:$G$64,MATCH($A54,Вводные!$A$13:$A$64,0)),0))</f>
        <v>0.05</v>
      </c>
      <c r="DB54" s="32" t="n">
        <f aca="false">INDEX(Вводные!$D$13:$F$64,MATCH($A54,Вводные!$A$13:$A$64,0),MATCH(DB$3,Вводные!$D$11:$F$11,0))*(1+IF(DB$4=$A54,Вводные!$D$5*INDEX(Вводные!$G$13:$G$64,MATCH($A54,Вводные!$A$13:$A$64,0)),0))</f>
        <v>0.05</v>
      </c>
      <c r="DC54" s="32" t="n">
        <f aca="false">INDEX(Вводные!$D$13:$F$64,MATCH($A54,Вводные!$A$13:$A$64,0),MATCH(DC$3,Вводные!$D$11:$F$11,0))*(1+IF(DC$4=$A54,Вводные!$D$5*INDEX(Вводные!$G$13:$G$64,MATCH($A54,Вводные!$A$13:$A$64,0)),0))</f>
        <v>0.05</v>
      </c>
      <c r="DD54" s="32" t="n">
        <f aca="false">INDEX(Вводные!$D$13:$F$64,MATCH($A54,Вводные!$A$13:$A$64,0),MATCH(DD$3,Вводные!$D$11:$F$11,0))*(1+IF(DD$4=$A54,Вводные!$D$5*INDEX(Вводные!$G$13:$G$64,MATCH($A54,Вводные!$A$13:$A$64,0)),0))</f>
        <v>0.05</v>
      </c>
      <c r="DE54" s="32" t="n">
        <f aca="false">INDEX(Вводные!$D$13:$F$64,MATCH($A54,Вводные!$A$13:$A$64,0),MATCH(DE$3,Вводные!$D$11:$F$11,0))*(1+IF(DE$4=$A54,Вводные!$D$5*INDEX(Вводные!$G$13:$G$64,MATCH($A54,Вводные!$A$13:$A$64,0)),0))</f>
        <v>0.05</v>
      </c>
      <c r="DF54" s="32" t="n">
        <f aca="false">INDEX(Вводные!$D$13:$F$64,MATCH($A54,Вводные!$A$13:$A$64,0),MATCH(DF$3,Вводные!$D$11:$F$11,0))*(1+IF(DF$4=$A54,Вводные!$D$5*INDEX(Вводные!$G$13:$G$64,MATCH($A54,Вводные!$A$13:$A$64,0)),0))</f>
        <v>0.05</v>
      </c>
      <c r="DG54" s="32" t="n">
        <f aca="false">INDEX(Вводные!$D$13:$F$64,MATCH($A54,Вводные!$A$13:$A$64,0),MATCH(DG$3,Вводные!$D$11:$F$11,0))*(1+IF(DG$4=$A54,Вводные!$D$5*INDEX(Вводные!$G$13:$G$64,MATCH($A54,Вводные!$A$13:$A$64,0)),0))</f>
        <v>0.05</v>
      </c>
      <c r="DH54" s="32" t="n">
        <f aca="false">INDEX(Вводные!$D$13:$F$64,MATCH($A54,Вводные!$A$13:$A$64,0),MATCH(DH$3,Вводные!$D$11:$F$11,0))*(1+IF(DH$4=$A54,Вводные!$D$5*INDEX(Вводные!$G$13:$G$64,MATCH($A54,Вводные!$A$13:$A$64,0)),0))</f>
        <v>0.05</v>
      </c>
      <c r="DI54" s="32" t="n">
        <f aca="false">INDEX(Вводные!$D$13:$F$64,MATCH($A54,Вводные!$A$13:$A$64,0),MATCH(DI$3,Вводные!$D$11:$F$11,0))*(1+IF(DI$4=$A54,Вводные!$D$5*INDEX(Вводные!$G$13:$G$64,MATCH($A54,Вводные!$A$13:$A$64,0)),0))</f>
        <v>0.05</v>
      </c>
      <c r="DJ54" s="32" t="n">
        <f aca="false">INDEX(Вводные!$D$13:$F$64,MATCH($A54,Вводные!$A$13:$A$64,0),MATCH(DJ$3,Вводные!$D$11:$F$11,0))*(1+IF(DJ$4=$A54,Вводные!$D$5*INDEX(Вводные!$G$13:$G$64,MATCH($A54,Вводные!$A$13:$A$64,0)),0))</f>
        <v>0.05</v>
      </c>
      <c r="DK54" s="32" t="n">
        <f aca="false">INDEX(Вводные!$D$13:$F$64,MATCH($A54,Вводные!$A$13:$A$64,0),MATCH(DK$3,Вводные!$D$11:$F$11,0))*(1+IF(DK$4=$A54,Вводные!$D$5*INDEX(Вводные!$G$13:$G$64,MATCH($A54,Вводные!$A$13:$A$64,0)),0))</f>
        <v>0.05</v>
      </c>
      <c r="DL54" s="32" t="n">
        <f aca="false">INDEX(Вводные!$D$13:$F$64,MATCH($A54,Вводные!$A$13:$A$64,0),MATCH(DL$3,Вводные!$D$11:$F$11,0))*(1+IF(DL$4=$A54,Вводные!$D$5*INDEX(Вводные!$G$13:$G$64,MATCH($A54,Вводные!$A$13:$A$64,0)),0))</f>
        <v>0.05</v>
      </c>
      <c r="DM54" s="32" t="n">
        <f aca="false">INDEX(Вводные!$D$13:$F$64,MATCH($A54,Вводные!$A$13:$A$64,0),MATCH(DM$3,Вводные!$D$11:$F$11,0))*(1+IF(DM$4=$A54,Вводные!$D$5*INDEX(Вводные!$G$13:$G$64,MATCH($A54,Вводные!$A$13:$A$64,0)),0))</f>
        <v>0.05</v>
      </c>
      <c r="DN54" s="32" t="n">
        <f aca="false">INDEX(Вводные!$D$13:$F$64,MATCH($A54,Вводные!$A$13:$A$64,0),MATCH(DN$3,Вводные!$D$11:$F$11,0))*(1+IF(DN$4=$A54,Вводные!$D$5*INDEX(Вводные!$G$13:$G$64,MATCH($A54,Вводные!$A$13:$A$64,0)),0))</f>
        <v>0.05</v>
      </c>
      <c r="DO54" s="32" t="n">
        <f aca="false">INDEX(Вводные!$D$13:$F$64,MATCH($A54,Вводные!$A$13:$A$64,0),MATCH(DO$3,Вводные!$D$11:$F$11,0))*(1+IF(DO$4=$A54,Вводные!$D$5*INDEX(Вводные!$G$13:$G$64,MATCH($A54,Вводные!$A$13:$A$64,0)),0))</f>
        <v>0.0505</v>
      </c>
      <c r="DP54" s="32" t="n">
        <f aca="false">INDEX(Вводные!$D$13:$F$64,MATCH($A54,Вводные!$A$13:$A$64,0),MATCH(DP$3,Вводные!$D$11:$F$11,0))*(1+IF(DP$4=$A54,Вводные!$D$5*INDEX(Вводные!$G$13:$G$64,MATCH($A54,Вводные!$A$13:$A$64,0)),0))</f>
        <v>0.05</v>
      </c>
      <c r="DQ54" s="32" t="n">
        <f aca="false">INDEX(Вводные!$D$13:$F$64,MATCH($A54,Вводные!$A$13:$A$64,0),MATCH(DQ$3,Вводные!$D$11:$F$11,0))*(1+IF(DQ$4=$A54,Вводные!$D$5*INDEX(Вводные!$G$13:$G$64,MATCH($A54,Вводные!$A$13:$A$64,0)),0))</f>
        <v>0.05</v>
      </c>
      <c r="DR54" s="32" t="n">
        <f aca="false">INDEX(Вводные!$D$13:$F$64,MATCH($A54,Вводные!$A$13:$A$64,0),MATCH(DR$3,Вводные!$D$11:$F$11,0))*(1+IF(DR$4=$A54,Вводные!$D$5*INDEX(Вводные!$G$13:$G$64,MATCH($A54,Вводные!$A$13:$A$64,0)),0))</f>
        <v>0.05</v>
      </c>
      <c r="DS54" s="32" t="n">
        <f aca="false">INDEX(Вводные!$D$13:$F$64,MATCH($A54,Вводные!$A$13:$A$64,0),MATCH(DS$3,Вводные!$D$11:$F$11,0))*(1+IF(DS$4=$A54,Вводные!$D$5*INDEX(Вводные!$G$13:$G$64,MATCH($A54,Вводные!$A$13:$A$64,0)),0))</f>
        <v>0.05</v>
      </c>
      <c r="DT54" s="32" t="n">
        <f aca="false">INDEX(Вводные!$D$13:$F$64,MATCH($A54,Вводные!$A$13:$A$64,0),MATCH(DT$3,Вводные!$D$11:$F$11,0))*(1+IF(DT$4=$A54,Вводные!$D$5*INDEX(Вводные!$G$13:$G$64,MATCH($A54,Вводные!$A$13:$A$64,0)),0))</f>
        <v>0.05</v>
      </c>
      <c r="DU54" s="32" t="n">
        <f aca="false">INDEX(Вводные!$D$13:$F$64,MATCH($A54,Вводные!$A$13:$A$64,0),MATCH(DU$3,Вводные!$D$11:$F$11,0))*(1+IF(DU$4=$A54,Вводные!$D$5*INDEX(Вводные!$G$13:$G$64,MATCH($A54,Вводные!$A$13:$A$64,0)),0))</f>
        <v>0.05</v>
      </c>
      <c r="DV54" s="32" t="n">
        <f aca="false">INDEX(Вводные!$D$13:$F$64,MATCH($A54,Вводные!$A$13:$A$64,0),MATCH(DV$3,Вводные!$D$11:$F$11,0))*(1+IF(DV$4=$A54,Вводные!$D$5*INDEX(Вводные!$G$13:$G$64,MATCH($A54,Вводные!$A$13:$A$64,0)),0))</f>
        <v>0.05</v>
      </c>
      <c r="DW54" s="32" t="n">
        <f aca="false">INDEX(Вводные!$D$13:$F$64,MATCH($A54,Вводные!$A$13:$A$64,0),MATCH(DW$3,Вводные!$D$11:$F$11,0))*(1+IF(DW$4=$A54,Вводные!$D$5*INDEX(Вводные!$G$13:$G$64,MATCH($A54,Вводные!$A$13:$A$64,0)),0))</f>
        <v>0.05</v>
      </c>
      <c r="DX54" s="32" t="n">
        <f aca="false">INDEX(Вводные!$D$13:$F$64,MATCH($A54,Вводные!$A$13:$A$64,0),MATCH(DX$3,Вводные!$D$11:$F$11,0))*(1+IF(DX$4=$A54,Вводные!$D$5*INDEX(Вводные!$G$13:$G$64,MATCH($A54,Вводные!$A$13:$A$64,0)),0))</f>
        <v>0.05</v>
      </c>
      <c r="DY54" s="32" t="n">
        <f aca="false">INDEX(Вводные!$D$13:$F$64,MATCH($A54,Вводные!$A$13:$A$64,0),MATCH(DY$3,Вводные!$D$11:$F$11,0))*(1+IF(DY$4=$A54,Вводные!$D$5*INDEX(Вводные!$G$13:$G$64,MATCH($A54,Вводные!$A$13:$A$64,0)),0))</f>
        <v>0.05</v>
      </c>
      <c r="DZ54" s="32" t="n">
        <f aca="false">INDEX(Вводные!$D$13:$F$64,MATCH($A54,Вводные!$A$13:$A$64,0),MATCH(DZ$3,Вводные!$D$11:$F$11,0))*(1+IF(DZ$4=$A54,Вводные!$D$5*INDEX(Вводные!$G$13:$G$64,MATCH($A54,Вводные!$A$13:$A$64,0)),0))</f>
        <v>0.05</v>
      </c>
      <c r="EA54" s="32" t="n">
        <f aca="false">INDEX(Вводные!$D$13:$F$64,MATCH($A54,Вводные!$A$13:$A$64,0),MATCH(EA$3,Вводные!$D$11:$F$11,0))*(1+IF(EA$4=$A54,Вводные!$D$5*INDEX(Вводные!$G$13:$G$64,MATCH($A54,Вводные!$A$13:$A$64,0)),0))</f>
        <v>0.05</v>
      </c>
      <c r="EB54" s="32" t="n">
        <f aca="false">INDEX(Вводные!$D$13:$F$64,MATCH($A54,Вводные!$A$13:$A$64,0),MATCH(EB$3,Вводные!$D$11:$F$11,0))*(1+IF(EB$4=$A54,Вводные!$D$5*INDEX(Вводные!$G$13:$G$64,MATCH($A54,Вводные!$A$13:$A$64,0)),0))</f>
        <v>0.05</v>
      </c>
      <c r="EC54" s="32" t="n">
        <f aca="false">INDEX(Вводные!$D$13:$F$64,MATCH($A54,Вводные!$A$13:$A$64,0),MATCH(EC$3,Вводные!$D$11:$F$11,0))*(1+IF(EC$4=$A54,Вводные!$D$5*INDEX(Вводные!$G$13:$G$64,MATCH($A54,Вводные!$A$13:$A$64,0)),0))</f>
        <v>0.05</v>
      </c>
      <c r="ED54" s="32" t="n">
        <f aca="false">INDEX(Вводные!$D$13:$F$64,MATCH($A54,Вводные!$A$13:$A$64,0),MATCH(ED$3,Вводные!$D$11:$F$11,0))*(1+IF(ED$4=$A54,Вводные!$D$5*INDEX(Вводные!$G$13:$G$64,MATCH($A54,Вводные!$A$13:$A$64,0)),0))</f>
        <v>0.05</v>
      </c>
      <c r="EE54" s="32" t="n">
        <f aca="false">INDEX(Вводные!$D$13:$F$64,MATCH($A54,Вводные!$A$13:$A$64,0),MATCH(EE$3,Вводные!$D$11:$F$11,0))*(1+IF(EE$4=$A54,Вводные!$D$5*INDEX(Вводные!$G$13:$G$64,MATCH($A54,Вводные!$A$13:$A$64,0)),0))</f>
        <v>0.05</v>
      </c>
      <c r="EF54" s="32" t="n">
        <f aca="false">INDEX(Вводные!$D$13:$F$64,MATCH($A54,Вводные!$A$13:$A$64,0),MATCH(EF$3,Вводные!$D$11:$F$11,0))*(1+IF(EF$4=$A54,Вводные!$D$5*INDEX(Вводные!$G$13:$G$64,MATCH($A54,Вводные!$A$13:$A$64,0)),0))</f>
        <v>0.02</v>
      </c>
      <c r="EG54" s="32" t="n">
        <f aca="false">INDEX(Вводные!$D$13:$F$64,MATCH($A54,Вводные!$A$13:$A$64,0),MATCH(EG$3,Вводные!$D$11:$F$11,0))*(1+IF(EG$4=$A54,Вводные!$D$5*INDEX(Вводные!$G$13:$G$64,MATCH($A54,Вводные!$A$13:$A$64,0)),0))</f>
        <v>0.02</v>
      </c>
      <c r="EH54" s="32" t="n">
        <f aca="false">INDEX(Вводные!$D$13:$F$64,MATCH($A54,Вводные!$A$13:$A$64,0),MATCH(EH$3,Вводные!$D$11:$F$11,0))*(1+IF(EH$4=$A54,Вводные!$D$5*INDEX(Вводные!$G$13:$G$64,MATCH($A54,Вводные!$A$13:$A$64,0)),0))</f>
        <v>0.02</v>
      </c>
      <c r="EI54" s="32" t="n">
        <f aca="false">INDEX(Вводные!$D$13:$F$64,MATCH($A54,Вводные!$A$13:$A$64,0),MATCH(EI$3,Вводные!$D$11:$F$11,0))*(1+IF(EI$4=$A54,Вводные!$D$5*INDEX(Вводные!$G$13:$G$64,MATCH($A54,Вводные!$A$13:$A$64,0)),0))</f>
        <v>0.02</v>
      </c>
      <c r="EJ54" s="32" t="n">
        <f aca="false">INDEX(Вводные!$D$13:$F$64,MATCH($A54,Вводные!$A$13:$A$64,0),MATCH(EJ$3,Вводные!$D$11:$F$11,0))*(1+IF(EJ$4=$A54,Вводные!$D$5*INDEX(Вводные!$G$13:$G$64,MATCH($A54,Вводные!$A$13:$A$64,0)),0))</f>
        <v>0.02</v>
      </c>
      <c r="EK54" s="32" t="n">
        <f aca="false">INDEX(Вводные!$D$13:$F$64,MATCH($A54,Вводные!$A$13:$A$64,0),MATCH(EK$3,Вводные!$D$11:$F$11,0))*(1+IF(EK$4=$A54,Вводные!$D$5*INDEX(Вводные!$G$13:$G$64,MATCH($A54,Вводные!$A$13:$A$64,0)),0))</f>
        <v>0.02</v>
      </c>
      <c r="EL54" s="32" t="n">
        <f aca="false">INDEX(Вводные!$D$13:$F$64,MATCH($A54,Вводные!$A$13:$A$64,0),MATCH(EL$3,Вводные!$D$11:$F$11,0))*(1+IF(EL$4=$A54,Вводные!$D$5*INDEX(Вводные!$G$13:$G$64,MATCH($A54,Вводные!$A$13:$A$64,0)),0))</f>
        <v>0.02</v>
      </c>
      <c r="EM54" s="32" t="n">
        <f aca="false">INDEX(Вводные!$D$13:$F$64,MATCH($A54,Вводные!$A$13:$A$64,0),MATCH(EM$3,Вводные!$D$11:$F$11,0))*(1+IF(EM$4=$A54,Вводные!$D$5*INDEX(Вводные!$G$13:$G$64,MATCH($A54,Вводные!$A$13:$A$64,0)),0))</f>
        <v>0.02</v>
      </c>
      <c r="EN54" s="32" t="n">
        <f aca="false">INDEX(Вводные!$D$13:$F$64,MATCH($A54,Вводные!$A$13:$A$64,0),MATCH(EN$3,Вводные!$D$11:$F$11,0))*(1+IF(EN$4=$A54,Вводные!$D$5*INDEX(Вводные!$G$13:$G$64,MATCH($A54,Вводные!$A$13:$A$64,0)),0))</f>
        <v>0.02</v>
      </c>
      <c r="EO54" s="32" t="n">
        <f aca="false">INDEX(Вводные!$D$13:$F$64,MATCH($A54,Вводные!$A$13:$A$64,0),MATCH(EO$3,Вводные!$D$11:$F$11,0))*(1+IF(EO$4=$A54,Вводные!$D$5*INDEX(Вводные!$G$13:$G$64,MATCH($A54,Вводные!$A$13:$A$64,0)),0))</f>
        <v>0.02</v>
      </c>
      <c r="EP54" s="32" t="n">
        <f aca="false">INDEX(Вводные!$D$13:$F$64,MATCH($A54,Вводные!$A$13:$A$64,0),MATCH(EP$3,Вводные!$D$11:$F$11,0))*(1+IF(EP$4=$A54,Вводные!$D$5*INDEX(Вводные!$G$13:$G$64,MATCH($A54,Вводные!$A$13:$A$64,0)),0))</f>
        <v>0.02</v>
      </c>
      <c r="EQ54" s="32" t="n">
        <f aca="false">INDEX(Вводные!$D$13:$F$64,MATCH($A54,Вводные!$A$13:$A$64,0),MATCH(EQ$3,Вводные!$D$11:$F$11,0))*(1+IF(EQ$4=$A54,Вводные!$D$5*INDEX(Вводные!$G$13:$G$64,MATCH($A54,Вводные!$A$13:$A$64,0)),0))</f>
        <v>0.02</v>
      </c>
      <c r="ER54" s="32" t="n">
        <f aca="false">INDEX(Вводные!$D$13:$F$64,MATCH($A54,Вводные!$A$13:$A$64,0),MATCH(ER$3,Вводные!$D$11:$F$11,0))*(1+IF(ER$4=$A54,Вводные!$D$5*INDEX(Вводные!$G$13:$G$64,MATCH($A54,Вводные!$A$13:$A$64,0)),0))</f>
        <v>0.02</v>
      </c>
      <c r="ES54" s="32" t="n">
        <f aca="false">INDEX(Вводные!$D$13:$F$64,MATCH($A54,Вводные!$A$13:$A$64,0),MATCH(ES$3,Вводные!$D$11:$F$11,0))*(1+IF(ES$4=$A54,Вводные!$D$5*INDEX(Вводные!$G$13:$G$64,MATCH($A54,Вводные!$A$13:$A$64,0)),0))</f>
        <v>0.02</v>
      </c>
      <c r="ET54" s="32" t="n">
        <f aca="false">INDEX(Вводные!$D$13:$F$64,MATCH($A54,Вводные!$A$13:$A$64,0),MATCH(ET$3,Вводные!$D$11:$F$11,0))*(1+IF(ET$4=$A54,Вводные!$D$5*INDEX(Вводные!$G$13:$G$64,MATCH($A54,Вводные!$A$13:$A$64,0)),0))</f>
        <v>0.02</v>
      </c>
      <c r="EU54" s="32" t="n">
        <f aca="false">INDEX(Вводные!$D$13:$F$64,MATCH($A54,Вводные!$A$13:$A$64,0),MATCH(EU$3,Вводные!$D$11:$F$11,0))*(1+IF(EU$4=$A54,Вводные!$D$5*INDEX(Вводные!$G$13:$G$64,MATCH($A54,Вводные!$A$13:$A$64,0)),0))</f>
        <v>0.02</v>
      </c>
      <c r="EV54" s="32" t="n">
        <f aca="false">INDEX(Вводные!$D$13:$F$64,MATCH($A54,Вводные!$A$13:$A$64,0),MATCH(EV$3,Вводные!$D$11:$F$11,0))*(1+IF(EV$4=$A54,Вводные!$D$5*INDEX(Вводные!$G$13:$G$64,MATCH($A54,Вводные!$A$13:$A$64,0)),0))</f>
        <v>0.02</v>
      </c>
      <c r="EW54" s="32" t="n">
        <f aca="false">INDEX(Вводные!$D$13:$F$64,MATCH($A54,Вводные!$A$13:$A$64,0),MATCH(EW$3,Вводные!$D$11:$F$11,0))*(1+IF(EW$4=$A54,Вводные!$D$5*INDEX(Вводные!$G$13:$G$64,MATCH($A54,Вводные!$A$13:$A$64,0)),0))</f>
        <v>0.02</v>
      </c>
      <c r="EX54" s="32" t="n">
        <f aca="false">INDEX(Вводные!$D$13:$F$64,MATCH($A54,Вводные!$A$13:$A$64,0),MATCH(EX$3,Вводные!$D$11:$F$11,0))*(1+IF(EX$4=$A54,Вводные!$D$5*INDEX(Вводные!$G$13:$G$64,MATCH($A54,Вводные!$A$13:$A$64,0)),0))</f>
        <v>0.02</v>
      </c>
      <c r="EY54" s="32" t="n">
        <f aca="false">INDEX(Вводные!$D$13:$F$64,MATCH($A54,Вводные!$A$13:$A$64,0),MATCH(EY$3,Вводные!$D$11:$F$11,0))*(1+IF(EY$4=$A54,Вводные!$D$5*INDEX(Вводные!$G$13:$G$64,MATCH($A54,Вводные!$A$13:$A$64,0)),0))</f>
        <v>0.02</v>
      </c>
      <c r="EZ54" s="32" t="n">
        <f aca="false">INDEX(Вводные!$D$13:$F$64,MATCH($A54,Вводные!$A$13:$A$64,0),MATCH(EZ$3,Вводные!$D$11:$F$11,0))*(1+IF(EZ$4=$A54,Вводные!$D$5*INDEX(Вводные!$G$13:$G$64,MATCH($A54,Вводные!$A$13:$A$64,0)),0))</f>
        <v>0.02</v>
      </c>
      <c r="FA54" s="32" t="n">
        <f aca="false">INDEX(Вводные!$D$13:$F$64,MATCH($A54,Вводные!$A$13:$A$64,0),MATCH(FA$3,Вводные!$D$11:$F$11,0))*(1+IF(FA$4=$A54,Вводные!$D$5*INDEX(Вводные!$G$13:$G$64,MATCH($A54,Вводные!$A$13:$A$64,0)),0))</f>
        <v>0.02</v>
      </c>
      <c r="FB54" s="32" t="n">
        <f aca="false">INDEX(Вводные!$D$13:$F$64,MATCH($A54,Вводные!$A$13:$A$64,0),MATCH(FB$3,Вводные!$D$11:$F$11,0))*(1+IF(FB$4=$A54,Вводные!$D$5*INDEX(Вводные!$G$13:$G$64,MATCH($A54,Вводные!$A$13:$A$64,0)),0))</f>
        <v>0.02</v>
      </c>
      <c r="FC54" s="32" t="n">
        <f aca="false">INDEX(Вводные!$D$13:$F$64,MATCH($A54,Вводные!$A$13:$A$64,0),MATCH(FC$3,Вводные!$D$11:$F$11,0))*(1+IF(FC$4=$A54,Вводные!$D$5*INDEX(Вводные!$G$13:$G$64,MATCH($A54,Вводные!$A$13:$A$64,0)),0))</f>
        <v>0.02</v>
      </c>
      <c r="FD54" s="32" t="n">
        <f aca="false">INDEX(Вводные!$D$13:$F$64,MATCH($A54,Вводные!$A$13:$A$64,0),MATCH(FD$3,Вводные!$D$11:$F$11,0))*(1+IF(FD$4=$A54,Вводные!$D$5*INDEX(Вводные!$G$13:$G$64,MATCH($A54,Вводные!$A$13:$A$64,0)),0))</f>
        <v>0.02</v>
      </c>
      <c r="FE54" s="32" t="n">
        <f aca="false">INDEX(Вводные!$D$13:$F$64,MATCH($A54,Вводные!$A$13:$A$64,0),MATCH(FE$3,Вводные!$D$11:$F$11,0))*(1+IF(FE$4=$A54,Вводные!$D$5*INDEX(Вводные!$G$13:$G$64,MATCH($A54,Вводные!$A$13:$A$64,0)),0))</f>
        <v>0.0202</v>
      </c>
      <c r="FF54" s="32" t="n">
        <f aca="false">INDEX(Вводные!$D$13:$F$64,MATCH($A54,Вводные!$A$13:$A$64,0),MATCH(FF$3,Вводные!$D$11:$F$11,0))*(1+IF(FF$4=$A54,Вводные!$D$5*INDEX(Вводные!$G$13:$G$64,MATCH($A54,Вводные!$A$13:$A$64,0)),0))</f>
        <v>0.02</v>
      </c>
      <c r="FG54" s="32" t="n">
        <f aca="false">INDEX(Вводные!$D$13:$F$64,MATCH($A54,Вводные!$A$13:$A$64,0),MATCH(FG$3,Вводные!$D$11:$F$11,0))*(1+IF(FG$4=$A54,Вводные!$D$5*INDEX(Вводные!$G$13:$G$64,MATCH($A54,Вводные!$A$13:$A$64,0)),0))</f>
        <v>0.02</v>
      </c>
      <c r="FH54" s="32" t="n">
        <f aca="false">INDEX(Вводные!$D$13:$F$64,MATCH($A54,Вводные!$A$13:$A$64,0),MATCH(FH$3,Вводные!$D$11:$F$11,0))*(1+IF(FH$4=$A54,Вводные!$D$5*INDEX(Вводные!$G$13:$G$64,MATCH($A54,Вводные!$A$13:$A$64,0)),0))</f>
        <v>0.02</v>
      </c>
      <c r="FI54" s="32" t="n">
        <f aca="false">INDEX(Вводные!$D$13:$F$64,MATCH($A54,Вводные!$A$13:$A$64,0),MATCH(FI$3,Вводные!$D$11:$F$11,0))*(1+IF(FI$4=$A54,Вводные!$D$5*INDEX(Вводные!$G$13:$G$64,MATCH($A54,Вводные!$A$13:$A$64,0)),0))</f>
        <v>0.02</v>
      </c>
      <c r="FJ54" s="32" t="n">
        <f aca="false">INDEX(Вводные!$D$13:$F$64,MATCH($A54,Вводные!$A$13:$A$64,0),MATCH(FJ$3,Вводные!$D$11:$F$11,0))*(1+IF(FJ$4=$A54,Вводные!$D$5*INDEX(Вводные!$G$13:$G$64,MATCH($A54,Вводные!$A$13:$A$64,0)),0))</f>
        <v>0.02</v>
      </c>
      <c r="FK54" s="32" t="n">
        <f aca="false">INDEX(Вводные!$D$13:$F$64,MATCH($A54,Вводные!$A$13:$A$64,0),MATCH(FK$3,Вводные!$D$11:$F$11,0))*(1+IF(FK$4=$A54,Вводные!$D$5*INDEX(Вводные!$G$13:$G$64,MATCH($A54,Вводные!$A$13:$A$64,0)),0))</f>
        <v>0.02</v>
      </c>
      <c r="FL54" s="32" t="n">
        <f aca="false">INDEX(Вводные!$D$13:$F$64,MATCH($A54,Вводные!$A$13:$A$64,0),MATCH(FL$3,Вводные!$D$11:$F$11,0))*(1+IF(FL$4=$A54,Вводные!$D$5*INDEX(Вводные!$G$13:$G$64,MATCH($A54,Вводные!$A$13:$A$64,0)),0))</f>
        <v>0.02</v>
      </c>
      <c r="FM54" s="32" t="n">
        <f aca="false">INDEX(Вводные!$D$13:$F$64,MATCH($A54,Вводные!$A$13:$A$64,0),MATCH(FM$3,Вводные!$D$11:$F$11,0))*(1+IF(FM$4=$A54,Вводные!$D$5*INDEX(Вводные!$G$13:$G$64,MATCH($A54,Вводные!$A$13:$A$64,0)),0))</f>
        <v>0.02</v>
      </c>
      <c r="FN54" s="32" t="n">
        <f aca="false">INDEX(Вводные!$D$13:$F$64,MATCH($A54,Вводные!$A$13:$A$64,0),MATCH(FN$3,Вводные!$D$11:$F$11,0))*(1+IF(FN$4=$A54,Вводные!$D$5*INDEX(Вводные!$G$13:$G$64,MATCH($A54,Вводные!$A$13:$A$64,0)),0))</f>
        <v>0.02</v>
      </c>
      <c r="FO54" s="32" t="n">
        <f aca="false">INDEX(Вводные!$D$13:$F$64,MATCH($A54,Вводные!$A$13:$A$64,0),MATCH(FO$3,Вводные!$D$11:$F$11,0))*(1+IF(FO$4=$A54,Вводные!$D$5*INDEX(Вводные!$G$13:$G$64,MATCH($A54,Вводные!$A$13:$A$64,0)),0))</f>
        <v>0.02</v>
      </c>
      <c r="FP54" s="32" t="n">
        <f aca="false">INDEX(Вводные!$D$13:$F$64,MATCH($A54,Вводные!$A$13:$A$64,0),MATCH(FP$3,Вводные!$D$11:$F$11,0))*(1+IF(FP$4=$A54,Вводные!$D$5*INDEX(Вводные!$G$13:$G$64,MATCH($A54,Вводные!$A$13:$A$64,0)),0))</f>
        <v>0.02</v>
      </c>
      <c r="FQ54" s="32" t="n">
        <f aca="false">INDEX(Вводные!$D$13:$F$64,MATCH($A54,Вводные!$A$13:$A$64,0),MATCH(FQ$3,Вводные!$D$11:$F$11,0))*(1+IF(FQ$4=$A54,Вводные!$D$5*INDEX(Вводные!$G$13:$G$64,MATCH($A54,Вводные!$A$13:$A$64,0)),0))</f>
        <v>0.02</v>
      </c>
      <c r="FR54" s="32" t="n">
        <f aca="false">INDEX(Вводные!$D$13:$F$64,MATCH($A54,Вводные!$A$13:$A$64,0),MATCH(FR$3,Вводные!$D$11:$F$11,0))*(1+IF(FR$4=$A54,Вводные!$D$5*INDEX(Вводные!$G$13:$G$64,MATCH($A54,Вводные!$A$13:$A$64,0)),0))</f>
        <v>0.02</v>
      </c>
      <c r="FS54" s="32" t="n">
        <f aca="false">INDEX(Вводные!$D$13:$F$64,MATCH($A54,Вводные!$A$13:$A$64,0),MATCH(FS$3,Вводные!$D$11:$F$11,0))*(1+IF(FS$4=$A54,Вводные!$D$5*INDEX(Вводные!$G$13:$G$64,MATCH($A54,Вводные!$A$13:$A$64,0)),0))</f>
        <v>0.02</v>
      </c>
      <c r="FT54" s="32" t="n">
        <f aca="false">INDEX(Вводные!$D$13:$F$64,MATCH($A54,Вводные!$A$13:$A$64,0),MATCH(FT$3,Вводные!$D$11:$F$11,0))*(1+IF(FT$4=$A54,Вводные!$D$5*INDEX(Вводные!$G$13:$G$64,MATCH($A54,Вводные!$A$13:$A$64,0)),0))</f>
        <v>0.02</v>
      </c>
      <c r="FU54" s="32" t="n">
        <f aca="false">INDEX(Вводные!$D$13:$F$64,MATCH($A54,Вводные!$A$13:$A$64,0),MATCH(FU$3,Вводные!$D$11:$F$11,0))*(1+IF(FU$4=$A54,Вводные!$D$5*INDEX(Вводные!$G$13:$G$64,MATCH($A54,Вводные!$A$13:$A$64,0)),0))</f>
        <v>0.02</v>
      </c>
      <c r="FV54" s="32" t="n">
        <f aca="false">INDEX(Вводные!$D$13:$F$64,MATCH($A54,Вводные!$A$13:$A$64,0),MATCH(FV$3,Вводные!$D$11:$F$11,0))*(1+IF(FV$4=$A54,Вводные!$D$5*INDEX(Вводные!$G$13:$G$64,MATCH($A54,Вводные!$A$13:$A$64,0)),0))</f>
        <v>0.2</v>
      </c>
      <c r="FW54" s="32" t="n">
        <f aca="false">INDEX(Вводные!$D$13:$F$64,MATCH($A54,Вводные!$A$13:$A$64,0),MATCH(FW$3,Вводные!$D$11:$F$11,0))*(1+IF(FW$4=$A54,Вводные!$D$5*INDEX(Вводные!$G$13:$G$64,MATCH($A54,Вводные!$A$13:$A$64,0)),0))</f>
        <v>0.2</v>
      </c>
      <c r="FX54" s="32" t="n">
        <f aca="false">INDEX(Вводные!$D$13:$F$64,MATCH($A54,Вводные!$A$13:$A$64,0),MATCH(FX$3,Вводные!$D$11:$F$11,0))*(1+IF(FX$4=$A54,Вводные!$D$5*INDEX(Вводные!$G$13:$G$64,MATCH($A54,Вводные!$A$13:$A$64,0)),0))</f>
        <v>0.2</v>
      </c>
      <c r="FY54" s="32" t="n">
        <f aca="false">INDEX(Вводные!$D$13:$F$64,MATCH($A54,Вводные!$A$13:$A$64,0),MATCH(FY$3,Вводные!$D$11:$F$11,0))*(1+IF(FY$4=$A54,Вводные!$D$5*INDEX(Вводные!$G$13:$G$64,MATCH($A54,Вводные!$A$13:$A$64,0)),0))</f>
        <v>0.2</v>
      </c>
      <c r="FZ54" s="32" t="n">
        <f aca="false">INDEX(Вводные!$D$13:$F$64,MATCH($A54,Вводные!$A$13:$A$64,0),MATCH(FZ$3,Вводные!$D$11:$F$11,0))*(1+IF(FZ$4=$A54,Вводные!$D$5*INDEX(Вводные!$G$13:$G$64,MATCH($A54,Вводные!$A$13:$A$64,0)),0))</f>
        <v>0.2</v>
      </c>
      <c r="GA54" s="32" t="n">
        <f aca="false">INDEX(Вводные!$D$13:$F$64,MATCH($A54,Вводные!$A$13:$A$64,0),MATCH(GA$3,Вводные!$D$11:$F$11,0))*(1+IF(GA$4=$A54,Вводные!$D$5*INDEX(Вводные!$G$13:$G$64,MATCH($A54,Вводные!$A$13:$A$64,0)),0))</f>
        <v>0.2</v>
      </c>
      <c r="GB54" s="32" t="n">
        <f aca="false">INDEX(Вводные!$D$13:$F$64,MATCH($A54,Вводные!$A$13:$A$64,0),MATCH(GB$3,Вводные!$D$11:$F$11,0))*(1+IF(GB$4=$A54,Вводные!$D$5*INDEX(Вводные!$G$13:$G$64,MATCH($A54,Вводные!$A$13:$A$64,0)),0))</f>
        <v>0.2</v>
      </c>
      <c r="GC54" s="32" t="n">
        <f aca="false">INDEX(Вводные!$D$13:$F$64,MATCH($A54,Вводные!$A$13:$A$64,0),MATCH(GC$3,Вводные!$D$11:$F$11,0))*(1+IF(GC$4=$A54,Вводные!$D$5*INDEX(Вводные!$G$13:$G$64,MATCH($A54,Вводные!$A$13:$A$64,0)),0))</f>
        <v>0.2</v>
      </c>
      <c r="GD54" s="32" t="n">
        <f aca="false">INDEX(Вводные!$D$13:$F$64,MATCH($A54,Вводные!$A$13:$A$64,0),MATCH(GD$3,Вводные!$D$11:$F$11,0))*(1+IF(GD$4=$A54,Вводные!$D$5*INDEX(Вводные!$G$13:$G$64,MATCH($A54,Вводные!$A$13:$A$64,0)),0))</f>
        <v>0.2</v>
      </c>
      <c r="GE54" s="32" t="n">
        <f aca="false">INDEX(Вводные!$D$13:$F$64,MATCH($A54,Вводные!$A$13:$A$64,0),MATCH(GE$3,Вводные!$D$11:$F$11,0))*(1+IF(GE$4=$A54,Вводные!$D$5*INDEX(Вводные!$G$13:$G$64,MATCH($A54,Вводные!$A$13:$A$64,0)),0))</f>
        <v>0.2</v>
      </c>
      <c r="GF54" s="32" t="n">
        <f aca="false">INDEX(Вводные!$D$13:$F$64,MATCH($A54,Вводные!$A$13:$A$64,0),MATCH(GF$3,Вводные!$D$11:$F$11,0))*(1+IF(GF$4=$A54,Вводные!$D$5*INDEX(Вводные!$G$13:$G$64,MATCH($A54,Вводные!$A$13:$A$64,0)),0))</f>
        <v>0.2</v>
      </c>
      <c r="GG54" s="32" t="n">
        <f aca="false">INDEX(Вводные!$D$13:$F$64,MATCH($A54,Вводные!$A$13:$A$64,0),MATCH(GG$3,Вводные!$D$11:$F$11,0))*(1+IF(GG$4=$A54,Вводные!$D$5*INDEX(Вводные!$G$13:$G$64,MATCH($A54,Вводные!$A$13:$A$64,0)),0))</f>
        <v>0.2</v>
      </c>
      <c r="GH54" s="32" t="n">
        <f aca="false">INDEX(Вводные!$D$13:$F$64,MATCH($A54,Вводные!$A$13:$A$64,0),MATCH(GH$3,Вводные!$D$11:$F$11,0))*(1+IF(GH$4=$A54,Вводные!$D$5*INDEX(Вводные!$G$13:$G$64,MATCH($A54,Вводные!$A$13:$A$64,0)),0))</f>
        <v>0.2</v>
      </c>
      <c r="GI54" s="32" t="n">
        <f aca="false">INDEX(Вводные!$D$13:$F$64,MATCH($A54,Вводные!$A$13:$A$64,0),MATCH(GI$3,Вводные!$D$11:$F$11,0))*(1+IF(GI$4=$A54,Вводные!$D$5*INDEX(Вводные!$G$13:$G$64,MATCH($A54,Вводные!$A$13:$A$64,0)),0))</f>
        <v>0.2</v>
      </c>
      <c r="GJ54" s="32" t="n">
        <f aca="false">INDEX(Вводные!$D$13:$F$64,MATCH($A54,Вводные!$A$13:$A$64,0),MATCH(GJ$3,Вводные!$D$11:$F$11,0))*(1+IF(GJ$4=$A54,Вводные!$D$5*INDEX(Вводные!$G$13:$G$64,MATCH($A54,Вводные!$A$13:$A$64,0)),0))</f>
        <v>0.2</v>
      </c>
      <c r="GK54" s="32" t="n">
        <f aca="false">INDEX(Вводные!$D$13:$F$64,MATCH($A54,Вводные!$A$13:$A$64,0),MATCH(GK$3,Вводные!$D$11:$F$11,0))*(1+IF(GK$4=$A54,Вводные!$D$5*INDEX(Вводные!$G$13:$G$64,MATCH($A54,Вводные!$A$13:$A$64,0)),0))</f>
        <v>0.2</v>
      </c>
      <c r="GL54" s="32" t="n">
        <f aca="false">INDEX(Вводные!$D$13:$F$64,MATCH($A54,Вводные!$A$13:$A$64,0),MATCH(GL$3,Вводные!$D$11:$F$11,0))*(1+IF(GL$4=$A54,Вводные!$D$5*INDEX(Вводные!$G$13:$G$64,MATCH($A54,Вводные!$A$13:$A$64,0)),0))</f>
        <v>0.2</v>
      </c>
      <c r="GM54" s="32" t="n">
        <f aca="false">INDEX(Вводные!$D$13:$F$64,MATCH($A54,Вводные!$A$13:$A$64,0),MATCH(GM$3,Вводные!$D$11:$F$11,0))*(1+IF(GM$4=$A54,Вводные!$D$5*INDEX(Вводные!$G$13:$G$64,MATCH($A54,Вводные!$A$13:$A$64,0)),0))</f>
        <v>0.2</v>
      </c>
      <c r="GN54" s="32" t="n">
        <f aca="false">INDEX(Вводные!$D$13:$F$64,MATCH($A54,Вводные!$A$13:$A$64,0),MATCH(GN$3,Вводные!$D$11:$F$11,0))*(1+IF(GN$4=$A54,Вводные!$D$5*INDEX(Вводные!$G$13:$G$64,MATCH($A54,Вводные!$A$13:$A$64,0)),0))</f>
        <v>0.2</v>
      </c>
      <c r="GO54" s="32" t="n">
        <f aca="false">INDEX(Вводные!$D$13:$F$64,MATCH($A54,Вводные!$A$13:$A$64,0),MATCH(GO$3,Вводные!$D$11:$F$11,0))*(1+IF(GO$4=$A54,Вводные!$D$5*INDEX(Вводные!$G$13:$G$64,MATCH($A54,Вводные!$A$13:$A$64,0)),0))</f>
        <v>0.2</v>
      </c>
      <c r="GP54" s="32" t="n">
        <f aca="false">INDEX(Вводные!$D$13:$F$64,MATCH($A54,Вводные!$A$13:$A$64,0),MATCH(GP$3,Вводные!$D$11:$F$11,0))*(1+IF(GP$4=$A54,Вводные!$D$5*INDEX(Вводные!$G$13:$G$64,MATCH($A54,Вводные!$A$13:$A$64,0)),0))</f>
        <v>0.2</v>
      </c>
      <c r="GQ54" s="32" t="n">
        <f aca="false">INDEX(Вводные!$D$13:$F$64,MATCH($A54,Вводные!$A$13:$A$64,0),MATCH(GQ$3,Вводные!$D$11:$F$11,0))*(1+IF(GQ$4=$A54,Вводные!$D$5*INDEX(Вводные!$G$13:$G$64,MATCH($A54,Вводные!$A$13:$A$64,0)),0))</f>
        <v>0.2</v>
      </c>
      <c r="GR54" s="32" t="n">
        <f aca="false">INDEX(Вводные!$D$13:$F$64,MATCH($A54,Вводные!$A$13:$A$64,0),MATCH(GR$3,Вводные!$D$11:$F$11,0))*(1+IF(GR$4=$A54,Вводные!$D$5*INDEX(Вводные!$G$13:$G$64,MATCH($A54,Вводные!$A$13:$A$64,0)),0))</f>
        <v>0.2</v>
      </c>
      <c r="GS54" s="32" t="n">
        <f aca="false">INDEX(Вводные!$D$13:$F$64,MATCH($A54,Вводные!$A$13:$A$64,0),MATCH(GS$3,Вводные!$D$11:$F$11,0))*(1+IF(GS$4=$A54,Вводные!$D$5*INDEX(Вводные!$G$13:$G$64,MATCH($A54,Вводные!$A$13:$A$64,0)),0))</f>
        <v>0.2</v>
      </c>
      <c r="GT54" s="32" t="n">
        <f aca="false">INDEX(Вводные!$D$13:$F$64,MATCH($A54,Вводные!$A$13:$A$64,0),MATCH(GT$3,Вводные!$D$11:$F$11,0))*(1+IF(GT$4=$A54,Вводные!$D$5*INDEX(Вводные!$G$13:$G$64,MATCH($A54,Вводные!$A$13:$A$64,0)),0))</f>
        <v>0.2</v>
      </c>
      <c r="GU54" s="32" t="n">
        <f aca="false">INDEX(Вводные!$D$13:$F$64,MATCH($A54,Вводные!$A$13:$A$64,0),MATCH(GU$3,Вводные!$D$11:$F$11,0))*(1+IF(GU$4=$A54,Вводные!$D$5*INDEX(Вводные!$G$13:$G$64,MATCH($A54,Вводные!$A$13:$A$64,0)),0))</f>
        <v>0.202</v>
      </c>
      <c r="GV54" s="32" t="n">
        <f aca="false">INDEX(Вводные!$D$13:$F$64,MATCH($A54,Вводные!$A$13:$A$64,0),MATCH(GV$3,Вводные!$D$11:$F$11,0))*(1+IF(GV$4=$A54,Вводные!$D$5*INDEX(Вводные!$G$13:$G$64,MATCH($A54,Вводные!$A$13:$A$64,0)),0))</f>
        <v>0.2</v>
      </c>
      <c r="GW54" s="32" t="n">
        <f aca="false">INDEX(Вводные!$D$13:$F$64,MATCH($A54,Вводные!$A$13:$A$64,0),MATCH(GW$3,Вводные!$D$11:$F$11,0))*(1+IF(GW$4=$A54,Вводные!$D$5*INDEX(Вводные!$G$13:$G$64,MATCH($A54,Вводные!$A$13:$A$64,0)),0))</f>
        <v>0.2</v>
      </c>
      <c r="GX54" s="32" t="n">
        <f aca="false">INDEX(Вводные!$D$13:$F$64,MATCH($A54,Вводные!$A$13:$A$64,0),MATCH(GX$3,Вводные!$D$11:$F$11,0))*(1+IF(GX$4=$A54,Вводные!$D$5*INDEX(Вводные!$G$13:$G$64,MATCH($A54,Вводные!$A$13:$A$64,0)),0))</f>
        <v>0.2</v>
      </c>
      <c r="GY54" s="32" t="n">
        <f aca="false">INDEX(Вводные!$D$13:$F$64,MATCH($A54,Вводные!$A$13:$A$64,0),MATCH(GY$3,Вводные!$D$11:$F$11,0))*(1+IF(GY$4=$A54,Вводные!$D$5*INDEX(Вводные!$G$13:$G$64,MATCH($A54,Вводные!$A$13:$A$64,0)),0))</f>
        <v>0.2</v>
      </c>
      <c r="GZ54" s="32" t="n">
        <f aca="false">INDEX(Вводные!$D$13:$F$64,MATCH($A54,Вводные!$A$13:$A$64,0),MATCH(GZ$3,Вводные!$D$11:$F$11,0))*(1+IF(GZ$4=$A54,Вводные!$D$5*INDEX(Вводные!$G$13:$G$64,MATCH($A54,Вводные!$A$13:$A$64,0)),0))</f>
        <v>0.2</v>
      </c>
      <c r="HA54" s="32" t="n">
        <f aca="false">INDEX(Вводные!$D$13:$F$64,MATCH($A54,Вводные!$A$13:$A$64,0),MATCH(HA$3,Вводные!$D$11:$F$11,0))*(1+IF(HA$4=$A54,Вводные!$D$5*INDEX(Вводные!$G$13:$G$64,MATCH($A54,Вводные!$A$13:$A$64,0)),0))</f>
        <v>0.2</v>
      </c>
      <c r="HB54" s="32" t="n">
        <f aca="false">INDEX(Вводные!$D$13:$F$64,MATCH($A54,Вводные!$A$13:$A$64,0),MATCH(HB$3,Вводные!$D$11:$F$11,0))*(1+IF(HB$4=$A54,Вводные!$D$5*INDEX(Вводные!$G$13:$G$64,MATCH($A54,Вводные!$A$13:$A$64,0)),0))</f>
        <v>0.2</v>
      </c>
      <c r="HC54" s="32" t="n">
        <f aca="false">INDEX(Вводные!$D$13:$F$64,MATCH($A54,Вводные!$A$13:$A$64,0),MATCH(HC$3,Вводные!$D$11:$F$11,0))*(1+IF(HC$4=$A54,Вводные!$D$5*INDEX(Вводные!$G$13:$G$64,MATCH($A54,Вводные!$A$13:$A$64,0)),0))</f>
        <v>0.2</v>
      </c>
      <c r="HD54" s="32" t="n">
        <f aca="false">INDEX(Вводные!$D$13:$F$64,MATCH($A54,Вводные!$A$13:$A$64,0),MATCH(HD$3,Вводные!$D$11:$F$11,0))*(1+IF(HD$4=$A54,Вводные!$D$5*INDEX(Вводные!$G$13:$G$64,MATCH($A54,Вводные!$A$13:$A$64,0)),0))</f>
        <v>0.2</v>
      </c>
      <c r="HE54" s="32" t="n">
        <f aca="false">INDEX(Вводные!$D$13:$F$64,MATCH($A54,Вводные!$A$13:$A$64,0),MATCH(HE$3,Вводные!$D$11:$F$11,0))*(1+IF(HE$4=$A54,Вводные!$D$5*INDEX(Вводные!$G$13:$G$64,MATCH($A54,Вводные!$A$13:$A$64,0)),0))</f>
        <v>0.2</v>
      </c>
      <c r="HF54" s="32" t="n">
        <f aca="false">INDEX(Вводные!$D$13:$F$64,MATCH($A54,Вводные!$A$13:$A$64,0),MATCH(HF$3,Вводные!$D$11:$F$11,0))*(1+IF(HF$4=$A54,Вводные!$D$5*INDEX(Вводные!$G$13:$G$64,MATCH($A54,Вводные!$A$13:$A$64,0)),0))</f>
        <v>0.2</v>
      </c>
      <c r="HG54" s="32" t="n">
        <f aca="false">INDEX(Вводные!$D$13:$F$64,MATCH($A54,Вводные!$A$13:$A$64,0),MATCH(HG$3,Вводные!$D$11:$F$11,0))*(1+IF(HG$4=$A54,Вводные!$D$5*INDEX(Вводные!$G$13:$G$64,MATCH($A54,Вводные!$A$13:$A$64,0)),0))</f>
        <v>0.2</v>
      </c>
      <c r="HH54" s="32" t="n">
        <f aca="false">INDEX(Вводные!$D$13:$F$64,MATCH($A54,Вводные!$A$13:$A$64,0),MATCH(HH$3,Вводные!$D$11:$F$11,0))*(1+IF(HH$4=$A54,Вводные!$D$5*INDEX(Вводные!$G$13:$G$64,MATCH($A54,Вводные!$A$13:$A$64,0)),0))</f>
        <v>0.2</v>
      </c>
      <c r="HI54" s="32" t="n">
        <f aca="false">INDEX(Вводные!$D$13:$F$64,MATCH($A54,Вводные!$A$13:$A$64,0),MATCH(HI$3,Вводные!$D$11:$F$11,0))*(1+IF(HI$4=$A54,Вводные!$D$5*INDEX(Вводные!$G$13:$G$64,MATCH($A54,Вводные!$A$13:$A$64,0)),0))</f>
        <v>0.2</v>
      </c>
      <c r="HJ54" s="32" t="n">
        <f aca="false">INDEX(Вводные!$D$13:$F$64,MATCH($A54,Вводные!$A$13:$A$64,0),MATCH(HJ$3,Вводные!$D$11:$F$11,0))*(1+IF(HJ$4=$A54,Вводные!$D$5*INDEX(Вводные!$G$13:$G$64,MATCH($A54,Вводные!$A$13:$A$64,0)),0))</f>
        <v>0.2</v>
      </c>
      <c r="HK54" s="32" t="n">
        <f aca="false">INDEX(Вводные!$D$13:$F$64,MATCH($A54,Вводные!$A$13:$A$64,0),MATCH(HK$3,Вводные!$D$11:$F$11,0))*(1+IF(HK$4=$A54,Вводные!$D$5*INDEX(Вводные!$G$13:$G$64,MATCH($A54,Вводные!$A$13:$A$64,0)),0))</f>
        <v>0.2</v>
      </c>
      <c r="HL54" s="32" t="n">
        <f aca="false">INDEX(Вводные!$D$13:$F$64,MATCH($A54,Вводные!$A$13:$A$64,0),MATCH(HL$3,Вводные!$D$11:$F$11,0))*(1+IF(HL$4=$A54,Вводные!$D$5*INDEX(Вводные!$G$13:$G$64,MATCH($A54,Вводные!$A$13:$A$64,0)),0))</f>
        <v>0.05</v>
      </c>
      <c r="HM54" s="32" t="n">
        <f aca="false">INDEX(Вводные!$D$13:$F$64,MATCH($A54,Вводные!$A$13:$A$64,0),MATCH(HM$3,Вводные!$D$11:$F$11,0))*(1+IF(HM$4=$A54,Вводные!$D$5*INDEX(Вводные!$G$13:$G$64,MATCH($A54,Вводные!$A$13:$A$64,0)),0))</f>
        <v>0.05</v>
      </c>
      <c r="HN54" s="32" t="n">
        <f aca="false">INDEX(Вводные!$D$13:$F$64,MATCH($A54,Вводные!$A$13:$A$64,0),MATCH(HN$3,Вводные!$D$11:$F$11,0))*(1+IF(HN$4=$A54,Вводные!$D$5*INDEX(Вводные!$G$13:$G$64,MATCH($A54,Вводные!$A$13:$A$64,0)),0))</f>
        <v>0.05</v>
      </c>
      <c r="HO54" s="32" t="n">
        <f aca="false">INDEX(Вводные!$D$13:$F$64,MATCH($A54,Вводные!$A$13:$A$64,0),MATCH(HO$3,Вводные!$D$11:$F$11,0))*(1+IF(HO$4=$A54,Вводные!$D$5*INDEX(Вводные!$G$13:$G$64,MATCH($A54,Вводные!$A$13:$A$64,0)),0))</f>
        <v>0.05</v>
      </c>
      <c r="HP54" s="32" t="n">
        <f aca="false">INDEX(Вводные!$D$13:$F$64,MATCH($A54,Вводные!$A$13:$A$64,0),MATCH(HP$3,Вводные!$D$11:$F$11,0))*(1+IF(HP$4=$A54,Вводные!$D$5*INDEX(Вводные!$G$13:$G$64,MATCH($A54,Вводные!$A$13:$A$64,0)),0))</f>
        <v>0.05</v>
      </c>
      <c r="HQ54" s="32" t="n">
        <f aca="false">INDEX(Вводные!$D$13:$F$64,MATCH($A54,Вводные!$A$13:$A$64,0),MATCH(HQ$3,Вводные!$D$11:$F$11,0))*(1+IF(HQ$4=$A54,Вводные!$D$5*INDEX(Вводные!$G$13:$G$64,MATCH($A54,Вводные!$A$13:$A$64,0)),0))</f>
        <v>0.05</v>
      </c>
      <c r="HR54" s="32" t="n">
        <f aca="false">INDEX(Вводные!$D$13:$F$64,MATCH($A54,Вводные!$A$13:$A$64,0),MATCH(HR$3,Вводные!$D$11:$F$11,0))*(1+IF(HR$4=$A54,Вводные!$D$5*INDEX(Вводные!$G$13:$G$64,MATCH($A54,Вводные!$A$13:$A$64,0)),0))</f>
        <v>0.05</v>
      </c>
      <c r="HS54" s="32" t="n">
        <f aca="false">INDEX(Вводные!$D$13:$F$64,MATCH($A54,Вводные!$A$13:$A$64,0),MATCH(HS$3,Вводные!$D$11:$F$11,0))*(1+IF(HS$4=$A54,Вводные!$D$5*INDEX(Вводные!$G$13:$G$64,MATCH($A54,Вводные!$A$13:$A$64,0)),0))</f>
        <v>0.05</v>
      </c>
      <c r="HT54" s="32" t="n">
        <f aca="false">INDEX(Вводные!$D$13:$F$64,MATCH($A54,Вводные!$A$13:$A$64,0),MATCH(HT$3,Вводные!$D$11:$F$11,0))*(1+IF(HT$4=$A54,Вводные!$D$5*INDEX(Вводные!$G$13:$G$64,MATCH($A54,Вводные!$A$13:$A$64,0)),0))</f>
        <v>0.05</v>
      </c>
      <c r="HU54" s="32" t="n">
        <f aca="false">INDEX(Вводные!$D$13:$F$64,MATCH($A54,Вводные!$A$13:$A$64,0),MATCH(HU$3,Вводные!$D$11:$F$11,0))*(1+IF(HU$4=$A54,Вводные!$D$5*INDEX(Вводные!$G$13:$G$64,MATCH($A54,Вводные!$A$13:$A$64,0)),0))</f>
        <v>0.05</v>
      </c>
      <c r="HV54" s="32" t="n">
        <f aca="false">INDEX(Вводные!$D$13:$F$64,MATCH($A54,Вводные!$A$13:$A$64,0),MATCH(HV$3,Вводные!$D$11:$F$11,0))*(1+IF(HV$4=$A54,Вводные!$D$5*INDEX(Вводные!$G$13:$G$64,MATCH($A54,Вводные!$A$13:$A$64,0)),0))</f>
        <v>0.05</v>
      </c>
      <c r="HW54" s="32" t="n">
        <f aca="false">INDEX(Вводные!$D$13:$F$64,MATCH($A54,Вводные!$A$13:$A$64,0),MATCH(HW$3,Вводные!$D$11:$F$11,0))*(1+IF(HW$4=$A54,Вводные!$D$5*INDEX(Вводные!$G$13:$G$64,MATCH($A54,Вводные!$A$13:$A$64,0)),0))</f>
        <v>0.05</v>
      </c>
      <c r="HX54" s="32" t="n">
        <f aca="false">INDEX(Вводные!$D$13:$F$64,MATCH($A54,Вводные!$A$13:$A$64,0),MATCH(HX$3,Вводные!$D$11:$F$11,0))*(1+IF(HX$4=$A54,Вводные!$D$5*INDEX(Вводные!$G$13:$G$64,MATCH($A54,Вводные!$A$13:$A$64,0)),0))</f>
        <v>0.05</v>
      </c>
      <c r="HY54" s="32" t="n">
        <f aca="false">INDEX(Вводные!$D$13:$F$64,MATCH($A54,Вводные!$A$13:$A$64,0),MATCH(HY$3,Вводные!$D$11:$F$11,0))*(1+IF(HY$4=$A54,Вводные!$D$5*INDEX(Вводные!$G$13:$G$64,MATCH($A54,Вводные!$A$13:$A$64,0)),0))</f>
        <v>0.05</v>
      </c>
      <c r="HZ54" s="32" t="n">
        <f aca="false">INDEX(Вводные!$D$13:$F$64,MATCH($A54,Вводные!$A$13:$A$64,0),MATCH(HZ$3,Вводные!$D$11:$F$11,0))*(1+IF(HZ$4=$A54,Вводные!$D$5*INDEX(Вводные!$G$13:$G$64,MATCH($A54,Вводные!$A$13:$A$64,0)),0))</f>
        <v>0.05</v>
      </c>
      <c r="IA54" s="32" t="n">
        <f aca="false">INDEX(Вводные!$D$13:$F$64,MATCH($A54,Вводные!$A$13:$A$64,0),MATCH(IA$3,Вводные!$D$11:$F$11,0))*(1+IF(IA$4=$A54,Вводные!$D$5*INDEX(Вводные!$G$13:$G$64,MATCH($A54,Вводные!$A$13:$A$64,0)),0))</f>
        <v>0.05</v>
      </c>
      <c r="IB54" s="32" t="n">
        <f aca="false">INDEX(Вводные!$D$13:$F$64,MATCH($A54,Вводные!$A$13:$A$64,0),MATCH(IB$3,Вводные!$D$11:$F$11,0))*(1+IF(IB$4=$A54,Вводные!$D$5*INDEX(Вводные!$G$13:$G$64,MATCH($A54,Вводные!$A$13:$A$64,0)),0))</f>
        <v>0.05</v>
      </c>
      <c r="IC54" s="32" t="n">
        <f aca="false">INDEX(Вводные!$D$13:$F$64,MATCH($A54,Вводные!$A$13:$A$64,0),MATCH(IC$3,Вводные!$D$11:$F$11,0))*(1+IF(IC$4=$A54,Вводные!$D$5*INDEX(Вводные!$G$13:$G$64,MATCH($A54,Вводные!$A$13:$A$64,0)),0))</f>
        <v>0.05</v>
      </c>
      <c r="ID54" s="32" t="n">
        <f aca="false">INDEX(Вводные!$D$13:$F$64,MATCH($A54,Вводные!$A$13:$A$64,0),MATCH(ID$3,Вводные!$D$11:$F$11,0))*(1+IF(ID$4=$A54,Вводные!$D$5*INDEX(Вводные!$G$13:$G$64,MATCH($A54,Вводные!$A$13:$A$64,0)),0))</f>
        <v>0.05</v>
      </c>
      <c r="IE54" s="32" t="n">
        <f aca="false">INDEX(Вводные!$D$13:$F$64,MATCH($A54,Вводные!$A$13:$A$64,0),MATCH(IE$3,Вводные!$D$11:$F$11,0))*(1+IF(IE$4=$A54,Вводные!$D$5*INDEX(Вводные!$G$13:$G$64,MATCH($A54,Вводные!$A$13:$A$64,0)),0))</f>
        <v>0.05</v>
      </c>
      <c r="IF54" s="32" t="n">
        <f aca="false">INDEX(Вводные!$D$13:$F$64,MATCH($A54,Вводные!$A$13:$A$64,0),MATCH(IF$3,Вводные!$D$11:$F$11,0))*(1+IF(IF$4=$A54,Вводные!$D$5*INDEX(Вводные!$G$13:$G$64,MATCH($A54,Вводные!$A$13:$A$64,0)),0))</f>
        <v>0.05</v>
      </c>
      <c r="IG54" s="32" t="n">
        <f aca="false">INDEX(Вводные!$D$13:$F$64,MATCH($A54,Вводные!$A$13:$A$64,0),MATCH(IG$3,Вводные!$D$11:$F$11,0))*(1+IF(IG$4=$A54,Вводные!$D$5*INDEX(Вводные!$G$13:$G$64,MATCH($A54,Вводные!$A$13:$A$64,0)),0))</f>
        <v>0.05</v>
      </c>
      <c r="IH54" s="32" t="n">
        <f aca="false">INDEX(Вводные!$D$13:$F$64,MATCH($A54,Вводные!$A$13:$A$64,0),MATCH(IH$3,Вводные!$D$11:$F$11,0))*(1+IF(IH$4=$A54,Вводные!$D$5*INDEX(Вводные!$G$13:$G$64,MATCH($A54,Вводные!$A$13:$A$64,0)),0))</f>
        <v>0.05</v>
      </c>
      <c r="II54" s="32" t="n">
        <f aca="false">INDEX(Вводные!$D$13:$F$64,MATCH($A54,Вводные!$A$13:$A$64,0),MATCH(II$3,Вводные!$D$11:$F$11,0))*(1+IF(II$4=$A54,Вводные!$D$5*INDEX(Вводные!$G$13:$G$64,MATCH($A54,Вводные!$A$13:$A$64,0)),0))</f>
        <v>0.05</v>
      </c>
      <c r="IJ54" s="32" t="n">
        <f aca="false">INDEX(Вводные!$D$13:$F$64,MATCH($A54,Вводные!$A$13:$A$64,0),MATCH(IJ$3,Вводные!$D$11:$F$11,0))*(1+IF(IJ$4=$A54,Вводные!$D$5*INDEX(Вводные!$G$13:$G$64,MATCH($A54,Вводные!$A$13:$A$64,0)),0))</f>
        <v>0.05</v>
      </c>
      <c r="IK54" s="32" t="n">
        <f aca="false">INDEX(Вводные!$D$13:$F$64,MATCH($A54,Вводные!$A$13:$A$64,0),MATCH(IK$3,Вводные!$D$11:$F$11,0))*(1+IF(IK$4=$A54,Вводные!$D$5*INDEX(Вводные!$G$13:$G$64,MATCH($A54,Вводные!$A$13:$A$64,0)),0))</f>
        <v>0.0505</v>
      </c>
      <c r="IL54" s="32" t="n">
        <f aca="false">INDEX(Вводные!$D$13:$F$64,MATCH($A54,Вводные!$A$13:$A$64,0),MATCH(IL$3,Вводные!$D$11:$F$11,0))*(1+IF(IL$4=$A54,Вводные!$D$5*INDEX(Вводные!$G$13:$G$64,MATCH($A54,Вводные!$A$13:$A$64,0)),0))</f>
        <v>0.05</v>
      </c>
      <c r="IM54" s="32" t="n">
        <f aca="false">INDEX(Вводные!$D$13:$F$64,MATCH($A54,Вводные!$A$13:$A$64,0),MATCH(IM$3,Вводные!$D$11:$F$11,0))*(1+IF(IM$4=$A54,Вводные!$D$5*INDEX(Вводные!$G$13:$G$64,MATCH($A54,Вводные!$A$13:$A$64,0)),0))</f>
        <v>0.05</v>
      </c>
      <c r="IN54" s="32" t="n">
        <f aca="false">INDEX(Вводные!$D$13:$F$64,MATCH($A54,Вводные!$A$13:$A$64,0),MATCH(IN$3,Вводные!$D$11:$F$11,0))*(1+IF(IN$4=$A54,Вводные!$D$5*INDEX(Вводные!$G$13:$G$64,MATCH($A54,Вводные!$A$13:$A$64,0)),0))</f>
        <v>0.05</v>
      </c>
      <c r="IO54" s="32" t="n">
        <f aca="false">INDEX(Вводные!$D$13:$F$64,MATCH($A54,Вводные!$A$13:$A$64,0),MATCH(IO$3,Вводные!$D$11:$F$11,0))*(1+IF(IO$4=$A54,Вводные!$D$5*INDEX(Вводные!$G$13:$G$64,MATCH($A54,Вводные!$A$13:$A$64,0)),0))</f>
        <v>0.05</v>
      </c>
      <c r="IP54" s="32" t="n">
        <f aca="false">INDEX(Вводные!$D$13:$F$64,MATCH($A54,Вводные!$A$13:$A$64,0),MATCH(IP$3,Вводные!$D$11:$F$11,0))*(1+IF(IP$4=$A54,Вводные!$D$5*INDEX(Вводные!$G$13:$G$64,MATCH($A54,Вводные!$A$13:$A$64,0)),0))</f>
        <v>0.05</v>
      </c>
      <c r="IQ54" s="32" t="n">
        <f aca="false">INDEX(Вводные!$D$13:$F$64,MATCH($A54,Вводные!$A$13:$A$64,0),MATCH(IQ$3,Вводные!$D$11:$F$11,0))*(1+IF(IQ$4=$A54,Вводные!$D$5*INDEX(Вводные!$G$13:$G$64,MATCH($A54,Вводные!$A$13:$A$64,0)),0))</f>
        <v>0.05</v>
      </c>
      <c r="IR54" s="32" t="n">
        <f aca="false">INDEX(Вводные!$D$13:$F$64,MATCH($A54,Вводные!$A$13:$A$64,0),MATCH(IR$3,Вводные!$D$11:$F$11,0))*(1+IF(IR$4=$A54,Вводные!$D$5*INDEX(Вводные!$G$13:$G$64,MATCH($A54,Вводные!$A$13:$A$64,0)),0))</f>
        <v>0.05</v>
      </c>
      <c r="IS54" s="32" t="n">
        <f aca="false">INDEX(Вводные!$D$13:$F$64,MATCH($A54,Вводные!$A$13:$A$64,0),MATCH(IS$3,Вводные!$D$11:$F$11,0))*(1+IF(IS$4=$A54,Вводные!$D$5*INDEX(Вводные!$G$13:$G$64,MATCH($A54,Вводные!$A$13:$A$64,0)),0))</f>
        <v>0.05</v>
      </c>
      <c r="IT54" s="32" t="n">
        <f aca="false">INDEX(Вводные!$D$13:$F$64,MATCH($A54,Вводные!$A$13:$A$64,0),MATCH(IT$3,Вводные!$D$11:$F$11,0))*(1+IF(IT$4=$A54,Вводные!$D$5*INDEX(Вводные!$G$13:$G$64,MATCH($A54,Вводные!$A$13:$A$64,0)),0))</f>
        <v>0.05</v>
      </c>
      <c r="IU54" s="32" t="n">
        <f aca="false">INDEX(Вводные!$D$13:$F$64,MATCH($A54,Вводные!$A$13:$A$64,0),MATCH(IU$3,Вводные!$D$11:$F$11,0))*(1+IF(IU$4=$A54,Вводные!$D$5*INDEX(Вводные!$G$13:$G$64,MATCH($A54,Вводные!$A$13:$A$64,0)),0))</f>
        <v>0.05</v>
      </c>
      <c r="IV54" s="32" t="n">
        <f aca="false">INDEX(Вводные!$D$13:$F$64,MATCH($A54,Вводные!$A$13:$A$64,0),MATCH(IV$3,Вводные!$D$11:$F$11,0))*(1+IF(IV$4=$A54,Вводные!$D$5*INDEX(Вводные!$G$13:$G$64,MATCH($A54,Вводные!$A$13:$A$64,0)),0))</f>
        <v>0.05</v>
      </c>
      <c r="IW54" s="32" t="n">
        <f aca="false">INDEX(Вводные!$D$13:$F$64,MATCH($A54,Вводные!$A$13:$A$64,0),MATCH(IW$3,Вводные!$D$11:$F$11,0))*(1+IF(IW$4=$A54,Вводные!$D$5*INDEX(Вводные!$G$13:$G$64,MATCH($A54,Вводные!$A$13:$A$64,0)),0))</f>
        <v>0.05</v>
      </c>
      <c r="IX54" s="32" t="n">
        <f aca="false">INDEX(Вводные!$D$13:$F$64,MATCH($A54,Вводные!$A$13:$A$64,0),MATCH(IX$3,Вводные!$D$11:$F$11,0))*(1+IF(IX$4=$A54,Вводные!$D$5*INDEX(Вводные!$G$13:$G$64,MATCH($A54,Вводные!$A$13:$A$64,0)),0))</f>
        <v>0.05</v>
      </c>
      <c r="IY54" s="32" t="n">
        <f aca="false">INDEX(Вводные!$D$13:$F$64,MATCH($A54,Вводные!$A$13:$A$64,0),MATCH(IY$3,Вводные!$D$11:$F$11,0))*(1+IF(IY$4=$A54,Вводные!$D$5*INDEX(Вводные!$G$13:$G$64,MATCH($A54,Вводные!$A$13:$A$64,0)),0))</f>
        <v>0.05</v>
      </c>
      <c r="IZ54" s="32" t="n">
        <f aca="false">INDEX(Вводные!$D$13:$F$64,MATCH($A54,Вводные!$A$13:$A$64,0),MATCH(IZ$3,Вводные!$D$11:$F$11,0))*(1+IF(IZ$4=$A54,Вводные!$D$5*INDEX(Вводные!$G$13:$G$64,MATCH($A54,Вводные!$A$13:$A$64,0)),0))</f>
        <v>0.05</v>
      </c>
      <c r="JA54" s="32" t="n">
        <f aca="false">INDEX(Вводные!$D$13:$F$64,MATCH($A54,Вводные!$A$13:$A$64,0),MATCH(JA$3,Вводные!$D$11:$F$11,0))*(1+IF(JA$4=$A54,Вводные!$D$5*INDEX(Вводные!$G$13:$G$64,MATCH($A54,Вводные!$A$13:$A$64,0)),0))</f>
        <v>0.05</v>
      </c>
    </row>
    <row r="55" customFormat="false" ht="15" hidden="false" customHeight="false" outlineLevel="0" collapsed="false">
      <c r="A55" s="2" t="s">
        <v>244</v>
      </c>
      <c r="B55" s="13" t="s">
        <v>245</v>
      </c>
      <c r="C55" s="13" t="s">
        <v>179</v>
      </c>
      <c r="D55" s="9" t="s">
        <v>246</v>
      </c>
      <c r="E55" s="59" t="n">
        <f aca="false">E19*E54</f>
        <v>81140000</v>
      </c>
      <c r="F55" s="59" t="n">
        <f aca="false">F19*F54</f>
        <v>604400000</v>
      </c>
      <c r="G55" s="59" t="n">
        <f aca="false">G19*G54</f>
        <v>502500000</v>
      </c>
      <c r="H55" s="59" t="n">
        <f aca="false">SUM(E55:G55)</f>
        <v>1188040000</v>
      </c>
      <c r="J55" s="59" t="n">
        <f aca="false">J19*J54</f>
        <v>81140000</v>
      </c>
      <c r="K55" s="59" t="n">
        <f aca="false">K19*K54</f>
        <v>81199400</v>
      </c>
      <c r="L55" s="59" t="n">
        <f aca="false">L19*L54</f>
        <v>81199400</v>
      </c>
      <c r="M55" s="59" t="n">
        <f aca="false">M19*M54</f>
        <v>81199400</v>
      </c>
      <c r="N55" s="59" t="n">
        <f aca="false">N19*N54</f>
        <v>81188000</v>
      </c>
      <c r="O55" s="59" t="n">
        <f aca="false">O19*O54</f>
        <v>81140000</v>
      </c>
      <c r="P55" s="59" t="n">
        <f aca="false">P19*P54</f>
        <v>81140000</v>
      </c>
      <c r="Q55" s="59" t="n">
        <f aca="false">Q19*Q54</f>
        <v>81140000</v>
      </c>
      <c r="R55" s="59" t="n">
        <f aca="false">R19*R54</f>
        <v>81140000</v>
      </c>
      <c r="S55" s="59" t="n">
        <f aca="false">S19*S54</f>
        <v>81140000</v>
      </c>
      <c r="T55" s="59" t="n">
        <f aca="false">T19*T54</f>
        <v>81951400</v>
      </c>
      <c r="U55" s="59" t="n">
        <f aca="false">U19*U54</f>
        <v>81140000</v>
      </c>
      <c r="V55" s="59" t="n">
        <f aca="false">V19*V54</f>
        <v>81140000</v>
      </c>
      <c r="W55" s="59" t="n">
        <f aca="false">W19*W54</f>
        <v>81140000</v>
      </c>
      <c r="X55" s="59" t="n">
        <f aca="false">X19*X54</f>
        <v>81140000</v>
      </c>
      <c r="Y55" s="59" t="n">
        <f aca="false">Y19*Y54</f>
        <v>81140000</v>
      </c>
      <c r="Z55" s="59" t="n">
        <f aca="false">Z19*Z54</f>
        <v>81140000</v>
      </c>
      <c r="AA55" s="59" t="n">
        <f aca="false">AA19*AA54</f>
        <v>81140000</v>
      </c>
      <c r="AB55" s="59" t="n">
        <f aca="false">AB19*AB54</f>
        <v>81140000</v>
      </c>
      <c r="AC55" s="59" t="n">
        <f aca="false">AC19*AC54</f>
        <v>81140000</v>
      </c>
      <c r="AD55" s="59" t="n">
        <f aca="false">AD19*AD54</f>
        <v>81140000</v>
      </c>
      <c r="AE55" s="59" t="n">
        <f aca="false">AE19*AE54</f>
        <v>81140000</v>
      </c>
      <c r="AF55" s="59" t="n">
        <f aca="false">AF19*AF54</f>
        <v>81140000</v>
      </c>
      <c r="AG55" s="59" t="n">
        <f aca="false">AG19*AG54</f>
        <v>81140000</v>
      </c>
      <c r="AH55" s="59" t="n">
        <f aca="false">AH19*AH54</f>
        <v>81140000</v>
      </c>
      <c r="AI55" s="59" t="n">
        <f aca="false">AI19*AI54</f>
        <v>81951400</v>
      </c>
      <c r="AJ55" s="59" t="n">
        <f aca="false">AJ19*AJ54</f>
        <v>81140000</v>
      </c>
      <c r="AK55" s="59" t="n">
        <f aca="false">AK19*AK54</f>
        <v>81140000</v>
      </c>
      <c r="AL55" s="59" t="n">
        <f aca="false">AL19*AL54</f>
        <v>81140000</v>
      </c>
      <c r="AM55" s="59" t="n">
        <f aca="false">AM19*AM54</f>
        <v>81140000</v>
      </c>
      <c r="AN55" s="59" t="n">
        <f aca="false">AN19*AN54</f>
        <v>81140000</v>
      </c>
      <c r="AO55" s="59" t="n">
        <f aca="false">AO19*AO54</f>
        <v>81140000</v>
      </c>
      <c r="AP55" s="59" t="n">
        <f aca="false">AP19*AP54</f>
        <v>81140000</v>
      </c>
      <c r="AQ55" s="59" t="n">
        <f aca="false">AQ19*AQ54</f>
        <v>81140000</v>
      </c>
      <c r="AR55" s="59" t="n">
        <f aca="false">AR19*AR54</f>
        <v>81140000</v>
      </c>
      <c r="AS55" s="59" t="n">
        <f aca="false">AS19*AS54</f>
        <v>81140000</v>
      </c>
      <c r="AT55" s="59" t="n">
        <f aca="false">AT19*AT54</f>
        <v>81140000</v>
      </c>
      <c r="AU55" s="59" t="n">
        <f aca="false">AU19*AU54</f>
        <v>81140000</v>
      </c>
      <c r="AV55" s="59" t="n">
        <f aca="false">AV19*AV54</f>
        <v>81140000</v>
      </c>
      <c r="AW55" s="59" t="n">
        <f aca="false">AW19*AW54</f>
        <v>81140000</v>
      </c>
      <c r="AX55" s="59" t="n">
        <f aca="false">AX19*AX54</f>
        <v>81140000</v>
      </c>
      <c r="AY55" s="59" t="n">
        <f aca="false">AY19*AY54</f>
        <v>81140000</v>
      </c>
      <c r="AZ55" s="59" t="n">
        <f aca="false">AZ19*AZ54</f>
        <v>604400000</v>
      </c>
      <c r="BA55" s="59" t="n">
        <f aca="false">BA19*BA54</f>
        <v>604624000</v>
      </c>
      <c r="BB55" s="59" t="n">
        <f aca="false">BB19*BB54</f>
        <v>604624000</v>
      </c>
      <c r="BC55" s="59" t="n">
        <f aca="false">BC19*BC54</f>
        <v>604624000</v>
      </c>
      <c r="BD55" s="59" t="n">
        <f aca="false">BD19*BD54</f>
        <v>604580000</v>
      </c>
      <c r="BE55" s="59" t="n">
        <f aca="false">BE19*BE54</f>
        <v>604400000</v>
      </c>
      <c r="BF55" s="59" t="n">
        <f aca="false">BF19*BF54</f>
        <v>604400000</v>
      </c>
      <c r="BG55" s="59" t="n">
        <f aca="false">BG19*BG54</f>
        <v>604400000</v>
      </c>
      <c r="BH55" s="59" t="n">
        <f aca="false">BH19*BH54</f>
        <v>604400000</v>
      </c>
      <c r="BI55" s="59" t="n">
        <f aca="false">BI19*BI54</f>
        <v>604400000</v>
      </c>
      <c r="BJ55" s="59" t="n">
        <f aca="false">BJ19*BJ54</f>
        <v>610444000</v>
      </c>
      <c r="BK55" s="59" t="n">
        <f aca="false">BK19*BK54</f>
        <v>604400000</v>
      </c>
      <c r="BL55" s="59" t="n">
        <f aca="false">BL19*BL54</f>
        <v>604400000</v>
      </c>
      <c r="BM55" s="59" t="n">
        <f aca="false">BM19*BM54</f>
        <v>604400000</v>
      </c>
      <c r="BN55" s="59" t="n">
        <f aca="false">BN19*BN54</f>
        <v>604400000</v>
      </c>
      <c r="BO55" s="59" t="n">
        <f aca="false">BO19*BO54</f>
        <v>604400000</v>
      </c>
      <c r="BP55" s="59" t="n">
        <f aca="false">BP19*BP54</f>
        <v>604400000</v>
      </c>
      <c r="BQ55" s="59" t="n">
        <f aca="false">BQ19*BQ54</f>
        <v>604400000</v>
      </c>
      <c r="BR55" s="59" t="n">
        <f aca="false">BR19*BR54</f>
        <v>604400000</v>
      </c>
      <c r="BS55" s="59" t="n">
        <f aca="false">BS19*BS54</f>
        <v>604400000</v>
      </c>
      <c r="BT55" s="59" t="n">
        <f aca="false">BT19*BT54</f>
        <v>604400000</v>
      </c>
      <c r="BU55" s="59" t="n">
        <f aca="false">BU19*BU54</f>
        <v>604400000</v>
      </c>
      <c r="BV55" s="59" t="n">
        <f aca="false">BV19*BV54</f>
        <v>604400000</v>
      </c>
      <c r="BW55" s="59" t="n">
        <f aca="false">BW19*BW54</f>
        <v>604400000</v>
      </c>
      <c r="BX55" s="59" t="n">
        <f aca="false">BX19*BX54</f>
        <v>604400000</v>
      </c>
      <c r="BY55" s="59" t="n">
        <f aca="false">BY19*BY54</f>
        <v>610444000</v>
      </c>
      <c r="BZ55" s="59" t="n">
        <f aca="false">BZ19*BZ54</f>
        <v>604400000</v>
      </c>
      <c r="CA55" s="59" t="n">
        <f aca="false">CA19*CA54</f>
        <v>604400000</v>
      </c>
      <c r="CB55" s="59" t="n">
        <f aca="false">CB19*CB54</f>
        <v>604400000</v>
      </c>
      <c r="CC55" s="59" t="n">
        <f aca="false">CC19*CC54</f>
        <v>604400000</v>
      </c>
      <c r="CD55" s="59" t="n">
        <f aca="false">CD19*CD54</f>
        <v>604400000</v>
      </c>
      <c r="CE55" s="59" t="n">
        <f aca="false">CE19*CE54</f>
        <v>604400000</v>
      </c>
      <c r="CF55" s="59" t="n">
        <f aca="false">CF19*CF54</f>
        <v>604400000</v>
      </c>
      <c r="CG55" s="59" t="n">
        <f aca="false">CG19*CG54</f>
        <v>604400000</v>
      </c>
      <c r="CH55" s="59" t="n">
        <f aca="false">CH19*CH54</f>
        <v>604400000</v>
      </c>
      <c r="CI55" s="59" t="n">
        <f aca="false">CI19*CI54</f>
        <v>604400000</v>
      </c>
      <c r="CJ55" s="59" t="n">
        <f aca="false">CJ19*CJ54</f>
        <v>604400000</v>
      </c>
      <c r="CK55" s="59" t="n">
        <f aca="false">CK19*CK54</f>
        <v>604400000</v>
      </c>
      <c r="CL55" s="59" t="n">
        <f aca="false">CL19*CL54</f>
        <v>604400000</v>
      </c>
      <c r="CM55" s="59" t="n">
        <f aca="false">CM19*CM54</f>
        <v>604400000</v>
      </c>
      <c r="CN55" s="59" t="n">
        <f aca="false">CN19*CN54</f>
        <v>604400000</v>
      </c>
      <c r="CO55" s="59" t="n">
        <f aca="false">CO19*CO54</f>
        <v>604400000</v>
      </c>
      <c r="CP55" s="59" t="n">
        <f aca="false">CP19*CP54</f>
        <v>502500000</v>
      </c>
      <c r="CQ55" s="59" t="n">
        <f aca="false">CQ19*CQ54</f>
        <v>502725000</v>
      </c>
      <c r="CR55" s="59" t="n">
        <f aca="false">CR19*CR54</f>
        <v>502725000</v>
      </c>
      <c r="CS55" s="59" t="n">
        <f aca="false">CS19*CS54</f>
        <v>502725000</v>
      </c>
      <c r="CT55" s="59" t="n">
        <f aca="false">CT19*CT54</f>
        <v>502700000</v>
      </c>
      <c r="CU55" s="59" t="n">
        <f aca="false">CU19*CU54</f>
        <v>502500000</v>
      </c>
      <c r="CV55" s="59" t="n">
        <f aca="false">CV19*CV54</f>
        <v>502500000</v>
      </c>
      <c r="CW55" s="59" t="n">
        <f aca="false">CW19*CW54</f>
        <v>502500000</v>
      </c>
      <c r="CX55" s="59" t="n">
        <f aca="false">CX19*CX54</f>
        <v>502500000</v>
      </c>
      <c r="CY55" s="59" t="n">
        <f aca="false">CY19*CY54</f>
        <v>502500000</v>
      </c>
      <c r="CZ55" s="59" t="n">
        <f aca="false">CZ19*CZ54</f>
        <v>507525000</v>
      </c>
      <c r="DA55" s="59" t="n">
        <f aca="false">DA19*DA54</f>
        <v>502500000</v>
      </c>
      <c r="DB55" s="59" t="n">
        <f aca="false">DB19*DB54</f>
        <v>502500000</v>
      </c>
      <c r="DC55" s="59" t="n">
        <f aca="false">DC19*DC54</f>
        <v>502500000</v>
      </c>
      <c r="DD55" s="59" t="n">
        <f aca="false">DD19*DD54</f>
        <v>502500000</v>
      </c>
      <c r="DE55" s="59" t="n">
        <f aca="false">DE19*DE54</f>
        <v>502500000</v>
      </c>
      <c r="DF55" s="59" t="n">
        <f aca="false">DF19*DF54</f>
        <v>502500000</v>
      </c>
      <c r="DG55" s="59" t="n">
        <f aca="false">DG19*DG54</f>
        <v>502500000</v>
      </c>
      <c r="DH55" s="59" t="n">
        <f aca="false">DH19*DH54</f>
        <v>502500000</v>
      </c>
      <c r="DI55" s="59" t="n">
        <f aca="false">DI19*DI54</f>
        <v>502500000</v>
      </c>
      <c r="DJ55" s="59" t="n">
        <f aca="false">DJ19*DJ54</f>
        <v>502500000</v>
      </c>
      <c r="DK55" s="59" t="n">
        <f aca="false">DK19*DK54</f>
        <v>502500000</v>
      </c>
      <c r="DL55" s="59" t="n">
        <f aca="false">DL19*DL54</f>
        <v>502500000</v>
      </c>
      <c r="DM55" s="59" t="n">
        <f aca="false">DM19*DM54</f>
        <v>502500000</v>
      </c>
      <c r="DN55" s="59" t="n">
        <f aca="false">DN19*DN54</f>
        <v>502500000</v>
      </c>
      <c r="DO55" s="59" t="n">
        <f aca="false">DO19*DO54</f>
        <v>507525000</v>
      </c>
      <c r="DP55" s="59" t="n">
        <f aca="false">DP19*DP54</f>
        <v>502500000</v>
      </c>
      <c r="DQ55" s="59" t="n">
        <f aca="false">DQ19*DQ54</f>
        <v>502500000</v>
      </c>
      <c r="DR55" s="59" t="n">
        <f aca="false">DR19*DR54</f>
        <v>502500000</v>
      </c>
      <c r="DS55" s="59" t="n">
        <f aca="false">DS19*DS54</f>
        <v>502500000</v>
      </c>
      <c r="DT55" s="59" t="n">
        <f aca="false">DT19*DT54</f>
        <v>502500000</v>
      </c>
      <c r="DU55" s="59" t="n">
        <f aca="false">DU19*DU54</f>
        <v>502500000</v>
      </c>
      <c r="DV55" s="59" t="n">
        <f aca="false">DV19*DV54</f>
        <v>502500000</v>
      </c>
      <c r="DW55" s="59" t="n">
        <f aca="false">DW19*DW54</f>
        <v>502500000</v>
      </c>
      <c r="DX55" s="59" t="n">
        <f aca="false">DX19*DX54</f>
        <v>502500000</v>
      </c>
      <c r="DY55" s="59" t="n">
        <f aca="false">DY19*DY54</f>
        <v>502500000</v>
      </c>
      <c r="DZ55" s="59" t="n">
        <f aca="false">DZ19*DZ54</f>
        <v>502500000</v>
      </c>
      <c r="EA55" s="59" t="n">
        <f aca="false">EA19*EA54</f>
        <v>502500000</v>
      </c>
      <c r="EB55" s="59" t="n">
        <f aca="false">EB19*EB54</f>
        <v>502500000</v>
      </c>
      <c r="EC55" s="59" t="n">
        <f aca="false">EC19*EC54</f>
        <v>502500000</v>
      </c>
      <c r="ED55" s="59" t="n">
        <f aca="false">ED19*ED54</f>
        <v>502500000</v>
      </c>
      <c r="EE55" s="59" t="n">
        <f aca="false">EE19*EE54</f>
        <v>502500000</v>
      </c>
      <c r="EF55" s="59" t="n">
        <f aca="false">EF19*EF54</f>
        <v>99000000</v>
      </c>
      <c r="EG55" s="59" t="n">
        <f aca="false">EG19*EG54</f>
        <v>99990000</v>
      </c>
      <c r="EH55" s="59" t="n">
        <f aca="false">EH19*EH54</f>
        <v>99990000</v>
      </c>
      <c r="EI55" s="59" t="n">
        <f aca="false">EI19*EI54</f>
        <v>99990000</v>
      </c>
      <c r="EJ55" s="59" t="n">
        <f aca="false">EJ19*EJ54</f>
        <v>100000000</v>
      </c>
      <c r="EK55" s="59" t="n">
        <f aca="false">EK19*EK54</f>
        <v>99000000</v>
      </c>
      <c r="EL55" s="59" t="n">
        <f aca="false">EL19*EL54</f>
        <v>99000000</v>
      </c>
      <c r="EM55" s="59" t="n">
        <f aca="false">EM19*EM54</f>
        <v>99000000</v>
      </c>
      <c r="EN55" s="59" t="n">
        <f aca="false">EN19*EN54</f>
        <v>99000000</v>
      </c>
      <c r="EO55" s="59" t="n">
        <f aca="false">EO19*EO54</f>
        <v>99000000</v>
      </c>
      <c r="EP55" s="59" t="n">
        <f aca="false">EP19*EP54</f>
        <v>99990000</v>
      </c>
      <c r="EQ55" s="59" t="n">
        <f aca="false">EQ19*EQ54</f>
        <v>99000000</v>
      </c>
      <c r="ER55" s="59" t="n">
        <f aca="false">ER19*ER54</f>
        <v>99000000</v>
      </c>
      <c r="ES55" s="59" t="n">
        <f aca="false">ES19*ES54</f>
        <v>99000000</v>
      </c>
      <c r="ET55" s="59" t="n">
        <f aca="false">ET19*ET54</f>
        <v>99000000</v>
      </c>
      <c r="EU55" s="59" t="n">
        <f aca="false">EU19*EU54</f>
        <v>99000000</v>
      </c>
      <c r="EV55" s="59" t="n">
        <f aca="false">EV19*EV54</f>
        <v>99000000</v>
      </c>
      <c r="EW55" s="59" t="n">
        <f aca="false">EW19*EW54</f>
        <v>99000000</v>
      </c>
      <c r="EX55" s="59" t="n">
        <f aca="false">EX19*EX54</f>
        <v>99000000</v>
      </c>
      <c r="EY55" s="59" t="n">
        <f aca="false">EY19*EY54</f>
        <v>99000000</v>
      </c>
      <c r="EZ55" s="59" t="n">
        <f aca="false">EZ19*EZ54</f>
        <v>99000000</v>
      </c>
      <c r="FA55" s="59" t="n">
        <f aca="false">FA19*FA54</f>
        <v>99000000</v>
      </c>
      <c r="FB55" s="59" t="n">
        <f aca="false">FB19*FB54</f>
        <v>99000000</v>
      </c>
      <c r="FC55" s="59" t="n">
        <f aca="false">FC19*FC54</f>
        <v>99000000</v>
      </c>
      <c r="FD55" s="59" t="n">
        <f aca="false">FD19*FD54</f>
        <v>99000000</v>
      </c>
      <c r="FE55" s="59" t="n">
        <f aca="false">FE19*FE54</f>
        <v>99990000</v>
      </c>
      <c r="FF55" s="59" t="n">
        <f aca="false">FF19*FF54</f>
        <v>99000000</v>
      </c>
      <c r="FG55" s="59" t="n">
        <f aca="false">FG19*FG54</f>
        <v>99000000</v>
      </c>
      <c r="FH55" s="59" t="n">
        <f aca="false">FH19*FH54</f>
        <v>99000000</v>
      </c>
      <c r="FI55" s="59" t="n">
        <f aca="false">FI19*FI54</f>
        <v>99000000</v>
      </c>
      <c r="FJ55" s="59" t="n">
        <f aca="false">FJ19*FJ54</f>
        <v>99000000</v>
      </c>
      <c r="FK55" s="59" t="n">
        <f aca="false">FK19*FK54</f>
        <v>99000000</v>
      </c>
      <c r="FL55" s="59" t="n">
        <f aca="false">FL19*FL54</f>
        <v>99000000</v>
      </c>
      <c r="FM55" s="59" t="n">
        <f aca="false">FM19*FM54</f>
        <v>99000000</v>
      </c>
      <c r="FN55" s="59" t="n">
        <f aca="false">FN19*FN54</f>
        <v>99000000</v>
      </c>
      <c r="FO55" s="59" t="n">
        <f aca="false">FO19*FO54</f>
        <v>99000000</v>
      </c>
      <c r="FP55" s="59" t="n">
        <f aca="false">FP19*FP54</f>
        <v>99000000</v>
      </c>
      <c r="FQ55" s="59" t="n">
        <f aca="false">FQ19*FQ54</f>
        <v>99000000</v>
      </c>
      <c r="FR55" s="59" t="n">
        <f aca="false">FR19*FR54</f>
        <v>99000000</v>
      </c>
      <c r="FS55" s="59" t="n">
        <f aca="false">FS19*FS54</f>
        <v>99000000</v>
      </c>
      <c r="FT55" s="59" t="n">
        <f aca="false">FT19*FT54</f>
        <v>99000000</v>
      </c>
      <c r="FU55" s="59" t="n">
        <f aca="false">FU19*FU54</f>
        <v>99000000</v>
      </c>
      <c r="FV55" s="59" t="n">
        <f aca="false">FV19*FV54</f>
        <v>746666666.666667</v>
      </c>
      <c r="FW55" s="59" t="n">
        <f aca="false">FW19*FW54</f>
        <v>754133333.333334</v>
      </c>
      <c r="FX55" s="59" t="n">
        <f aca="false">FX19*FX54</f>
        <v>754133333.333334</v>
      </c>
      <c r="FY55" s="59" t="n">
        <f aca="false">FY19*FY54</f>
        <v>754133333.333334</v>
      </c>
      <c r="FZ55" s="59" t="n">
        <f aca="false">FZ19*FZ54</f>
        <v>754208754.208754</v>
      </c>
      <c r="GA55" s="59" t="n">
        <f aca="false">GA19*GA54</f>
        <v>746666666.666667</v>
      </c>
      <c r="GB55" s="59" t="n">
        <f aca="false">GB19*GB54</f>
        <v>746666666.666667</v>
      </c>
      <c r="GC55" s="59" t="n">
        <f aca="false">GC19*GC54</f>
        <v>746666666.666667</v>
      </c>
      <c r="GD55" s="59" t="n">
        <f aca="false">GD19*GD54</f>
        <v>746666666.666667</v>
      </c>
      <c r="GE55" s="59" t="n">
        <f aca="false">GE19*GE54</f>
        <v>746666666.666667</v>
      </c>
      <c r="GF55" s="59" t="n">
        <f aca="false">GF19*GF54</f>
        <v>754133333.333334</v>
      </c>
      <c r="GG55" s="59" t="n">
        <f aca="false">GG19*GG54</f>
        <v>746666666.666667</v>
      </c>
      <c r="GH55" s="59" t="n">
        <f aca="false">GH19*GH54</f>
        <v>746666666.666667</v>
      </c>
      <c r="GI55" s="59" t="n">
        <f aca="false">GI19*GI54</f>
        <v>746666666.666667</v>
      </c>
      <c r="GJ55" s="59" t="n">
        <f aca="false">GJ19*GJ54</f>
        <v>746666666.666667</v>
      </c>
      <c r="GK55" s="59" t="n">
        <f aca="false">GK19*GK54</f>
        <v>746666666.666667</v>
      </c>
      <c r="GL55" s="59" t="n">
        <f aca="false">GL19*GL54</f>
        <v>746666666.666667</v>
      </c>
      <c r="GM55" s="59" t="n">
        <f aca="false">GM19*GM54</f>
        <v>746666666.666667</v>
      </c>
      <c r="GN55" s="59" t="n">
        <f aca="false">GN19*GN54</f>
        <v>746666666.666667</v>
      </c>
      <c r="GO55" s="59" t="n">
        <f aca="false">GO19*GO54</f>
        <v>746666666.666667</v>
      </c>
      <c r="GP55" s="59" t="n">
        <f aca="false">GP19*GP54</f>
        <v>746666666.666667</v>
      </c>
      <c r="GQ55" s="59" t="n">
        <f aca="false">GQ19*GQ54</f>
        <v>746666666.666667</v>
      </c>
      <c r="GR55" s="59" t="n">
        <f aca="false">GR19*GR54</f>
        <v>746666666.666667</v>
      </c>
      <c r="GS55" s="59" t="n">
        <f aca="false">GS19*GS54</f>
        <v>746666666.666667</v>
      </c>
      <c r="GT55" s="59" t="n">
        <f aca="false">GT19*GT54</f>
        <v>746666666.666667</v>
      </c>
      <c r="GU55" s="59" t="n">
        <f aca="false">GU19*GU54</f>
        <v>754133333.333333</v>
      </c>
      <c r="GV55" s="59" t="n">
        <f aca="false">GV19*GV54</f>
        <v>746666666.666667</v>
      </c>
      <c r="GW55" s="59" t="n">
        <f aca="false">GW19*GW54</f>
        <v>746666666.666667</v>
      </c>
      <c r="GX55" s="59" t="n">
        <f aca="false">GX19*GX54</f>
        <v>746666666.666667</v>
      </c>
      <c r="GY55" s="59" t="n">
        <f aca="false">GY19*GY54</f>
        <v>746666666.666667</v>
      </c>
      <c r="GZ55" s="59" t="n">
        <f aca="false">GZ19*GZ54</f>
        <v>746666666.666667</v>
      </c>
      <c r="HA55" s="59" t="n">
        <f aca="false">HA19*HA54</f>
        <v>746666666.666667</v>
      </c>
      <c r="HB55" s="59" t="n">
        <f aca="false">HB19*HB54</f>
        <v>746666666.666667</v>
      </c>
      <c r="HC55" s="59" t="n">
        <f aca="false">HC19*HC54</f>
        <v>746666666.666667</v>
      </c>
      <c r="HD55" s="59" t="n">
        <f aca="false">HD19*HD54</f>
        <v>746666666.666667</v>
      </c>
      <c r="HE55" s="59" t="n">
        <f aca="false">HE19*HE54</f>
        <v>746666666.666667</v>
      </c>
      <c r="HF55" s="59" t="n">
        <f aca="false">HF19*HF54</f>
        <v>746666666.666667</v>
      </c>
      <c r="HG55" s="59" t="n">
        <f aca="false">HG19*HG54</f>
        <v>746666666.666667</v>
      </c>
      <c r="HH55" s="59" t="n">
        <f aca="false">HH19*HH54</f>
        <v>746666666.666667</v>
      </c>
      <c r="HI55" s="59" t="n">
        <f aca="false">HI19*HI54</f>
        <v>746666666.666667</v>
      </c>
      <c r="HJ55" s="59" t="n">
        <f aca="false">HJ19*HJ54</f>
        <v>746666666.666667</v>
      </c>
      <c r="HK55" s="59" t="n">
        <f aca="false">HK19*HK54</f>
        <v>746666666.666667</v>
      </c>
      <c r="HL55" s="59" t="n">
        <f aca="false">HL19*HL54</f>
        <v>562500000</v>
      </c>
      <c r="HM55" s="59" t="n">
        <f aca="false">HM19*HM54</f>
        <v>568125000</v>
      </c>
      <c r="HN55" s="59" t="n">
        <f aca="false">HN19*HN54</f>
        <v>568125000</v>
      </c>
      <c r="HO55" s="59" t="n">
        <f aca="false">HO19*HO54</f>
        <v>568125000</v>
      </c>
      <c r="HP55" s="59" t="n">
        <f aca="false">HP19*HP54</f>
        <v>568181818.181818</v>
      </c>
      <c r="HQ55" s="59" t="n">
        <f aca="false">HQ19*HQ54</f>
        <v>562500000</v>
      </c>
      <c r="HR55" s="59" t="n">
        <f aca="false">HR19*HR54</f>
        <v>562500000</v>
      </c>
      <c r="HS55" s="59" t="n">
        <f aca="false">HS19*HS54</f>
        <v>562500000</v>
      </c>
      <c r="HT55" s="59" t="n">
        <f aca="false">HT19*HT54</f>
        <v>562500000</v>
      </c>
      <c r="HU55" s="59" t="n">
        <f aca="false">HU19*HU54</f>
        <v>562500000</v>
      </c>
      <c r="HV55" s="59" t="n">
        <f aca="false">HV19*HV54</f>
        <v>568125000</v>
      </c>
      <c r="HW55" s="59" t="n">
        <f aca="false">HW19*HW54</f>
        <v>562500000</v>
      </c>
      <c r="HX55" s="59" t="n">
        <f aca="false">HX19*HX54</f>
        <v>562500000</v>
      </c>
      <c r="HY55" s="59" t="n">
        <f aca="false">HY19*HY54</f>
        <v>562500000</v>
      </c>
      <c r="HZ55" s="59" t="n">
        <f aca="false">HZ19*HZ54</f>
        <v>562500000</v>
      </c>
      <c r="IA55" s="59" t="n">
        <f aca="false">IA19*IA54</f>
        <v>562500000</v>
      </c>
      <c r="IB55" s="59" t="n">
        <f aca="false">IB19*IB54</f>
        <v>562500000</v>
      </c>
      <c r="IC55" s="59" t="n">
        <f aca="false">IC19*IC54</f>
        <v>562500000</v>
      </c>
      <c r="ID55" s="59" t="n">
        <f aca="false">ID19*ID54</f>
        <v>562500000</v>
      </c>
      <c r="IE55" s="59" t="n">
        <f aca="false">IE19*IE54</f>
        <v>562500000</v>
      </c>
      <c r="IF55" s="59" t="n">
        <f aca="false">IF19*IF54</f>
        <v>562500000</v>
      </c>
      <c r="IG55" s="59" t="n">
        <f aca="false">IG19*IG54</f>
        <v>562500000</v>
      </c>
      <c r="IH55" s="59" t="n">
        <f aca="false">IH19*IH54</f>
        <v>562500000</v>
      </c>
      <c r="II55" s="59" t="n">
        <f aca="false">II19*II54</f>
        <v>562500000</v>
      </c>
      <c r="IJ55" s="59" t="n">
        <f aca="false">IJ19*IJ54</f>
        <v>562500000</v>
      </c>
      <c r="IK55" s="59" t="n">
        <f aca="false">IK19*IK54</f>
        <v>568125000</v>
      </c>
      <c r="IL55" s="59" t="n">
        <f aca="false">IL19*IL54</f>
        <v>562500000</v>
      </c>
      <c r="IM55" s="59" t="n">
        <f aca="false">IM19*IM54</f>
        <v>562500000</v>
      </c>
      <c r="IN55" s="59" t="n">
        <f aca="false">IN19*IN54</f>
        <v>562500000</v>
      </c>
      <c r="IO55" s="59" t="n">
        <f aca="false">IO19*IO54</f>
        <v>562500000</v>
      </c>
      <c r="IP55" s="59" t="n">
        <f aca="false">IP19*IP54</f>
        <v>562500000</v>
      </c>
      <c r="IQ55" s="59" t="n">
        <f aca="false">IQ19*IQ54</f>
        <v>562500000</v>
      </c>
      <c r="IR55" s="59" t="n">
        <f aca="false">IR19*IR54</f>
        <v>562500000</v>
      </c>
      <c r="IS55" s="59" t="n">
        <f aca="false">IS19*IS54</f>
        <v>562500000</v>
      </c>
      <c r="IT55" s="59" t="n">
        <f aca="false">IT19*IT54</f>
        <v>562500000</v>
      </c>
      <c r="IU55" s="59" t="n">
        <f aca="false">IU19*IU54</f>
        <v>562500000</v>
      </c>
      <c r="IV55" s="59" t="n">
        <f aca="false">IV19*IV54</f>
        <v>562500000</v>
      </c>
      <c r="IW55" s="59" t="n">
        <f aca="false">IW19*IW54</f>
        <v>562500000</v>
      </c>
      <c r="IX55" s="59" t="n">
        <f aca="false">IX19*IX54</f>
        <v>562500000</v>
      </c>
      <c r="IY55" s="59" t="n">
        <f aca="false">IY19*IY54</f>
        <v>562500000</v>
      </c>
      <c r="IZ55" s="59" t="n">
        <f aca="false">IZ19*IZ54</f>
        <v>562500000</v>
      </c>
      <c r="JA55" s="59" t="n">
        <f aca="false">JA19*JA54</f>
        <v>562500000</v>
      </c>
    </row>
    <row r="56" customFormat="false" ht="15" hidden="false" customHeight="false" outlineLevel="0" collapsed="false">
      <c r="A56" s="13" t="s">
        <v>249</v>
      </c>
      <c r="B56" s="13" t="s">
        <v>250</v>
      </c>
      <c r="C56" s="13" t="s">
        <v>194</v>
      </c>
      <c r="D56" s="9" t="s">
        <v>36</v>
      </c>
      <c r="E56" s="32" t="n">
        <f aca="false">INDEX(Вводные!$D$13:$F$64,MATCH($A56,Вводные!$A$13:$A$64,0),MATCH(E$3,Вводные!$D$11:$F$11,0))*(1+IF(E$4=$A56,Вводные!$D$5*INDEX(Вводные!$G$13:$G$64,MATCH($A56,Вводные!$A$13:$A$64,0)),0))</f>
        <v>0.01</v>
      </c>
      <c r="F56" s="32" t="n">
        <f aca="false">INDEX(Вводные!$D$13:$F$64,MATCH($A56,Вводные!$A$13:$A$64,0),MATCH(F$3,Вводные!$D$11:$F$11,0))*(1+IF(F$4=$A56,Вводные!$D$5*INDEX(Вводные!$G$13:$G$64,MATCH($A56,Вводные!$A$13:$A$64,0)),0))</f>
        <v>0.01</v>
      </c>
      <c r="G56" s="32" t="n">
        <f aca="false">INDEX(Вводные!$D$13:$F$64,MATCH($A56,Вводные!$A$13:$A$64,0),MATCH(G$3,Вводные!$D$11:$F$11,0))*(1+IF(G$4=$A56,Вводные!$D$5*INDEX(Вводные!$G$13:$G$64,MATCH($A56,Вводные!$A$13:$A$64,0)),0))</f>
        <v>0.003</v>
      </c>
      <c r="H56" s="60"/>
      <c r="J56" s="32" t="n">
        <f aca="false">INDEX(Вводные!$D$13:$F$64,MATCH($A56,Вводные!$A$13:$A$64,0),MATCH(J$3,Вводные!$D$11:$F$11,0))*(1+IF(J$4=$A56,Вводные!$D$5*INDEX(Вводные!$G$13:$G$64,MATCH($A56,Вводные!$A$13:$A$64,0)),0))</f>
        <v>0.01</v>
      </c>
      <c r="K56" s="32" t="n">
        <f aca="false">INDEX(Вводные!$D$13:$F$64,MATCH($A56,Вводные!$A$13:$A$64,0),MATCH(K$3,Вводные!$D$11:$F$11,0))*(1+IF(K$4=$A56,Вводные!$D$5*INDEX(Вводные!$G$13:$G$64,MATCH($A56,Вводные!$A$13:$A$64,0)),0))</f>
        <v>0.01</v>
      </c>
      <c r="L56" s="32" t="n">
        <f aca="false">INDEX(Вводные!$D$13:$F$64,MATCH($A56,Вводные!$A$13:$A$64,0),MATCH(L$3,Вводные!$D$11:$F$11,0))*(1+IF(L$4=$A56,Вводные!$D$5*INDEX(Вводные!$G$13:$G$64,MATCH($A56,Вводные!$A$13:$A$64,0)),0))</f>
        <v>0.01</v>
      </c>
      <c r="M56" s="32" t="n">
        <f aca="false">INDEX(Вводные!$D$13:$F$64,MATCH($A56,Вводные!$A$13:$A$64,0),MATCH(M$3,Вводные!$D$11:$F$11,0))*(1+IF(M$4=$A56,Вводные!$D$5*INDEX(Вводные!$G$13:$G$64,MATCH($A56,Вводные!$A$13:$A$64,0)),0))</f>
        <v>0.01</v>
      </c>
      <c r="N56" s="32" t="n">
        <f aca="false">INDEX(Вводные!$D$13:$F$64,MATCH($A56,Вводные!$A$13:$A$64,0),MATCH(N$3,Вводные!$D$11:$F$11,0))*(1+IF(N$4=$A56,Вводные!$D$5*INDEX(Вводные!$G$13:$G$64,MATCH($A56,Вводные!$A$13:$A$64,0)),0))</f>
        <v>0.01</v>
      </c>
      <c r="O56" s="32" t="n">
        <f aca="false">INDEX(Вводные!$D$13:$F$64,MATCH($A56,Вводные!$A$13:$A$64,0),MATCH(O$3,Вводные!$D$11:$F$11,0))*(1+IF(O$4=$A56,Вводные!$D$5*INDEX(Вводные!$G$13:$G$64,MATCH($A56,Вводные!$A$13:$A$64,0)),0))</f>
        <v>0.01</v>
      </c>
      <c r="P56" s="32" t="n">
        <f aca="false">INDEX(Вводные!$D$13:$F$64,MATCH($A56,Вводные!$A$13:$A$64,0),MATCH(P$3,Вводные!$D$11:$F$11,0))*(1+IF(P$4=$A56,Вводные!$D$5*INDEX(Вводные!$G$13:$G$64,MATCH($A56,Вводные!$A$13:$A$64,0)),0))</f>
        <v>0.01</v>
      </c>
      <c r="Q56" s="32" t="n">
        <f aca="false">INDEX(Вводные!$D$13:$F$64,MATCH($A56,Вводные!$A$13:$A$64,0),MATCH(Q$3,Вводные!$D$11:$F$11,0))*(1+IF(Q$4=$A56,Вводные!$D$5*INDEX(Вводные!$G$13:$G$64,MATCH($A56,Вводные!$A$13:$A$64,0)),0))</f>
        <v>0.01</v>
      </c>
      <c r="R56" s="32" t="n">
        <f aca="false">INDEX(Вводные!$D$13:$F$64,MATCH($A56,Вводные!$A$13:$A$64,0),MATCH(R$3,Вводные!$D$11:$F$11,0))*(1+IF(R$4=$A56,Вводные!$D$5*INDEX(Вводные!$G$13:$G$64,MATCH($A56,Вводные!$A$13:$A$64,0)),0))</f>
        <v>0.01</v>
      </c>
      <c r="S56" s="32" t="n">
        <f aca="false">INDEX(Вводные!$D$13:$F$64,MATCH($A56,Вводные!$A$13:$A$64,0),MATCH(S$3,Вводные!$D$11:$F$11,0))*(1+IF(S$4=$A56,Вводные!$D$5*INDEX(Вводные!$G$13:$G$64,MATCH($A56,Вводные!$A$13:$A$64,0)),0))</f>
        <v>0.01</v>
      </c>
      <c r="T56" s="32" t="n">
        <f aca="false">INDEX(Вводные!$D$13:$F$64,MATCH($A56,Вводные!$A$13:$A$64,0),MATCH(T$3,Вводные!$D$11:$F$11,0))*(1+IF(T$4=$A56,Вводные!$D$5*INDEX(Вводные!$G$13:$G$64,MATCH($A56,Вводные!$A$13:$A$64,0)),0))</f>
        <v>0.01</v>
      </c>
      <c r="U56" s="32" t="n">
        <f aca="false">INDEX(Вводные!$D$13:$F$64,MATCH($A56,Вводные!$A$13:$A$64,0),MATCH(U$3,Вводные!$D$11:$F$11,0))*(1+IF(U$4=$A56,Вводные!$D$5*INDEX(Вводные!$G$13:$G$64,MATCH($A56,Вводные!$A$13:$A$64,0)),0))</f>
        <v>0.01</v>
      </c>
      <c r="V56" s="32" t="n">
        <f aca="false">INDEX(Вводные!$D$13:$F$64,MATCH($A56,Вводные!$A$13:$A$64,0),MATCH(V$3,Вводные!$D$11:$F$11,0))*(1+IF(V$4=$A56,Вводные!$D$5*INDEX(Вводные!$G$13:$G$64,MATCH($A56,Вводные!$A$13:$A$64,0)),0))</f>
        <v>0.01</v>
      </c>
      <c r="W56" s="32" t="n">
        <f aca="false">INDEX(Вводные!$D$13:$F$64,MATCH($A56,Вводные!$A$13:$A$64,0),MATCH(W$3,Вводные!$D$11:$F$11,0))*(1+IF(W$4=$A56,Вводные!$D$5*INDEX(Вводные!$G$13:$G$64,MATCH($A56,Вводные!$A$13:$A$64,0)),0))</f>
        <v>0.01</v>
      </c>
      <c r="X56" s="32" t="n">
        <f aca="false">INDEX(Вводные!$D$13:$F$64,MATCH($A56,Вводные!$A$13:$A$64,0),MATCH(X$3,Вводные!$D$11:$F$11,0))*(1+IF(X$4=$A56,Вводные!$D$5*INDEX(Вводные!$G$13:$G$64,MATCH($A56,Вводные!$A$13:$A$64,0)),0))</f>
        <v>0.01</v>
      </c>
      <c r="Y56" s="32" t="n">
        <f aca="false">INDEX(Вводные!$D$13:$F$64,MATCH($A56,Вводные!$A$13:$A$64,0),MATCH(Y$3,Вводные!$D$11:$F$11,0))*(1+IF(Y$4=$A56,Вводные!$D$5*INDEX(Вводные!$G$13:$G$64,MATCH($A56,Вводные!$A$13:$A$64,0)),0))</f>
        <v>0.01</v>
      </c>
      <c r="Z56" s="32" t="n">
        <f aca="false">INDEX(Вводные!$D$13:$F$64,MATCH($A56,Вводные!$A$13:$A$64,0),MATCH(Z$3,Вводные!$D$11:$F$11,0))*(1+IF(Z$4=$A56,Вводные!$D$5*INDEX(Вводные!$G$13:$G$64,MATCH($A56,Вводные!$A$13:$A$64,0)),0))</f>
        <v>0.01</v>
      </c>
      <c r="AA56" s="32" t="n">
        <f aca="false">INDEX(Вводные!$D$13:$F$64,MATCH($A56,Вводные!$A$13:$A$64,0),MATCH(AA$3,Вводные!$D$11:$F$11,0))*(1+IF(AA$4=$A56,Вводные!$D$5*INDEX(Вводные!$G$13:$G$64,MATCH($A56,Вводные!$A$13:$A$64,0)),0))</f>
        <v>0.01</v>
      </c>
      <c r="AB56" s="32" t="n">
        <f aca="false">INDEX(Вводные!$D$13:$F$64,MATCH($A56,Вводные!$A$13:$A$64,0),MATCH(AB$3,Вводные!$D$11:$F$11,0))*(1+IF(AB$4=$A56,Вводные!$D$5*INDEX(Вводные!$G$13:$G$64,MATCH($A56,Вводные!$A$13:$A$64,0)),0))</f>
        <v>0.01</v>
      </c>
      <c r="AC56" s="32" t="n">
        <f aca="false">INDEX(Вводные!$D$13:$F$64,MATCH($A56,Вводные!$A$13:$A$64,0),MATCH(AC$3,Вводные!$D$11:$F$11,0))*(1+IF(AC$4=$A56,Вводные!$D$5*INDEX(Вводные!$G$13:$G$64,MATCH($A56,Вводные!$A$13:$A$64,0)),0))</f>
        <v>0.01</v>
      </c>
      <c r="AD56" s="32" t="n">
        <f aca="false">INDEX(Вводные!$D$13:$F$64,MATCH($A56,Вводные!$A$13:$A$64,0),MATCH(AD$3,Вводные!$D$11:$F$11,0))*(1+IF(AD$4=$A56,Вводные!$D$5*INDEX(Вводные!$G$13:$G$64,MATCH($A56,Вводные!$A$13:$A$64,0)),0))</f>
        <v>0.01</v>
      </c>
      <c r="AE56" s="32" t="n">
        <f aca="false">INDEX(Вводные!$D$13:$F$64,MATCH($A56,Вводные!$A$13:$A$64,0),MATCH(AE$3,Вводные!$D$11:$F$11,0))*(1+IF(AE$4=$A56,Вводные!$D$5*INDEX(Вводные!$G$13:$G$64,MATCH($A56,Вводные!$A$13:$A$64,0)),0))</f>
        <v>0.01</v>
      </c>
      <c r="AF56" s="32" t="n">
        <f aca="false">INDEX(Вводные!$D$13:$F$64,MATCH($A56,Вводные!$A$13:$A$64,0),MATCH(AF$3,Вводные!$D$11:$F$11,0))*(1+IF(AF$4=$A56,Вводные!$D$5*INDEX(Вводные!$G$13:$G$64,MATCH($A56,Вводные!$A$13:$A$64,0)),0))</f>
        <v>0.01</v>
      </c>
      <c r="AG56" s="32" t="n">
        <f aca="false">INDEX(Вводные!$D$13:$F$64,MATCH($A56,Вводные!$A$13:$A$64,0),MATCH(AG$3,Вводные!$D$11:$F$11,0))*(1+IF(AG$4=$A56,Вводные!$D$5*INDEX(Вводные!$G$13:$G$64,MATCH($A56,Вводные!$A$13:$A$64,0)),0))</f>
        <v>0.01</v>
      </c>
      <c r="AH56" s="32" t="n">
        <f aca="false">INDEX(Вводные!$D$13:$F$64,MATCH($A56,Вводные!$A$13:$A$64,0),MATCH(AH$3,Вводные!$D$11:$F$11,0))*(1+IF(AH$4=$A56,Вводные!$D$5*INDEX(Вводные!$G$13:$G$64,MATCH($A56,Вводные!$A$13:$A$64,0)),0))</f>
        <v>0.01</v>
      </c>
      <c r="AI56" s="32" t="n">
        <f aca="false">INDEX(Вводные!$D$13:$F$64,MATCH($A56,Вводные!$A$13:$A$64,0),MATCH(AI$3,Вводные!$D$11:$F$11,0))*(1+IF(AI$4=$A56,Вводные!$D$5*INDEX(Вводные!$G$13:$G$64,MATCH($A56,Вводные!$A$13:$A$64,0)),0))</f>
        <v>0.01</v>
      </c>
      <c r="AJ56" s="32" t="n">
        <f aca="false">INDEX(Вводные!$D$13:$F$64,MATCH($A56,Вводные!$A$13:$A$64,0),MATCH(AJ$3,Вводные!$D$11:$F$11,0))*(1+IF(AJ$4=$A56,Вводные!$D$5*INDEX(Вводные!$G$13:$G$64,MATCH($A56,Вводные!$A$13:$A$64,0)),0))</f>
        <v>0.0101</v>
      </c>
      <c r="AK56" s="32" t="n">
        <f aca="false">INDEX(Вводные!$D$13:$F$64,MATCH($A56,Вводные!$A$13:$A$64,0),MATCH(AK$3,Вводные!$D$11:$F$11,0))*(1+IF(AK$4=$A56,Вводные!$D$5*INDEX(Вводные!$G$13:$G$64,MATCH($A56,Вводные!$A$13:$A$64,0)),0))</f>
        <v>0.01</v>
      </c>
      <c r="AL56" s="32" t="n">
        <f aca="false">INDEX(Вводные!$D$13:$F$64,MATCH($A56,Вводные!$A$13:$A$64,0),MATCH(AL$3,Вводные!$D$11:$F$11,0))*(1+IF(AL$4=$A56,Вводные!$D$5*INDEX(Вводные!$G$13:$G$64,MATCH($A56,Вводные!$A$13:$A$64,0)),0))</f>
        <v>0.01</v>
      </c>
      <c r="AM56" s="32" t="n">
        <f aca="false">INDEX(Вводные!$D$13:$F$64,MATCH($A56,Вводные!$A$13:$A$64,0),MATCH(AM$3,Вводные!$D$11:$F$11,0))*(1+IF(AM$4=$A56,Вводные!$D$5*INDEX(Вводные!$G$13:$G$64,MATCH($A56,Вводные!$A$13:$A$64,0)),0))</f>
        <v>0.01</v>
      </c>
      <c r="AN56" s="32" t="n">
        <f aca="false">INDEX(Вводные!$D$13:$F$64,MATCH($A56,Вводные!$A$13:$A$64,0),MATCH(AN$3,Вводные!$D$11:$F$11,0))*(1+IF(AN$4=$A56,Вводные!$D$5*INDEX(Вводные!$G$13:$G$64,MATCH($A56,Вводные!$A$13:$A$64,0)),0))</f>
        <v>0.01</v>
      </c>
      <c r="AO56" s="32" t="n">
        <f aca="false">INDEX(Вводные!$D$13:$F$64,MATCH($A56,Вводные!$A$13:$A$64,0),MATCH(AO$3,Вводные!$D$11:$F$11,0))*(1+IF(AO$4=$A56,Вводные!$D$5*INDEX(Вводные!$G$13:$G$64,MATCH($A56,Вводные!$A$13:$A$64,0)),0))</f>
        <v>0.01</v>
      </c>
      <c r="AP56" s="32" t="n">
        <f aca="false">INDEX(Вводные!$D$13:$F$64,MATCH($A56,Вводные!$A$13:$A$64,0),MATCH(AP$3,Вводные!$D$11:$F$11,0))*(1+IF(AP$4=$A56,Вводные!$D$5*INDEX(Вводные!$G$13:$G$64,MATCH($A56,Вводные!$A$13:$A$64,0)),0))</f>
        <v>0.01</v>
      </c>
      <c r="AQ56" s="32" t="n">
        <f aca="false">INDEX(Вводные!$D$13:$F$64,MATCH($A56,Вводные!$A$13:$A$64,0),MATCH(AQ$3,Вводные!$D$11:$F$11,0))*(1+IF(AQ$4=$A56,Вводные!$D$5*INDEX(Вводные!$G$13:$G$64,MATCH($A56,Вводные!$A$13:$A$64,0)),0))</f>
        <v>0.01</v>
      </c>
      <c r="AR56" s="32" t="n">
        <f aca="false">INDEX(Вводные!$D$13:$F$64,MATCH($A56,Вводные!$A$13:$A$64,0),MATCH(AR$3,Вводные!$D$11:$F$11,0))*(1+IF(AR$4=$A56,Вводные!$D$5*INDEX(Вводные!$G$13:$G$64,MATCH($A56,Вводные!$A$13:$A$64,0)),0))</f>
        <v>0.01</v>
      </c>
      <c r="AS56" s="32" t="n">
        <f aca="false">INDEX(Вводные!$D$13:$F$64,MATCH($A56,Вводные!$A$13:$A$64,0),MATCH(AS$3,Вводные!$D$11:$F$11,0))*(1+IF(AS$4=$A56,Вводные!$D$5*INDEX(Вводные!$G$13:$G$64,MATCH($A56,Вводные!$A$13:$A$64,0)),0))</f>
        <v>0.01</v>
      </c>
      <c r="AT56" s="32" t="n">
        <f aca="false">INDEX(Вводные!$D$13:$F$64,MATCH($A56,Вводные!$A$13:$A$64,0),MATCH(AT$3,Вводные!$D$11:$F$11,0))*(1+IF(AT$4=$A56,Вводные!$D$5*INDEX(Вводные!$G$13:$G$64,MATCH($A56,Вводные!$A$13:$A$64,0)),0))</f>
        <v>0.01</v>
      </c>
      <c r="AU56" s="32" t="n">
        <f aca="false">INDEX(Вводные!$D$13:$F$64,MATCH($A56,Вводные!$A$13:$A$64,0),MATCH(AU$3,Вводные!$D$11:$F$11,0))*(1+IF(AU$4=$A56,Вводные!$D$5*INDEX(Вводные!$G$13:$G$64,MATCH($A56,Вводные!$A$13:$A$64,0)),0))</f>
        <v>0.01</v>
      </c>
      <c r="AV56" s="32" t="n">
        <f aca="false">INDEX(Вводные!$D$13:$F$64,MATCH($A56,Вводные!$A$13:$A$64,0),MATCH(AV$3,Вводные!$D$11:$F$11,0))*(1+IF(AV$4=$A56,Вводные!$D$5*INDEX(Вводные!$G$13:$G$64,MATCH($A56,Вводные!$A$13:$A$64,0)),0))</f>
        <v>0.01</v>
      </c>
      <c r="AW56" s="32" t="n">
        <f aca="false">INDEX(Вводные!$D$13:$F$64,MATCH($A56,Вводные!$A$13:$A$64,0),MATCH(AW$3,Вводные!$D$11:$F$11,0))*(1+IF(AW$4=$A56,Вводные!$D$5*INDEX(Вводные!$G$13:$G$64,MATCH($A56,Вводные!$A$13:$A$64,0)),0))</f>
        <v>0.01</v>
      </c>
      <c r="AX56" s="32" t="n">
        <f aca="false">INDEX(Вводные!$D$13:$F$64,MATCH($A56,Вводные!$A$13:$A$64,0),MATCH(AX$3,Вводные!$D$11:$F$11,0))*(1+IF(AX$4=$A56,Вводные!$D$5*INDEX(Вводные!$G$13:$G$64,MATCH($A56,Вводные!$A$13:$A$64,0)),0))</f>
        <v>0.01</v>
      </c>
      <c r="AY56" s="32" t="n">
        <f aca="false">INDEX(Вводные!$D$13:$F$64,MATCH($A56,Вводные!$A$13:$A$64,0),MATCH(AY$3,Вводные!$D$11:$F$11,0))*(1+IF(AY$4=$A56,Вводные!$D$5*INDEX(Вводные!$G$13:$G$64,MATCH($A56,Вводные!$A$13:$A$64,0)),0))</f>
        <v>0.01</v>
      </c>
      <c r="AZ56" s="32" t="n">
        <f aca="false">INDEX(Вводные!$D$13:$F$64,MATCH($A56,Вводные!$A$13:$A$64,0),MATCH(AZ$3,Вводные!$D$11:$F$11,0))*(1+IF(AZ$4=$A56,Вводные!$D$5*INDEX(Вводные!$G$13:$G$64,MATCH($A56,Вводные!$A$13:$A$64,0)),0))</f>
        <v>0.01</v>
      </c>
      <c r="BA56" s="32" t="n">
        <f aca="false">INDEX(Вводные!$D$13:$F$64,MATCH($A56,Вводные!$A$13:$A$64,0),MATCH(BA$3,Вводные!$D$11:$F$11,0))*(1+IF(BA$4=$A56,Вводные!$D$5*INDEX(Вводные!$G$13:$G$64,MATCH($A56,Вводные!$A$13:$A$64,0)),0))</f>
        <v>0.01</v>
      </c>
      <c r="BB56" s="32" t="n">
        <f aca="false">INDEX(Вводные!$D$13:$F$64,MATCH($A56,Вводные!$A$13:$A$64,0),MATCH(BB$3,Вводные!$D$11:$F$11,0))*(1+IF(BB$4=$A56,Вводные!$D$5*INDEX(Вводные!$G$13:$G$64,MATCH($A56,Вводные!$A$13:$A$64,0)),0))</f>
        <v>0.01</v>
      </c>
      <c r="BC56" s="32" t="n">
        <f aca="false">INDEX(Вводные!$D$13:$F$64,MATCH($A56,Вводные!$A$13:$A$64,0),MATCH(BC$3,Вводные!$D$11:$F$11,0))*(1+IF(BC$4=$A56,Вводные!$D$5*INDEX(Вводные!$G$13:$G$64,MATCH($A56,Вводные!$A$13:$A$64,0)),0))</f>
        <v>0.01</v>
      </c>
      <c r="BD56" s="32" t="n">
        <f aca="false">INDEX(Вводные!$D$13:$F$64,MATCH($A56,Вводные!$A$13:$A$64,0),MATCH(BD$3,Вводные!$D$11:$F$11,0))*(1+IF(BD$4=$A56,Вводные!$D$5*INDEX(Вводные!$G$13:$G$64,MATCH($A56,Вводные!$A$13:$A$64,0)),0))</f>
        <v>0.01</v>
      </c>
      <c r="BE56" s="32" t="n">
        <f aca="false">INDEX(Вводные!$D$13:$F$64,MATCH($A56,Вводные!$A$13:$A$64,0),MATCH(BE$3,Вводные!$D$11:$F$11,0))*(1+IF(BE$4=$A56,Вводные!$D$5*INDEX(Вводные!$G$13:$G$64,MATCH($A56,Вводные!$A$13:$A$64,0)),0))</f>
        <v>0.01</v>
      </c>
      <c r="BF56" s="32" t="n">
        <f aca="false">INDEX(Вводные!$D$13:$F$64,MATCH($A56,Вводные!$A$13:$A$64,0),MATCH(BF$3,Вводные!$D$11:$F$11,0))*(1+IF(BF$4=$A56,Вводные!$D$5*INDEX(Вводные!$G$13:$G$64,MATCH($A56,Вводные!$A$13:$A$64,0)),0))</f>
        <v>0.01</v>
      </c>
      <c r="BG56" s="32" t="n">
        <f aca="false">INDEX(Вводные!$D$13:$F$64,MATCH($A56,Вводные!$A$13:$A$64,0),MATCH(BG$3,Вводные!$D$11:$F$11,0))*(1+IF(BG$4=$A56,Вводные!$D$5*INDEX(Вводные!$G$13:$G$64,MATCH($A56,Вводные!$A$13:$A$64,0)),0))</f>
        <v>0.01</v>
      </c>
      <c r="BH56" s="32" t="n">
        <f aca="false">INDEX(Вводные!$D$13:$F$64,MATCH($A56,Вводные!$A$13:$A$64,0),MATCH(BH$3,Вводные!$D$11:$F$11,0))*(1+IF(BH$4=$A56,Вводные!$D$5*INDEX(Вводные!$G$13:$G$64,MATCH($A56,Вводные!$A$13:$A$64,0)),0))</f>
        <v>0.01</v>
      </c>
      <c r="BI56" s="32" t="n">
        <f aca="false">INDEX(Вводные!$D$13:$F$64,MATCH($A56,Вводные!$A$13:$A$64,0),MATCH(BI$3,Вводные!$D$11:$F$11,0))*(1+IF(BI$4=$A56,Вводные!$D$5*INDEX(Вводные!$G$13:$G$64,MATCH($A56,Вводные!$A$13:$A$64,0)),0))</f>
        <v>0.01</v>
      </c>
      <c r="BJ56" s="32" t="n">
        <f aca="false">INDEX(Вводные!$D$13:$F$64,MATCH($A56,Вводные!$A$13:$A$64,0),MATCH(BJ$3,Вводные!$D$11:$F$11,0))*(1+IF(BJ$4=$A56,Вводные!$D$5*INDEX(Вводные!$G$13:$G$64,MATCH($A56,Вводные!$A$13:$A$64,0)),0))</f>
        <v>0.01</v>
      </c>
      <c r="BK56" s="32" t="n">
        <f aca="false">INDEX(Вводные!$D$13:$F$64,MATCH($A56,Вводные!$A$13:$A$64,0),MATCH(BK$3,Вводные!$D$11:$F$11,0))*(1+IF(BK$4=$A56,Вводные!$D$5*INDEX(Вводные!$G$13:$G$64,MATCH($A56,Вводные!$A$13:$A$64,0)),0))</f>
        <v>0.01</v>
      </c>
      <c r="BL56" s="32" t="n">
        <f aca="false">INDEX(Вводные!$D$13:$F$64,MATCH($A56,Вводные!$A$13:$A$64,0),MATCH(BL$3,Вводные!$D$11:$F$11,0))*(1+IF(BL$4=$A56,Вводные!$D$5*INDEX(Вводные!$G$13:$G$64,MATCH($A56,Вводные!$A$13:$A$64,0)),0))</f>
        <v>0.01</v>
      </c>
      <c r="BM56" s="32" t="n">
        <f aca="false">INDEX(Вводные!$D$13:$F$64,MATCH($A56,Вводные!$A$13:$A$64,0),MATCH(BM$3,Вводные!$D$11:$F$11,0))*(1+IF(BM$4=$A56,Вводные!$D$5*INDEX(Вводные!$G$13:$G$64,MATCH($A56,Вводные!$A$13:$A$64,0)),0))</f>
        <v>0.01</v>
      </c>
      <c r="BN56" s="32" t="n">
        <f aca="false">INDEX(Вводные!$D$13:$F$64,MATCH($A56,Вводные!$A$13:$A$64,0),MATCH(BN$3,Вводные!$D$11:$F$11,0))*(1+IF(BN$4=$A56,Вводные!$D$5*INDEX(Вводные!$G$13:$G$64,MATCH($A56,Вводные!$A$13:$A$64,0)),0))</f>
        <v>0.01</v>
      </c>
      <c r="BO56" s="32" t="n">
        <f aca="false">INDEX(Вводные!$D$13:$F$64,MATCH($A56,Вводные!$A$13:$A$64,0),MATCH(BO$3,Вводные!$D$11:$F$11,0))*(1+IF(BO$4=$A56,Вводные!$D$5*INDEX(Вводные!$G$13:$G$64,MATCH($A56,Вводные!$A$13:$A$64,0)),0))</f>
        <v>0.01</v>
      </c>
      <c r="BP56" s="32" t="n">
        <f aca="false">INDEX(Вводные!$D$13:$F$64,MATCH($A56,Вводные!$A$13:$A$64,0),MATCH(BP$3,Вводные!$D$11:$F$11,0))*(1+IF(BP$4=$A56,Вводные!$D$5*INDEX(Вводные!$G$13:$G$64,MATCH($A56,Вводные!$A$13:$A$64,0)),0))</f>
        <v>0.01</v>
      </c>
      <c r="BQ56" s="32" t="n">
        <f aca="false">INDEX(Вводные!$D$13:$F$64,MATCH($A56,Вводные!$A$13:$A$64,0),MATCH(BQ$3,Вводные!$D$11:$F$11,0))*(1+IF(BQ$4=$A56,Вводные!$D$5*INDEX(Вводные!$G$13:$G$64,MATCH($A56,Вводные!$A$13:$A$64,0)),0))</f>
        <v>0.01</v>
      </c>
      <c r="BR56" s="32" t="n">
        <f aca="false">INDEX(Вводные!$D$13:$F$64,MATCH($A56,Вводные!$A$13:$A$64,0),MATCH(BR$3,Вводные!$D$11:$F$11,0))*(1+IF(BR$4=$A56,Вводные!$D$5*INDEX(Вводные!$G$13:$G$64,MATCH($A56,Вводные!$A$13:$A$64,0)),0))</f>
        <v>0.01</v>
      </c>
      <c r="BS56" s="32" t="n">
        <f aca="false">INDEX(Вводные!$D$13:$F$64,MATCH($A56,Вводные!$A$13:$A$64,0),MATCH(BS$3,Вводные!$D$11:$F$11,0))*(1+IF(BS$4=$A56,Вводные!$D$5*INDEX(Вводные!$G$13:$G$64,MATCH($A56,Вводные!$A$13:$A$64,0)),0))</f>
        <v>0.01</v>
      </c>
      <c r="BT56" s="32" t="n">
        <f aca="false">INDEX(Вводные!$D$13:$F$64,MATCH($A56,Вводные!$A$13:$A$64,0),MATCH(BT$3,Вводные!$D$11:$F$11,0))*(1+IF(BT$4=$A56,Вводные!$D$5*INDEX(Вводные!$G$13:$G$64,MATCH($A56,Вводные!$A$13:$A$64,0)),0))</f>
        <v>0.01</v>
      </c>
      <c r="BU56" s="32" t="n">
        <f aca="false">INDEX(Вводные!$D$13:$F$64,MATCH($A56,Вводные!$A$13:$A$64,0),MATCH(BU$3,Вводные!$D$11:$F$11,0))*(1+IF(BU$4=$A56,Вводные!$D$5*INDEX(Вводные!$G$13:$G$64,MATCH($A56,Вводные!$A$13:$A$64,0)),0))</f>
        <v>0.01</v>
      </c>
      <c r="BV56" s="32" t="n">
        <f aca="false">INDEX(Вводные!$D$13:$F$64,MATCH($A56,Вводные!$A$13:$A$64,0),MATCH(BV$3,Вводные!$D$11:$F$11,0))*(1+IF(BV$4=$A56,Вводные!$D$5*INDEX(Вводные!$G$13:$G$64,MATCH($A56,Вводные!$A$13:$A$64,0)),0))</f>
        <v>0.01</v>
      </c>
      <c r="BW56" s="32" t="n">
        <f aca="false">INDEX(Вводные!$D$13:$F$64,MATCH($A56,Вводные!$A$13:$A$64,0),MATCH(BW$3,Вводные!$D$11:$F$11,0))*(1+IF(BW$4=$A56,Вводные!$D$5*INDEX(Вводные!$G$13:$G$64,MATCH($A56,Вводные!$A$13:$A$64,0)),0))</f>
        <v>0.01</v>
      </c>
      <c r="BX56" s="32" t="n">
        <f aca="false">INDEX(Вводные!$D$13:$F$64,MATCH($A56,Вводные!$A$13:$A$64,0),MATCH(BX$3,Вводные!$D$11:$F$11,0))*(1+IF(BX$4=$A56,Вводные!$D$5*INDEX(Вводные!$G$13:$G$64,MATCH($A56,Вводные!$A$13:$A$64,0)),0))</f>
        <v>0.01</v>
      </c>
      <c r="BY56" s="32" t="n">
        <f aca="false">INDEX(Вводные!$D$13:$F$64,MATCH($A56,Вводные!$A$13:$A$64,0),MATCH(BY$3,Вводные!$D$11:$F$11,0))*(1+IF(BY$4=$A56,Вводные!$D$5*INDEX(Вводные!$G$13:$G$64,MATCH($A56,Вводные!$A$13:$A$64,0)),0))</f>
        <v>0.01</v>
      </c>
      <c r="BZ56" s="32" t="n">
        <f aca="false">INDEX(Вводные!$D$13:$F$64,MATCH($A56,Вводные!$A$13:$A$64,0),MATCH(BZ$3,Вводные!$D$11:$F$11,0))*(1+IF(BZ$4=$A56,Вводные!$D$5*INDEX(Вводные!$G$13:$G$64,MATCH($A56,Вводные!$A$13:$A$64,0)),0))</f>
        <v>0.0101</v>
      </c>
      <c r="CA56" s="32" t="n">
        <f aca="false">INDEX(Вводные!$D$13:$F$64,MATCH($A56,Вводные!$A$13:$A$64,0),MATCH(CA$3,Вводные!$D$11:$F$11,0))*(1+IF(CA$4=$A56,Вводные!$D$5*INDEX(Вводные!$G$13:$G$64,MATCH($A56,Вводные!$A$13:$A$64,0)),0))</f>
        <v>0.01</v>
      </c>
      <c r="CB56" s="32" t="n">
        <f aca="false">INDEX(Вводные!$D$13:$F$64,MATCH($A56,Вводные!$A$13:$A$64,0),MATCH(CB$3,Вводные!$D$11:$F$11,0))*(1+IF(CB$4=$A56,Вводные!$D$5*INDEX(Вводные!$G$13:$G$64,MATCH($A56,Вводные!$A$13:$A$64,0)),0))</f>
        <v>0.01</v>
      </c>
      <c r="CC56" s="32" t="n">
        <f aca="false">INDEX(Вводные!$D$13:$F$64,MATCH($A56,Вводные!$A$13:$A$64,0),MATCH(CC$3,Вводные!$D$11:$F$11,0))*(1+IF(CC$4=$A56,Вводные!$D$5*INDEX(Вводные!$G$13:$G$64,MATCH($A56,Вводные!$A$13:$A$64,0)),0))</f>
        <v>0.01</v>
      </c>
      <c r="CD56" s="32" t="n">
        <f aca="false">INDEX(Вводные!$D$13:$F$64,MATCH($A56,Вводные!$A$13:$A$64,0),MATCH(CD$3,Вводные!$D$11:$F$11,0))*(1+IF(CD$4=$A56,Вводные!$D$5*INDEX(Вводные!$G$13:$G$64,MATCH($A56,Вводные!$A$13:$A$64,0)),0))</f>
        <v>0.01</v>
      </c>
      <c r="CE56" s="32" t="n">
        <f aca="false">INDEX(Вводные!$D$13:$F$64,MATCH($A56,Вводные!$A$13:$A$64,0),MATCH(CE$3,Вводные!$D$11:$F$11,0))*(1+IF(CE$4=$A56,Вводные!$D$5*INDEX(Вводные!$G$13:$G$64,MATCH($A56,Вводные!$A$13:$A$64,0)),0))</f>
        <v>0.01</v>
      </c>
      <c r="CF56" s="32" t="n">
        <f aca="false">INDEX(Вводные!$D$13:$F$64,MATCH($A56,Вводные!$A$13:$A$64,0),MATCH(CF$3,Вводные!$D$11:$F$11,0))*(1+IF(CF$4=$A56,Вводные!$D$5*INDEX(Вводные!$G$13:$G$64,MATCH($A56,Вводные!$A$13:$A$64,0)),0))</f>
        <v>0.01</v>
      </c>
      <c r="CG56" s="32" t="n">
        <f aca="false">INDEX(Вводные!$D$13:$F$64,MATCH($A56,Вводные!$A$13:$A$64,0),MATCH(CG$3,Вводные!$D$11:$F$11,0))*(1+IF(CG$4=$A56,Вводные!$D$5*INDEX(Вводные!$G$13:$G$64,MATCH($A56,Вводные!$A$13:$A$64,0)),0))</f>
        <v>0.01</v>
      </c>
      <c r="CH56" s="32" t="n">
        <f aca="false">INDEX(Вводные!$D$13:$F$64,MATCH($A56,Вводные!$A$13:$A$64,0),MATCH(CH$3,Вводные!$D$11:$F$11,0))*(1+IF(CH$4=$A56,Вводные!$D$5*INDEX(Вводные!$G$13:$G$64,MATCH($A56,Вводные!$A$13:$A$64,0)),0))</f>
        <v>0.01</v>
      </c>
      <c r="CI56" s="32" t="n">
        <f aca="false">INDEX(Вводные!$D$13:$F$64,MATCH($A56,Вводные!$A$13:$A$64,0),MATCH(CI$3,Вводные!$D$11:$F$11,0))*(1+IF(CI$4=$A56,Вводные!$D$5*INDEX(Вводные!$G$13:$G$64,MATCH($A56,Вводные!$A$13:$A$64,0)),0))</f>
        <v>0.01</v>
      </c>
      <c r="CJ56" s="32" t="n">
        <f aca="false">INDEX(Вводные!$D$13:$F$64,MATCH($A56,Вводные!$A$13:$A$64,0),MATCH(CJ$3,Вводные!$D$11:$F$11,0))*(1+IF(CJ$4=$A56,Вводные!$D$5*INDEX(Вводные!$G$13:$G$64,MATCH($A56,Вводные!$A$13:$A$64,0)),0))</f>
        <v>0.01</v>
      </c>
      <c r="CK56" s="32" t="n">
        <f aca="false">INDEX(Вводные!$D$13:$F$64,MATCH($A56,Вводные!$A$13:$A$64,0),MATCH(CK$3,Вводные!$D$11:$F$11,0))*(1+IF(CK$4=$A56,Вводные!$D$5*INDEX(Вводные!$G$13:$G$64,MATCH($A56,Вводные!$A$13:$A$64,0)),0))</f>
        <v>0.01</v>
      </c>
      <c r="CL56" s="32" t="n">
        <f aca="false">INDEX(Вводные!$D$13:$F$64,MATCH($A56,Вводные!$A$13:$A$64,0),MATCH(CL$3,Вводные!$D$11:$F$11,0))*(1+IF(CL$4=$A56,Вводные!$D$5*INDEX(Вводные!$G$13:$G$64,MATCH($A56,Вводные!$A$13:$A$64,0)),0))</f>
        <v>0.01</v>
      </c>
      <c r="CM56" s="32" t="n">
        <f aca="false">INDEX(Вводные!$D$13:$F$64,MATCH($A56,Вводные!$A$13:$A$64,0),MATCH(CM$3,Вводные!$D$11:$F$11,0))*(1+IF(CM$4=$A56,Вводные!$D$5*INDEX(Вводные!$G$13:$G$64,MATCH($A56,Вводные!$A$13:$A$64,0)),0))</f>
        <v>0.01</v>
      </c>
      <c r="CN56" s="32" t="n">
        <f aca="false">INDEX(Вводные!$D$13:$F$64,MATCH($A56,Вводные!$A$13:$A$64,0),MATCH(CN$3,Вводные!$D$11:$F$11,0))*(1+IF(CN$4=$A56,Вводные!$D$5*INDEX(Вводные!$G$13:$G$64,MATCH($A56,Вводные!$A$13:$A$64,0)),0))</f>
        <v>0.01</v>
      </c>
      <c r="CO56" s="32" t="n">
        <f aca="false">INDEX(Вводные!$D$13:$F$64,MATCH($A56,Вводные!$A$13:$A$64,0),MATCH(CO$3,Вводные!$D$11:$F$11,0))*(1+IF(CO$4=$A56,Вводные!$D$5*INDEX(Вводные!$G$13:$G$64,MATCH($A56,Вводные!$A$13:$A$64,0)),0))</f>
        <v>0.01</v>
      </c>
      <c r="CP56" s="32" t="n">
        <f aca="false">INDEX(Вводные!$D$13:$F$64,MATCH($A56,Вводные!$A$13:$A$64,0),MATCH(CP$3,Вводные!$D$11:$F$11,0))*(1+IF(CP$4=$A56,Вводные!$D$5*INDEX(Вводные!$G$13:$G$64,MATCH($A56,Вводные!$A$13:$A$64,0)),0))</f>
        <v>0.003</v>
      </c>
      <c r="CQ56" s="32" t="n">
        <f aca="false">INDEX(Вводные!$D$13:$F$64,MATCH($A56,Вводные!$A$13:$A$64,0),MATCH(CQ$3,Вводные!$D$11:$F$11,0))*(1+IF(CQ$4=$A56,Вводные!$D$5*INDEX(Вводные!$G$13:$G$64,MATCH($A56,Вводные!$A$13:$A$64,0)),0))</f>
        <v>0.003</v>
      </c>
      <c r="CR56" s="32" t="n">
        <f aca="false">INDEX(Вводные!$D$13:$F$64,MATCH($A56,Вводные!$A$13:$A$64,0),MATCH(CR$3,Вводные!$D$11:$F$11,0))*(1+IF(CR$4=$A56,Вводные!$D$5*INDEX(Вводные!$G$13:$G$64,MATCH($A56,Вводные!$A$13:$A$64,0)),0))</f>
        <v>0.003</v>
      </c>
      <c r="CS56" s="32" t="n">
        <f aca="false">INDEX(Вводные!$D$13:$F$64,MATCH($A56,Вводные!$A$13:$A$64,0),MATCH(CS$3,Вводные!$D$11:$F$11,0))*(1+IF(CS$4=$A56,Вводные!$D$5*INDEX(Вводные!$G$13:$G$64,MATCH($A56,Вводные!$A$13:$A$64,0)),0))</f>
        <v>0.003</v>
      </c>
      <c r="CT56" s="32" t="n">
        <f aca="false">INDEX(Вводные!$D$13:$F$64,MATCH($A56,Вводные!$A$13:$A$64,0),MATCH(CT$3,Вводные!$D$11:$F$11,0))*(1+IF(CT$4=$A56,Вводные!$D$5*INDEX(Вводные!$G$13:$G$64,MATCH($A56,Вводные!$A$13:$A$64,0)),0))</f>
        <v>0.003</v>
      </c>
      <c r="CU56" s="32" t="n">
        <f aca="false">INDEX(Вводные!$D$13:$F$64,MATCH($A56,Вводные!$A$13:$A$64,0),MATCH(CU$3,Вводные!$D$11:$F$11,0))*(1+IF(CU$4=$A56,Вводные!$D$5*INDEX(Вводные!$G$13:$G$64,MATCH($A56,Вводные!$A$13:$A$64,0)),0))</f>
        <v>0.003</v>
      </c>
      <c r="CV56" s="32" t="n">
        <f aca="false">INDEX(Вводные!$D$13:$F$64,MATCH($A56,Вводные!$A$13:$A$64,0),MATCH(CV$3,Вводные!$D$11:$F$11,0))*(1+IF(CV$4=$A56,Вводные!$D$5*INDEX(Вводные!$G$13:$G$64,MATCH($A56,Вводные!$A$13:$A$64,0)),0))</f>
        <v>0.003</v>
      </c>
      <c r="CW56" s="32" t="n">
        <f aca="false">INDEX(Вводные!$D$13:$F$64,MATCH($A56,Вводные!$A$13:$A$64,0),MATCH(CW$3,Вводные!$D$11:$F$11,0))*(1+IF(CW$4=$A56,Вводные!$D$5*INDEX(Вводные!$G$13:$G$64,MATCH($A56,Вводные!$A$13:$A$64,0)),0))</f>
        <v>0.003</v>
      </c>
      <c r="CX56" s="32" t="n">
        <f aca="false">INDEX(Вводные!$D$13:$F$64,MATCH($A56,Вводные!$A$13:$A$64,0),MATCH(CX$3,Вводные!$D$11:$F$11,0))*(1+IF(CX$4=$A56,Вводные!$D$5*INDEX(Вводные!$G$13:$G$64,MATCH($A56,Вводные!$A$13:$A$64,0)),0))</f>
        <v>0.003</v>
      </c>
      <c r="CY56" s="32" t="n">
        <f aca="false">INDEX(Вводные!$D$13:$F$64,MATCH($A56,Вводные!$A$13:$A$64,0),MATCH(CY$3,Вводные!$D$11:$F$11,0))*(1+IF(CY$4=$A56,Вводные!$D$5*INDEX(Вводные!$G$13:$G$64,MATCH($A56,Вводные!$A$13:$A$64,0)),0))</f>
        <v>0.003</v>
      </c>
      <c r="CZ56" s="32" t="n">
        <f aca="false">INDEX(Вводные!$D$13:$F$64,MATCH($A56,Вводные!$A$13:$A$64,0),MATCH(CZ$3,Вводные!$D$11:$F$11,0))*(1+IF(CZ$4=$A56,Вводные!$D$5*INDEX(Вводные!$G$13:$G$64,MATCH($A56,Вводные!$A$13:$A$64,0)),0))</f>
        <v>0.003</v>
      </c>
      <c r="DA56" s="32" t="n">
        <f aca="false">INDEX(Вводные!$D$13:$F$64,MATCH($A56,Вводные!$A$13:$A$64,0),MATCH(DA$3,Вводные!$D$11:$F$11,0))*(1+IF(DA$4=$A56,Вводные!$D$5*INDEX(Вводные!$G$13:$G$64,MATCH($A56,Вводные!$A$13:$A$64,0)),0))</f>
        <v>0.003</v>
      </c>
      <c r="DB56" s="32" t="n">
        <f aca="false">INDEX(Вводные!$D$13:$F$64,MATCH($A56,Вводные!$A$13:$A$64,0),MATCH(DB$3,Вводные!$D$11:$F$11,0))*(1+IF(DB$4=$A56,Вводные!$D$5*INDEX(Вводные!$G$13:$G$64,MATCH($A56,Вводные!$A$13:$A$64,0)),0))</f>
        <v>0.003</v>
      </c>
      <c r="DC56" s="32" t="n">
        <f aca="false">INDEX(Вводные!$D$13:$F$64,MATCH($A56,Вводные!$A$13:$A$64,0),MATCH(DC$3,Вводные!$D$11:$F$11,0))*(1+IF(DC$4=$A56,Вводные!$D$5*INDEX(Вводные!$G$13:$G$64,MATCH($A56,Вводные!$A$13:$A$64,0)),0))</f>
        <v>0.003</v>
      </c>
      <c r="DD56" s="32" t="n">
        <f aca="false">INDEX(Вводные!$D$13:$F$64,MATCH($A56,Вводные!$A$13:$A$64,0),MATCH(DD$3,Вводные!$D$11:$F$11,0))*(1+IF(DD$4=$A56,Вводные!$D$5*INDEX(Вводные!$G$13:$G$64,MATCH($A56,Вводные!$A$13:$A$64,0)),0))</f>
        <v>0.003</v>
      </c>
      <c r="DE56" s="32" t="n">
        <f aca="false">INDEX(Вводные!$D$13:$F$64,MATCH($A56,Вводные!$A$13:$A$64,0),MATCH(DE$3,Вводные!$D$11:$F$11,0))*(1+IF(DE$4=$A56,Вводные!$D$5*INDEX(Вводные!$G$13:$G$64,MATCH($A56,Вводные!$A$13:$A$64,0)),0))</f>
        <v>0.003</v>
      </c>
      <c r="DF56" s="32" t="n">
        <f aca="false">INDEX(Вводные!$D$13:$F$64,MATCH($A56,Вводные!$A$13:$A$64,0),MATCH(DF$3,Вводные!$D$11:$F$11,0))*(1+IF(DF$4=$A56,Вводные!$D$5*INDEX(Вводные!$G$13:$G$64,MATCH($A56,Вводные!$A$13:$A$64,0)),0))</f>
        <v>0.003</v>
      </c>
      <c r="DG56" s="32" t="n">
        <f aca="false">INDEX(Вводные!$D$13:$F$64,MATCH($A56,Вводные!$A$13:$A$64,0),MATCH(DG$3,Вводные!$D$11:$F$11,0))*(1+IF(DG$4=$A56,Вводные!$D$5*INDEX(Вводные!$G$13:$G$64,MATCH($A56,Вводные!$A$13:$A$64,0)),0))</f>
        <v>0.003</v>
      </c>
      <c r="DH56" s="32" t="n">
        <f aca="false">INDEX(Вводные!$D$13:$F$64,MATCH($A56,Вводные!$A$13:$A$64,0),MATCH(DH$3,Вводные!$D$11:$F$11,0))*(1+IF(DH$4=$A56,Вводные!$D$5*INDEX(Вводные!$G$13:$G$64,MATCH($A56,Вводные!$A$13:$A$64,0)),0))</f>
        <v>0.003</v>
      </c>
      <c r="DI56" s="32" t="n">
        <f aca="false">INDEX(Вводные!$D$13:$F$64,MATCH($A56,Вводные!$A$13:$A$64,0),MATCH(DI$3,Вводные!$D$11:$F$11,0))*(1+IF(DI$4=$A56,Вводные!$D$5*INDEX(Вводные!$G$13:$G$64,MATCH($A56,Вводные!$A$13:$A$64,0)),0))</f>
        <v>0.003</v>
      </c>
      <c r="DJ56" s="32" t="n">
        <f aca="false">INDEX(Вводные!$D$13:$F$64,MATCH($A56,Вводные!$A$13:$A$64,0),MATCH(DJ$3,Вводные!$D$11:$F$11,0))*(1+IF(DJ$4=$A56,Вводные!$D$5*INDEX(Вводные!$G$13:$G$64,MATCH($A56,Вводные!$A$13:$A$64,0)),0))</f>
        <v>0.003</v>
      </c>
      <c r="DK56" s="32" t="n">
        <f aca="false">INDEX(Вводные!$D$13:$F$64,MATCH($A56,Вводные!$A$13:$A$64,0),MATCH(DK$3,Вводные!$D$11:$F$11,0))*(1+IF(DK$4=$A56,Вводные!$D$5*INDEX(Вводные!$G$13:$G$64,MATCH($A56,Вводные!$A$13:$A$64,0)),0))</f>
        <v>0.003</v>
      </c>
      <c r="DL56" s="32" t="n">
        <f aca="false">INDEX(Вводные!$D$13:$F$64,MATCH($A56,Вводные!$A$13:$A$64,0),MATCH(DL$3,Вводные!$D$11:$F$11,0))*(1+IF(DL$4=$A56,Вводные!$D$5*INDEX(Вводные!$G$13:$G$64,MATCH($A56,Вводные!$A$13:$A$64,0)),0))</f>
        <v>0.003</v>
      </c>
      <c r="DM56" s="32" t="n">
        <f aca="false">INDEX(Вводные!$D$13:$F$64,MATCH($A56,Вводные!$A$13:$A$64,0),MATCH(DM$3,Вводные!$D$11:$F$11,0))*(1+IF(DM$4=$A56,Вводные!$D$5*INDEX(Вводные!$G$13:$G$64,MATCH($A56,Вводные!$A$13:$A$64,0)),0))</f>
        <v>0.003</v>
      </c>
      <c r="DN56" s="32" t="n">
        <f aca="false">INDEX(Вводные!$D$13:$F$64,MATCH($A56,Вводные!$A$13:$A$64,0),MATCH(DN$3,Вводные!$D$11:$F$11,0))*(1+IF(DN$4=$A56,Вводные!$D$5*INDEX(Вводные!$G$13:$G$64,MATCH($A56,Вводные!$A$13:$A$64,0)),0))</f>
        <v>0.003</v>
      </c>
      <c r="DO56" s="32" t="n">
        <f aca="false">INDEX(Вводные!$D$13:$F$64,MATCH($A56,Вводные!$A$13:$A$64,0),MATCH(DO$3,Вводные!$D$11:$F$11,0))*(1+IF(DO$4=$A56,Вводные!$D$5*INDEX(Вводные!$G$13:$G$64,MATCH($A56,Вводные!$A$13:$A$64,0)),0))</f>
        <v>0.003</v>
      </c>
      <c r="DP56" s="32" t="n">
        <f aca="false">INDEX(Вводные!$D$13:$F$64,MATCH($A56,Вводные!$A$13:$A$64,0),MATCH(DP$3,Вводные!$D$11:$F$11,0))*(1+IF(DP$4=$A56,Вводные!$D$5*INDEX(Вводные!$G$13:$G$64,MATCH($A56,Вводные!$A$13:$A$64,0)),0))</f>
        <v>0.00303</v>
      </c>
      <c r="DQ56" s="32" t="n">
        <f aca="false">INDEX(Вводные!$D$13:$F$64,MATCH($A56,Вводные!$A$13:$A$64,0),MATCH(DQ$3,Вводные!$D$11:$F$11,0))*(1+IF(DQ$4=$A56,Вводные!$D$5*INDEX(Вводные!$G$13:$G$64,MATCH($A56,Вводные!$A$13:$A$64,0)),0))</f>
        <v>0.003</v>
      </c>
      <c r="DR56" s="32" t="n">
        <f aca="false">INDEX(Вводные!$D$13:$F$64,MATCH($A56,Вводные!$A$13:$A$64,0),MATCH(DR$3,Вводные!$D$11:$F$11,0))*(1+IF(DR$4=$A56,Вводные!$D$5*INDEX(Вводные!$G$13:$G$64,MATCH($A56,Вводные!$A$13:$A$64,0)),0))</f>
        <v>0.003</v>
      </c>
      <c r="DS56" s="32" t="n">
        <f aca="false">INDEX(Вводные!$D$13:$F$64,MATCH($A56,Вводные!$A$13:$A$64,0),MATCH(DS$3,Вводные!$D$11:$F$11,0))*(1+IF(DS$4=$A56,Вводные!$D$5*INDEX(Вводные!$G$13:$G$64,MATCH($A56,Вводные!$A$13:$A$64,0)),0))</f>
        <v>0.003</v>
      </c>
      <c r="DT56" s="32" t="n">
        <f aca="false">INDEX(Вводные!$D$13:$F$64,MATCH($A56,Вводные!$A$13:$A$64,0),MATCH(DT$3,Вводные!$D$11:$F$11,0))*(1+IF(DT$4=$A56,Вводные!$D$5*INDEX(Вводные!$G$13:$G$64,MATCH($A56,Вводные!$A$13:$A$64,0)),0))</f>
        <v>0.003</v>
      </c>
      <c r="DU56" s="32" t="n">
        <f aca="false">INDEX(Вводные!$D$13:$F$64,MATCH($A56,Вводные!$A$13:$A$64,0),MATCH(DU$3,Вводные!$D$11:$F$11,0))*(1+IF(DU$4=$A56,Вводные!$D$5*INDEX(Вводные!$G$13:$G$64,MATCH($A56,Вводные!$A$13:$A$64,0)),0))</f>
        <v>0.003</v>
      </c>
      <c r="DV56" s="32" t="n">
        <f aca="false">INDEX(Вводные!$D$13:$F$64,MATCH($A56,Вводные!$A$13:$A$64,0),MATCH(DV$3,Вводные!$D$11:$F$11,0))*(1+IF(DV$4=$A56,Вводные!$D$5*INDEX(Вводные!$G$13:$G$64,MATCH($A56,Вводные!$A$13:$A$64,0)),0))</f>
        <v>0.003</v>
      </c>
      <c r="DW56" s="32" t="n">
        <f aca="false">INDEX(Вводные!$D$13:$F$64,MATCH($A56,Вводные!$A$13:$A$64,0),MATCH(DW$3,Вводные!$D$11:$F$11,0))*(1+IF(DW$4=$A56,Вводные!$D$5*INDEX(Вводные!$G$13:$G$64,MATCH($A56,Вводные!$A$13:$A$64,0)),0))</f>
        <v>0.003</v>
      </c>
      <c r="DX56" s="32" t="n">
        <f aca="false">INDEX(Вводные!$D$13:$F$64,MATCH($A56,Вводные!$A$13:$A$64,0),MATCH(DX$3,Вводные!$D$11:$F$11,0))*(1+IF(DX$4=$A56,Вводные!$D$5*INDEX(Вводные!$G$13:$G$64,MATCH($A56,Вводные!$A$13:$A$64,0)),0))</f>
        <v>0.003</v>
      </c>
      <c r="DY56" s="32" t="n">
        <f aca="false">INDEX(Вводные!$D$13:$F$64,MATCH($A56,Вводные!$A$13:$A$64,0),MATCH(DY$3,Вводные!$D$11:$F$11,0))*(1+IF(DY$4=$A56,Вводные!$D$5*INDEX(Вводные!$G$13:$G$64,MATCH($A56,Вводные!$A$13:$A$64,0)),0))</f>
        <v>0.003</v>
      </c>
      <c r="DZ56" s="32" t="n">
        <f aca="false">INDEX(Вводные!$D$13:$F$64,MATCH($A56,Вводные!$A$13:$A$64,0),MATCH(DZ$3,Вводные!$D$11:$F$11,0))*(1+IF(DZ$4=$A56,Вводные!$D$5*INDEX(Вводные!$G$13:$G$64,MATCH($A56,Вводные!$A$13:$A$64,0)),0))</f>
        <v>0.003</v>
      </c>
      <c r="EA56" s="32" t="n">
        <f aca="false">INDEX(Вводные!$D$13:$F$64,MATCH($A56,Вводные!$A$13:$A$64,0),MATCH(EA$3,Вводные!$D$11:$F$11,0))*(1+IF(EA$4=$A56,Вводные!$D$5*INDEX(Вводные!$G$13:$G$64,MATCH($A56,Вводные!$A$13:$A$64,0)),0))</f>
        <v>0.003</v>
      </c>
      <c r="EB56" s="32" t="n">
        <f aca="false">INDEX(Вводные!$D$13:$F$64,MATCH($A56,Вводные!$A$13:$A$64,0),MATCH(EB$3,Вводные!$D$11:$F$11,0))*(1+IF(EB$4=$A56,Вводные!$D$5*INDEX(Вводные!$G$13:$G$64,MATCH($A56,Вводные!$A$13:$A$64,0)),0))</f>
        <v>0.003</v>
      </c>
      <c r="EC56" s="32" t="n">
        <f aca="false">INDEX(Вводные!$D$13:$F$64,MATCH($A56,Вводные!$A$13:$A$64,0),MATCH(EC$3,Вводные!$D$11:$F$11,0))*(1+IF(EC$4=$A56,Вводные!$D$5*INDEX(Вводные!$G$13:$G$64,MATCH($A56,Вводные!$A$13:$A$64,0)),0))</f>
        <v>0.003</v>
      </c>
      <c r="ED56" s="32" t="n">
        <f aca="false">INDEX(Вводные!$D$13:$F$64,MATCH($A56,Вводные!$A$13:$A$64,0),MATCH(ED$3,Вводные!$D$11:$F$11,0))*(1+IF(ED$4=$A56,Вводные!$D$5*INDEX(Вводные!$G$13:$G$64,MATCH($A56,Вводные!$A$13:$A$64,0)),0))</f>
        <v>0.003</v>
      </c>
      <c r="EE56" s="32" t="n">
        <f aca="false">INDEX(Вводные!$D$13:$F$64,MATCH($A56,Вводные!$A$13:$A$64,0),MATCH(EE$3,Вводные!$D$11:$F$11,0))*(1+IF(EE$4=$A56,Вводные!$D$5*INDEX(Вводные!$G$13:$G$64,MATCH($A56,Вводные!$A$13:$A$64,0)),0))</f>
        <v>0.003</v>
      </c>
      <c r="EF56" s="32" t="n">
        <f aca="false">INDEX(Вводные!$D$13:$F$64,MATCH($A56,Вводные!$A$13:$A$64,0),MATCH(EF$3,Вводные!$D$11:$F$11,0))*(1+IF(EF$4=$A56,Вводные!$D$5*INDEX(Вводные!$G$13:$G$64,MATCH($A56,Вводные!$A$13:$A$64,0)),0))</f>
        <v>0.01</v>
      </c>
      <c r="EG56" s="32" t="n">
        <f aca="false">INDEX(Вводные!$D$13:$F$64,MATCH($A56,Вводные!$A$13:$A$64,0),MATCH(EG$3,Вводные!$D$11:$F$11,0))*(1+IF(EG$4=$A56,Вводные!$D$5*INDEX(Вводные!$G$13:$G$64,MATCH($A56,Вводные!$A$13:$A$64,0)),0))</f>
        <v>0.01</v>
      </c>
      <c r="EH56" s="32" t="n">
        <f aca="false">INDEX(Вводные!$D$13:$F$64,MATCH($A56,Вводные!$A$13:$A$64,0),MATCH(EH$3,Вводные!$D$11:$F$11,0))*(1+IF(EH$4=$A56,Вводные!$D$5*INDEX(Вводные!$G$13:$G$64,MATCH($A56,Вводные!$A$13:$A$64,0)),0))</f>
        <v>0.01</v>
      </c>
      <c r="EI56" s="32" t="n">
        <f aca="false">INDEX(Вводные!$D$13:$F$64,MATCH($A56,Вводные!$A$13:$A$64,0),MATCH(EI$3,Вводные!$D$11:$F$11,0))*(1+IF(EI$4=$A56,Вводные!$D$5*INDEX(Вводные!$G$13:$G$64,MATCH($A56,Вводные!$A$13:$A$64,0)),0))</f>
        <v>0.01</v>
      </c>
      <c r="EJ56" s="32" t="n">
        <f aca="false">INDEX(Вводные!$D$13:$F$64,MATCH($A56,Вводные!$A$13:$A$64,0),MATCH(EJ$3,Вводные!$D$11:$F$11,0))*(1+IF(EJ$4=$A56,Вводные!$D$5*INDEX(Вводные!$G$13:$G$64,MATCH($A56,Вводные!$A$13:$A$64,0)),0))</f>
        <v>0.01</v>
      </c>
      <c r="EK56" s="32" t="n">
        <f aca="false">INDEX(Вводные!$D$13:$F$64,MATCH($A56,Вводные!$A$13:$A$64,0),MATCH(EK$3,Вводные!$D$11:$F$11,0))*(1+IF(EK$4=$A56,Вводные!$D$5*INDEX(Вводные!$G$13:$G$64,MATCH($A56,Вводные!$A$13:$A$64,0)),0))</f>
        <v>0.01</v>
      </c>
      <c r="EL56" s="32" t="n">
        <f aca="false">INDEX(Вводные!$D$13:$F$64,MATCH($A56,Вводные!$A$13:$A$64,0),MATCH(EL$3,Вводные!$D$11:$F$11,0))*(1+IF(EL$4=$A56,Вводные!$D$5*INDEX(Вводные!$G$13:$G$64,MATCH($A56,Вводные!$A$13:$A$64,0)),0))</f>
        <v>0.01</v>
      </c>
      <c r="EM56" s="32" t="n">
        <f aca="false">INDEX(Вводные!$D$13:$F$64,MATCH($A56,Вводные!$A$13:$A$64,0),MATCH(EM$3,Вводные!$D$11:$F$11,0))*(1+IF(EM$4=$A56,Вводные!$D$5*INDEX(Вводные!$G$13:$G$64,MATCH($A56,Вводные!$A$13:$A$64,0)),0))</f>
        <v>0.01</v>
      </c>
      <c r="EN56" s="32" t="n">
        <f aca="false">INDEX(Вводные!$D$13:$F$64,MATCH($A56,Вводные!$A$13:$A$64,0),MATCH(EN$3,Вводные!$D$11:$F$11,0))*(1+IF(EN$4=$A56,Вводные!$D$5*INDEX(Вводные!$G$13:$G$64,MATCH($A56,Вводные!$A$13:$A$64,0)),0))</f>
        <v>0.01</v>
      </c>
      <c r="EO56" s="32" t="n">
        <f aca="false">INDEX(Вводные!$D$13:$F$64,MATCH($A56,Вводные!$A$13:$A$64,0),MATCH(EO$3,Вводные!$D$11:$F$11,0))*(1+IF(EO$4=$A56,Вводные!$D$5*INDEX(Вводные!$G$13:$G$64,MATCH($A56,Вводные!$A$13:$A$64,0)),0))</f>
        <v>0.01</v>
      </c>
      <c r="EP56" s="32" t="n">
        <f aca="false">INDEX(Вводные!$D$13:$F$64,MATCH($A56,Вводные!$A$13:$A$64,0),MATCH(EP$3,Вводные!$D$11:$F$11,0))*(1+IF(EP$4=$A56,Вводные!$D$5*INDEX(Вводные!$G$13:$G$64,MATCH($A56,Вводные!$A$13:$A$64,0)),0))</f>
        <v>0.01</v>
      </c>
      <c r="EQ56" s="32" t="n">
        <f aca="false">INDEX(Вводные!$D$13:$F$64,MATCH($A56,Вводные!$A$13:$A$64,0),MATCH(EQ$3,Вводные!$D$11:$F$11,0))*(1+IF(EQ$4=$A56,Вводные!$D$5*INDEX(Вводные!$G$13:$G$64,MATCH($A56,Вводные!$A$13:$A$64,0)),0))</f>
        <v>0.01</v>
      </c>
      <c r="ER56" s="32" t="n">
        <f aca="false">INDEX(Вводные!$D$13:$F$64,MATCH($A56,Вводные!$A$13:$A$64,0),MATCH(ER$3,Вводные!$D$11:$F$11,0))*(1+IF(ER$4=$A56,Вводные!$D$5*INDEX(Вводные!$G$13:$G$64,MATCH($A56,Вводные!$A$13:$A$64,0)),0))</f>
        <v>0.01</v>
      </c>
      <c r="ES56" s="32" t="n">
        <f aca="false">INDEX(Вводные!$D$13:$F$64,MATCH($A56,Вводные!$A$13:$A$64,0),MATCH(ES$3,Вводные!$D$11:$F$11,0))*(1+IF(ES$4=$A56,Вводные!$D$5*INDEX(Вводные!$G$13:$G$64,MATCH($A56,Вводные!$A$13:$A$64,0)),0))</f>
        <v>0.01</v>
      </c>
      <c r="ET56" s="32" t="n">
        <f aca="false">INDEX(Вводные!$D$13:$F$64,MATCH($A56,Вводные!$A$13:$A$64,0),MATCH(ET$3,Вводные!$D$11:$F$11,0))*(1+IF(ET$4=$A56,Вводные!$D$5*INDEX(Вводные!$G$13:$G$64,MATCH($A56,Вводные!$A$13:$A$64,0)),0))</f>
        <v>0.01</v>
      </c>
      <c r="EU56" s="32" t="n">
        <f aca="false">INDEX(Вводные!$D$13:$F$64,MATCH($A56,Вводные!$A$13:$A$64,0),MATCH(EU$3,Вводные!$D$11:$F$11,0))*(1+IF(EU$4=$A56,Вводные!$D$5*INDEX(Вводные!$G$13:$G$64,MATCH($A56,Вводные!$A$13:$A$64,0)),0))</f>
        <v>0.01</v>
      </c>
      <c r="EV56" s="32" t="n">
        <f aca="false">INDEX(Вводные!$D$13:$F$64,MATCH($A56,Вводные!$A$13:$A$64,0),MATCH(EV$3,Вводные!$D$11:$F$11,0))*(1+IF(EV$4=$A56,Вводные!$D$5*INDEX(Вводные!$G$13:$G$64,MATCH($A56,Вводные!$A$13:$A$64,0)),0))</f>
        <v>0.01</v>
      </c>
      <c r="EW56" s="32" t="n">
        <f aca="false">INDEX(Вводные!$D$13:$F$64,MATCH($A56,Вводные!$A$13:$A$64,0),MATCH(EW$3,Вводные!$D$11:$F$11,0))*(1+IF(EW$4=$A56,Вводные!$D$5*INDEX(Вводные!$G$13:$G$64,MATCH($A56,Вводные!$A$13:$A$64,0)),0))</f>
        <v>0.01</v>
      </c>
      <c r="EX56" s="32" t="n">
        <f aca="false">INDEX(Вводные!$D$13:$F$64,MATCH($A56,Вводные!$A$13:$A$64,0),MATCH(EX$3,Вводные!$D$11:$F$11,0))*(1+IF(EX$4=$A56,Вводные!$D$5*INDEX(Вводные!$G$13:$G$64,MATCH($A56,Вводные!$A$13:$A$64,0)),0))</f>
        <v>0.01</v>
      </c>
      <c r="EY56" s="32" t="n">
        <f aca="false">INDEX(Вводные!$D$13:$F$64,MATCH($A56,Вводные!$A$13:$A$64,0),MATCH(EY$3,Вводные!$D$11:$F$11,0))*(1+IF(EY$4=$A56,Вводные!$D$5*INDEX(Вводные!$G$13:$G$64,MATCH($A56,Вводные!$A$13:$A$64,0)),0))</f>
        <v>0.01</v>
      </c>
      <c r="EZ56" s="32" t="n">
        <f aca="false">INDEX(Вводные!$D$13:$F$64,MATCH($A56,Вводные!$A$13:$A$64,0),MATCH(EZ$3,Вводные!$D$11:$F$11,0))*(1+IF(EZ$4=$A56,Вводные!$D$5*INDEX(Вводные!$G$13:$G$64,MATCH($A56,Вводные!$A$13:$A$64,0)),0))</f>
        <v>0.01</v>
      </c>
      <c r="FA56" s="32" t="n">
        <f aca="false">INDEX(Вводные!$D$13:$F$64,MATCH($A56,Вводные!$A$13:$A$64,0),MATCH(FA$3,Вводные!$D$11:$F$11,0))*(1+IF(FA$4=$A56,Вводные!$D$5*INDEX(Вводные!$G$13:$G$64,MATCH($A56,Вводные!$A$13:$A$64,0)),0))</f>
        <v>0.01</v>
      </c>
      <c r="FB56" s="32" t="n">
        <f aca="false">INDEX(Вводные!$D$13:$F$64,MATCH($A56,Вводные!$A$13:$A$64,0),MATCH(FB$3,Вводные!$D$11:$F$11,0))*(1+IF(FB$4=$A56,Вводные!$D$5*INDEX(Вводные!$G$13:$G$64,MATCH($A56,Вводные!$A$13:$A$64,0)),0))</f>
        <v>0.01</v>
      </c>
      <c r="FC56" s="32" t="n">
        <f aca="false">INDEX(Вводные!$D$13:$F$64,MATCH($A56,Вводные!$A$13:$A$64,0),MATCH(FC$3,Вводные!$D$11:$F$11,0))*(1+IF(FC$4=$A56,Вводные!$D$5*INDEX(Вводные!$G$13:$G$64,MATCH($A56,Вводные!$A$13:$A$64,0)),0))</f>
        <v>0.01</v>
      </c>
      <c r="FD56" s="32" t="n">
        <f aca="false">INDEX(Вводные!$D$13:$F$64,MATCH($A56,Вводные!$A$13:$A$64,0),MATCH(FD$3,Вводные!$D$11:$F$11,0))*(1+IF(FD$4=$A56,Вводные!$D$5*INDEX(Вводные!$G$13:$G$64,MATCH($A56,Вводные!$A$13:$A$64,0)),0))</f>
        <v>0.01</v>
      </c>
      <c r="FE56" s="32" t="n">
        <f aca="false">INDEX(Вводные!$D$13:$F$64,MATCH($A56,Вводные!$A$13:$A$64,0),MATCH(FE$3,Вводные!$D$11:$F$11,0))*(1+IF(FE$4=$A56,Вводные!$D$5*INDEX(Вводные!$G$13:$G$64,MATCH($A56,Вводные!$A$13:$A$64,0)),0))</f>
        <v>0.01</v>
      </c>
      <c r="FF56" s="32" t="n">
        <f aca="false">INDEX(Вводные!$D$13:$F$64,MATCH($A56,Вводные!$A$13:$A$64,0),MATCH(FF$3,Вводные!$D$11:$F$11,0))*(1+IF(FF$4=$A56,Вводные!$D$5*INDEX(Вводные!$G$13:$G$64,MATCH($A56,Вводные!$A$13:$A$64,0)),0))</f>
        <v>0.0101</v>
      </c>
      <c r="FG56" s="32" t="n">
        <f aca="false">INDEX(Вводные!$D$13:$F$64,MATCH($A56,Вводные!$A$13:$A$64,0),MATCH(FG$3,Вводные!$D$11:$F$11,0))*(1+IF(FG$4=$A56,Вводные!$D$5*INDEX(Вводные!$G$13:$G$64,MATCH($A56,Вводные!$A$13:$A$64,0)),0))</f>
        <v>0.01</v>
      </c>
      <c r="FH56" s="32" t="n">
        <f aca="false">INDEX(Вводные!$D$13:$F$64,MATCH($A56,Вводные!$A$13:$A$64,0),MATCH(FH$3,Вводные!$D$11:$F$11,0))*(1+IF(FH$4=$A56,Вводные!$D$5*INDEX(Вводные!$G$13:$G$64,MATCH($A56,Вводные!$A$13:$A$64,0)),0))</f>
        <v>0.01</v>
      </c>
      <c r="FI56" s="32" t="n">
        <f aca="false">INDEX(Вводные!$D$13:$F$64,MATCH($A56,Вводные!$A$13:$A$64,0),MATCH(FI$3,Вводные!$D$11:$F$11,0))*(1+IF(FI$4=$A56,Вводные!$D$5*INDEX(Вводные!$G$13:$G$64,MATCH($A56,Вводные!$A$13:$A$64,0)),0))</f>
        <v>0.01</v>
      </c>
      <c r="FJ56" s="32" t="n">
        <f aca="false">INDEX(Вводные!$D$13:$F$64,MATCH($A56,Вводные!$A$13:$A$64,0),MATCH(FJ$3,Вводные!$D$11:$F$11,0))*(1+IF(FJ$4=$A56,Вводные!$D$5*INDEX(Вводные!$G$13:$G$64,MATCH($A56,Вводные!$A$13:$A$64,0)),0))</f>
        <v>0.01</v>
      </c>
      <c r="FK56" s="32" t="n">
        <f aca="false">INDEX(Вводные!$D$13:$F$64,MATCH($A56,Вводные!$A$13:$A$64,0),MATCH(FK$3,Вводные!$D$11:$F$11,0))*(1+IF(FK$4=$A56,Вводные!$D$5*INDEX(Вводные!$G$13:$G$64,MATCH($A56,Вводные!$A$13:$A$64,0)),0))</f>
        <v>0.01</v>
      </c>
      <c r="FL56" s="32" t="n">
        <f aca="false">INDEX(Вводные!$D$13:$F$64,MATCH($A56,Вводные!$A$13:$A$64,0),MATCH(FL$3,Вводные!$D$11:$F$11,0))*(1+IF(FL$4=$A56,Вводные!$D$5*INDEX(Вводные!$G$13:$G$64,MATCH($A56,Вводные!$A$13:$A$64,0)),0))</f>
        <v>0.01</v>
      </c>
      <c r="FM56" s="32" t="n">
        <f aca="false">INDEX(Вводные!$D$13:$F$64,MATCH($A56,Вводные!$A$13:$A$64,0),MATCH(FM$3,Вводные!$D$11:$F$11,0))*(1+IF(FM$4=$A56,Вводные!$D$5*INDEX(Вводные!$G$13:$G$64,MATCH($A56,Вводные!$A$13:$A$64,0)),0))</f>
        <v>0.01</v>
      </c>
      <c r="FN56" s="32" t="n">
        <f aca="false">INDEX(Вводные!$D$13:$F$64,MATCH($A56,Вводные!$A$13:$A$64,0),MATCH(FN$3,Вводные!$D$11:$F$11,0))*(1+IF(FN$4=$A56,Вводные!$D$5*INDEX(Вводные!$G$13:$G$64,MATCH($A56,Вводные!$A$13:$A$64,0)),0))</f>
        <v>0.01</v>
      </c>
      <c r="FO56" s="32" t="n">
        <f aca="false">INDEX(Вводные!$D$13:$F$64,MATCH($A56,Вводные!$A$13:$A$64,0),MATCH(FO$3,Вводные!$D$11:$F$11,0))*(1+IF(FO$4=$A56,Вводные!$D$5*INDEX(Вводные!$G$13:$G$64,MATCH($A56,Вводные!$A$13:$A$64,0)),0))</f>
        <v>0.01</v>
      </c>
      <c r="FP56" s="32" t="n">
        <f aca="false">INDEX(Вводные!$D$13:$F$64,MATCH($A56,Вводные!$A$13:$A$64,0),MATCH(FP$3,Вводные!$D$11:$F$11,0))*(1+IF(FP$4=$A56,Вводные!$D$5*INDEX(Вводные!$G$13:$G$64,MATCH($A56,Вводные!$A$13:$A$64,0)),0))</f>
        <v>0.01</v>
      </c>
      <c r="FQ56" s="32" t="n">
        <f aca="false">INDEX(Вводные!$D$13:$F$64,MATCH($A56,Вводные!$A$13:$A$64,0),MATCH(FQ$3,Вводные!$D$11:$F$11,0))*(1+IF(FQ$4=$A56,Вводные!$D$5*INDEX(Вводные!$G$13:$G$64,MATCH($A56,Вводные!$A$13:$A$64,0)),0))</f>
        <v>0.01</v>
      </c>
      <c r="FR56" s="32" t="n">
        <f aca="false">INDEX(Вводные!$D$13:$F$64,MATCH($A56,Вводные!$A$13:$A$64,0),MATCH(FR$3,Вводные!$D$11:$F$11,0))*(1+IF(FR$4=$A56,Вводные!$D$5*INDEX(Вводные!$G$13:$G$64,MATCH($A56,Вводные!$A$13:$A$64,0)),0))</f>
        <v>0.01</v>
      </c>
      <c r="FS56" s="32" t="n">
        <f aca="false">INDEX(Вводные!$D$13:$F$64,MATCH($A56,Вводные!$A$13:$A$64,0),MATCH(FS$3,Вводные!$D$11:$F$11,0))*(1+IF(FS$4=$A56,Вводные!$D$5*INDEX(Вводные!$G$13:$G$64,MATCH($A56,Вводные!$A$13:$A$64,0)),0))</f>
        <v>0.01</v>
      </c>
      <c r="FT56" s="32" t="n">
        <f aca="false">INDEX(Вводные!$D$13:$F$64,MATCH($A56,Вводные!$A$13:$A$64,0),MATCH(FT$3,Вводные!$D$11:$F$11,0))*(1+IF(FT$4=$A56,Вводные!$D$5*INDEX(Вводные!$G$13:$G$64,MATCH($A56,Вводные!$A$13:$A$64,0)),0))</f>
        <v>0.01</v>
      </c>
      <c r="FU56" s="32" t="n">
        <f aca="false">INDEX(Вводные!$D$13:$F$64,MATCH($A56,Вводные!$A$13:$A$64,0),MATCH(FU$3,Вводные!$D$11:$F$11,0))*(1+IF(FU$4=$A56,Вводные!$D$5*INDEX(Вводные!$G$13:$G$64,MATCH($A56,Вводные!$A$13:$A$64,0)),0))</f>
        <v>0.01</v>
      </c>
      <c r="FV56" s="32" t="n">
        <f aca="false">INDEX(Вводные!$D$13:$F$64,MATCH($A56,Вводные!$A$13:$A$64,0),MATCH(FV$3,Вводные!$D$11:$F$11,0))*(1+IF(FV$4=$A56,Вводные!$D$5*INDEX(Вводные!$G$13:$G$64,MATCH($A56,Вводные!$A$13:$A$64,0)),0))</f>
        <v>0.01</v>
      </c>
      <c r="FW56" s="32" t="n">
        <f aca="false">INDEX(Вводные!$D$13:$F$64,MATCH($A56,Вводные!$A$13:$A$64,0),MATCH(FW$3,Вводные!$D$11:$F$11,0))*(1+IF(FW$4=$A56,Вводные!$D$5*INDEX(Вводные!$G$13:$G$64,MATCH($A56,Вводные!$A$13:$A$64,0)),0))</f>
        <v>0.01</v>
      </c>
      <c r="FX56" s="32" t="n">
        <f aca="false">INDEX(Вводные!$D$13:$F$64,MATCH($A56,Вводные!$A$13:$A$64,0),MATCH(FX$3,Вводные!$D$11:$F$11,0))*(1+IF(FX$4=$A56,Вводные!$D$5*INDEX(Вводные!$G$13:$G$64,MATCH($A56,Вводные!$A$13:$A$64,0)),0))</f>
        <v>0.01</v>
      </c>
      <c r="FY56" s="32" t="n">
        <f aca="false">INDEX(Вводные!$D$13:$F$64,MATCH($A56,Вводные!$A$13:$A$64,0),MATCH(FY$3,Вводные!$D$11:$F$11,0))*(1+IF(FY$4=$A56,Вводные!$D$5*INDEX(Вводные!$G$13:$G$64,MATCH($A56,Вводные!$A$13:$A$64,0)),0))</f>
        <v>0.01</v>
      </c>
      <c r="FZ56" s="32" t="n">
        <f aca="false">INDEX(Вводные!$D$13:$F$64,MATCH($A56,Вводные!$A$13:$A$64,0),MATCH(FZ$3,Вводные!$D$11:$F$11,0))*(1+IF(FZ$4=$A56,Вводные!$D$5*INDEX(Вводные!$G$13:$G$64,MATCH($A56,Вводные!$A$13:$A$64,0)),0))</f>
        <v>0.01</v>
      </c>
      <c r="GA56" s="32" t="n">
        <f aca="false">INDEX(Вводные!$D$13:$F$64,MATCH($A56,Вводные!$A$13:$A$64,0),MATCH(GA$3,Вводные!$D$11:$F$11,0))*(1+IF(GA$4=$A56,Вводные!$D$5*INDEX(Вводные!$G$13:$G$64,MATCH($A56,Вводные!$A$13:$A$64,0)),0))</f>
        <v>0.01</v>
      </c>
      <c r="GB56" s="32" t="n">
        <f aca="false">INDEX(Вводные!$D$13:$F$64,MATCH($A56,Вводные!$A$13:$A$64,0),MATCH(GB$3,Вводные!$D$11:$F$11,0))*(1+IF(GB$4=$A56,Вводные!$D$5*INDEX(Вводные!$G$13:$G$64,MATCH($A56,Вводные!$A$13:$A$64,0)),0))</f>
        <v>0.01</v>
      </c>
      <c r="GC56" s="32" t="n">
        <f aca="false">INDEX(Вводные!$D$13:$F$64,MATCH($A56,Вводные!$A$13:$A$64,0),MATCH(GC$3,Вводные!$D$11:$F$11,0))*(1+IF(GC$4=$A56,Вводные!$D$5*INDEX(Вводные!$G$13:$G$64,MATCH($A56,Вводные!$A$13:$A$64,0)),0))</f>
        <v>0.01</v>
      </c>
      <c r="GD56" s="32" t="n">
        <f aca="false">INDEX(Вводные!$D$13:$F$64,MATCH($A56,Вводные!$A$13:$A$64,0),MATCH(GD$3,Вводные!$D$11:$F$11,0))*(1+IF(GD$4=$A56,Вводные!$D$5*INDEX(Вводные!$G$13:$G$64,MATCH($A56,Вводные!$A$13:$A$64,0)),0))</f>
        <v>0.01</v>
      </c>
      <c r="GE56" s="32" t="n">
        <f aca="false">INDEX(Вводные!$D$13:$F$64,MATCH($A56,Вводные!$A$13:$A$64,0),MATCH(GE$3,Вводные!$D$11:$F$11,0))*(1+IF(GE$4=$A56,Вводные!$D$5*INDEX(Вводные!$G$13:$G$64,MATCH($A56,Вводные!$A$13:$A$64,0)),0))</f>
        <v>0.01</v>
      </c>
      <c r="GF56" s="32" t="n">
        <f aca="false">INDEX(Вводные!$D$13:$F$64,MATCH($A56,Вводные!$A$13:$A$64,0),MATCH(GF$3,Вводные!$D$11:$F$11,0))*(1+IF(GF$4=$A56,Вводные!$D$5*INDEX(Вводные!$G$13:$G$64,MATCH($A56,Вводные!$A$13:$A$64,0)),0))</f>
        <v>0.01</v>
      </c>
      <c r="GG56" s="32" t="n">
        <f aca="false">INDEX(Вводные!$D$13:$F$64,MATCH($A56,Вводные!$A$13:$A$64,0),MATCH(GG$3,Вводные!$D$11:$F$11,0))*(1+IF(GG$4=$A56,Вводные!$D$5*INDEX(Вводные!$G$13:$G$64,MATCH($A56,Вводные!$A$13:$A$64,0)),0))</f>
        <v>0.01</v>
      </c>
      <c r="GH56" s="32" t="n">
        <f aca="false">INDEX(Вводные!$D$13:$F$64,MATCH($A56,Вводные!$A$13:$A$64,0),MATCH(GH$3,Вводные!$D$11:$F$11,0))*(1+IF(GH$4=$A56,Вводные!$D$5*INDEX(Вводные!$G$13:$G$64,MATCH($A56,Вводные!$A$13:$A$64,0)),0))</f>
        <v>0.01</v>
      </c>
      <c r="GI56" s="32" t="n">
        <f aca="false">INDEX(Вводные!$D$13:$F$64,MATCH($A56,Вводные!$A$13:$A$64,0),MATCH(GI$3,Вводные!$D$11:$F$11,0))*(1+IF(GI$4=$A56,Вводные!$D$5*INDEX(Вводные!$G$13:$G$64,MATCH($A56,Вводные!$A$13:$A$64,0)),0))</f>
        <v>0.01</v>
      </c>
      <c r="GJ56" s="32" t="n">
        <f aca="false">INDEX(Вводные!$D$13:$F$64,MATCH($A56,Вводные!$A$13:$A$64,0),MATCH(GJ$3,Вводные!$D$11:$F$11,0))*(1+IF(GJ$4=$A56,Вводные!$D$5*INDEX(Вводные!$G$13:$G$64,MATCH($A56,Вводные!$A$13:$A$64,0)),0))</f>
        <v>0.01</v>
      </c>
      <c r="GK56" s="32" t="n">
        <f aca="false">INDEX(Вводные!$D$13:$F$64,MATCH($A56,Вводные!$A$13:$A$64,0),MATCH(GK$3,Вводные!$D$11:$F$11,0))*(1+IF(GK$4=$A56,Вводные!$D$5*INDEX(Вводные!$G$13:$G$64,MATCH($A56,Вводные!$A$13:$A$64,0)),0))</f>
        <v>0.01</v>
      </c>
      <c r="GL56" s="32" t="n">
        <f aca="false">INDEX(Вводные!$D$13:$F$64,MATCH($A56,Вводные!$A$13:$A$64,0),MATCH(GL$3,Вводные!$D$11:$F$11,0))*(1+IF(GL$4=$A56,Вводные!$D$5*INDEX(Вводные!$G$13:$G$64,MATCH($A56,Вводные!$A$13:$A$64,0)),0))</f>
        <v>0.01</v>
      </c>
      <c r="GM56" s="32" t="n">
        <f aca="false">INDEX(Вводные!$D$13:$F$64,MATCH($A56,Вводные!$A$13:$A$64,0),MATCH(GM$3,Вводные!$D$11:$F$11,0))*(1+IF(GM$4=$A56,Вводные!$D$5*INDEX(Вводные!$G$13:$G$64,MATCH($A56,Вводные!$A$13:$A$64,0)),0))</f>
        <v>0.01</v>
      </c>
      <c r="GN56" s="32" t="n">
        <f aca="false">INDEX(Вводные!$D$13:$F$64,MATCH($A56,Вводные!$A$13:$A$64,0),MATCH(GN$3,Вводные!$D$11:$F$11,0))*(1+IF(GN$4=$A56,Вводные!$D$5*INDEX(Вводные!$G$13:$G$64,MATCH($A56,Вводные!$A$13:$A$64,0)),0))</f>
        <v>0.01</v>
      </c>
      <c r="GO56" s="32" t="n">
        <f aca="false">INDEX(Вводные!$D$13:$F$64,MATCH($A56,Вводные!$A$13:$A$64,0),MATCH(GO$3,Вводные!$D$11:$F$11,0))*(1+IF(GO$4=$A56,Вводные!$D$5*INDEX(Вводные!$G$13:$G$64,MATCH($A56,Вводные!$A$13:$A$64,0)),0))</f>
        <v>0.01</v>
      </c>
      <c r="GP56" s="32" t="n">
        <f aca="false">INDEX(Вводные!$D$13:$F$64,MATCH($A56,Вводные!$A$13:$A$64,0),MATCH(GP$3,Вводные!$D$11:$F$11,0))*(1+IF(GP$4=$A56,Вводные!$D$5*INDEX(Вводные!$G$13:$G$64,MATCH($A56,Вводные!$A$13:$A$64,0)),0))</f>
        <v>0.01</v>
      </c>
      <c r="GQ56" s="32" t="n">
        <f aca="false">INDEX(Вводные!$D$13:$F$64,MATCH($A56,Вводные!$A$13:$A$64,0),MATCH(GQ$3,Вводные!$D$11:$F$11,0))*(1+IF(GQ$4=$A56,Вводные!$D$5*INDEX(Вводные!$G$13:$G$64,MATCH($A56,Вводные!$A$13:$A$64,0)),0))</f>
        <v>0.01</v>
      </c>
      <c r="GR56" s="32" t="n">
        <f aca="false">INDEX(Вводные!$D$13:$F$64,MATCH($A56,Вводные!$A$13:$A$64,0),MATCH(GR$3,Вводные!$D$11:$F$11,0))*(1+IF(GR$4=$A56,Вводные!$D$5*INDEX(Вводные!$G$13:$G$64,MATCH($A56,Вводные!$A$13:$A$64,0)),0))</f>
        <v>0.01</v>
      </c>
      <c r="GS56" s="32" t="n">
        <f aca="false">INDEX(Вводные!$D$13:$F$64,MATCH($A56,Вводные!$A$13:$A$64,0),MATCH(GS$3,Вводные!$D$11:$F$11,0))*(1+IF(GS$4=$A56,Вводные!$D$5*INDEX(Вводные!$G$13:$G$64,MATCH($A56,Вводные!$A$13:$A$64,0)),0))</f>
        <v>0.01</v>
      </c>
      <c r="GT56" s="32" t="n">
        <f aca="false">INDEX(Вводные!$D$13:$F$64,MATCH($A56,Вводные!$A$13:$A$64,0),MATCH(GT$3,Вводные!$D$11:$F$11,0))*(1+IF(GT$4=$A56,Вводные!$D$5*INDEX(Вводные!$G$13:$G$64,MATCH($A56,Вводные!$A$13:$A$64,0)),0))</f>
        <v>0.01</v>
      </c>
      <c r="GU56" s="32" t="n">
        <f aca="false">INDEX(Вводные!$D$13:$F$64,MATCH($A56,Вводные!$A$13:$A$64,0),MATCH(GU$3,Вводные!$D$11:$F$11,0))*(1+IF(GU$4=$A56,Вводные!$D$5*INDEX(Вводные!$G$13:$G$64,MATCH($A56,Вводные!$A$13:$A$64,0)),0))</f>
        <v>0.01</v>
      </c>
      <c r="GV56" s="32" t="n">
        <f aca="false">INDEX(Вводные!$D$13:$F$64,MATCH($A56,Вводные!$A$13:$A$64,0),MATCH(GV$3,Вводные!$D$11:$F$11,0))*(1+IF(GV$4=$A56,Вводные!$D$5*INDEX(Вводные!$G$13:$G$64,MATCH($A56,Вводные!$A$13:$A$64,0)),0))</f>
        <v>0.0101</v>
      </c>
      <c r="GW56" s="32" t="n">
        <f aca="false">INDEX(Вводные!$D$13:$F$64,MATCH($A56,Вводные!$A$13:$A$64,0),MATCH(GW$3,Вводные!$D$11:$F$11,0))*(1+IF(GW$4=$A56,Вводные!$D$5*INDEX(Вводные!$G$13:$G$64,MATCH($A56,Вводные!$A$13:$A$64,0)),0))</f>
        <v>0.01</v>
      </c>
      <c r="GX56" s="32" t="n">
        <f aca="false">INDEX(Вводные!$D$13:$F$64,MATCH($A56,Вводные!$A$13:$A$64,0),MATCH(GX$3,Вводные!$D$11:$F$11,0))*(1+IF(GX$4=$A56,Вводные!$D$5*INDEX(Вводные!$G$13:$G$64,MATCH($A56,Вводные!$A$13:$A$64,0)),0))</f>
        <v>0.01</v>
      </c>
      <c r="GY56" s="32" t="n">
        <f aca="false">INDEX(Вводные!$D$13:$F$64,MATCH($A56,Вводные!$A$13:$A$64,0),MATCH(GY$3,Вводные!$D$11:$F$11,0))*(1+IF(GY$4=$A56,Вводные!$D$5*INDEX(Вводные!$G$13:$G$64,MATCH($A56,Вводные!$A$13:$A$64,0)),0))</f>
        <v>0.01</v>
      </c>
      <c r="GZ56" s="32" t="n">
        <f aca="false">INDEX(Вводные!$D$13:$F$64,MATCH($A56,Вводные!$A$13:$A$64,0),MATCH(GZ$3,Вводные!$D$11:$F$11,0))*(1+IF(GZ$4=$A56,Вводные!$D$5*INDEX(Вводные!$G$13:$G$64,MATCH($A56,Вводные!$A$13:$A$64,0)),0))</f>
        <v>0.01</v>
      </c>
      <c r="HA56" s="32" t="n">
        <f aca="false">INDEX(Вводные!$D$13:$F$64,MATCH($A56,Вводные!$A$13:$A$64,0),MATCH(HA$3,Вводные!$D$11:$F$11,0))*(1+IF(HA$4=$A56,Вводные!$D$5*INDEX(Вводные!$G$13:$G$64,MATCH($A56,Вводные!$A$13:$A$64,0)),0))</f>
        <v>0.01</v>
      </c>
      <c r="HB56" s="32" t="n">
        <f aca="false">INDEX(Вводные!$D$13:$F$64,MATCH($A56,Вводные!$A$13:$A$64,0),MATCH(HB$3,Вводные!$D$11:$F$11,0))*(1+IF(HB$4=$A56,Вводные!$D$5*INDEX(Вводные!$G$13:$G$64,MATCH($A56,Вводные!$A$13:$A$64,0)),0))</f>
        <v>0.01</v>
      </c>
      <c r="HC56" s="32" t="n">
        <f aca="false">INDEX(Вводные!$D$13:$F$64,MATCH($A56,Вводные!$A$13:$A$64,0),MATCH(HC$3,Вводные!$D$11:$F$11,0))*(1+IF(HC$4=$A56,Вводные!$D$5*INDEX(Вводные!$G$13:$G$64,MATCH($A56,Вводные!$A$13:$A$64,0)),0))</f>
        <v>0.01</v>
      </c>
      <c r="HD56" s="32" t="n">
        <f aca="false">INDEX(Вводные!$D$13:$F$64,MATCH($A56,Вводные!$A$13:$A$64,0),MATCH(HD$3,Вводные!$D$11:$F$11,0))*(1+IF(HD$4=$A56,Вводные!$D$5*INDEX(Вводные!$G$13:$G$64,MATCH($A56,Вводные!$A$13:$A$64,0)),0))</f>
        <v>0.01</v>
      </c>
      <c r="HE56" s="32" t="n">
        <f aca="false">INDEX(Вводные!$D$13:$F$64,MATCH($A56,Вводные!$A$13:$A$64,0),MATCH(HE$3,Вводные!$D$11:$F$11,0))*(1+IF(HE$4=$A56,Вводные!$D$5*INDEX(Вводные!$G$13:$G$64,MATCH($A56,Вводные!$A$13:$A$64,0)),0))</f>
        <v>0.01</v>
      </c>
      <c r="HF56" s="32" t="n">
        <f aca="false">INDEX(Вводные!$D$13:$F$64,MATCH($A56,Вводные!$A$13:$A$64,0),MATCH(HF$3,Вводные!$D$11:$F$11,0))*(1+IF(HF$4=$A56,Вводные!$D$5*INDEX(Вводные!$G$13:$G$64,MATCH($A56,Вводные!$A$13:$A$64,0)),0))</f>
        <v>0.01</v>
      </c>
      <c r="HG56" s="32" t="n">
        <f aca="false">INDEX(Вводные!$D$13:$F$64,MATCH($A56,Вводные!$A$13:$A$64,0),MATCH(HG$3,Вводные!$D$11:$F$11,0))*(1+IF(HG$4=$A56,Вводные!$D$5*INDEX(Вводные!$G$13:$G$64,MATCH($A56,Вводные!$A$13:$A$64,0)),0))</f>
        <v>0.01</v>
      </c>
      <c r="HH56" s="32" t="n">
        <f aca="false">INDEX(Вводные!$D$13:$F$64,MATCH($A56,Вводные!$A$13:$A$64,0),MATCH(HH$3,Вводные!$D$11:$F$11,0))*(1+IF(HH$4=$A56,Вводные!$D$5*INDEX(Вводные!$G$13:$G$64,MATCH($A56,Вводные!$A$13:$A$64,0)),0))</f>
        <v>0.01</v>
      </c>
      <c r="HI56" s="32" t="n">
        <f aca="false">INDEX(Вводные!$D$13:$F$64,MATCH($A56,Вводные!$A$13:$A$64,0),MATCH(HI$3,Вводные!$D$11:$F$11,0))*(1+IF(HI$4=$A56,Вводные!$D$5*INDEX(Вводные!$G$13:$G$64,MATCH($A56,Вводные!$A$13:$A$64,0)),0))</f>
        <v>0.01</v>
      </c>
      <c r="HJ56" s="32" t="n">
        <f aca="false">INDEX(Вводные!$D$13:$F$64,MATCH($A56,Вводные!$A$13:$A$64,0),MATCH(HJ$3,Вводные!$D$11:$F$11,0))*(1+IF(HJ$4=$A56,Вводные!$D$5*INDEX(Вводные!$G$13:$G$64,MATCH($A56,Вводные!$A$13:$A$64,0)),0))</f>
        <v>0.01</v>
      </c>
      <c r="HK56" s="32" t="n">
        <f aca="false">INDEX(Вводные!$D$13:$F$64,MATCH($A56,Вводные!$A$13:$A$64,0),MATCH(HK$3,Вводные!$D$11:$F$11,0))*(1+IF(HK$4=$A56,Вводные!$D$5*INDEX(Вводные!$G$13:$G$64,MATCH($A56,Вводные!$A$13:$A$64,0)),0))</f>
        <v>0.01</v>
      </c>
      <c r="HL56" s="32" t="n">
        <f aca="false">INDEX(Вводные!$D$13:$F$64,MATCH($A56,Вводные!$A$13:$A$64,0),MATCH(HL$3,Вводные!$D$11:$F$11,0))*(1+IF(HL$4=$A56,Вводные!$D$5*INDEX(Вводные!$G$13:$G$64,MATCH($A56,Вводные!$A$13:$A$64,0)),0))</f>
        <v>0.003</v>
      </c>
      <c r="HM56" s="32" t="n">
        <f aca="false">INDEX(Вводные!$D$13:$F$64,MATCH($A56,Вводные!$A$13:$A$64,0),MATCH(HM$3,Вводные!$D$11:$F$11,0))*(1+IF(HM$4=$A56,Вводные!$D$5*INDEX(Вводные!$G$13:$G$64,MATCH($A56,Вводные!$A$13:$A$64,0)),0))</f>
        <v>0.003</v>
      </c>
      <c r="HN56" s="32" t="n">
        <f aca="false">INDEX(Вводные!$D$13:$F$64,MATCH($A56,Вводные!$A$13:$A$64,0),MATCH(HN$3,Вводные!$D$11:$F$11,0))*(1+IF(HN$4=$A56,Вводные!$D$5*INDEX(Вводные!$G$13:$G$64,MATCH($A56,Вводные!$A$13:$A$64,0)),0))</f>
        <v>0.003</v>
      </c>
      <c r="HO56" s="32" t="n">
        <f aca="false">INDEX(Вводные!$D$13:$F$64,MATCH($A56,Вводные!$A$13:$A$64,0),MATCH(HO$3,Вводные!$D$11:$F$11,0))*(1+IF(HO$4=$A56,Вводные!$D$5*INDEX(Вводные!$G$13:$G$64,MATCH($A56,Вводные!$A$13:$A$64,0)),0))</f>
        <v>0.003</v>
      </c>
      <c r="HP56" s="32" t="n">
        <f aca="false">INDEX(Вводные!$D$13:$F$64,MATCH($A56,Вводные!$A$13:$A$64,0),MATCH(HP$3,Вводные!$D$11:$F$11,0))*(1+IF(HP$4=$A56,Вводные!$D$5*INDEX(Вводные!$G$13:$G$64,MATCH($A56,Вводные!$A$13:$A$64,0)),0))</f>
        <v>0.003</v>
      </c>
      <c r="HQ56" s="32" t="n">
        <f aca="false">INDEX(Вводные!$D$13:$F$64,MATCH($A56,Вводные!$A$13:$A$64,0),MATCH(HQ$3,Вводные!$D$11:$F$11,0))*(1+IF(HQ$4=$A56,Вводные!$D$5*INDEX(Вводные!$G$13:$G$64,MATCH($A56,Вводные!$A$13:$A$64,0)),0))</f>
        <v>0.003</v>
      </c>
      <c r="HR56" s="32" t="n">
        <f aca="false">INDEX(Вводные!$D$13:$F$64,MATCH($A56,Вводные!$A$13:$A$64,0),MATCH(HR$3,Вводные!$D$11:$F$11,0))*(1+IF(HR$4=$A56,Вводные!$D$5*INDEX(Вводные!$G$13:$G$64,MATCH($A56,Вводные!$A$13:$A$64,0)),0))</f>
        <v>0.003</v>
      </c>
      <c r="HS56" s="32" t="n">
        <f aca="false">INDEX(Вводные!$D$13:$F$64,MATCH($A56,Вводные!$A$13:$A$64,0),MATCH(HS$3,Вводные!$D$11:$F$11,0))*(1+IF(HS$4=$A56,Вводные!$D$5*INDEX(Вводные!$G$13:$G$64,MATCH($A56,Вводные!$A$13:$A$64,0)),0))</f>
        <v>0.003</v>
      </c>
      <c r="HT56" s="32" t="n">
        <f aca="false">INDEX(Вводные!$D$13:$F$64,MATCH($A56,Вводные!$A$13:$A$64,0),MATCH(HT$3,Вводные!$D$11:$F$11,0))*(1+IF(HT$4=$A56,Вводные!$D$5*INDEX(Вводные!$G$13:$G$64,MATCH($A56,Вводные!$A$13:$A$64,0)),0))</f>
        <v>0.003</v>
      </c>
      <c r="HU56" s="32" t="n">
        <f aca="false">INDEX(Вводные!$D$13:$F$64,MATCH($A56,Вводные!$A$13:$A$64,0),MATCH(HU$3,Вводные!$D$11:$F$11,0))*(1+IF(HU$4=$A56,Вводные!$D$5*INDEX(Вводные!$G$13:$G$64,MATCH($A56,Вводные!$A$13:$A$64,0)),0))</f>
        <v>0.003</v>
      </c>
      <c r="HV56" s="32" t="n">
        <f aca="false">INDEX(Вводные!$D$13:$F$64,MATCH($A56,Вводные!$A$13:$A$64,0),MATCH(HV$3,Вводные!$D$11:$F$11,0))*(1+IF(HV$4=$A56,Вводные!$D$5*INDEX(Вводные!$G$13:$G$64,MATCH($A56,Вводные!$A$13:$A$64,0)),0))</f>
        <v>0.003</v>
      </c>
      <c r="HW56" s="32" t="n">
        <f aca="false">INDEX(Вводные!$D$13:$F$64,MATCH($A56,Вводные!$A$13:$A$64,0),MATCH(HW$3,Вводные!$D$11:$F$11,0))*(1+IF(HW$4=$A56,Вводные!$D$5*INDEX(Вводные!$G$13:$G$64,MATCH($A56,Вводные!$A$13:$A$64,0)),0))</f>
        <v>0.003</v>
      </c>
      <c r="HX56" s="32" t="n">
        <f aca="false">INDEX(Вводные!$D$13:$F$64,MATCH($A56,Вводные!$A$13:$A$64,0),MATCH(HX$3,Вводные!$D$11:$F$11,0))*(1+IF(HX$4=$A56,Вводные!$D$5*INDEX(Вводные!$G$13:$G$64,MATCH($A56,Вводные!$A$13:$A$64,0)),0))</f>
        <v>0.003</v>
      </c>
      <c r="HY56" s="32" t="n">
        <f aca="false">INDEX(Вводные!$D$13:$F$64,MATCH($A56,Вводные!$A$13:$A$64,0),MATCH(HY$3,Вводные!$D$11:$F$11,0))*(1+IF(HY$4=$A56,Вводные!$D$5*INDEX(Вводные!$G$13:$G$64,MATCH($A56,Вводные!$A$13:$A$64,0)),0))</f>
        <v>0.003</v>
      </c>
      <c r="HZ56" s="32" t="n">
        <f aca="false">INDEX(Вводные!$D$13:$F$64,MATCH($A56,Вводные!$A$13:$A$64,0),MATCH(HZ$3,Вводные!$D$11:$F$11,0))*(1+IF(HZ$4=$A56,Вводные!$D$5*INDEX(Вводные!$G$13:$G$64,MATCH($A56,Вводные!$A$13:$A$64,0)),0))</f>
        <v>0.003</v>
      </c>
      <c r="IA56" s="32" t="n">
        <f aca="false">INDEX(Вводные!$D$13:$F$64,MATCH($A56,Вводные!$A$13:$A$64,0),MATCH(IA$3,Вводные!$D$11:$F$11,0))*(1+IF(IA$4=$A56,Вводные!$D$5*INDEX(Вводные!$G$13:$G$64,MATCH($A56,Вводные!$A$13:$A$64,0)),0))</f>
        <v>0.003</v>
      </c>
      <c r="IB56" s="32" t="n">
        <f aca="false">INDEX(Вводные!$D$13:$F$64,MATCH($A56,Вводные!$A$13:$A$64,0),MATCH(IB$3,Вводные!$D$11:$F$11,0))*(1+IF(IB$4=$A56,Вводные!$D$5*INDEX(Вводные!$G$13:$G$64,MATCH($A56,Вводные!$A$13:$A$64,0)),0))</f>
        <v>0.003</v>
      </c>
      <c r="IC56" s="32" t="n">
        <f aca="false">INDEX(Вводные!$D$13:$F$64,MATCH($A56,Вводные!$A$13:$A$64,0),MATCH(IC$3,Вводные!$D$11:$F$11,0))*(1+IF(IC$4=$A56,Вводные!$D$5*INDEX(Вводные!$G$13:$G$64,MATCH($A56,Вводные!$A$13:$A$64,0)),0))</f>
        <v>0.003</v>
      </c>
      <c r="ID56" s="32" t="n">
        <f aca="false">INDEX(Вводные!$D$13:$F$64,MATCH($A56,Вводные!$A$13:$A$64,0),MATCH(ID$3,Вводные!$D$11:$F$11,0))*(1+IF(ID$4=$A56,Вводные!$D$5*INDEX(Вводные!$G$13:$G$64,MATCH($A56,Вводные!$A$13:$A$64,0)),0))</f>
        <v>0.003</v>
      </c>
      <c r="IE56" s="32" t="n">
        <f aca="false">INDEX(Вводные!$D$13:$F$64,MATCH($A56,Вводные!$A$13:$A$64,0),MATCH(IE$3,Вводные!$D$11:$F$11,0))*(1+IF(IE$4=$A56,Вводные!$D$5*INDEX(Вводные!$G$13:$G$64,MATCH($A56,Вводные!$A$13:$A$64,0)),0))</f>
        <v>0.003</v>
      </c>
      <c r="IF56" s="32" t="n">
        <f aca="false">INDEX(Вводные!$D$13:$F$64,MATCH($A56,Вводные!$A$13:$A$64,0),MATCH(IF$3,Вводные!$D$11:$F$11,0))*(1+IF(IF$4=$A56,Вводные!$D$5*INDEX(Вводные!$G$13:$G$64,MATCH($A56,Вводные!$A$13:$A$64,0)),0))</f>
        <v>0.003</v>
      </c>
      <c r="IG56" s="32" t="n">
        <f aca="false">INDEX(Вводные!$D$13:$F$64,MATCH($A56,Вводные!$A$13:$A$64,0),MATCH(IG$3,Вводные!$D$11:$F$11,0))*(1+IF(IG$4=$A56,Вводные!$D$5*INDEX(Вводные!$G$13:$G$64,MATCH($A56,Вводные!$A$13:$A$64,0)),0))</f>
        <v>0.003</v>
      </c>
      <c r="IH56" s="32" t="n">
        <f aca="false">INDEX(Вводные!$D$13:$F$64,MATCH($A56,Вводные!$A$13:$A$64,0),MATCH(IH$3,Вводные!$D$11:$F$11,0))*(1+IF(IH$4=$A56,Вводные!$D$5*INDEX(Вводные!$G$13:$G$64,MATCH($A56,Вводные!$A$13:$A$64,0)),0))</f>
        <v>0.003</v>
      </c>
      <c r="II56" s="32" t="n">
        <f aca="false">INDEX(Вводные!$D$13:$F$64,MATCH($A56,Вводные!$A$13:$A$64,0),MATCH(II$3,Вводные!$D$11:$F$11,0))*(1+IF(II$4=$A56,Вводные!$D$5*INDEX(Вводные!$G$13:$G$64,MATCH($A56,Вводные!$A$13:$A$64,0)),0))</f>
        <v>0.003</v>
      </c>
      <c r="IJ56" s="32" t="n">
        <f aca="false">INDEX(Вводные!$D$13:$F$64,MATCH($A56,Вводные!$A$13:$A$64,0),MATCH(IJ$3,Вводные!$D$11:$F$11,0))*(1+IF(IJ$4=$A56,Вводные!$D$5*INDEX(Вводные!$G$13:$G$64,MATCH($A56,Вводные!$A$13:$A$64,0)),0))</f>
        <v>0.003</v>
      </c>
      <c r="IK56" s="32" t="n">
        <f aca="false">INDEX(Вводные!$D$13:$F$64,MATCH($A56,Вводные!$A$13:$A$64,0),MATCH(IK$3,Вводные!$D$11:$F$11,0))*(1+IF(IK$4=$A56,Вводные!$D$5*INDEX(Вводные!$G$13:$G$64,MATCH($A56,Вводные!$A$13:$A$64,0)),0))</f>
        <v>0.003</v>
      </c>
      <c r="IL56" s="32" t="n">
        <f aca="false">INDEX(Вводные!$D$13:$F$64,MATCH($A56,Вводные!$A$13:$A$64,0),MATCH(IL$3,Вводные!$D$11:$F$11,0))*(1+IF(IL$4=$A56,Вводные!$D$5*INDEX(Вводные!$G$13:$G$64,MATCH($A56,Вводные!$A$13:$A$64,0)),0))</f>
        <v>0.00303</v>
      </c>
      <c r="IM56" s="32" t="n">
        <f aca="false">INDEX(Вводные!$D$13:$F$64,MATCH($A56,Вводные!$A$13:$A$64,0),MATCH(IM$3,Вводные!$D$11:$F$11,0))*(1+IF(IM$4=$A56,Вводные!$D$5*INDEX(Вводные!$G$13:$G$64,MATCH($A56,Вводные!$A$13:$A$64,0)),0))</f>
        <v>0.003</v>
      </c>
      <c r="IN56" s="32" t="n">
        <f aca="false">INDEX(Вводные!$D$13:$F$64,MATCH($A56,Вводные!$A$13:$A$64,0),MATCH(IN$3,Вводные!$D$11:$F$11,0))*(1+IF(IN$4=$A56,Вводные!$D$5*INDEX(Вводные!$G$13:$G$64,MATCH($A56,Вводные!$A$13:$A$64,0)),0))</f>
        <v>0.003</v>
      </c>
      <c r="IO56" s="32" t="n">
        <f aca="false">INDEX(Вводные!$D$13:$F$64,MATCH($A56,Вводные!$A$13:$A$64,0),MATCH(IO$3,Вводные!$D$11:$F$11,0))*(1+IF(IO$4=$A56,Вводные!$D$5*INDEX(Вводные!$G$13:$G$64,MATCH($A56,Вводные!$A$13:$A$64,0)),0))</f>
        <v>0.003</v>
      </c>
      <c r="IP56" s="32" t="n">
        <f aca="false">INDEX(Вводные!$D$13:$F$64,MATCH($A56,Вводные!$A$13:$A$64,0),MATCH(IP$3,Вводные!$D$11:$F$11,0))*(1+IF(IP$4=$A56,Вводные!$D$5*INDEX(Вводные!$G$13:$G$64,MATCH($A56,Вводные!$A$13:$A$64,0)),0))</f>
        <v>0.003</v>
      </c>
      <c r="IQ56" s="32" t="n">
        <f aca="false">INDEX(Вводные!$D$13:$F$64,MATCH($A56,Вводные!$A$13:$A$64,0),MATCH(IQ$3,Вводные!$D$11:$F$11,0))*(1+IF(IQ$4=$A56,Вводные!$D$5*INDEX(Вводные!$G$13:$G$64,MATCH($A56,Вводные!$A$13:$A$64,0)),0))</f>
        <v>0.003</v>
      </c>
      <c r="IR56" s="32" t="n">
        <f aca="false">INDEX(Вводные!$D$13:$F$64,MATCH($A56,Вводные!$A$13:$A$64,0),MATCH(IR$3,Вводные!$D$11:$F$11,0))*(1+IF(IR$4=$A56,Вводные!$D$5*INDEX(Вводные!$G$13:$G$64,MATCH($A56,Вводные!$A$13:$A$64,0)),0))</f>
        <v>0.003</v>
      </c>
      <c r="IS56" s="32" t="n">
        <f aca="false">INDEX(Вводные!$D$13:$F$64,MATCH($A56,Вводные!$A$13:$A$64,0),MATCH(IS$3,Вводные!$D$11:$F$11,0))*(1+IF(IS$4=$A56,Вводные!$D$5*INDEX(Вводные!$G$13:$G$64,MATCH($A56,Вводные!$A$13:$A$64,0)),0))</f>
        <v>0.003</v>
      </c>
      <c r="IT56" s="32" t="n">
        <f aca="false">INDEX(Вводные!$D$13:$F$64,MATCH($A56,Вводные!$A$13:$A$64,0),MATCH(IT$3,Вводные!$D$11:$F$11,0))*(1+IF(IT$4=$A56,Вводные!$D$5*INDEX(Вводные!$G$13:$G$64,MATCH($A56,Вводные!$A$13:$A$64,0)),0))</f>
        <v>0.003</v>
      </c>
      <c r="IU56" s="32" t="n">
        <f aca="false">INDEX(Вводные!$D$13:$F$64,MATCH($A56,Вводные!$A$13:$A$64,0),MATCH(IU$3,Вводные!$D$11:$F$11,0))*(1+IF(IU$4=$A56,Вводные!$D$5*INDEX(Вводные!$G$13:$G$64,MATCH($A56,Вводные!$A$13:$A$64,0)),0))</f>
        <v>0.003</v>
      </c>
      <c r="IV56" s="32" t="n">
        <f aca="false">INDEX(Вводные!$D$13:$F$64,MATCH($A56,Вводные!$A$13:$A$64,0),MATCH(IV$3,Вводные!$D$11:$F$11,0))*(1+IF(IV$4=$A56,Вводные!$D$5*INDEX(Вводные!$G$13:$G$64,MATCH($A56,Вводные!$A$13:$A$64,0)),0))</f>
        <v>0.003</v>
      </c>
      <c r="IW56" s="32" t="n">
        <f aca="false">INDEX(Вводные!$D$13:$F$64,MATCH($A56,Вводные!$A$13:$A$64,0),MATCH(IW$3,Вводные!$D$11:$F$11,0))*(1+IF(IW$4=$A56,Вводные!$D$5*INDEX(Вводные!$G$13:$G$64,MATCH($A56,Вводные!$A$13:$A$64,0)),0))</f>
        <v>0.003</v>
      </c>
      <c r="IX56" s="32" t="n">
        <f aca="false">INDEX(Вводные!$D$13:$F$64,MATCH($A56,Вводные!$A$13:$A$64,0),MATCH(IX$3,Вводные!$D$11:$F$11,0))*(1+IF(IX$4=$A56,Вводные!$D$5*INDEX(Вводные!$G$13:$G$64,MATCH($A56,Вводные!$A$13:$A$64,0)),0))</f>
        <v>0.003</v>
      </c>
      <c r="IY56" s="32" t="n">
        <f aca="false">INDEX(Вводные!$D$13:$F$64,MATCH($A56,Вводные!$A$13:$A$64,0),MATCH(IY$3,Вводные!$D$11:$F$11,0))*(1+IF(IY$4=$A56,Вводные!$D$5*INDEX(Вводные!$G$13:$G$64,MATCH($A56,Вводные!$A$13:$A$64,0)),0))</f>
        <v>0.003</v>
      </c>
      <c r="IZ56" s="32" t="n">
        <f aca="false">INDEX(Вводные!$D$13:$F$64,MATCH($A56,Вводные!$A$13:$A$64,0),MATCH(IZ$3,Вводные!$D$11:$F$11,0))*(1+IF(IZ$4=$A56,Вводные!$D$5*INDEX(Вводные!$G$13:$G$64,MATCH($A56,Вводные!$A$13:$A$64,0)),0))</f>
        <v>0.003</v>
      </c>
      <c r="JA56" s="32" t="n">
        <f aca="false">INDEX(Вводные!$D$13:$F$64,MATCH($A56,Вводные!$A$13:$A$64,0),MATCH(JA$3,Вводные!$D$11:$F$11,0))*(1+IF(JA$4=$A56,Вводные!$D$5*INDEX(Вводные!$G$13:$G$64,MATCH($A56,Вводные!$A$13:$A$64,0)),0))</f>
        <v>0.003</v>
      </c>
    </row>
    <row r="57" customFormat="false" ht="15" hidden="false" customHeight="false" outlineLevel="0" collapsed="false">
      <c r="A57" s="2" t="s">
        <v>107</v>
      </c>
      <c r="B57" s="13" t="s">
        <v>108</v>
      </c>
      <c r="C57" s="13" t="s">
        <v>179</v>
      </c>
      <c r="D57" s="9" t="s">
        <v>243</v>
      </c>
      <c r="E57" s="59" t="n">
        <f aca="false">E55*E56</f>
        <v>811400</v>
      </c>
      <c r="F57" s="59" t="n">
        <f aca="false">F55*F56</f>
        <v>6044000</v>
      </c>
      <c r="G57" s="59" t="n">
        <f aca="false">G55*G56</f>
        <v>1507500</v>
      </c>
      <c r="H57" s="59" t="n">
        <f aca="false">SUM(E57:G57)</f>
        <v>8362900</v>
      </c>
      <c r="J57" s="59" t="n">
        <f aca="false">J55*J56</f>
        <v>811400</v>
      </c>
      <c r="K57" s="59" t="n">
        <f aca="false">K55*K56</f>
        <v>811994</v>
      </c>
      <c r="L57" s="59" t="n">
        <f aca="false">L55*L56</f>
        <v>811994</v>
      </c>
      <c r="M57" s="59" t="n">
        <f aca="false">M55*M56</f>
        <v>811994</v>
      </c>
      <c r="N57" s="59" t="n">
        <f aca="false">N55*N56</f>
        <v>811880</v>
      </c>
      <c r="O57" s="59" t="n">
        <f aca="false">O55*O56</f>
        <v>811400</v>
      </c>
      <c r="P57" s="59" t="n">
        <f aca="false">P55*P56</f>
        <v>811400</v>
      </c>
      <c r="Q57" s="59" t="n">
        <f aca="false">Q55*Q56</f>
        <v>811400</v>
      </c>
      <c r="R57" s="59" t="n">
        <f aca="false">R55*R56</f>
        <v>811400</v>
      </c>
      <c r="S57" s="59" t="n">
        <f aca="false">S55*S56</f>
        <v>811400</v>
      </c>
      <c r="T57" s="59" t="n">
        <f aca="false">T55*T56</f>
        <v>819514</v>
      </c>
      <c r="U57" s="59" t="n">
        <f aca="false">U55*U56</f>
        <v>811400</v>
      </c>
      <c r="V57" s="59" t="n">
        <f aca="false">V55*V56</f>
        <v>811400</v>
      </c>
      <c r="W57" s="59" t="n">
        <f aca="false">W55*W56</f>
        <v>811400</v>
      </c>
      <c r="X57" s="59" t="n">
        <f aca="false">X55*X56</f>
        <v>811400</v>
      </c>
      <c r="Y57" s="59" t="n">
        <f aca="false">Y55*Y56</f>
        <v>811400</v>
      </c>
      <c r="Z57" s="59" t="n">
        <f aca="false">Z55*Z56</f>
        <v>811400</v>
      </c>
      <c r="AA57" s="59" t="n">
        <f aca="false">AA55*AA56</f>
        <v>811400</v>
      </c>
      <c r="AB57" s="59" t="n">
        <f aca="false">AB55*AB56</f>
        <v>811400</v>
      </c>
      <c r="AC57" s="59" t="n">
        <f aca="false">AC55*AC56</f>
        <v>811400</v>
      </c>
      <c r="AD57" s="59" t="n">
        <f aca="false">AD55*AD56</f>
        <v>811400</v>
      </c>
      <c r="AE57" s="59" t="n">
        <f aca="false">AE55*AE56</f>
        <v>811400</v>
      </c>
      <c r="AF57" s="59" t="n">
        <f aca="false">AF55*AF56</f>
        <v>811400</v>
      </c>
      <c r="AG57" s="59" t="n">
        <f aca="false">AG55*AG56</f>
        <v>811400</v>
      </c>
      <c r="AH57" s="59" t="n">
        <f aca="false">AH55*AH56</f>
        <v>811400</v>
      </c>
      <c r="AI57" s="59" t="n">
        <f aca="false">AI55*AI56</f>
        <v>819514</v>
      </c>
      <c r="AJ57" s="59" t="n">
        <f aca="false">AJ55*AJ56</f>
        <v>819514</v>
      </c>
      <c r="AK57" s="59" t="n">
        <f aca="false">AK55*AK56</f>
        <v>811400</v>
      </c>
      <c r="AL57" s="59" t="n">
        <f aca="false">AL55*AL56</f>
        <v>811400</v>
      </c>
      <c r="AM57" s="59" t="n">
        <f aca="false">AM55*AM56</f>
        <v>811400</v>
      </c>
      <c r="AN57" s="59" t="n">
        <f aca="false">AN55*AN56</f>
        <v>811400</v>
      </c>
      <c r="AO57" s="59" t="n">
        <f aca="false">AO55*AO56</f>
        <v>811400</v>
      </c>
      <c r="AP57" s="59" t="n">
        <f aca="false">AP55*AP56</f>
        <v>811400</v>
      </c>
      <c r="AQ57" s="59" t="n">
        <f aca="false">AQ55*AQ56</f>
        <v>811400</v>
      </c>
      <c r="AR57" s="59" t="n">
        <f aca="false">AR55*AR56</f>
        <v>811400</v>
      </c>
      <c r="AS57" s="59" t="n">
        <f aca="false">AS55*AS56</f>
        <v>811400</v>
      </c>
      <c r="AT57" s="59" t="n">
        <f aca="false">AT55*AT56</f>
        <v>811400</v>
      </c>
      <c r="AU57" s="59" t="n">
        <f aca="false">AU55*AU56</f>
        <v>811400</v>
      </c>
      <c r="AV57" s="59" t="n">
        <f aca="false">AV55*AV56</f>
        <v>811400</v>
      </c>
      <c r="AW57" s="59" t="n">
        <f aca="false">AW55*AW56</f>
        <v>811400</v>
      </c>
      <c r="AX57" s="59" t="n">
        <f aca="false">AX55*AX56</f>
        <v>811400</v>
      </c>
      <c r="AY57" s="59" t="n">
        <f aca="false">AY55*AY56</f>
        <v>811400</v>
      </c>
      <c r="AZ57" s="59" t="n">
        <f aca="false">AZ55*AZ56</f>
        <v>6044000</v>
      </c>
      <c r="BA57" s="59" t="n">
        <f aca="false">BA55*BA56</f>
        <v>6046240</v>
      </c>
      <c r="BB57" s="59" t="n">
        <f aca="false">BB55*BB56</f>
        <v>6046240</v>
      </c>
      <c r="BC57" s="59" t="n">
        <f aca="false">BC55*BC56</f>
        <v>6046240</v>
      </c>
      <c r="BD57" s="59" t="n">
        <f aca="false">BD55*BD56</f>
        <v>6045800</v>
      </c>
      <c r="BE57" s="59" t="n">
        <f aca="false">BE55*BE56</f>
        <v>6044000</v>
      </c>
      <c r="BF57" s="59" t="n">
        <f aca="false">BF55*BF56</f>
        <v>6044000</v>
      </c>
      <c r="BG57" s="59" t="n">
        <f aca="false">BG55*BG56</f>
        <v>6044000</v>
      </c>
      <c r="BH57" s="59" t="n">
        <f aca="false">BH55*BH56</f>
        <v>6044000</v>
      </c>
      <c r="BI57" s="59" t="n">
        <f aca="false">BI55*BI56</f>
        <v>6044000</v>
      </c>
      <c r="BJ57" s="59" t="n">
        <f aca="false">BJ55*BJ56</f>
        <v>6104440</v>
      </c>
      <c r="BK57" s="59" t="n">
        <f aca="false">BK55*BK56</f>
        <v>6044000</v>
      </c>
      <c r="BL57" s="59" t="n">
        <f aca="false">BL55*BL56</f>
        <v>6044000</v>
      </c>
      <c r="BM57" s="59" t="n">
        <f aca="false">BM55*BM56</f>
        <v>6044000</v>
      </c>
      <c r="BN57" s="59" t="n">
        <f aca="false">BN55*BN56</f>
        <v>6044000</v>
      </c>
      <c r="BO57" s="59" t="n">
        <f aca="false">BO55*BO56</f>
        <v>6044000</v>
      </c>
      <c r="BP57" s="59" t="n">
        <f aca="false">BP55*BP56</f>
        <v>6044000</v>
      </c>
      <c r="BQ57" s="59" t="n">
        <f aca="false">BQ55*BQ56</f>
        <v>6044000</v>
      </c>
      <c r="BR57" s="59" t="n">
        <f aca="false">BR55*BR56</f>
        <v>6044000</v>
      </c>
      <c r="BS57" s="59" t="n">
        <f aca="false">BS55*BS56</f>
        <v>6044000</v>
      </c>
      <c r="BT57" s="59" t="n">
        <f aca="false">BT55*BT56</f>
        <v>6044000</v>
      </c>
      <c r="BU57" s="59" t="n">
        <f aca="false">BU55*BU56</f>
        <v>6044000</v>
      </c>
      <c r="BV57" s="59" t="n">
        <f aca="false">BV55*BV56</f>
        <v>6044000</v>
      </c>
      <c r="BW57" s="59" t="n">
        <f aca="false">BW55*BW56</f>
        <v>6044000</v>
      </c>
      <c r="BX57" s="59" t="n">
        <f aca="false">BX55*BX56</f>
        <v>6044000</v>
      </c>
      <c r="BY57" s="59" t="n">
        <f aca="false">BY55*BY56</f>
        <v>6104440</v>
      </c>
      <c r="BZ57" s="59" t="n">
        <f aca="false">BZ55*BZ56</f>
        <v>6104440</v>
      </c>
      <c r="CA57" s="59" t="n">
        <f aca="false">CA55*CA56</f>
        <v>6044000</v>
      </c>
      <c r="CB57" s="59" t="n">
        <f aca="false">CB55*CB56</f>
        <v>6044000</v>
      </c>
      <c r="CC57" s="59" t="n">
        <f aca="false">CC55*CC56</f>
        <v>6044000</v>
      </c>
      <c r="CD57" s="59" t="n">
        <f aca="false">CD55*CD56</f>
        <v>6044000</v>
      </c>
      <c r="CE57" s="59" t="n">
        <f aca="false">CE55*CE56</f>
        <v>6044000</v>
      </c>
      <c r="CF57" s="59" t="n">
        <f aca="false">CF55*CF56</f>
        <v>6044000</v>
      </c>
      <c r="CG57" s="59" t="n">
        <f aca="false">CG55*CG56</f>
        <v>6044000</v>
      </c>
      <c r="CH57" s="59" t="n">
        <f aca="false">CH55*CH56</f>
        <v>6044000</v>
      </c>
      <c r="CI57" s="59" t="n">
        <f aca="false">CI55*CI56</f>
        <v>6044000</v>
      </c>
      <c r="CJ57" s="59" t="n">
        <f aca="false">CJ55*CJ56</f>
        <v>6044000</v>
      </c>
      <c r="CK57" s="59" t="n">
        <f aca="false">CK55*CK56</f>
        <v>6044000</v>
      </c>
      <c r="CL57" s="59" t="n">
        <f aca="false">CL55*CL56</f>
        <v>6044000</v>
      </c>
      <c r="CM57" s="59" t="n">
        <f aca="false">CM55*CM56</f>
        <v>6044000</v>
      </c>
      <c r="CN57" s="59" t="n">
        <f aca="false">CN55*CN56</f>
        <v>6044000</v>
      </c>
      <c r="CO57" s="59" t="n">
        <f aca="false">CO55*CO56</f>
        <v>6044000</v>
      </c>
      <c r="CP57" s="59" t="n">
        <f aca="false">CP55*CP56</f>
        <v>1507500</v>
      </c>
      <c r="CQ57" s="59" t="n">
        <f aca="false">CQ55*CQ56</f>
        <v>1508175</v>
      </c>
      <c r="CR57" s="59" t="n">
        <f aca="false">CR55*CR56</f>
        <v>1508175</v>
      </c>
      <c r="CS57" s="59" t="n">
        <f aca="false">CS55*CS56</f>
        <v>1508175</v>
      </c>
      <c r="CT57" s="59" t="n">
        <f aca="false">CT55*CT56</f>
        <v>1508100</v>
      </c>
      <c r="CU57" s="59" t="n">
        <f aca="false">CU55*CU56</f>
        <v>1507500</v>
      </c>
      <c r="CV57" s="59" t="n">
        <f aca="false">CV55*CV56</f>
        <v>1507500</v>
      </c>
      <c r="CW57" s="59" t="n">
        <f aca="false">CW55*CW56</f>
        <v>1507500</v>
      </c>
      <c r="CX57" s="59" t="n">
        <f aca="false">CX55*CX56</f>
        <v>1507500</v>
      </c>
      <c r="CY57" s="59" t="n">
        <f aca="false">CY55*CY56</f>
        <v>1507500</v>
      </c>
      <c r="CZ57" s="59" t="n">
        <f aca="false">CZ55*CZ56</f>
        <v>1522575</v>
      </c>
      <c r="DA57" s="59" t="n">
        <f aca="false">DA55*DA56</f>
        <v>1507500</v>
      </c>
      <c r="DB57" s="59" t="n">
        <f aca="false">DB55*DB56</f>
        <v>1507500</v>
      </c>
      <c r="DC57" s="59" t="n">
        <f aca="false">DC55*DC56</f>
        <v>1507500</v>
      </c>
      <c r="DD57" s="59" t="n">
        <f aca="false">DD55*DD56</f>
        <v>1507500</v>
      </c>
      <c r="DE57" s="59" t="n">
        <f aca="false">DE55*DE56</f>
        <v>1507500</v>
      </c>
      <c r="DF57" s="59" t="n">
        <f aca="false">DF55*DF56</f>
        <v>1507500</v>
      </c>
      <c r="DG57" s="59" t="n">
        <f aca="false">DG55*DG56</f>
        <v>1507500</v>
      </c>
      <c r="DH57" s="59" t="n">
        <f aca="false">DH55*DH56</f>
        <v>1507500</v>
      </c>
      <c r="DI57" s="59" t="n">
        <f aca="false">DI55*DI56</f>
        <v>1507500</v>
      </c>
      <c r="DJ57" s="59" t="n">
        <f aca="false">DJ55*DJ56</f>
        <v>1507500</v>
      </c>
      <c r="DK57" s="59" t="n">
        <f aca="false">DK55*DK56</f>
        <v>1507500</v>
      </c>
      <c r="DL57" s="59" t="n">
        <f aca="false">DL55*DL56</f>
        <v>1507500</v>
      </c>
      <c r="DM57" s="59" t="n">
        <f aca="false">DM55*DM56</f>
        <v>1507500</v>
      </c>
      <c r="DN57" s="59" t="n">
        <f aca="false">DN55*DN56</f>
        <v>1507500</v>
      </c>
      <c r="DO57" s="59" t="n">
        <f aca="false">DO55*DO56</f>
        <v>1522575</v>
      </c>
      <c r="DP57" s="59" t="n">
        <f aca="false">DP55*DP56</f>
        <v>1522575</v>
      </c>
      <c r="DQ57" s="59" t="n">
        <f aca="false">DQ55*DQ56</f>
        <v>1507500</v>
      </c>
      <c r="DR57" s="59" t="n">
        <f aca="false">DR55*DR56</f>
        <v>1507500</v>
      </c>
      <c r="DS57" s="59" t="n">
        <f aca="false">DS55*DS56</f>
        <v>1507500</v>
      </c>
      <c r="DT57" s="59" t="n">
        <f aca="false">DT55*DT56</f>
        <v>1507500</v>
      </c>
      <c r="DU57" s="59" t="n">
        <f aca="false">DU55*DU56</f>
        <v>1507500</v>
      </c>
      <c r="DV57" s="59" t="n">
        <f aca="false">DV55*DV56</f>
        <v>1507500</v>
      </c>
      <c r="DW57" s="59" t="n">
        <f aca="false">DW55*DW56</f>
        <v>1507500</v>
      </c>
      <c r="DX57" s="59" t="n">
        <f aca="false">DX55*DX56</f>
        <v>1507500</v>
      </c>
      <c r="DY57" s="59" t="n">
        <f aca="false">DY55*DY56</f>
        <v>1507500</v>
      </c>
      <c r="DZ57" s="59" t="n">
        <f aca="false">DZ55*DZ56</f>
        <v>1507500</v>
      </c>
      <c r="EA57" s="59" t="n">
        <f aca="false">EA55*EA56</f>
        <v>1507500</v>
      </c>
      <c r="EB57" s="59" t="n">
        <f aca="false">EB55*EB56</f>
        <v>1507500</v>
      </c>
      <c r="EC57" s="59" t="n">
        <f aca="false">EC55*EC56</f>
        <v>1507500</v>
      </c>
      <c r="ED57" s="59" t="n">
        <f aca="false">ED55*ED56</f>
        <v>1507500</v>
      </c>
      <c r="EE57" s="59" t="n">
        <f aca="false">EE55*EE56</f>
        <v>1507500</v>
      </c>
      <c r="EF57" s="59" t="n">
        <f aca="false">EF55*EF56</f>
        <v>990000</v>
      </c>
      <c r="EG57" s="59" t="n">
        <f aca="false">EG55*EG56</f>
        <v>999900</v>
      </c>
      <c r="EH57" s="59" t="n">
        <f aca="false">EH55*EH56</f>
        <v>999900</v>
      </c>
      <c r="EI57" s="59" t="n">
        <f aca="false">EI55*EI56</f>
        <v>999900</v>
      </c>
      <c r="EJ57" s="59" t="n">
        <f aca="false">EJ55*EJ56</f>
        <v>1000000</v>
      </c>
      <c r="EK57" s="59" t="n">
        <f aca="false">EK55*EK56</f>
        <v>990000</v>
      </c>
      <c r="EL57" s="59" t="n">
        <f aca="false">EL55*EL56</f>
        <v>990000</v>
      </c>
      <c r="EM57" s="59" t="n">
        <f aca="false">EM55*EM56</f>
        <v>990000</v>
      </c>
      <c r="EN57" s="59" t="n">
        <f aca="false">EN55*EN56</f>
        <v>990000</v>
      </c>
      <c r="EO57" s="59" t="n">
        <f aca="false">EO55*EO56</f>
        <v>990000</v>
      </c>
      <c r="EP57" s="59" t="n">
        <f aca="false">EP55*EP56</f>
        <v>999900</v>
      </c>
      <c r="EQ57" s="59" t="n">
        <f aca="false">EQ55*EQ56</f>
        <v>990000</v>
      </c>
      <c r="ER57" s="59" t="n">
        <f aca="false">ER55*ER56</f>
        <v>990000</v>
      </c>
      <c r="ES57" s="59" t="n">
        <f aca="false">ES55*ES56</f>
        <v>990000</v>
      </c>
      <c r="ET57" s="59" t="n">
        <f aca="false">ET55*ET56</f>
        <v>990000</v>
      </c>
      <c r="EU57" s="59" t="n">
        <f aca="false">EU55*EU56</f>
        <v>990000</v>
      </c>
      <c r="EV57" s="59" t="n">
        <f aca="false">EV55*EV56</f>
        <v>990000</v>
      </c>
      <c r="EW57" s="59" t="n">
        <f aca="false">EW55*EW56</f>
        <v>990000</v>
      </c>
      <c r="EX57" s="59" t="n">
        <f aca="false">EX55*EX56</f>
        <v>990000</v>
      </c>
      <c r="EY57" s="59" t="n">
        <f aca="false">EY55*EY56</f>
        <v>990000</v>
      </c>
      <c r="EZ57" s="59" t="n">
        <f aca="false">EZ55*EZ56</f>
        <v>990000</v>
      </c>
      <c r="FA57" s="59" t="n">
        <f aca="false">FA55*FA56</f>
        <v>990000</v>
      </c>
      <c r="FB57" s="59" t="n">
        <f aca="false">FB55*FB56</f>
        <v>990000</v>
      </c>
      <c r="FC57" s="59" t="n">
        <f aca="false">FC55*FC56</f>
        <v>990000</v>
      </c>
      <c r="FD57" s="59" t="n">
        <f aca="false">FD55*FD56</f>
        <v>990000</v>
      </c>
      <c r="FE57" s="59" t="n">
        <f aca="false">FE55*FE56</f>
        <v>999900</v>
      </c>
      <c r="FF57" s="59" t="n">
        <f aca="false">FF55*FF56</f>
        <v>999900</v>
      </c>
      <c r="FG57" s="59" t="n">
        <f aca="false">FG55*FG56</f>
        <v>990000</v>
      </c>
      <c r="FH57" s="59" t="n">
        <f aca="false">FH55*FH56</f>
        <v>990000</v>
      </c>
      <c r="FI57" s="59" t="n">
        <f aca="false">FI55*FI56</f>
        <v>990000</v>
      </c>
      <c r="FJ57" s="59" t="n">
        <f aca="false">FJ55*FJ56</f>
        <v>990000</v>
      </c>
      <c r="FK57" s="59" t="n">
        <f aca="false">FK55*FK56</f>
        <v>990000</v>
      </c>
      <c r="FL57" s="59" t="n">
        <f aca="false">FL55*FL56</f>
        <v>990000</v>
      </c>
      <c r="FM57" s="59" t="n">
        <f aca="false">FM55*FM56</f>
        <v>990000</v>
      </c>
      <c r="FN57" s="59" t="n">
        <f aca="false">FN55*FN56</f>
        <v>990000</v>
      </c>
      <c r="FO57" s="59" t="n">
        <f aca="false">FO55*FO56</f>
        <v>990000</v>
      </c>
      <c r="FP57" s="59" t="n">
        <f aca="false">FP55*FP56</f>
        <v>990000</v>
      </c>
      <c r="FQ57" s="59" t="n">
        <f aca="false">FQ55*FQ56</f>
        <v>990000</v>
      </c>
      <c r="FR57" s="59" t="n">
        <f aca="false">FR55*FR56</f>
        <v>990000</v>
      </c>
      <c r="FS57" s="59" t="n">
        <f aca="false">FS55*FS56</f>
        <v>990000</v>
      </c>
      <c r="FT57" s="59" t="n">
        <f aca="false">FT55*FT56</f>
        <v>990000</v>
      </c>
      <c r="FU57" s="59" t="n">
        <f aca="false">FU55*FU56</f>
        <v>990000</v>
      </c>
      <c r="FV57" s="59" t="n">
        <f aca="false">FV55*FV56</f>
        <v>7466666.66666667</v>
      </c>
      <c r="FW57" s="59" t="n">
        <f aca="false">FW55*FW56</f>
        <v>7541333.33333334</v>
      </c>
      <c r="FX57" s="59" t="n">
        <f aca="false">FX55*FX56</f>
        <v>7541333.33333334</v>
      </c>
      <c r="FY57" s="59" t="n">
        <f aca="false">FY55*FY56</f>
        <v>7541333.33333334</v>
      </c>
      <c r="FZ57" s="59" t="n">
        <f aca="false">FZ55*FZ56</f>
        <v>7542087.54208754</v>
      </c>
      <c r="GA57" s="59" t="n">
        <f aca="false">GA55*GA56</f>
        <v>7466666.66666667</v>
      </c>
      <c r="GB57" s="59" t="n">
        <f aca="false">GB55*GB56</f>
        <v>7466666.66666667</v>
      </c>
      <c r="GC57" s="59" t="n">
        <f aca="false">GC55*GC56</f>
        <v>7466666.66666667</v>
      </c>
      <c r="GD57" s="59" t="n">
        <f aca="false">GD55*GD56</f>
        <v>7466666.66666667</v>
      </c>
      <c r="GE57" s="59" t="n">
        <f aca="false">GE55*GE56</f>
        <v>7466666.66666667</v>
      </c>
      <c r="GF57" s="59" t="n">
        <f aca="false">GF55*GF56</f>
        <v>7541333.33333334</v>
      </c>
      <c r="GG57" s="59" t="n">
        <f aca="false">GG55*GG56</f>
        <v>7466666.66666667</v>
      </c>
      <c r="GH57" s="59" t="n">
        <f aca="false">GH55*GH56</f>
        <v>7466666.66666667</v>
      </c>
      <c r="GI57" s="59" t="n">
        <f aca="false">GI55*GI56</f>
        <v>7466666.66666667</v>
      </c>
      <c r="GJ57" s="59" t="n">
        <f aca="false">GJ55*GJ56</f>
        <v>7466666.66666667</v>
      </c>
      <c r="GK57" s="59" t="n">
        <f aca="false">GK55*GK56</f>
        <v>7466666.66666667</v>
      </c>
      <c r="GL57" s="59" t="n">
        <f aca="false">GL55*GL56</f>
        <v>7466666.66666667</v>
      </c>
      <c r="GM57" s="59" t="n">
        <f aca="false">GM55*GM56</f>
        <v>7466666.66666667</v>
      </c>
      <c r="GN57" s="59" t="n">
        <f aca="false">GN55*GN56</f>
        <v>7466666.66666667</v>
      </c>
      <c r="GO57" s="59" t="n">
        <f aca="false">GO55*GO56</f>
        <v>7466666.66666667</v>
      </c>
      <c r="GP57" s="59" t="n">
        <f aca="false">GP55*GP56</f>
        <v>7466666.66666667</v>
      </c>
      <c r="GQ57" s="59" t="n">
        <f aca="false">GQ55*GQ56</f>
        <v>7466666.66666667</v>
      </c>
      <c r="GR57" s="59" t="n">
        <f aca="false">GR55*GR56</f>
        <v>7466666.66666667</v>
      </c>
      <c r="GS57" s="59" t="n">
        <f aca="false">GS55*GS56</f>
        <v>7466666.66666667</v>
      </c>
      <c r="GT57" s="59" t="n">
        <f aca="false">GT55*GT56</f>
        <v>7466666.66666667</v>
      </c>
      <c r="GU57" s="59" t="n">
        <f aca="false">GU55*GU56</f>
        <v>7541333.33333333</v>
      </c>
      <c r="GV57" s="59" t="n">
        <f aca="false">GV55*GV56</f>
        <v>7541333.33333333</v>
      </c>
      <c r="GW57" s="59" t="n">
        <f aca="false">GW55*GW56</f>
        <v>7466666.66666667</v>
      </c>
      <c r="GX57" s="59" t="n">
        <f aca="false">GX55*GX56</f>
        <v>7466666.66666667</v>
      </c>
      <c r="GY57" s="59" t="n">
        <f aca="false">GY55*GY56</f>
        <v>7466666.66666667</v>
      </c>
      <c r="GZ57" s="59" t="n">
        <f aca="false">GZ55*GZ56</f>
        <v>7466666.66666667</v>
      </c>
      <c r="HA57" s="59" t="n">
        <f aca="false">HA55*HA56</f>
        <v>7466666.66666667</v>
      </c>
      <c r="HB57" s="59" t="n">
        <f aca="false">HB55*HB56</f>
        <v>7466666.66666667</v>
      </c>
      <c r="HC57" s="59" t="n">
        <f aca="false">HC55*HC56</f>
        <v>7466666.66666667</v>
      </c>
      <c r="HD57" s="59" t="n">
        <f aca="false">HD55*HD56</f>
        <v>7466666.66666667</v>
      </c>
      <c r="HE57" s="59" t="n">
        <f aca="false">HE55*HE56</f>
        <v>7466666.66666667</v>
      </c>
      <c r="HF57" s="59" t="n">
        <f aca="false">HF55*HF56</f>
        <v>7466666.66666667</v>
      </c>
      <c r="HG57" s="59" t="n">
        <f aca="false">HG55*HG56</f>
        <v>7466666.66666667</v>
      </c>
      <c r="HH57" s="59" t="n">
        <f aca="false">HH55*HH56</f>
        <v>7466666.66666667</v>
      </c>
      <c r="HI57" s="59" t="n">
        <f aca="false">HI55*HI56</f>
        <v>7466666.66666667</v>
      </c>
      <c r="HJ57" s="59" t="n">
        <f aca="false">HJ55*HJ56</f>
        <v>7466666.66666667</v>
      </c>
      <c r="HK57" s="59" t="n">
        <f aca="false">HK55*HK56</f>
        <v>7466666.66666667</v>
      </c>
      <c r="HL57" s="59" t="n">
        <f aca="false">HL55*HL56</f>
        <v>1687500</v>
      </c>
      <c r="HM57" s="59" t="n">
        <f aca="false">HM55*HM56</f>
        <v>1704375</v>
      </c>
      <c r="HN57" s="59" t="n">
        <f aca="false">HN55*HN56</f>
        <v>1704375</v>
      </c>
      <c r="HO57" s="59" t="n">
        <f aca="false">HO55*HO56</f>
        <v>1704375</v>
      </c>
      <c r="HP57" s="59" t="n">
        <f aca="false">HP55*HP56</f>
        <v>1704545.45454545</v>
      </c>
      <c r="HQ57" s="59" t="n">
        <f aca="false">HQ55*HQ56</f>
        <v>1687500</v>
      </c>
      <c r="HR57" s="59" t="n">
        <f aca="false">HR55*HR56</f>
        <v>1687500</v>
      </c>
      <c r="HS57" s="59" t="n">
        <f aca="false">HS55*HS56</f>
        <v>1687500</v>
      </c>
      <c r="HT57" s="59" t="n">
        <f aca="false">HT55*HT56</f>
        <v>1687500</v>
      </c>
      <c r="HU57" s="59" t="n">
        <f aca="false">HU55*HU56</f>
        <v>1687500</v>
      </c>
      <c r="HV57" s="59" t="n">
        <f aca="false">HV55*HV56</f>
        <v>1704375</v>
      </c>
      <c r="HW57" s="59" t="n">
        <f aca="false">HW55*HW56</f>
        <v>1687500</v>
      </c>
      <c r="HX57" s="59" t="n">
        <f aca="false">HX55*HX56</f>
        <v>1687500</v>
      </c>
      <c r="HY57" s="59" t="n">
        <f aca="false">HY55*HY56</f>
        <v>1687500</v>
      </c>
      <c r="HZ57" s="59" t="n">
        <f aca="false">HZ55*HZ56</f>
        <v>1687500</v>
      </c>
      <c r="IA57" s="59" t="n">
        <f aca="false">IA55*IA56</f>
        <v>1687500</v>
      </c>
      <c r="IB57" s="59" t="n">
        <f aca="false">IB55*IB56</f>
        <v>1687500</v>
      </c>
      <c r="IC57" s="59" t="n">
        <f aca="false">IC55*IC56</f>
        <v>1687500</v>
      </c>
      <c r="ID57" s="59" t="n">
        <f aca="false">ID55*ID56</f>
        <v>1687500</v>
      </c>
      <c r="IE57" s="59" t="n">
        <f aca="false">IE55*IE56</f>
        <v>1687500</v>
      </c>
      <c r="IF57" s="59" t="n">
        <f aca="false">IF55*IF56</f>
        <v>1687500</v>
      </c>
      <c r="IG57" s="59" t="n">
        <f aca="false">IG55*IG56</f>
        <v>1687500</v>
      </c>
      <c r="IH57" s="59" t="n">
        <f aca="false">IH55*IH56</f>
        <v>1687500</v>
      </c>
      <c r="II57" s="59" t="n">
        <f aca="false">II55*II56</f>
        <v>1687500</v>
      </c>
      <c r="IJ57" s="59" t="n">
        <f aca="false">IJ55*IJ56</f>
        <v>1687500</v>
      </c>
      <c r="IK57" s="59" t="n">
        <f aca="false">IK55*IK56</f>
        <v>1704375</v>
      </c>
      <c r="IL57" s="59" t="n">
        <f aca="false">IL55*IL56</f>
        <v>1704375</v>
      </c>
      <c r="IM57" s="59" t="n">
        <f aca="false">IM55*IM56</f>
        <v>1687500</v>
      </c>
      <c r="IN57" s="59" t="n">
        <f aca="false">IN55*IN56</f>
        <v>1687500</v>
      </c>
      <c r="IO57" s="59" t="n">
        <f aca="false">IO55*IO56</f>
        <v>1687500</v>
      </c>
      <c r="IP57" s="59" t="n">
        <f aca="false">IP55*IP56</f>
        <v>1687500</v>
      </c>
      <c r="IQ57" s="59" t="n">
        <f aca="false">IQ55*IQ56</f>
        <v>1687500</v>
      </c>
      <c r="IR57" s="59" t="n">
        <f aca="false">IR55*IR56</f>
        <v>1687500</v>
      </c>
      <c r="IS57" s="59" t="n">
        <f aca="false">IS55*IS56</f>
        <v>1687500</v>
      </c>
      <c r="IT57" s="59" t="n">
        <f aca="false">IT55*IT56</f>
        <v>1687500</v>
      </c>
      <c r="IU57" s="59" t="n">
        <f aca="false">IU55*IU56</f>
        <v>1687500</v>
      </c>
      <c r="IV57" s="59" t="n">
        <f aca="false">IV55*IV56</f>
        <v>1687500</v>
      </c>
      <c r="IW57" s="59" t="n">
        <f aca="false">IW55*IW56</f>
        <v>1687500</v>
      </c>
      <c r="IX57" s="59" t="n">
        <f aca="false">IX55*IX56</f>
        <v>1687500</v>
      </c>
      <c r="IY57" s="59" t="n">
        <f aca="false">IY55*IY56</f>
        <v>1687500</v>
      </c>
      <c r="IZ57" s="59" t="n">
        <f aca="false">IZ55*IZ56</f>
        <v>1687500</v>
      </c>
      <c r="JA57" s="59" t="n">
        <f aca="false">JA55*JA56</f>
        <v>1687500</v>
      </c>
    </row>
    <row r="58" customFormat="false" ht="15" hidden="false" customHeight="false" outlineLevel="0" collapsed="false">
      <c r="A58" s="4" t="s">
        <v>730</v>
      </c>
      <c r="B58" s="5"/>
      <c r="C58" s="5"/>
      <c r="D58" s="5"/>
      <c r="E58" s="5"/>
      <c r="F58" s="5"/>
      <c r="G58" s="5"/>
      <c r="H58" s="5"/>
    </row>
    <row r="59" customFormat="false" ht="15" hidden="false" customHeight="false" outlineLevel="0" collapsed="false">
      <c r="A59" s="13" t="s">
        <v>255</v>
      </c>
      <c r="B59" s="13" t="s">
        <v>256</v>
      </c>
      <c r="C59" s="13" t="s">
        <v>194</v>
      </c>
      <c r="D59" s="9" t="s">
        <v>36</v>
      </c>
      <c r="E59" s="32" t="n">
        <f aca="false">INDEX(Вводные!$D$13:$F$64,MATCH($A59,Вводные!$A$13:$A$64,0),MATCH(E$3,Вводные!$D$11:$F$11,0))*(1+IF(E$4=$A59,Вводные!$D$5*INDEX(Вводные!$G$13:$G$64,MATCH($A59,Вводные!$A$13:$A$64,0)),0))</f>
        <v>0.08</v>
      </c>
      <c r="F59" s="32" t="n">
        <f aca="false">INDEX(Вводные!$D$13:$F$64,MATCH($A59,Вводные!$A$13:$A$64,0),MATCH(F$3,Вводные!$D$11:$F$11,0))*(1+IF(F$4=$A59,Вводные!$D$5*INDEX(Вводные!$G$13:$G$64,MATCH($A59,Вводные!$A$13:$A$64,0)),0))</f>
        <v>0.15</v>
      </c>
      <c r="G59" s="32" t="n">
        <f aca="false">INDEX(Вводные!$D$13:$F$64,MATCH($A59,Вводные!$A$13:$A$64,0),MATCH(G$3,Вводные!$D$11:$F$11,0))*(1+IF(G$4=$A59,Вводные!$D$5*INDEX(Вводные!$G$13:$G$64,MATCH($A59,Вводные!$A$13:$A$64,0)),0))</f>
        <v>0</v>
      </c>
      <c r="H59" s="60"/>
      <c r="J59" s="32" t="n">
        <f aca="false">INDEX(Вводные!$D$13:$F$64,MATCH($A59,Вводные!$A$13:$A$64,0),MATCH(J$3,Вводные!$D$11:$F$11,0))*(1+IF(J$4=$A59,Вводные!$D$5*INDEX(Вводные!$G$13:$G$64,MATCH($A59,Вводные!$A$13:$A$64,0)),0))</f>
        <v>0.08</v>
      </c>
      <c r="K59" s="32" t="n">
        <f aca="false">INDEX(Вводные!$D$13:$F$64,MATCH($A59,Вводные!$A$13:$A$64,0),MATCH(K$3,Вводные!$D$11:$F$11,0))*(1+IF(K$4=$A59,Вводные!$D$5*INDEX(Вводные!$G$13:$G$64,MATCH($A59,Вводные!$A$13:$A$64,0)),0))</f>
        <v>0.08</v>
      </c>
      <c r="L59" s="32" t="n">
        <f aca="false">INDEX(Вводные!$D$13:$F$64,MATCH($A59,Вводные!$A$13:$A$64,0),MATCH(L$3,Вводные!$D$11:$F$11,0))*(1+IF(L$4=$A59,Вводные!$D$5*INDEX(Вводные!$G$13:$G$64,MATCH($A59,Вводные!$A$13:$A$64,0)),0))</f>
        <v>0.08</v>
      </c>
      <c r="M59" s="32" t="n">
        <f aca="false">INDEX(Вводные!$D$13:$F$64,MATCH($A59,Вводные!$A$13:$A$64,0),MATCH(M$3,Вводные!$D$11:$F$11,0))*(1+IF(M$4=$A59,Вводные!$D$5*INDEX(Вводные!$G$13:$G$64,MATCH($A59,Вводные!$A$13:$A$64,0)),0))</f>
        <v>0.08</v>
      </c>
      <c r="N59" s="32" t="n">
        <f aca="false">INDEX(Вводные!$D$13:$F$64,MATCH($A59,Вводные!$A$13:$A$64,0),MATCH(N$3,Вводные!$D$11:$F$11,0))*(1+IF(N$4=$A59,Вводные!$D$5*INDEX(Вводные!$G$13:$G$64,MATCH($A59,Вводные!$A$13:$A$64,0)),0))</f>
        <v>0.08</v>
      </c>
      <c r="O59" s="32" t="n">
        <f aca="false">INDEX(Вводные!$D$13:$F$64,MATCH($A59,Вводные!$A$13:$A$64,0),MATCH(O$3,Вводные!$D$11:$F$11,0))*(1+IF(O$4=$A59,Вводные!$D$5*INDEX(Вводные!$G$13:$G$64,MATCH($A59,Вводные!$A$13:$A$64,0)),0))</f>
        <v>0.08</v>
      </c>
      <c r="P59" s="32" t="n">
        <f aca="false">INDEX(Вводные!$D$13:$F$64,MATCH($A59,Вводные!$A$13:$A$64,0),MATCH(P$3,Вводные!$D$11:$F$11,0))*(1+IF(P$4=$A59,Вводные!$D$5*INDEX(Вводные!$G$13:$G$64,MATCH($A59,Вводные!$A$13:$A$64,0)),0))</f>
        <v>0.08</v>
      </c>
      <c r="Q59" s="32" t="n">
        <f aca="false">INDEX(Вводные!$D$13:$F$64,MATCH($A59,Вводные!$A$13:$A$64,0),MATCH(Q$3,Вводные!$D$11:$F$11,0))*(1+IF(Q$4=$A59,Вводные!$D$5*INDEX(Вводные!$G$13:$G$64,MATCH($A59,Вводные!$A$13:$A$64,0)),0))</f>
        <v>0.08</v>
      </c>
      <c r="R59" s="32" t="n">
        <f aca="false">INDEX(Вводные!$D$13:$F$64,MATCH($A59,Вводные!$A$13:$A$64,0),MATCH(R$3,Вводные!$D$11:$F$11,0))*(1+IF(R$4=$A59,Вводные!$D$5*INDEX(Вводные!$G$13:$G$64,MATCH($A59,Вводные!$A$13:$A$64,0)),0))</f>
        <v>0.08</v>
      </c>
      <c r="S59" s="32" t="n">
        <f aca="false">INDEX(Вводные!$D$13:$F$64,MATCH($A59,Вводные!$A$13:$A$64,0),MATCH(S$3,Вводные!$D$11:$F$11,0))*(1+IF(S$4=$A59,Вводные!$D$5*INDEX(Вводные!$G$13:$G$64,MATCH($A59,Вводные!$A$13:$A$64,0)),0))</f>
        <v>0.08</v>
      </c>
      <c r="T59" s="32" t="n">
        <f aca="false">INDEX(Вводные!$D$13:$F$64,MATCH($A59,Вводные!$A$13:$A$64,0),MATCH(T$3,Вводные!$D$11:$F$11,0))*(1+IF(T$4=$A59,Вводные!$D$5*INDEX(Вводные!$G$13:$G$64,MATCH($A59,Вводные!$A$13:$A$64,0)),0))</f>
        <v>0.08</v>
      </c>
      <c r="U59" s="32" t="n">
        <f aca="false">INDEX(Вводные!$D$13:$F$64,MATCH($A59,Вводные!$A$13:$A$64,0),MATCH(U$3,Вводные!$D$11:$F$11,0))*(1+IF(U$4=$A59,Вводные!$D$5*INDEX(Вводные!$G$13:$G$64,MATCH($A59,Вводные!$A$13:$A$64,0)),0))</f>
        <v>0.08</v>
      </c>
      <c r="V59" s="32" t="n">
        <f aca="false">INDEX(Вводные!$D$13:$F$64,MATCH($A59,Вводные!$A$13:$A$64,0),MATCH(V$3,Вводные!$D$11:$F$11,0))*(1+IF(V$4=$A59,Вводные!$D$5*INDEX(Вводные!$G$13:$G$64,MATCH($A59,Вводные!$A$13:$A$64,0)),0))</f>
        <v>0.08</v>
      </c>
      <c r="W59" s="32" t="n">
        <f aca="false">INDEX(Вводные!$D$13:$F$64,MATCH($A59,Вводные!$A$13:$A$64,0),MATCH(W$3,Вводные!$D$11:$F$11,0))*(1+IF(W$4=$A59,Вводные!$D$5*INDEX(Вводные!$G$13:$G$64,MATCH($A59,Вводные!$A$13:$A$64,0)),0))</f>
        <v>0.08</v>
      </c>
      <c r="X59" s="32" t="n">
        <f aca="false">INDEX(Вводные!$D$13:$F$64,MATCH($A59,Вводные!$A$13:$A$64,0),MATCH(X$3,Вводные!$D$11:$F$11,0))*(1+IF(X$4=$A59,Вводные!$D$5*INDEX(Вводные!$G$13:$G$64,MATCH($A59,Вводные!$A$13:$A$64,0)),0))</f>
        <v>0.08</v>
      </c>
      <c r="Y59" s="32" t="n">
        <f aca="false">INDEX(Вводные!$D$13:$F$64,MATCH($A59,Вводные!$A$13:$A$64,0),MATCH(Y$3,Вводные!$D$11:$F$11,0))*(1+IF(Y$4=$A59,Вводные!$D$5*INDEX(Вводные!$G$13:$G$64,MATCH($A59,Вводные!$A$13:$A$64,0)),0))</f>
        <v>0.08</v>
      </c>
      <c r="Z59" s="32" t="n">
        <f aca="false">INDEX(Вводные!$D$13:$F$64,MATCH($A59,Вводные!$A$13:$A$64,0),MATCH(Z$3,Вводные!$D$11:$F$11,0))*(1+IF(Z$4=$A59,Вводные!$D$5*INDEX(Вводные!$G$13:$G$64,MATCH($A59,Вводные!$A$13:$A$64,0)),0))</f>
        <v>0.08</v>
      </c>
      <c r="AA59" s="32" t="n">
        <f aca="false">INDEX(Вводные!$D$13:$F$64,MATCH($A59,Вводные!$A$13:$A$64,0),MATCH(AA$3,Вводные!$D$11:$F$11,0))*(1+IF(AA$4=$A59,Вводные!$D$5*INDEX(Вводные!$G$13:$G$64,MATCH($A59,Вводные!$A$13:$A$64,0)),0))</f>
        <v>0.08</v>
      </c>
      <c r="AB59" s="32" t="n">
        <f aca="false">INDEX(Вводные!$D$13:$F$64,MATCH($A59,Вводные!$A$13:$A$64,0),MATCH(AB$3,Вводные!$D$11:$F$11,0))*(1+IF(AB$4=$A59,Вводные!$D$5*INDEX(Вводные!$G$13:$G$64,MATCH($A59,Вводные!$A$13:$A$64,0)),0))</f>
        <v>0.08</v>
      </c>
      <c r="AC59" s="32" t="n">
        <f aca="false">INDEX(Вводные!$D$13:$F$64,MATCH($A59,Вводные!$A$13:$A$64,0),MATCH(AC$3,Вводные!$D$11:$F$11,0))*(1+IF(AC$4=$A59,Вводные!$D$5*INDEX(Вводные!$G$13:$G$64,MATCH($A59,Вводные!$A$13:$A$64,0)),0))</f>
        <v>0.08</v>
      </c>
      <c r="AD59" s="32" t="n">
        <f aca="false">INDEX(Вводные!$D$13:$F$64,MATCH($A59,Вводные!$A$13:$A$64,0),MATCH(AD$3,Вводные!$D$11:$F$11,0))*(1+IF(AD$4=$A59,Вводные!$D$5*INDEX(Вводные!$G$13:$G$64,MATCH($A59,Вводные!$A$13:$A$64,0)),0))</f>
        <v>0.08</v>
      </c>
      <c r="AE59" s="32" t="n">
        <f aca="false">INDEX(Вводные!$D$13:$F$64,MATCH($A59,Вводные!$A$13:$A$64,0),MATCH(AE$3,Вводные!$D$11:$F$11,0))*(1+IF(AE$4=$A59,Вводные!$D$5*INDEX(Вводные!$G$13:$G$64,MATCH($A59,Вводные!$A$13:$A$64,0)),0))</f>
        <v>0.08</v>
      </c>
      <c r="AF59" s="32" t="n">
        <f aca="false">INDEX(Вводные!$D$13:$F$64,MATCH($A59,Вводные!$A$13:$A$64,0),MATCH(AF$3,Вводные!$D$11:$F$11,0))*(1+IF(AF$4=$A59,Вводные!$D$5*INDEX(Вводные!$G$13:$G$64,MATCH($A59,Вводные!$A$13:$A$64,0)),0))</f>
        <v>0.08</v>
      </c>
      <c r="AG59" s="32" t="n">
        <f aca="false">INDEX(Вводные!$D$13:$F$64,MATCH($A59,Вводные!$A$13:$A$64,0),MATCH(AG$3,Вводные!$D$11:$F$11,0))*(1+IF(AG$4=$A59,Вводные!$D$5*INDEX(Вводные!$G$13:$G$64,MATCH($A59,Вводные!$A$13:$A$64,0)),0))</f>
        <v>0.08</v>
      </c>
      <c r="AH59" s="32" t="n">
        <f aca="false">INDEX(Вводные!$D$13:$F$64,MATCH($A59,Вводные!$A$13:$A$64,0),MATCH(AH$3,Вводные!$D$11:$F$11,0))*(1+IF(AH$4=$A59,Вводные!$D$5*INDEX(Вводные!$G$13:$G$64,MATCH($A59,Вводные!$A$13:$A$64,0)),0))</f>
        <v>0.08</v>
      </c>
      <c r="AI59" s="32" t="n">
        <f aca="false">INDEX(Вводные!$D$13:$F$64,MATCH($A59,Вводные!$A$13:$A$64,0),MATCH(AI$3,Вводные!$D$11:$F$11,0))*(1+IF(AI$4=$A59,Вводные!$D$5*INDEX(Вводные!$G$13:$G$64,MATCH($A59,Вводные!$A$13:$A$64,0)),0))</f>
        <v>0.08</v>
      </c>
      <c r="AJ59" s="32" t="n">
        <f aca="false">INDEX(Вводные!$D$13:$F$64,MATCH($A59,Вводные!$A$13:$A$64,0),MATCH(AJ$3,Вводные!$D$11:$F$11,0))*(1+IF(AJ$4=$A59,Вводные!$D$5*INDEX(Вводные!$G$13:$G$64,MATCH($A59,Вводные!$A$13:$A$64,0)),0))</f>
        <v>0.08</v>
      </c>
      <c r="AK59" s="32" t="n">
        <f aca="false">INDEX(Вводные!$D$13:$F$64,MATCH($A59,Вводные!$A$13:$A$64,0),MATCH(AK$3,Вводные!$D$11:$F$11,0))*(1+IF(AK$4=$A59,Вводные!$D$5*INDEX(Вводные!$G$13:$G$64,MATCH($A59,Вводные!$A$13:$A$64,0)),0))</f>
        <v>0.0808</v>
      </c>
      <c r="AL59" s="32" t="n">
        <f aca="false">INDEX(Вводные!$D$13:$F$64,MATCH($A59,Вводные!$A$13:$A$64,0),MATCH(AL$3,Вводные!$D$11:$F$11,0))*(1+IF(AL$4=$A59,Вводные!$D$5*INDEX(Вводные!$G$13:$G$64,MATCH($A59,Вводные!$A$13:$A$64,0)),0))</f>
        <v>0.08</v>
      </c>
      <c r="AM59" s="32" t="n">
        <f aca="false">INDEX(Вводные!$D$13:$F$64,MATCH($A59,Вводные!$A$13:$A$64,0),MATCH(AM$3,Вводные!$D$11:$F$11,0))*(1+IF(AM$4=$A59,Вводные!$D$5*INDEX(Вводные!$G$13:$G$64,MATCH($A59,Вводные!$A$13:$A$64,0)),0))</f>
        <v>0.08</v>
      </c>
      <c r="AN59" s="32" t="n">
        <f aca="false">INDEX(Вводные!$D$13:$F$64,MATCH($A59,Вводные!$A$13:$A$64,0),MATCH(AN$3,Вводные!$D$11:$F$11,0))*(1+IF(AN$4=$A59,Вводные!$D$5*INDEX(Вводные!$G$13:$G$64,MATCH($A59,Вводные!$A$13:$A$64,0)),0))</f>
        <v>0.08</v>
      </c>
      <c r="AO59" s="32" t="n">
        <f aca="false">INDEX(Вводные!$D$13:$F$64,MATCH($A59,Вводные!$A$13:$A$64,0),MATCH(AO$3,Вводные!$D$11:$F$11,0))*(1+IF(AO$4=$A59,Вводные!$D$5*INDEX(Вводные!$G$13:$G$64,MATCH($A59,Вводные!$A$13:$A$64,0)),0))</f>
        <v>0.08</v>
      </c>
      <c r="AP59" s="32" t="n">
        <f aca="false">INDEX(Вводные!$D$13:$F$64,MATCH($A59,Вводные!$A$13:$A$64,0),MATCH(AP$3,Вводные!$D$11:$F$11,0))*(1+IF(AP$4=$A59,Вводные!$D$5*INDEX(Вводные!$G$13:$G$64,MATCH($A59,Вводные!$A$13:$A$64,0)),0))</f>
        <v>0.08</v>
      </c>
      <c r="AQ59" s="32" t="n">
        <f aca="false">INDEX(Вводные!$D$13:$F$64,MATCH($A59,Вводные!$A$13:$A$64,0),MATCH(AQ$3,Вводные!$D$11:$F$11,0))*(1+IF(AQ$4=$A59,Вводные!$D$5*INDEX(Вводные!$G$13:$G$64,MATCH($A59,Вводные!$A$13:$A$64,0)),0))</f>
        <v>0.08</v>
      </c>
      <c r="AR59" s="32" t="n">
        <f aca="false">INDEX(Вводные!$D$13:$F$64,MATCH($A59,Вводные!$A$13:$A$64,0),MATCH(AR$3,Вводные!$D$11:$F$11,0))*(1+IF(AR$4=$A59,Вводные!$D$5*INDEX(Вводные!$G$13:$G$64,MATCH($A59,Вводные!$A$13:$A$64,0)),0))</f>
        <v>0.08</v>
      </c>
      <c r="AS59" s="32" t="n">
        <f aca="false">INDEX(Вводные!$D$13:$F$64,MATCH($A59,Вводные!$A$13:$A$64,0),MATCH(AS$3,Вводные!$D$11:$F$11,0))*(1+IF(AS$4=$A59,Вводные!$D$5*INDEX(Вводные!$G$13:$G$64,MATCH($A59,Вводные!$A$13:$A$64,0)),0))</f>
        <v>0.08</v>
      </c>
      <c r="AT59" s="32" t="n">
        <f aca="false">INDEX(Вводные!$D$13:$F$64,MATCH($A59,Вводные!$A$13:$A$64,0),MATCH(AT$3,Вводные!$D$11:$F$11,0))*(1+IF(AT$4=$A59,Вводные!$D$5*INDEX(Вводные!$G$13:$G$64,MATCH($A59,Вводные!$A$13:$A$64,0)),0))</f>
        <v>0.08</v>
      </c>
      <c r="AU59" s="32" t="n">
        <f aca="false">INDEX(Вводные!$D$13:$F$64,MATCH($A59,Вводные!$A$13:$A$64,0),MATCH(AU$3,Вводные!$D$11:$F$11,0))*(1+IF(AU$4=$A59,Вводные!$D$5*INDEX(Вводные!$G$13:$G$64,MATCH($A59,Вводные!$A$13:$A$64,0)),0))</f>
        <v>0.08</v>
      </c>
      <c r="AV59" s="32" t="n">
        <f aca="false">INDEX(Вводные!$D$13:$F$64,MATCH($A59,Вводные!$A$13:$A$64,0),MATCH(AV$3,Вводные!$D$11:$F$11,0))*(1+IF(AV$4=$A59,Вводные!$D$5*INDEX(Вводные!$G$13:$G$64,MATCH($A59,Вводные!$A$13:$A$64,0)),0))</f>
        <v>0.08</v>
      </c>
      <c r="AW59" s="32" t="n">
        <f aca="false">INDEX(Вводные!$D$13:$F$64,MATCH($A59,Вводные!$A$13:$A$64,0),MATCH(AW$3,Вводные!$D$11:$F$11,0))*(1+IF(AW$4=$A59,Вводные!$D$5*INDEX(Вводные!$G$13:$G$64,MATCH($A59,Вводные!$A$13:$A$64,0)),0))</f>
        <v>0.08</v>
      </c>
      <c r="AX59" s="32" t="n">
        <f aca="false">INDEX(Вводные!$D$13:$F$64,MATCH($A59,Вводные!$A$13:$A$64,0),MATCH(AX$3,Вводные!$D$11:$F$11,0))*(1+IF(AX$4=$A59,Вводные!$D$5*INDEX(Вводные!$G$13:$G$64,MATCH($A59,Вводные!$A$13:$A$64,0)),0))</f>
        <v>0.08</v>
      </c>
      <c r="AY59" s="32" t="n">
        <f aca="false">INDEX(Вводные!$D$13:$F$64,MATCH($A59,Вводные!$A$13:$A$64,0),MATCH(AY$3,Вводные!$D$11:$F$11,0))*(1+IF(AY$4=$A59,Вводные!$D$5*INDEX(Вводные!$G$13:$G$64,MATCH($A59,Вводные!$A$13:$A$64,0)),0))</f>
        <v>0.08</v>
      </c>
      <c r="AZ59" s="32" t="n">
        <f aca="false">INDEX(Вводные!$D$13:$F$64,MATCH($A59,Вводные!$A$13:$A$64,0),MATCH(AZ$3,Вводные!$D$11:$F$11,0))*(1+IF(AZ$4=$A59,Вводные!$D$5*INDEX(Вводные!$G$13:$G$64,MATCH($A59,Вводные!$A$13:$A$64,0)),0))</f>
        <v>0.15</v>
      </c>
      <c r="BA59" s="32" t="n">
        <f aca="false">INDEX(Вводные!$D$13:$F$64,MATCH($A59,Вводные!$A$13:$A$64,0),MATCH(BA$3,Вводные!$D$11:$F$11,0))*(1+IF(BA$4=$A59,Вводные!$D$5*INDEX(Вводные!$G$13:$G$64,MATCH($A59,Вводные!$A$13:$A$64,0)),0))</f>
        <v>0.15</v>
      </c>
      <c r="BB59" s="32" t="n">
        <f aca="false">INDEX(Вводные!$D$13:$F$64,MATCH($A59,Вводные!$A$13:$A$64,0),MATCH(BB$3,Вводные!$D$11:$F$11,0))*(1+IF(BB$4=$A59,Вводные!$D$5*INDEX(Вводные!$G$13:$G$64,MATCH($A59,Вводные!$A$13:$A$64,0)),0))</f>
        <v>0.15</v>
      </c>
      <c r="BC59" s="32" t="n">
        <f aca="false">INDEX(Вводные!$D$13:$F$64,MATCH($A59,Вводные!$A$13:$A$64,0),MATCH(BC$3,Вводные!$D$11:$F$11,0))*(1+IF(BC$4=$A59,Вводные!$D$5*INDEX(Вводные!$G$13:$G$64,MATCH($A59,Вводные!$A$13:$A$64,0)),0))</f>
        <v>0.15</v>
      </c>
      <c r="BD59" s="32" t="n">
        <f aca="false">INDEX(Вводные!$D$13:$F$64,MATCH($A59,Вводные!$A$13:$A$64,0),MATCH(BD$3,Вводные!$D$11:$F$11,0))*(1+IF(BD$4=$A59,Вводные!$D$5*INDEX(Вводные!$G$13:$G$64,MATCH($A59,Вводные!$A$13:$A$64,0)),0))</f>
        <v>0.15</v>
      </c>
      <c r="BE59" s="32" t="n">
        <f aca="false">INDEX(Вводные!$D$13:$F$64,MATCH($A59,Вводные!$A$13:$A$64,0),MATCH(BE$3,Вводные!$D$11:$F$11,0))*(1+IF(BE$4=$A59,Вводные!$D$5*INDEX(Вводные!$G$13:$G$64,MATCH($A59,Вводные!$A$13:$A$64,0)),0))</f>
        <v>0.15</v>
      </c>
      <c r="BF59" s="32" t="n">
        <f aca="false">INDEX(Вводные!$D$13:$F$64,MATCH($A59,Вводные!$A$13:$A$64,0),MATCH(BF$3,Вводные!$D$11:$F$11,0))*(1+IF(BF$4=$A59,Вводные!$D$5*INDEX(Вводные!$G$13:$G$64,MATCH($A59,Вводные!$A$13:$A$64,0)),0))</f>
        <v>0.15</v>
      </c>
      <c r="BG59" s="32" t="n">
        <f aca="false">INDEX(Вводные!$D$13:$F$64,MATCH($A59,Вводные!$A$13:$A$64,0),MATCH(BG$3,Вводные!$D$11:$F$11,0))*(1+IF(BG$4=$A59,Вводные!$D$5*INDEX(Вводные!$G$13:$G$64,MATCH($A59,Вводные!$A$13:$A$64,0)),0))</f>
        <v>0.15</v>
      </c>
      <c r="BH59" s="32" t="n">
        <f aca="false">INDEX(Вводные!$D$13:$F$64,MATCH($A59,Вводные!$A$13:$A$64,0),MATCH(BH$3,Вводные!$D$11:$F$11,0))*(1+IF(BH$4=$A59,Вводные!$D$5*INDEX(Вводные!$G$13:$G$64,MATCH($A59,Вводные!$A$13:$A$64,0)),0))</f>
        <v>0.15</v>
      </c>
      <c r="BI59" s="32" t="n">
        <f aca="false">INDEX(Вводные!$D$13:$F$64,MATCH($A59,Вводные!$A$13:$A$64,0),MATCH(BI$3,Вводные!$D$11:$F$11,0))*(1+IF(BI$4=$A59,Вводные!$D$5*INDEX(Вводные!$G$13:$G$64,MATCH($A59,Вводные!$A$13:$A$64,0)),0))</f>
        <v>0.15</v>
      </c>
      <c r="BJ59" s="32" t="n">
        <f aca="false">INDEX(Вводные!$D$13:$F$64,MATCH($A59,Вводные!$A$13:$A$64,0),MATCH(BJ$3,Вводные!$D$11:$F$11,0))*(1+IF(BJ$4=$A59,Вводные!$D$5*INDEX(Вводные!$G$13:$G$64,MATCH($A59,Вводные!$A$13:$A$64,0)),0))</f>
        <v>0.15</v>
      </c>
      <c r="BK59" s="32" t="n">
        <f aca="false">INDEX(Вводные!$D$13:$F$64,MATCH($A59,Вводные!$A$13:$A$64,0),MATCH(BK$3,Вводные!$D$11:$F$11,0))*(1+IF(BK$4=$A59,Вводные!$D$5*INDEX(Вводные!$G$13:$G$64,MATCH($A59,Вводные!$A$13:$A$64,0)),0))</f>
        <v>0.15</v>
      </c>
      <c r="BL59" s="32" t="n">
        <f aca="false">INDEX(Вводные!$D$13:$F$64,MATCH($A59,Вводные!$A$13:$A$64,0),MATCH(BL$3,Вводные!$D$11:$F$11,0))*(1+IF(BL$4=$A59,Вводные!$D$5*INDEX(Вводные!$G$13:$G$64,MATCH($A59,Вводные!$A$13:$A$64,0)),0))</f>
        <v>0.15</v>
      </c>
      <c r="BM59" s="32" t="n">
        <f aca="false">INDEX(Вводные!$D$13:$F$64,MATCH($A59,Вводные!$A$13:$A$64,0),MATCH(BM$3,Вводные!$D$11:$F$11,0))*(1+IF(BM$4=$A59,Вводные!$D$5*INDEX(Вводные!$G$13:$G$64,MATCH($A59,Вводные!$A$13:$A$64,0)),0))</f>
        <v>0.15</v>
      </c>
      <c r="BN59" s="32" t="n">
        <f aca="false">INDEX(Вводные!$D$13:$F$64,MATCH($A59,Вводные!$A$13:$A$64,0),MATCH(BN$3,Вводные!$D$11:$F$11,0))*(1+IF(BN$4=$A59,Вводные!$D$5*INDEX(Вводные!$G$13:$G$64,MATCH($A59,Вводные!$A$13:$A$64,0)),0))</f>
        <v>0.15</v>
      </c>
      <c r="BO59" s="32" t="n">
        <f aca="false">INDEX(Вводные!$D$13:$F$64,MATCH($A59,Вводные!$A$13:$A$64,0),MATCH(BO$3,Вводные!$D$11:$F$11,0))*(1+IF(BO$4=$A59,Вводные!$D$5*INDEX(Вводные!$G$13:$G$64,MATCH($A59,Вводные!$A$13:$A$64,0)),0))</f>
        <v>0.15</v>
      </c>
      <c r="BP59" s="32" t="n">
        <f aca="false">INDEX(Вводные!$D$13:$F$64,MATCH($A59,Вводные!$A$13:$A$64,0),MATCH(BP$3,Вводные!$D$11:$F$11,0))*(1+IF(BP$4=$A59,Вводные!$D$5*INDEX(Вводные!$G$13:$G$64,MATCH($A59,Вводные!$A$13:$A$64,0)),0))</f>
        <v>0.15</v>
      </c>
      <c r="BQ59" s="32" t="n">
        <f aca="false">INDEX(Вводные!$D$13:$F$64,MATCH($A59,Вводные!$A$13:$A$64,0),MATCH(BQ$3,Вводные!$D$11:$F$11,0))*(1+IF(BQ$4=$A59,Вводные!$D$5*INDEX(Вводные!$G$13:$G$64,MATCH($A59,Вводные!$A$13:$A$64,0)),0))</f>
        <v>0.15</v>
      </c>
      <c r="BR59" s="32" t="n">
        <f aca="false">INDEX(Вводные!$D$13:$F$64,MATCH($A59,Вводные!$A$13:$A$64,0),MATCH(BR$3,Вводные!$D$11:$F$11,0))*(1+IF(BR$4=$A59,Вводные!$D$5*INDEX(Вводные!$G$13:$G$64,MATCH($A59,Вводные!$A$13:$A$64,0)),0))</f>
        <v>0.15</v>
      </c>
      <c r="BS59" s="32" t="n">
        <f aca="false">INDEX(Вводные!$D$13:$F$64,MATCH($A59,Вводные!$A$13:$A$64,0),MATCH(BS$3,Вводные!$D$11:$F$11,0))*(1+IF(BS$4=$A59,Вводные!$D$5*INDEX(Вводные!$G$13:$G$64,MATCH($A59,Вводные!$A$13:$A$64,0)),0))</f>
        <v>0.15</v>
      </c>
      <c r="BT59" s="32" t="n">
        <f aca="false">INDEX(Вводные!$D$13:$F$64,MATCH($A59,Вводные!$A$13:$A$64,0),MATCH(BT$3,Вводные!$D$11:$F$11,0))*(1+IF(BT$4=$A59,Вводные!$D$5*INDEX(Вводные!$G$13:$G$64,MATCH($A59,Вводные!$A$13:$A$64,0)),0))</f>
        <v>0.15</v>
      </c>
      <c r="BU59" s="32" t="n">
        <f aca="false">INDEX(Вводные!$D$13:$F$64,MATCH($A59,Вводные!$A$13:$A$64,0),MATCH(BU$3,Вводные!$D$11:$F$11,0))*(1+IF(BU$4=$A59,Вводные!$D$5*INDEX(Вводные!$G$13:$G$64,MATCH($A59,Вводные!$A$13:$A$64,0)),0))</f>
        <v>0.15</v>
      </c>
      <c r="BV59" s="32" t="n">
        <f aca="false">INDEX(Вводные!$D$13:$F$64,MATCH($A59,Вводные!$A$13:$A$64,0),MATCH(BV$3,Вводные!$D$11:$F$11,0))*(1+IF(BV$4=$A59,Вводные!$D$5*INDEX(Вводные!$G$13:$G$64,MATCH($A59,Вводные!$A$13:$A$64,0)),0))</f>
        <v>0.15</v>
      </c>
      <c r="BW59" s="32" t="n">
        <f aca="false">INDEX(Вводные!$D$13:$F$64,MATCH($A59,Вводные!$A$13:$A$64,0),MATCH(BW$3,Вводные!$D$11:$F$11,0))*(1+IF(BW$4=$A59,Вводные!$D$5*INDEX(Вводные!$G$13:$G$64,MATCH($A59,Вводные!$A$13:$A$64,0)),0))</f>
        <v>0.15</v>
      </c>
      <c r="BX59" s="32" t="n">
        <f aca="false">INDEX(Вводные!$D$13:$F$64,MATCH($A59,Вводные!$A$13:$A$64,0),MATCH(BX$3,Вводные!$D$11:$F$11,0))*(1+IF(BX$4=$A59,Вводные!$D$5*INDEX(Вводные!$G$13:$G$64,MATCH($A59,Вводные!$A$13:$A$64,0)),0))</f>
        <v>0.15</v>
      </c>
      <c r="BY59" s="32" t="n">
        <f aca="false">INDEX(Вводные!$D$13:$F$64,MATCH($A59,Вводные!$A$13:$A$64,0),MATCH(BY$3,Вводные!$D$11:$F$11,0))*(1+IF(BY$4=$A59,Вводные!$D$5*INDEX(Вводные!$G$13:$G$64,MATCH($A59,Вводные!$A$13:$A$64,0)),0))</f>
        <v>0.15</v>
      </c>
      <c r="BZ59" s="32" t="n">
        <f aca="false">INDEX(Вводные!$D$13:$F$64,MATCH($A59,Вводные!$A$13:$A$64,0),MATCH(BZ$3,Вводные!$D$11:$F$11,0))*(1+IF(BZ$4=$A59,Вводные!$D$5*INDEX(Вводные!$G$13:$G$64,MATCH($A59,Вводные!$A$13:$A$64,0)),0))</f>
        <v>0.15</v>
      </c>
      <c r="CA59" s="32" t="n">
        <f aca="false">INDEX(Вводные!$D$13:$F$64,MATCH($A59,Вводные!$A$13:$A$64,0),MATCH(CA$3,Вводные!$D$11:$F$11,0))*(1+IF(CA$4=$A59,Вводные!$D$5*INDEX(Вводные!$G$13:$G$64,MATCH($A59,Вводные!$A$13:$A$64,0)),0))</f>
        <v>0.1515</v>
      </c>
      <c r="CB59" s="32" t="n">
        <f aca="false">INDEX(Вводные!$D$13:$F$64,MATCH($A59,Вводные!$A$13:$A$64,0),MATCH(CB$3,Вводные!$D$11:$F$11,0))*(1+IF(CB$4=$A59,Вводные!$D$5*INDEX(Вводные!$G$13:$G$64,MATCH($A59,Вводные!$A$13:$A$64,0)),0))</f>
        <v>0.15</v>
      </c>
      <c r="CC59" s="32" t="n">
        <f aca="false">INDEX(Вводные!$D$13:$F$64,MATCH($A59,Вводные!$A$13:$A$64,0),MATCH(CC$3,Вводные!$D$11:$F$11,0))*(1+IF(CC$4=$A59,Вводные!$D$5*INDEX(Вводные!$G$13:$G$64,MATCH($A59,Вводные!$A$13:$A$64,0)),0))</f>
        <v>0.15</v>
      </c>
      <c r="CD59" s="32" t="n">
        <f aca="false">INDEX(Вводные!$D$13:$F$64,MATCH($A59,Вводные!$A$13:$A$64,0),MATCH(CD$3,Вводные!$D$11:$F$11,0))*(1+IF(CD$4=$A59,Вводные!$D$5*INDEX(Вводные!$G$13:$G$64,MATCH($A59,Вводные!$A$13:$A$64,0)),0))</f>
        <v>0.15</v>
      </c>
      <c r="CE59" s="32" t="n">
        <f aca="false">INDEX(Вводные!$D$13:$F$64,MATCH($A59,Вводные!$A$13:$A$64,0),MATCH(CE$3,Вводные!$D$11:$F$11,0))*(1+IF(CE$4=$A59,Вводные!$D$5*INDEX(Вводные!$G$13:$G$64,MATCH($A59,Вводные!$A$13:$A$64,0)),0))</f>
        <v>0.15</v>
      </c>
      <c r="CF59" s="32" t="n">
        <f aca="false">INDEX(Вводные!$D$13:$F$64,MATCH($A59,Вводные!$A$13:$A$64,0),MATCH(CF$3,Вводные!$D$11:$F$11,0))*(1+IF(CF$4=$A59,Вводные!$D$5*INDEX(Вводные!$G$13:$G$64,MATCH($A59,Вводные!$A$13:$A$64,0)),0))</f>
        <v>0.15</v>
      </c>
      <c r="CG59" s="32" t="n">
        <f aca="false">INDEX(Вводные!$D$13:$F$64,MATCH($A59,Вводные!$A$13:$A$64,0),MATCH(CG$3,Вводные!$D$11:$F$11,0))*(1+IF(CG$4=$A59,Вводные!$D$5*INDEX(Вводные!$G$13:$G$64,MATCH($A59,Вводные!$A$13:$A$64,0)),0))</f>
        <v>0.15</v>
      </c>
      <c r="CH59" s="32" t="n">
        <f aca="false">INDEX(Вводные!$D$13:$F$64,MATCH($A59,Вводные!$A$13:$A$64,0),MATCH(CH$3,Вводные!$D$11:$F$11,0))*(1+IF(CH$4=$A59,Вводные!$D$5*INDEX(Вводные!$G$13:$G$64,MATCH($A59,Вводные!$A$13:$A$64,0)),0))</f>
        <v>0.15</v>
      </c>
      <c r="CI59" s="32" t="n">
        <f aca="false">INDEX(Вводные!$D$13:$F$64,MATCH($A59,Вводные!$A$13:$A$64,0),MATCH(CI$3,Вводные!$D$11:$F$11,0))*(1+IF(CI$4=$A59,Вводные!$D$5*INDEX(Вводные!$G$13:$G$64,MATCH($A59,Вводные!$A$13:$A$64,0)),0))</f>
        <v>0.15</v>
      </c>
      <c r="CJ59" s="32" t="n">
        <f aca="false">INDEX(Вводные!$D$13:$F$64,MATCH($A59,Вводные!$A$13:$A$64,0),MATCH(CJ$3,Вводные!$D$11:$F$11,0))*(1+IF(CJ$4=$A59,Вводные!$D$5*INDEX(Вводные!$G$13:$G$64,MATCH($A59,Вводные!$A$13:$A$64,0)),0))</f>
        <v>0.15</v>
      </c>
      <c r="CK59" s="32" t="n">
        <f aca="false">INDEX(Вводные!$D$13:$F$64,MATCH($A59,Вводные!$A$13:$A$64,0),MATCH(CK$3,Вводные!$D$11:$F$11,0))*(1+IF(CK$4=$A59,Вводные!$D$5*INDEX(Вводные!$G$13:$G$64,MATCH($A59,Вводные!$A$13:$A$64,0)),0))</f>
        <v>0.15</v>
      </c>
      <c r="CL59" s="32" t="n">
        <f aca="false">INDEX(Вводные!$D$13:$F$64,MATCH($A59,Вводные!$A$13:$A$64,0),MATCH(CL$3,Вводные!$D$11:$F$11,0))*(1+IF(CL$4=$A59,Вводные!$D$5*INDEX(Вводные!$G$13:$G$64,MATCH($A59,Вводные!$A$13:$A$64,0)),0))</f>
        <v>0.15</v>
      </c>
      <c r="CM59" s="32" t="n">
        <f aca="false">INDEX(Вводные!$D$13:$F$64,MATCH($A59,Вводные!$A$13:$A$64,0),MATCH(CM$3,Вводные!$D$11:$F$11,0))*(1+IF(CM$4=$A59,Вводные!$D$5*INDEX(Вводные!$G$13:$G$64,MATCH($A59,Вводные!$A$13:$A$64,0)),0))</f>
        <v>0.15</v>
      </c>
      <c r="CN59" s="32" t="n">
        <f aca="false">INDEX(Вводные!$D$13:$F$64,MATCH($A59,Вводные!$A$13:$A$64,0),MATCH(CN$3,Вводные!$D$11:$F$11,0))*(1+IF(CN$4=$A59,Вводные!$D$5*INDEX(Вводные!$G$13:$G$64,MATCH($A59,Вводные!$A$13:$A$64,0)),0))</f>
        <v>0.15</v>
      </c>
      <c r="CO59" s="32" t="n">
        <f aca="false">INDEX(Вводные!$D$13:$F$64,MATCH($A59,Вводные!$A$13:$A$64,0),MATCH(CO$3,Вводные!$D$11:$F$11,0))*(1+IF(CO$4=$A59,Вводные!$D$5*INDEX(Вводные!$G$13:$G$64,MATCH($A59,Вводные!$A$13:$A$64,0)),0))</f>
        <v>0.15</v>
      </c>
      <c r="CP59" s="32" t="n">
        <f aca="false">INDEX(Вводные!$D$13:$F$64,MATCH($A59,Вводные!$A$13:$A$64,0),MATCH(CP$3,Вводные!$D$11:$F$11,0))*(1+IF(CP$4=$A59,Вводные!$D$5*INDEX(Вводные!$G$13:$G$64,MATCH($A59,Вводные!$A$13:$A$64,0)),0))</f>
        <v>0</v>
      </c>
      <c r="CQ59" s="32" t="n">
        <f aca="false">INDEX(Вводные!$D$13:$F$64,MATCH($A59,Вводные!$A$13:$A$64,0),MATCH(CQ$3,Вводные!$D$11:$F$11,0))*(1+IF(CQ$4=$A59,Вводные!$D$5*INDEX(Вводные!$G$13:$G$64,MATCH($A59,Вводные!$A$13:$A$64,0)),0))</f>
        <v>0</v>
      </c>
      <c r="CR59" s="32" t="n">
        <f aca="false">INDEX(Вводные!$D$13:$F$64,MATCH($A59,Вводные!$A$13:$A$64,0),MATCH(CR$3,Вводные!$D$11:$F$11,0))*(1+IF(CR$4=$A59,Вводные!$D$5*INDEX(Вводные!$G$13:$G$64,MATCH($A59,Вводные!$A$13:$A$64,0)),0))</f>
        <v>0</v>
      </c>
      <c r="CS59" s="32" t="n">
        <f aca="false">INDEX(Вводные!$D$13:$F$64,MATCH($A59,Вводные!$A$13:$A$64,0),MATCH(CS$3,Вводные!$D$11:$F$11,0))*(1+IF(CS$4=$A59,Вводные!$D$5*INDEX(Вводные!$G$13:$G$64,MATCH($A59,Вводные!$A$13:$A$64,0)),0))</f>
        <v>0</v>
      </c>
      <c r="CT59" s="32" t="n">
        <f aca="false">INDEX(Вводные!$D$13:$F$64,MATCH($A59,Вводные!$A$13:$A$64,0),MATCH(CT$3,Вводные!$D$11:$F$11,0))*(1+IF(CT$4=$A59,Вводные!$D$5*INDEX(Вводные!$G$13:$G$64,MATCH($A59,Вводные!$A$13:$A$64,0)),0))</f>
        <v>0</v>
      </c>
      <c r="CU59" s="32" t="n">
        <f aca="false">INDEX(Вводные!$D$13:$F$64,MATCH($A59,Вводные!$A$13:$A$64,0),MATCH(CU$3,Вводные!$D$11:$F$11,0))*(1+IF(CU$4=$A59,Вводные!$D$5*INDEX(Вводные!$G$13:$G$64,MATCH($A59,Вводные!$A$13:$A$64,0)),0))</f>
        <v>0</v>
      </c>
      <c r="CV59" s="32" t="n">
        <f aca="false">INDEX(Вводные!$D$13:$F$64,MATCH($A59,Вводные!$A$13:$A$64,0),MATCH(CV$3,Вводные!$D$11:$F$11,0))*(1+IF(CV$4=$A59,Вводные!$D$5*INDEX(Вводные!$G$13:$G$64,MATCH($A59,Вводные!$A$13:$A$64,0)),0))</f>
        <v>0</v>
      </c>
      <c r="CW59" s="32" t="n">
        <f aca="false">INDEX(Вводные!$D$13:$F$64,MATCH($A59,Вводные!$A$13:$A$64,0),MATCH(CW$3,Вводные!$D$11:$F$11,0))*(1+IF(CW$4=$A59,Вводные!$D$5*INDEX(Вводные!$G$13:$G$64,MATCH($A59,Вводные!$A$13:$A$64,0)),0))</f>
        <v>0</v>
      </c>
      <c r="CX59" s="32" t="n">
        <f aca="false">INDEX(Вводные!$D$13:$F$64,MATCH($A59,Вводные!$A$13:$A$64,0),MATCH(CX$3,Вводные!$D$11:$F$11,0))*(1+IF(CX$4=$A59,Вводные!$D$5*INDEX(Вводные!$G$13:$G$64,MATCH($A59,Вводные!$A$13:$A$64,0)),0))</f>
        <v>0</v>
      </c>
      <c r="CY59" s="32" t="n">
        <f aca="false">INDEX(Вводные!$D$13:$F$64,MATCH($A59,Вводные!$A$13:$A$64,0),MATCH(CY$3,Вводные!$D$11:$F$11,0))*(1+IF(CY$4=$A59,Вводные!$D$5*INDEX(Вводные!$G$13:$G$64,MATCH($A59,Вводные!$A$13:$A$64,0)),0))</f>
        <v>0</v>
      </c>
      <c r="CZ59" s="32" t="n">
        <f aca="false">INDEX(Вводные!$D$13:$F$64,MATCH($A59,Вводные!$A$13:$A$64,0),MATCH(CZ$3,Вводные!$D$11:$F$11,0))*(1+IF(CZ$4=$A59,Вводные!$D$5*INDEX(Вводные!$G$13:$G$64,MATCH($A59,Вводные!$A$13:$A$64,0)),0))</f>
        <v>0</v>
      </c>
      <c r="DA59" s="32" t="n">
        <f aca="false">INDEX(Вводные!$D$13:$F$64,MATCH($A59,Вводные!$A$13:$A$64,0),MATCH(DA$3,Вводные!$D$11:$F$11,0))*(1+IF(DA$4=$A59,Вводные!$D$5*INDEX(Вводные!$G$13:$G$64,MATCH($A59,Вводные!$A$13:$A$64,0)),0))</f>
        <v>0</v>
      </c>
      <c r="DB59" s="32" t="n">
        <f aca="false">INDEX(Вводные!$D$13:$F$64,MATCH($A59,Вводные!$A$13:$A$64,0),MATCH(DB$3,Вводные!$D$11:$F$11,0))*(1+IF(DB$4=$A59,Вводные!$D$5*INDEX(Вводные!$G$13:$G$64,MATCH($A59,Вводные!$A$13:$A$64,0)),0))</f>
        <v>0</v>
      </c>
      <c r="DC59" s="32" t="n">
        <f aca="false">INDEX(Вводные!$D$13:$F$64,MATCH($A59,Вводные!$A$13:$A$64,0),MATCH(DC$3,Вводные!$D$11:$F$11,0))*(1+IF(DC$4=$A59,Вводные!$D$5*INDEX(Вводные!$G$13:$G$64,MATCH($A59,Вводные!$A$13:$A$64,0)),0))</f>
        <v>0</v>
      </c>
      <c r="DD59" s="32" t="n">
        <f aca="false">INDEX(Вводные!$D$13:$F$64,MATCH($A59,Вводные!$A$13:$A$64,0),MATCH(DD$3,Вводные!$D$11:$F$11,0))*(1+IF(DD$4=$A59,Вводные!$D$5*INDEX(Вводные!$G$13:$G$64,MATCH($A59,Вводные!$A$13:$A$64,0)),0))</f>
        <v>0</v>
      </c>
      <c r="DE59" s="32" t="n">
        <f aca="false">INDEX(Вводные!$D$13:$F$64,MATCH($A59,Вводные!$A$13:$A$64,0),MATCH(DE$3,Вводные!$D$11:$F$11,0))*(1+IF(DE$4=$A59,Вводные!$D$5*INDEX(Вводные!$G$13:$G$64,MATCH($A59,Вводные!$A$13:$A$64,0)),0))</f>
        <v>0</v>
      </c>
      <c r="DF59" s="32" t="n">
        <f aca="false">INDEX(Вводные!$D$13:$F$64,MATCH($A59,Вводные!$A$13:$A$64,0),MATCH(DF$3,Вводные!$D$11:$F$11,0))*(1+IF(DF$4=$A59,Вводные!$D$5*INDEX(Вводные!$G$13:$G$64,MATCH($A59,Вводные!$A$13:$A$64,0)),0))</f>
        <v>0</v>
      </c>
      <c r="DG59" s="32" t="n">
        <f aca="false">INDEX(Вводные!$D$13:$F$64,MATCH($A59,Вводные!$A$13:$A$64,0),MATCH(DG$3,Вводные!$D$11:$F$11,0))*(1+IF(DG$4=$A59,Вводные!$D$5*INDEX(Вводные!$G$13:$G$64,MATCH($A59,Вводные!$A$13:$A$64,0)),0))</f>
        <v>0</v>
      </c>
      <c r="DH59" s="32" t="n">
        <f aca="false">INDEX(Вводные!$D$13:$F$64,MATCH($A59,Вводные!$A$13:$A$64,0),MATCH(DH$3,Вводные!$D$11:$F$11,0))*(1+IF(DH$4=$A59,Вводные!$D$5*INDEX(Вводные!$G$13:$G$64,MATCH($A59,Вводные!$A$13:$A$64,0)),0))</f>
        <v>0</v>
      </c>
      <c r="DI59" s="32" t="n">
        <f aca="false">INDEX(Вводные!$D$13:$F$64,MATCH($A59,Вводные!$A$13:$A$64,0),MATCH(DI$3,Вводные!$D$11:$F$11,0))*(1+IF(DI$4=$A59,Вводные!$D$5*INDEX(Вводные!$G$13:$G$64,MATCH($A59,Вводные!$A$13:$A$64,0)),0))</f>
        <v>0</v>
      </c>
      <c r="DJ59" s="32" t="n">
        <f aca="false">INDEX(Вводные!$D$13:$F$64,MATCH($A59,Вводные!$A$13:$A$64,0),MATCH(DJ$3,Вводные!$D$11:$F$11,0))*(1+IF(DJ$4=$A59,Вводные!$D$5*INDEX(Вводные!$G$13:$G$64,MATCH($A59,Вводные!$A$13:$A$64,0)),0))</f>
        <v>0</v>
      </c>
      <c r="DK59" s="32" t="n">
        <f aca="false">INDEX(Вводные!$D$13:$F$64,MATCH($A59,Вводные!$A$13:$A$64,0),MATCH(DK$3,Вводные!$D$11:$F$11,0))*(1+IF(DK$4=$A59,Вводные!$D$5*INDEX(Вводные!$G$13:$G$64,MATCH($A59,Вводные!$A$13:$A$64,0)),0))</f>
        <v>0</v>
      </c>
      <c r="DL59" s="32" t="n">
        <f aca="false">INDEX(Вводные!$D$13:$F$64,MATCH($A59,Вводные!$A$13:$A$64,0),MATCH(DL$3,Вводные!$D$11:$F$11,0))*(1+IF(DL$4=$A59,Вводные!$D$5*INDEX(Вводные!$G$13:$G$64,MATCH($A59,Вводные!$A$13:$A$64,0)),0))</f>
        <v>0</v>
      </c>
      <c r="DM59" s="32" t="n">
        <f aca="false">INDEX(Вводные!$D$13:$F$64,MATCH($A59,Вводные!$A$13:$A$64,0),MATCH(DM$3,Вводные!$D$11:$F$11,0))*(1+IF(DM$4=$A59,Вводные!$D$5*INDEX(Вводные!$G$13:$G$64,MATCH($A59,Вводные!$A$13:$A$64,0)),0))</f>
        <v>0</v>
      </c>
      <c r="DN59" s="32" t="n">
        <f aca="false">INDEX(Вводные!$D$13:$F$64,MATCH($A59,Вводные!$A$13:$A$64,0),MATCH(DN$3,Вводные!$D$11:$F$11,0))*(1+IF(DN$4=$A59,Вводные!$D$5*INDEX(Вводные!$G$13:$G$64,MATCH($A59,Вводные!$A$13:$A$64,0)),0))</f>
        <v>0</v>
      </c>
      <c r="DO59" s="32" t="n">
        <f aca="false">INDEX(Вводные!$D$13:$F$64,MATCH($A59,Вводные!$A$13:$A$64,0),MATCH(DO$3,Вводные!$D$11:$F$11,0))*(1+IF(DO$4=$A59,Вводные!$D$5*INDEX(Вводные!$G$13:$G$64,MATCH($A59,Вводные!$A$13:$A$64,0)),0))</f>
        <v>0</v>
      </c>
      <c r="DP59" s="32" t="n">
        <f aca="false">INDEX(Вводные!$D$13:$F$64,MATCH($A59,Вводные!$A$13:$A$64,0),MATCH(DP$3,Вводные!$D$11:$F$11,0))*(1+IF(DP$4=$A59,Вводные!$D$5*INDEX(Вводные!$G$13:$G$64,MATCH($A59,Вводные!$A$13:$A$64,0)),0))</f>
        <v>0</v>
      </c>
      <c r="DQ59" s="32" t="n">
        <f aca="false">INDEX(Вводные!$D$13:$F$64,MATCH($A59,Вводные!$A$13:$A$64,0),MATCH(DQ$3,Вводные!$D$11:$F$11,0))*(1+IF(DQ$4=$A59,Вводные!$D$5*INDEX(Вводные!$G$13:$G$64,MATCH($A59,Вводные!$A$13:$A$64,0)),0))</f>
        <v>0</v>
      </c>
      <c r="DR59" s="32" t="n">
        <f aca="false">INDEX(Вводные!$D$13:$F$64,MATCH($A59,Вводные!$A$13:$A$64,0),MATCH(DR$3,Вводные!$D$11:$F$11,0))*(1+IF(DR$4=$A59,Вводные!$D$5*INDEX(Вводные!$G$13:$G$64,MATCH($A59,Вводные!$A$13:$A$64,0)),0))</f>
        <v>0</v>
      </c>
      <c r="DS59" s="32" t="n">
        <f aca="false">INDEX(Вводные!$D$13:$F$64,MATCH($A59,Вводные!$A$13:$A$64,0),MATCH(DS$3,Вводные!$D$11:$F$11,0))*(1+IF(DS$4=$A59,Вводные!$D$5*INDEX(Вводные!$G$13:$G$64,MATCH($A59,Вводные!$A$13:$A$64,0)),0))</f>
        <v>0</v>
      </c>
      <c r="DT59" s="32" t="n">
        <f aca="false">INDEX(Вводные!$D$13:$F$64,MATCH($A59,Вводные!$A$13:$A$64,0),MATCH(DT$3,Вводные!$D$11:$F$11,0))*(1+IF(DT$4=$A59,Вводные!$D$5*INDEX(Вводные!$G$13:$G$64,MATCH($A59,Вводные!$A$13:$A$64,0)),0))</f>
        <v>0</v>
      </c>
      <c r="DU59" s="32" t="n">
        <f aca="false">INDEX(Вводные!$D$13:$F$64,MATCH($A59,Вводные!$A$13:$A$64,0),MATCH(DU$3,Вводные!$D$11:$F$11,0))*(1+IF(DU$4=$A59,Вводные!$D$5*INDEX(Вводные!$G$13:$G$64,MATCH($A59,Вводные!$A$13:$A$64,0)),0))</f>
        <v>0</v>
      </c>
      <c r="DV59" s="32" t="n">
        <f aca="false">INDEX(Вводные!$D$13:$F$64,MATCH($A59,Вводные!$A$13:$A$64,0),MATCH(DV$3,Вводные!$D$11:$F$11,0))*(1+IF(DV$4=$A59,Вводные!$D$5*INDEX(Вводные!$G$13:$G$64,MATCH($A59,Вводные!$A$13:$A$64,0)),0))</f>
        <v>0</v>
      </c>
      <c r="DW59" s="32" t="n">
        <f aca="false">INDEX(Вводные!$D$13:$F$64,MATCH($A59,Вводные!$A$13:$A$64,0),MATCH(DW$3,Вводные!$D$11:$F$11,0))*(1+IF(DW$4=$A59,Вводные!$D$5*INDEX(Вводные!$G$13:$G$64,MATCH($A59,Вводные!$A$13:$A$64,0)),0))</f>
        <v>0</v>
      </c>
      <c r="DX59" s="32" t="n">
        <f aca="false">INDEX(Вводные!$D$13:$F$64,MATCH($A59,Вводные!$A$13:$A$64,0),MATCH(DX$3,Вводные!$D$11:$F$11,0))*(1+IF(DX$4=$A59,Вводные!$D$5*INDEX(Вводные!$G$13:$G$64,MATCH($A59,Вводные!$A$13:$A$64,0)),0))</f>
        <v>0</v>
      </c>
      <c r="DY59" s="32" t="n">
        <f aca="false">INDEX(Вводные!$D$13:$F$64,MATCH($A59,Вводные!$A$13:$A$64,0),MATCH(DY$3,Вводные!$D$11:$F$11,0))*(1+IF(DY$4=$A59,Вводные!$D$5*INDEX(Вводные!$G$13:$G$64,MATCH($A59,Вводные!$A$13:$A$64,0)),0))</f>
        <v>0</v>
      </c>
      <c r="DZ59" s="32" t="n">
        <f aca="false">INDEX(Вводные!$D$13:$F$64,MATCH($A59,Вводные!$A$13:$A$64,0),MATCH(DZ$3,Вводные!$D$11:$F$11,0))*(1+IF(DZ$4=$A59,Вводные!$D$5*INDEX(Вводные!$G$13:$G$64,MATCH($A59,Вводные!$A$13:$A$64,0)),0))</f>
        <v>0</v>
      </c>
      <c r="EA59" s="32" t="n">
        <f aca="false">INDEX(Вводные!$D$13:$F$64,MATCH($A59,Вводные!$A$13:$A$64,0),MATCH(EA$3,Вводные!$D$11:$F$11,0))*(1+IF(EA$4=$A59,Вводные!$D$5*INDEX(Вводные!$G$13:$G$64,MATCH($A59,Вводные!$A$13:$A$64,0)),0))</f>
        <v>0</v>
      </c>
      <c r="EB59" s="32" t="n">
        <f aca="false">INDEX(Вводные!$D$13:$F$64,MATCH($A59,Вводные!$A$13:$A$64,0),MATCH(EB$3,Вводные!$D$11:$F$11,0))*(1+IF(EB$4=$A59,Вводные!$D$5*INDEX(Вводные!$G$13:$G$64,MATCH($A59,Вводные!$A$13:$A$64,0)),0))</f>
        <v>0</v>
      </c>
      <c r="EC59" s="32" t="n">
        <f aca="false">INDEX(Вводные!$D$13:$F$64,MATCH($A59,Вводные!$A$13:$A$64,0),MATCH(EC$3,Вводные!$D$11:$F$11,0))*(1+IF(EC$4=$A59,Вводные!$D$5*INDEX(Вводные!$G$13:$G$64,MATCH($A59,Вводные!$A$13:$A$64,0)),0))</f>
        <v>0</v>
      </c>
      <c r="ED59" s="32" t="n">
        <f aca="false">INDEX(Вводные!$D$13:$F$64,MATCH($A59,Вводные!$A$13:$A$64,0),MATCH(ED$3,Вводные!$D$11:$F$11,0))*(1+IF(ED$4=$A59,Вводные!$D$5*INDEX(Вводные!$G$13:$G$64,MATCH($A59,Вводные!$A$13:$A$64,0)),0))</f>
        <v>0</v>
      </c>
      <c r="EE59" s="32" t="n">
        <f aca="false">INDEX(Вводные!$D$13:$F$64,MATCH($A59,Вводные!$A$13:$A$64,0),MATCH(EE$3,Вводные!$D$11:$F$11,0))*(1+IF(EE$4=$A59,Вводные!$D$5*INDEX(Вводные!$G$13:$G$64,MATCH($A59,Вводные!$A$13:$A$64,0)),0))</f>
        <v>0</v>
      </c>
      <c r="EF59" s="32" t="n">
        <f aca="false">INDEX(Вводные!$D$13:$F$64,MATCH($A59,Вводные!$A$13:$A$64,0),MATCH(EF$3,Вводные!$D$11:$F$11,0))*(1+IF(EF$4=$A59,Вводные!$D$5*INDEX(Вводные!$G$13:$G$64,MATCH($A59,Вводные!$A$13:$A$64,0)),0))</f>
        <v>0.08</v>
      </c>
      <c r="EG59" s="32" t="n">
        <f aca="false">INDEX(Вводные!$D$13:$F$64,MATCH($A59,Вводные!$A$13:$A$64,0),MATCH(EG$3,Вводные!$D$11:$F$11,0))*(1+IF(EG$4=$A59,Вводные!$D$5*INDEX(Вводные!$G$13:$G$64,MATCH($A59,Вводные!$A$13:$A$64,0)),0))</f>
        <v>0.08</v>
      </c>
      <c r="EH59" s="32" t="n">
        <f aca="false">INDEX(Вводные!$D$13:$F$64,MATCH($A59,Вводные!$A$13:$A$64,0),MATCH(EH$3,Вводные!$D$11:$F$11,0))*(1+IF(EH$4=$A59,Вводные!$D$5*INDEX(Вводные!$G$13:$G$64,MATCH($A59,Вводные!$A$13:$A$64,0)),0))</f>
        <v>0.08</v>
      </c>
      <c r="EI59" s="32" t="n">
        <f aca="false">INDEX(Вводные!$D$13:$F$64,MATCH($A59,Вводные!$A$13:$A$64,0),MATCH(EI$3,Вводные!$D$11:$F$11,0))*(1+IF(EI$4=$A59,Вводные!$D$5*INDEX(Вводные!$G$13:$G$64,MATCH($A59,Вводные!$A$13:$A$64,0)),0))</f>
        <v>0.08</v>
      </c>
      <c r="EJ59" s="32" t="n">
        <f aca="false">INDEX(Вводные!$D$13:$F$64,MATCH($A59,Вводные!$A$13:$A$64,0),MATCH(EJ$3,Вводные!$D$11:$F$11,0))*(1+IF(EJ$4=$A59,Вводные!$D$5*INDEX(Вводные!$G$13:$G$64,MATCH($A59,Вводные!$A$13:$A$64,0)),0))</f>
        <v>0.08</v>
      </c>
      <c r="EK59" s="32" t="n">
        <f aca="false">INDEX(Вводные!$D$13:$F$64,MATCH($A59,Вводные!$A$13:$A$64,0),MATCH(EK$3,Вводные!$D$11:$F$11,0))*(1+IF(EK$4=$A59,Вводные!$D$5*INDEX(Вводные!$G$13:$G$64,MATCH($A59,Вводные!$A$13:$A$64,0)),0))</f>
        <v>0.08</v>
      </c>
      <c r="EL59" s="32" t="n">
        <f aca="false">INDEX(Вводные!$D$13:$F$64,MATCH($A59,Вводные!$A$13:$A$64,0),MATCH(EL$3,Вводные!$D$11:$F$11,0))*(1+IF(EL$4=$A59,Вводные!$D$5*INDEX(Вводные!$G$13:$G$64,MATCH($A59,Вводные!$A$13:$A$64,0)),0))</f>
        <v>0.08</v>
      </c>
      <c r="EM59" s="32" t="n">
        <f aca="false">INDEX(Вводные!$D$13:$F$64,MATCH($A59,Вводные!$A$13:$A$64,0),MATCH(EM$3,Вводные!$D$11:$F$11,0))*(1+IF(EM$4=$A59,Вводные!$D$5*INDEX(Вводные!$G$13:$G$64,MATCH($A59,Вводные!$A$13:$A$64,0)),0))</f>
        <v>0.08</v>
      </c>
      <c r="EN59" s="32" t="n">
        <f aca="false">INDEX(Вводные!$D$13:$F$64,MATCH($A59,Вводные!$A$13:$A$64,0),MATCH(EN$3,Вводные!$D$11:$F$11,0))*(1+IF(EN$4=$A59,Вводные!$D$5*INDEX(Вводные!$G$13:$G$64,MATCH($A59,Вводные!$A$13:$A$64,0)),0))</f>
        <v>0.08</v>
      </c>
      <c r="EO59" s="32" t="n">
        <f aca="false">INDEX(Вводные!$D$13:$F$64,MATCH($A59,Вводные!$A$13:$A$64,0),MATCH(EO$3,Вводные!$D$11:$F$11,0))*(1+IF(EO$4=$A59,Вводные!$D$5*INDEX(Вводные!$G$13:$G$64,MATCH($A59,Вводные!$A$13:$A$64,0)),0))</f>
        <v>0.08</v>
      </c>
      <c r="EP59" s="32" t="n">
        <f aca="false">INDEX(Вводные!$D$13:$F$64,MATCH($A59,Вводные!$A$13:$A$64,0),MATCH(EP$3,Вводные!$D$11:$F$11,0))*(1+IF(EP$4=$A59,Вводные!$D$5*INDEX(Вводные!$G$13:$G$64,MATCH($A59,Вводные!$A$13:$A$64,0)),0))</f>
        <v>0.08</v>
      </c>
      <c r="EQ59" s="32" t="n">
        <f aca="false">INDEX(Вводные!$D$13:$F$64,MATCH($A59,Вводные!$A$13:$A$64,0),MATCH(EQ$3,Вводные!$D$11:$F$11,0))*(1+IF(EQ$4=$A59,Вводные!$D$5*INDEX(Вводные!$G$13:$G$64,MATCH($A59,Вводные!$A$13:$A$64,0)),0))</f>
        <v>0.08</v>
      </c>
      <c r="ER59" s="32" t="n">
        <f aca="false">INDEX(Вводные!$D$13:$F$64,MATCH($A59,Вводные!$A$13:$A$64,0),MATCH(ER$3,Вводные!$D$11:$F$11,0))*(1+IF(ER$4=$A59,Вводные!$D$5*INDEX(Вводные!$G$13:$G$64,MATCH($A59,Вводные!$A$13:$A$64,0)),0))</f>
        <v>0.08</v>
      </c>
      <c r="ES59" s="32" t="n">
        <f aca="false">INDEX(Вводные!$D$13:$F$64,MATCH($A59,Вводные!$A$13:$A$64,0),MATCH(ES$3,Вводные!$D$11:$F$11,0))*(1+IF(ES$4=$A59,Вводные!$D$5*INDEX(Вводные!$G$13:$G$64,MATCH($A59,Вводные!$A$13:$A$64,0)),0))</f>
        <v>0.08</v>
      </c>
      <c r="ET59" s="32" t="n">
        <f aca="false">INDEX(Вводные!$D$13:$F$64,MATCH($A59,Вводные!$A$13:$A$64,0),MATCH(ET$3,Вводные!$D$11:$F$11,0))*(1+IF(ET$4=$A59,Вводные!$D$5*INDEX(Вводные!$G$13:$G$64,MATCH($A59,Вводные!$A$13:$A$64,0)),0))</f>
        <v>0.08</v>
      </c>
      <c r="EU59" s="32" t="n">
        <f aca="false">INDEX(Вводные!$D$13:$F$64,MATCH($A59,Вводные!$A$13:$A$64,0),MATCH(EU$3,Вводные!$D$11:$F$11,0))*(1+IF(EU$4=$A59,Вводные!$D$5*INDEX(Вводные!$G$13:$G$64,MATCH($A59,Вводные!$A$13:$A$64,0)),0))</f>
        <v>0.08</v>
      </c>
      <c r="EV59" s="32" t="n">
        <f aca="false">INDEX(Вводные!$D$13:$F$64,MATCH($A59,Вводные!$A$13:$A$64,0),MATCH(EV$3,Вводные!$D$11:$F$11,0))*(1+IF(EV$4=$A59,Вводные!$D$5*INDEX(Вводные!$G$13:$G$64,MATCH($A59,Вводные!$A$13:$A$64,0)),0))</f>
        <v>0.08</v>
      </c>
      <c r="EW59" s="32" t="n">
        <f aca="false">INDEX(Вводные!$D$13:$F$64,MATCH($A59,Вводные!$A$13:$A$64,0),MATCH(EW$3,Вводные!$D$11:$F$11,0))*(1+IF(EW$4=$A59,Вводные!$D$5*INDEX(Вводные!$G$13:$G$64,MATCH($A59,Вводные!$A$13:$A$64,0)),0))</f>
        <v>0.08</v>
      </c>
      <c r="EX59" s="32" t="n">
        <f aca="false">INDEX(Вводные!$D$13:$F$64,MATCH($A59,Вводные!$A$13:$A$64,0),MATCH(EX$3,Вводные!$D$11:$F$11,0))*(1+IF(EX$4=$A59,Вводные!$D$5*INDEX(Вводные!$G$13:$G$64,MATCH($A59,Вводные!$A$13:$A$64,0)),0))</f>
        <v>0.08</v>
      </c>
      <c r="EY59" s="32" t="n">
        <f aca="false">INDEX(Вводные!$D$13:$F$64,MATCH($A59,Вводные!$A$13:$A$64,0),MATCH(EY$3,Вводные!$D$11:$F$11,0))*(1+IF(EY$4=$A59,Вводные!$D$5*INDEX(Вводные!$G$13:$G$64,MATCH($A59,Вводные!$A$13:$A$64,0)),0))</f>
        <v>0.08</v>
      </c>
      <c r="EZ59" s="32" t="n">
        <f aca="false">INDEX(Вводные!$D$13:$F$64,MATCH($A59,Вводные!$A$13:$A$64,0),MATCH(EZ$3,Вводные!$D$11:$F$11,0))*(1+IF(EZ$4=$A59,Вводные!$D$5*INDEX(Вводные!$G$13:$G$64,MATCH($A59,Вводные!$A$13:$A$64,0)),0))</f>
        <v>0.08</v>
      </c>
      <c r="FA59" s="32" t="n">
        <f aca="false">INDEX(Вводные!$D$13:$F$64,MATCH($A59,Вводные!$A$13:$A$64,0),MATCH(FA$3,Вводные!$D$11:$F$11,0))*(1+IF(FA$4=$A59,Вводные!$D$5*INDEX(Вводные!$G$13:$G$64,MATCH($A59,Вводные!$A$13:$A$64,0)),0))</f>
        <v>0.08</v>
      </c>
      <c r="FB59" s="32" t="n">
        <f aca="false">INDEX(Вводные!$D$13:$F$64,MATCH($A59,Вводные!$A$13:$A$64,0),MATCH(FB$3,Вводные!$D$11:$F$11,0))*(1+IF(FB$4=$A59,Вводные!$D$5*INDEX(Вводные!$G$13:$G$64,MATCH($A59,Вводные!$A$13:$A$64,0)),0))</f>
        <v>0.08</v>
      </c>
      <c r="FC59" s="32" t="n">
        <f aca="false">INDEX(Вводные!$D$13:$F$64,MATCH($A59,Вводные!$A$13:$A$64,0),MATCH(FC$3,Вводные!$D$11:$F$11,0))*(1+IF(FC$4=$A59,Вводные!$D$5*INDEX(Вводные!$G$13:$G$64,MATCH($A59,Вводные!$A$13:$A$64,0)),0))</f>
        <v>0.08</v>
      </c>
      <c r="FD59" s="32" t="n">
        <f aca="false">INDEX(Вводные!$D$13:$F$64,MATCH($A59,Вводные!$A$13:$A$64,0),MATCH(FD$3,Вводные!$D$11:$F$11,0))*(1+IF(FD$4=$A59,Вводные!$D$5*INDEX(Вводные!$G$13:$G$64,MATCH($A59,Вводные!$A$13:$A$64,0)),0))</f>
        <v>0.08</v>
      </c>
      <c r="FE59" s="32" t="n">
        <f aca="false">INDEX(Вводные!$D$13:$F$64,MATCH($A59,Вводные!$A$13:$A$64,0),MATCH(FE$3,Вводные!$D$11:$F$11,0))*(1+IF(FE$4=$A59,Вводные!$D$5*INDEX(Вводные!$G$13:$G$64,MATCH($A59,Вводные!$A$13:$A$64,0)),0))</f>
        <v>0.08</v>
      </c>
      <c r="FF59" s="32" t="n">
        <f aca="false">INDEX(Вводные!$D$13:$F$64,MATCH($A59,Вводные!$A$13:$A$64,0),MATCH(FF$3,Вводные!$D$11:$F$11,0))*(1+IF(FF$4=$A59,Вводные!$D$5*INDEX(Вводные!$G$13:$G$64,MATCH($A59,Вводные!$A$13:$A$64,0)),0))</f>
        <v>0.08</v>
      </c>
      <c r="FG59" s="32" t="n">
        <f aca="false">INDEX(Вводные!$D$13:$F$64,MATCH($A59,Вводные!$A$13:$A$64,0),MATCH(FG$3,Вводные!$D$11:$F$11,0))*(1+IF(FG$4=$A59,Вводные!$D$5*INDEX(Вводные!$G$13:$G$64,MATCH($A59,Вводные!$A$13:$A$64,0)),0))</f>
        <v>0.0808</v>
      </c>
      <c r="FH59" s="32" t="n">
        <f aca="false">INDEX(Вводные!$D$13:$F$64,MATCH($A59,Вводные!$A$13:$A$64,0),MATCH(FH$3,Вводные!$D$11:$F$11,0))*(1+IF(FH$4=$A59,Вводные!$D$5*INDEX(Вводные!$G$13:$G$64,MATCH($A59,Вводные!$A$13:$A$64,0)),0))</f>
        <v>0.08</v>
      </c>
      <c r="FI59" s="32" t="n">
        <f aca="false">INDEX(Вводные!$D$13:$F$64,MATCH($A59,Вводные!$A$13:$A$64,0),MATCH(FI$3,Вводные!$D$11:$F$11,0))*(1+IF(FI$4=$A59,Вводные!$D$5*INDEX(Вводные!$G$13:$G$64,MATCH($A59,Вводные!$A$13:$A$64,0)),0))</f>
        <v>0.08</v>
      </c>
      <c r="FJ59" s="32" t="n">
        <f aca="false">INDEX(Вводные!$D$13:$F$64,MATCH($A59,Вводные!$A$13:$A$64,0),MATCH(FJ$3,Вводные!$D$11:$F$11,0))*(1+IF(FJ$4=$A59,Вводные!$D$5*INDEX(Вводные!$G$13:$G$64,MATCH($A59,Вводные!$A$13:$A$64,0)),0))</f>
        <v>0.08</v>
      </c>
      <c r="FK59" s="32" t="n">
        <f aca="false">INDEX(Вводные!$D$13:$F$64,MATCH($A59,Вводные!$A$13:$A$64,0),MATCH(FK$3,Вводные!$D$11:$F$11,0))*(1+IF(FK$4=$A59,Вводные!$D$5*INDEX(Вводные!$G$13:$G$64,MATCH($A59,Вводные!$A$13:$A$64,0)),0))</f>
        <v>0.08</v>
      </c>
      <c r="FL59" s="32" t="n">
        <f aca="false">INDEX(Вводные!$D$13:$F$64,MATCH($A59,Вводные!$A$13:$A$64,0),MATCH(FL$3,Вводные!$D$11:$F$11,0))*(1+IF(FL$4=$A59,Вводные!$D$5*INDEX(Вводные!$G$13:$G$64,MATCH($A59,Вводные!$A$13:$A$64,0)),0))</f>
        <v>0.08</v>
      </c>
      <c r="FM59" s="32" t="n">
        <f aca="false">INDEX(Вводные!$D$13:$F$64,MATCH($A59,Вводные!$A$13:$A$64,0),MATCH(FM$3,Вводные!$D$11:$F$11,0))*(1+IF(FM$4=$A59,Вводные!$D$5*INDEX(Вводные!$G$13:$G$64,MATCH($A59,Вводные!$A$13:$A$64,0)),0))</f>
        <v>0.08</v>
      </c>
      <c r="FN59" s="32" t="n">
        <f aca="false">INDEX(Вводные!$D$13:$F$64,MATCH($A59,Вводные!$A$13:$A$64,0),MATCH(FN$3,Вводные!$D$11:$F$11,0))*(1+IF(FN$4=$A59,Вводные!$D$5*INDEX(Вводные!$G$13:$G$64,MATCH($A59,Вводные!$A$13:$A$64,0)),0))</f>
        <v>0.08</v>
      </c>
      <c r="FO59" s="32" t="n">
        <f aca="false">INDEX(Вводные!$D$13:$F$64,MATCH($A59,Вводные!$A$13:$A$64,0),MATCH(FO$3,Вводные!$D$11:$F$11,0))*(1+IF(FO$4=$A59,Вводные!$D$5*INDEX(Вводные!$G$13:$G$64,MATCH($A59,Вводные!$A$13:$A$64,0)),0))</f>
        <v>0.08</v>
      </c>
      <c r="FP59" s="32" t="n">
        <f aca="false">INDEX(Вводные!$D$13:$F$64,MATCH($A59,Вводные!$A$13:$A$64,0),MATCH(FP$3,Вводные!$D$11:$F$11,0))*(1+IF(FP$4=$A59,Вводные!$D$5*INDEX(Вводные!$G$13:$G$64,MATCH($A59,Вводные!$A$13:$A$64,0)),0))</f>
        <v>0.08</v>
      </c>
      <c r="FQ59" s="32" t="n">
        <f aca="false">INDEX(Вводные!$D$13:$F$64,MATCH($A59,Вводные!$A$13:$A$64,0),MATCH(FQ$3,Вводные!$D$11:$F$11,0))*(1+IF(FQ$4=$A59,Вводные!$D$5*INDEX(Вводные!$G$13:$G$64,MATCH($A59,Вводные!$A$13:$A$64,0)),0))</f>
        <v>0.08</v>
      </c>
      <c r="FR59" s="32" t="n">
        <f aca="false">INDEX(Вводные!$D$13:$F$64,MATCH($A59,Вводные!$A$13:$A$64,0),MATCH(FR$3,Вводные!$D$11:$F$11,0))*(1+IF(FR$4=$A59,Вводные!$D$5*INDEX(Вводные!$G$13:$G$64,MATCH($A59,Вводные!$A$13:$A$64,0)),0))</f>
        <v>0.08</v>
      </c>
      <c r="FS59" s="32" t="n">
        <f aca="false">INDEX(Вводные!$D$13:$F$64,MATCH($A59,Вводные!$A$13:$A$64,0),MATCH(FS$3,Вводные!$D$11:$F$11,0))*(1+IF(FS$4=$A59,Вводные!$D$5*INDEX(Вводные!$G$13:$G$64,MATCH($A59,Вводные!$A$13:$A$64,0)),0))</f>
        <v>0.08</v>
      </c>
      <c r="FT59" s="32" t="n">
        <f aca="false">INDEX(Вводные!$D$13:$F$64,MATCH($A59,Вводные!$A$13:$A$64,0),MATCH(FT$3,Вводные!$D$11:$F$11,0))*(1+IF(FT$4=$A59,Вводные!$D$5*INDEX(Вводные!$G$13:$G$64,MATCH($A59,Вводные!$A$13:$A$64,0)),0))</f>
        <v>0.08</v>
      </c>
      <c r="FU59" s="32" t="n">
        <f aca="false">INDEX(Вводные!$D$13:$F$64,MATCH($A59,Вводные!$A$13:$A$64,0),MATCH(FU$3,Вводные!$D$11:$F$11,0))*(1+IF(FU$4=$A59,Вводные!$D$5*INDEX(Вводные!$G$13:$G$64,MATCH($A59,Вводные!$A$13:$A$64,0)),0))</f>
        <v>0.08</v>
      </c>
      <c r="FV59" s="32" t="n">
        <f aca="false">INDEX(Вводные!$D$13:$F$64,MATCH($A59,Вводные!$A$13:$A$64,0),MATCH(FV$3,Вводные!$D$11:$F$11,0))*(1+IF(FV$4=$A59,Вводные!$D$5*INDEX(Вводные!$G$13:$G$64,MATCH($A59,Вводные!$A$13:$A$64,0)),0))</f>
        <v>0.15</v>
      </c>
      <c r="FW59" s="32" t="n">
        <f aca="false">INDEX(Вводные!$D$13:$F$64,MATCH($A59,Вводные!$A$13:$A$64,0),MATCH(FW$3,Вводные!$D$11:$F$11,0))*(1+IF(FW$4=$A59,Вводные!$D$5*INDEX(Вводные!$G$13:$G$64,MATCH($A59,Вводные!$A$13:$A$64,0)),0))</f>
        <v>0.15</v>
      </c>
      <c r="FX59" s="32" t="n">
        <f aca="false">INDEX(Вводные!$D$13:$F$64,MATCH($A59,Вводные!$A$13:$A$64,0),MATCH(FX$3,Вводные!$D$11:$F$11,0))*(1+IF(FX$4=$A59,Вводные!$D$5*INDEX(Вводные!$G$13:$G$64,MATCH($A59,Вводные!$A$13:$A$64,0)),0))</f>
        <v>0.15</v>
      </c>
      <c r="FY59" s="32" t="n">
        <f aca="false">INDEX(Вводные!$D$13:$F$64,MATCH($A59,Вводные!$A$13:$A$64,0),MATCH(FY$3,Вводные!$D$11:$F$11,0))*(1+IF(FY$4=$A59,Вводные!$D$5*INDEX(Вводные!$G$13:$G$64,MATCH($A59,Вводные!$A$13:$A$64,0)),0))</f>
        <v>0.15</v>
      </c>
      <c r="FZ59" s="32" t="n">
        <f aca="false">INDEX(Вводные!$D$13:$F$64,MATCH($A59,Вводные!$A$13:$A$64,0),MATCH(FZ$3,Вводные!$D$11:$F$11,0))*(1+IF(FZ$4=$A59,Вводные!$D$5*INDEX(Вводные!$G$13:$G$64,MATCH($A59,Вводные!$A$13:$A$64,0)),0))</f>
        <v>0.15</v>
      </c>
      <c r="GA59" s="32" t="n">
        <f aca="false">INDEX(Вводные!$D$13:$F$64,MATCH($A59,Вводные!$A$13:$A$64,0),MATCH(GA$3,Вводные!$D$11:$F$11,0))*(1+IF(GA$4=$A59,Вводные!$D$5*INDEX(Вводные!$G$13:$G$64,MATCH($A59,Вводные!$A$13:$A$64,0)),0))</f>
        <v>0.15</v>
      </c>
      <c r="GB59" s="32" t="n">
        <f aca="false">INDEX(Вводные!$D$13:$F$64,MATCH($A59,Вводные!$A$13:$A$64,0),MATCH(GB$3,Вводные!$D$11:$F$11,0))*(1+IF(GB$4=$A59,Вводные!$D$5*INDEX(Вводные!$G$13:$G$64,MATCH($A59,Вводные!$A$13:$A$64,0)),0))</f>
        <v>0.15</v>
      </c>
      <c r="GC59" s="32" t="n">
        <f aca="false">INDEX(Вводные!$D$13:$F$64,MATCH($A59,Вводные!$A$13:$A$64,0),MATCH(GC$3,Вводные!$D$11:$F$11,0))*(1+IF(GC$4=$A59,Вводные!$D$5*INDEX(Вводные!$G$13:$G$64,MATCH($A59,Вводные!$A$13:$A$64,0)),0))</f>
        <v>0.15</v>
      </c>
      <c r="GD59" s="32" t="n">
        <f aca="false">INDEX(Вводные!$D$13:$F$64,MATCH($A59,Вводные!$A$13:$A$64,0),MATCH(GD$3,Вводные!$D$11:$F$11,0))*(1+IF(GD$4=$A59,Вводные!$D$5*INDEX(Вводные!$G$13:$G$64,MATCH($A59,Вводные!$A$13:$A$64,0)),0))</f>
        <v>0.15</v>
      </c>
      <c r="GE59" s="32" t="n">
        <f aca="false">INDEX(Вводные!$D$13:$F$64,MATCH($A59,Вводные!$A$13:$A$64,0),MATCH(GE$3,Вводные!$D$11:$F$11,0))*(1+IF(GE$4=$A59,Вводные!$D$5*INDEX(Вводные!$G$13:$G$64,MATCH($A59,Вводные!$A$13:$A$64,0)),0))</f>
        <v>0.15</v>
      </c>
      <c r="GF59" s="32" t="n">
        <f aca="false">INDEX(Вводные!$D$13:$F$64,MATCH($A59,Вводные!$A$13:$A$64,0),MATCH(GF$3,Вводные!$D$11:$F$11,0))*(1+IF(GF$4=$A59,Вводные!$D$5*INDEX(Вводные!$G$13:$G$64,MATCH($A59,Вводные!$A$13:$A$64,0)),0))</f>
        <v>0.15</v>
      </c>
      <c r="GG59" s="32" t="n">
        <f aca="false">INDEX(Вводные!$D$13:$F$64,MATCH($A59,Вводные!$A$13:$A$64,0),MATCH(GG$3,Вводные!$D$11:$F$11,0))*(1+IF(GG$4=$A59,Вводные!$D$5*INDEX(Вводные!$G$13:$G$64,MATCH($A59,Вводные!$A$13:$A$64,0)),0))</f>
        <v>0.15</v>
      </c>
      <c r="GH59" s="32" t="n">
        <f aca="false">INDEX(Вводные!$D$13:$F$64,MATCH($A59,Вводные!$A$13:$A$64,0),MATCH(GH$3,Вводные!$D$11:$F$11,0))*(1+IF(GH$4=$A59,Вводные!$D$5*INDEX(Вводные!$G$13:$G$64,MATCH($A59,Вводные!$A$13:$A$64,0)),0))</f>
        <v>0.15</v>
      </c>
      <c r="GI59" s="32" t="n">
        <f aca="false">INDEX(Вводные!$D$13:$F$64,MATCH($A59,Вводные!$A$13:$A$64,0),MATCH(GI$3,Вводные!$D$11:$F$11,0))*(1+IF(GI$4=$A59,Вводные!$D$5*INDEX(Вводные!$G$13:$G$64,MATCH($A59,Вводные!$A$13:$A$64,0)),0))</f>
        <v>0.15</v>
      </c>
      <c r="GJ59" s="32" t="n">
        <f aca="false">INDEX(Вводные!$D$13:$F$64,MATCH($A59,Вводные!$A$13:$A$64,0),MATCH(GJ$3,Вводные!$D$11:$F$11,0))*(1+IF(GJ$4=$A59,Вводные!$D$5*INDEX(Вводные!$G$13:$G$64,MATCH($A59,Вводные!$A$13:$A$64,0)),0))</f>
        <v>0.15</v>
      </c>
      <c r="GK59" s="32" t="n">
        <f aca="false">INDEX(Вводные!$D$13:$F$64,MATCH($A59,Вводные!$A$13:$A$64,0),MATCH(GK$3,Вводные!$D$11:$F$11,0))*(1+IF(GK$4=$A59,Вводные!$D$5*INDEX(Вводные!$G$13:$G$64,MATCH($A59,Вводные!$A$13:$A$64,0)),0))</f>
        <v>0.15</v>
      </c>
      <c r="GL59" s="32" t="n">
        <f aca="false">INDEX(Вводные!$D$13:$F$64,MATCH($A59,Вводные!$A$13:$A$64,0),MATCH(GL$3,Вводные!$D$11:$F$11,0))*(1+IF(GL$4=$A59,Вводные!$D$5*INDEX(Вводные!$G$13:$G$64,MATCH($A59,Вводные!$A$13:$A$64,0)),0))</f>
        <v>0.15</v>
      </c>
      <c r="GM59" s="32" t="n">
        <f aca="false">INDEX(Вводные!$D$13:$F$64,MATCH($A59,Вводные!$A$13:$A$64,0),MATCH(GM$3,Вводные!$D$11:$F$11,0))*(1+IF(GM$4=$A59,Вводные!$D$5*INDEX(Вводные!$G$13:$G$64,MATCH($A59,Вводные!$A$13:$A$64,0)),0))</f>
        <v>0.15</v>
      </c>
      <c r="GN59" s="32" t="n">
        <f aca="false">INDEX(Вводные!$D$13:$F$64,MATCH($A59,Вводные!$A$13:$A$64,0),MATCH(GN$3,Вводные!$D$11:$F$11,0))*(1+IF(GN$4=$A59,Вводные!$D$5*INDEX(Вводные!$G$13:$G$64,MATCH($A59,Вводные!$A$13:$A$64,0)),0))</f>
        <v>0.15</v>
      </c>
      <c r="GO59" s="32" t="n">
        <f aca="false">INDEX(Вводные!$D$13:$F$64,MATCH($A59,Вводные!$A$13:$A$64,0),MATCH(GO$3,Вводные!$D$11:$F$11,0))*(1+IF(GO$4=$A59,Вводные!$D$5*INDEX(Вводные!$G$13:$G$64,MATCH($A59,Вводные!$A$13:$A$64,0)),0))</f>
        <v>0.15</v>
      </c>
      <c r="GP59" s="32" t="n">
        <f aca="false">INDEX(Вводные!$D$13:$F$64,MATCH($A59,Вводные!$A$13:$A$64,0),MATCH(GP$3,Вводные!$D$11:$F$11,0))*(1+IF(GP$4=$A59,Вводные!$D$5*INDEX(Вводные!$G$13:$G$64,MATCH($A59,Вводные!$A$13:$A$64,0)),0))</f>
        <v>0.15</v>
      </c>
      <c r="GQ59" s="32" t="n">
        <f aca="false">INDEX(Вводные!$D$13:$F$64,MATCH($A59,Вводные!$A$13:$A$64,0),MATCH(GQ$3,Вводные!$D$11:$F$11,0))*(1+IF(GQ$4=$A59,Вводные!$D$5*INDEX(Вводные!$G$13:$G$64,MATCH($A59,Вводные!$A$13:$A$64,0)),0))</f>
        <v>0.15</v>
      </c>
      <c r="GR59" s="32" t="n">
        <f aca="false">INDEX(Вводные!$D$13:$F$64,MATCH($A59,Вводные!$A$13:$A$64,0),MATCH(GR$3,Вводные!$D$11:$F$11,0))*(1+IF(GR$4=$A59,Вводные!$D$5*INDEX(Вводные!$G$13:$G$64,MATCH($A59,Вводные!$A$13:$A$64,0)),0))</f>
        <v>0.15</v>
      </c>
      <c r="GS59" s="32" t="n">
        <f aca="false">INDEX(Вводные!$D$13:$F$64,MATCH($A59,Вводные!$A$13:$A$64,0),MATCH(GS$3,Вводные!$D$11:$F$11,0))*(1+IF(GS$4=$A59,Вводные!$D$5*INDEX(Вводные!$G$13:$G$64,MATCH($A59,Вводные!$A$13:$A$64,0)),0))</f>
        <v>0.15</v>
      </c>
      <c r="GT59" s="32" t="n">
        <f aca="false">INDEX(Вводные!$D$13:$F$64,MATCH($A59,Вводные!$A$13:$A$64,0),MATCH(GT$3,Вводные!$D$11:$F$11,0))*(1+IF(GT$4=$A59,Вводные!$D$5*INDEX(Вводные!$G$13:$G$64,MATCH($A59,Вводные!$A$13:$A$64,0)),0))</f>
        <v>0.15</v>
      </c>
      <c r="GU59" s="32" t="n">
        <f aca="false">INDEX(Вводные!$D$13:$F$64,MATCH($A59,Вводные!$A$13:$A$64,0),MATCH(GU$3,Вводные!$D$11:$F$11,0))*(1+IF(GU$4=$A59,Вводные!$D$5*INDEX(Вводные!$G$13:$G$64,MATCH($A59,Вводные!$A$13:$A$64,0)),0))</f>
        <v>0.15</v>
      </c>
      <c r="GV59" s="32" t="n">
        <f aca="false">INDEX(Вводные!$D$13:$F$64,MATCH($A59,Вводные!$A$13:$A$64,0),MATCH(GV$3,Вводные!$D$11:$F$11,0))*(1+IF(GV$4=$A59,Вводные!$D$5*INDEX(Вводные!$G$13:$G$64,MATCH($A59,Вводные!$A$13:$A$64,0)),0))</f>
        <v>0.15</v>
      </c>
      <c r="GW59" s="32" t="n">
        <f aca="false">INDEX(Вводные!$D$13:$F$64,MATCH($A59,Вводные!$A$13:$A$64,0),MATCH(GW$3,Вводные!$D$11:$F$11,0))*(1+IF(GW$4=$A59,Вводные!$D$5*INDEX(Вводные!$G$13:$G$64,MATCH($A59,Вводные!$A$13:$A$64,0)),0))</f>
        <v>0.1515</v>
      </c>
      <c r="GX59" s="32" t="n">
        <f aca="false">INDEX(Вводные!$D$13:$F$64,MATCH($A59,Вводные!$A$13:$A$64,0),MATCH(GX$3,Вводные!$D$11:$F$11,0))*(1+IF(GX$4=$A59,Вводные!$D$5*INDEX(Вводные!$G$13:$G$64,MATCH($A59,Вводные!$A$13:$A$64,0)),0))</f>
        <v>0.15</v>
      </c>
      <c r="GY59" s="32" t="n">
        <f aca="false">INDEX(Вводные!$D$13:$F$64,MATCH($A59,Вводные!$A$13:$A$64,0),MATCH(GY$3,Вводные!$D$11:$F$11,0))*(1+IF(GY$4=$A59,Вводные!$D$5*INDEX(Вводные!$G$13:$G$64,MATCH($A59,Вводные!$A$13:$A$64,0)),0))</f>
        <v>0.15</v>
      </c>
      <c r="GZ59" s="32" t="n">
        <f aca="false">INDEX(Вводные!$D$13:$F$64,MATCH($A59,Вводные!$A$13:$A$64,0),MATCH(GZ$3,Вводные!$D$11:$F$11,0))*(1+IF(GZ$4=$A59,Вводные!$D$5*INDEX(Вводные!$G$13:$G$64,MATCH($A59,Вводные!$A$13:$A$64,0)),0))</f>
        <v>0.15</v>
      </c>
      <c r="HA59" s="32" t="n">
        <f aca="false">INDEX(Вводные!$D$13:$F$64,MATCH($A59,Вводные!$A$13:$A$64,0),MATCH(HA$3,Вводные!$D$11:$F$11,0))*(1+IF(HA$4=$A59,Вводные!$D$5*INDEX(Вводные!$G$13:$G$64,MATCH($A59,Вводные!$A$13:$A$64,0)),0))</f>
        <v>0.15</v>
      </c>
      <c r="HB59" s="32" t="n">
        <f aca="false">INDEX(Вводные!$D$13:$F$64,MATCH($A59,Вводные!$A$13:$A$64,0),MATCH(HB$3,Вводные!$D$11:$F$11,0))*(1+IF(HB$4=$A59,Вводные!$D$5*INDEX(Вводные!$G$13:$G$64,MATCH($A59,Вводные!$A$13:$A$64,0)),0))</f>
        <v>0.15</v>
      </c>
      <c r="HC59" s="32" t="n">
        <f aca="false">INDEX(Вводные!$D$13:$F$64,MATCH($A59,Вводные!$A$13:$A$64,0),MATCH(HC$3,Вводные!$D$11:$F$11,0))*(1+IF(HC$4=$A59,Вводные!$D$5*INDEX(Вводные!$G$13:$G$64,MATCH($A59,Вводные!$A$13:$A$64,0)),0))</f>
        <v>0.15</v>
      </c>
      <c r="HD59" s="32" t="n">
        <f aca="false">INDEX(Вводные!$D$13:$F$64,MATCH($A59,Вводные!$A$13:$A$64,0),MATCH(HD$3,Вводные!$D$11:$F$11,0))*(1+IF(HD$4=$A59,Вводные!$D$5*INDEX(Вводные!$G$13:$G$64,MATCH($A59,Вводные!$A$13:$A$64,0)),0))</f>
        <v>0.15</v>
      </c>
      <c r="HE59" s="32" t="n">
        <f aca="false">INDEX(Вводные!$D$13:$F$64,MATCH($A59,Вводные!$A$13:$A$64,0),MATCH(HE$3,Вводные!$D$11:$F$11,0))*(1+IF(HE$4=$A59,Вводные!$D$5*INDEX(Вводные!$G$13:$G$64,MATCH($A59,Вводные!$A$13:$A$64,0)),0))</f>
        <v>0.15</v>
      </c>
      <c r="HF59" s="32" t="n">
        <f aca="false">INDEX(Вводные!$D$13:$F$64,MATCH($A59,Вводные!$A$13:$A$64,0),MATCH(HF$3,Вводные!$D$11:$F$11,0))*(1+IF(HF$4=$A59,Вводные!$D$5*INDEX(Вводные!$G$13:$G$64,MATCH($A59,Вводные!$A$13:$A$64,0)),0))</f>
        <v>0.15</v>
      </c>
      <c r="HG59" s="32" t="n">
        <f aca="false">INDEX(Вводные!$D$13:$F$64,MATCH($A59,Вводные!$A$13:$A$64,0),MATCH(HG$3,Вводные!$D$11:$F$11,0))*(1+IF(HG$4=$A59,Вводные!$D$5*INDEX(Вводные!$G$13:$G$64,MATCH($A59,Вводные!$A$13:$A$64,0)),0))</f>
        <v>0.15</v>
      </c>
      <c r="HH59" s="32" t="n">
        <f aca="false">INDEX(Вводные!$D$13:$F$64,MATCH($A59,Вводные!$A$13:$A$64,0),MATCH(HH$3,Вводные!$D$11:$F$11,0))*(1+IF(HH$4=$A59,Вводные!$D$5*INDEX(Вводные!$G$13:$G$64,MATCH($A59,Вводные!$A$13:$A$64,0)),0))</f>
        <v>0.15</v>
      </c>
      <c r="HI59" s="32" t="n">
        <f aca="false">INDEX(Вводные!$D$13:$F$64,MATCH($A59,Вводные!$A$13:$A$64,0),MATCH(HI$3,Вводные!$D$11:$F$11,0))*(1+IF(HI$4=$A59,Вводные!$D$5*INDEX(Вводные!$G$13:$G$64,MATCH($A59,Вводные!$A$13:$A$64,0)),0))</f>
        <v>0.15</v>
      </c>
      <c r="HJ59" s="32" t="n">
        <f aca="false">INDEX(Вводные!$D$13:$F$64,MATCH($A59,Вводные!$A$13:$A$64,0),MATCH(HJ$3,Вводные!$D$11:$F$11,0))*(1+IF(HJ$4=$A59,Вводные!$D$5*INDEX(Вводные!$G$13:$G$64,MATCH($A59,Вводные!$A$13:$A$64,0)),0))</f>
        <v>0.15</v>
      </c>
      <c r="HK59" s="32" t="n">
        <f aca="false">INDEX(Вводные!$D$13:$F$64,MATCH($A59,Вводные!$A$13:$A$64,0),MATCH(HK$3,Вводные!$D$11:$F$11,0))*(1+IF(HK$4=$A59,Вводные!$D$5*INDEX(Вводные!$G$13:$G$64,MATCH($A59,Вводные!$A$13:$A$64,0)),0))</f>
        <v>0.15</v>
      </c>
      <c r="HL59" s="32" t="n">
        <f aca="false">INDEX(Вводные!$D$13:$F$64,MATCH($A59,Вводные!$A$13:$A$64,0),MATCH(HL$3,Вводные!$D$11:$F$11,0))*(1+IF(HL$4=$A59,Вводные!$D$5*INDEX(Вводные!$G$13:$G$64,MATCH($A59,Вводные!$A$13:$A$64,0)),0))</f>
        <v>0</v>
      </c>
      <c r="HM59" s="32" t="n">
        <f aca="false">INDEX(Вводные!$D$13:$F$64,MATCH($A59,Вводные!$A$13:$A$64,0),MATCH(HM$3,Вводные!$D$11:$F$11,0))*(1+IF(HM$4=$A59,Вводные!$D$5*INDEX(Вводные!$G$13:$G$64,MATCH($A59,Вводные!$A$13:$A$64,0)),0))</f>
        <v>0</v>
      </c>
      <c r="HN59" s="32" t="n">
        <f aca="false">INDEX(Вводные!$D$13:$F$64,MATCH($A59,Вводные!$A$13:$A$64,0),MATCH(HN$3,Вводные!$D$11:$F$11,0))*(1+IF(HN$4=$A59,Вводные!$D$5*INDEX(Вводные!$G$13:$G$64,MATCH($A59,Вводные!$A$13:$A$64,0)),0))</f>
        <v>0</v>
      </c>
      <c r="HO59" s="32" t="n">
        <f aca="false">INDEX(Вводные!$D$13:$F$64,MATCH($A59,Вводные!$A$13:$A$64,0),MATCH(HO$3,Вводные!$D$11:$F$11,0))*(1+IF(HO$4=$A59,Вводные!$D$5*INDEX(Вводные!$G$13:$G$64,MATCH($A59,Вводные!$A$13:$A$64,0)),0))</f>
        <v>0</v>
      </c>
      <c r="HP59" s="32" t="n">
        <f aca="false">INDEX(Вводные!$D$13:$F$64,MATCH($A59,Вводные!$A$13:$A$64,0),MATCH(HP$3,Вводные!$D$11:$F$11,0))*(1+IF(HP$4=$A59,Вводные!$D$5*INDEX(Вводные!$G$13:$G$64,MATCH($A59,Вводные!$A$13:$A$64,0)),0))</f>
        <v>0</v>
      </c>
      <c r="HQ59" s="32" t="n">
        <f aca="false">INDEX(Вводные!$D$13:$F$64,MATCH($A59,Вводные!$A$13:$A$64,0),MATCH(HQ$3,Вводные!$D$11:$F$11,0))*(1+IF(HQ$4=$A59,Вводные!$D$5*INDEX(Вводные!$G$13:$G$64,MATCH($A59,Вводные!$A$13:$A$64,0)),0))</f>
        <v>0</v>
      </c>
      <c r="HR59" s="32" t="n">
        <f aca="false">INDEX(Вводные!$D$13:$F$64,MATCH($A59,Вводные!$A$13:$A$64,0),MATCH(HR$3,Вводные!$D$11:$F$11,0))*(1+IF(HR$4=$A59,Вводные!$D$5*INDEX(Вводные!$G$13:$G$64,MATCH($A59,Вводные!$A$13:$A$64,0)),0))</f>
        <v>0</v>
      </c>
      <c r="HS59" s="32" t="n">
        <f aca="false">INDEX(Вводные!$D$13:$F$64,MATCH($A59,Вводные!$A$13:$A$64,0),MATCH(HS$3,Вводные!$D$11:$F$11,0))*(1+IF(HS$4=$A59,Вводные!$D$5*INDEX(Вводные!$G$13:$G$64,MATCH($A59,Вводные!$A$13:$A$64,0)),0))</f>
        <v>0</v>
      </c>
      <c r="HT59" s="32" t="n">
        <f aca="false">INDEX(Вводные!$D$13:$F$64,MATCH($A59,Вводные!$A$13:$A$64,0),MATCH(HT$3,Вводные!$D$11:$F$11,0))*(1+IF(HT$4=$A59,Вводные!$D$5*INDEX(Вводные!$G$13:$G$64,MATCH($A59,Вводные!$A$13:$A$64,0)),0))</f>
        <v>0</v>
      </c>
      <c r="HU59" s="32" t="n">
        <f aca="false">INDEX(Вводные!$D$13:$F$64,MATCH($A59,Вводные!$A$13:$A$64,0),MATCH(HU$3,Вводные!$D$11:$F$11,0))*(1+IF(HU$4=$A59,Вводные!$D$5*INDEX(Вводные!$G$13:$G$64,MATCH($A59,Вводные!$A$13:$A$64,0)),0))</f>
        <v>0</v>
      </c>
      <c r="HV59" s="32" t="n">
        <f aca="false">INDEX(Вводные!$D$13:$F$64,MATCH($A59,Вводные!$A$13:$A$64,0),MATCH(HV$3,Вводные!$D$11:$F$11,0))*(1+IF(HV$4=$A59,Вводные!$D$5*INDEX(Вводные!$G$13:$G$64,MATCH($A59,Вводные!$A$13:$A$64,0)),0))</f>
        <v>0</v>
      </c>
      <c r="HW59" s="32" t="n">
        <f aca="false">INDEX(Вводные!$D$13:$F$64,MATCH($A59,Вводные!$A$13:$A$64,0),MATCH(HW$3,Вводные!$D$11:$F$11,0))*(1+IF(HW$4=$A59,Вводные!$D$5*INDEX(Вводные!$G$13:$G$64,MATCH($A59,Вводные!$A$13:$A$64,0)),0))</f>
        <v>0</v>
      </c>
      <c r="HX59" s="32" t="n">
        <f aca="false">INDEX(Вводные!$D$13:$F$64,MATCH($A59,Вводные!$A$13:$A$64,0),MATCH(HX$3,Вводные!$D$11:$F$11,0))*(1+IF(HX$4=$A59,Вводные!$D$5*INDEX(Вводные!$G$13:$G$64,MATCH($A59,Вводные!$A$13:$A$64,0)),0))</f>
        <v>0</v>
      </c>
      <c r="HY59" s="32" t="n">
        <f aca="false">INDEX(Вводные!$D$13:$F$64,MATCH($A59,Вводные!$A$13:$A$64,0),MATCH(HY$3,Вводные!$D$11:$F$11,0))*(1+IF(HY$4=$A59,Вводные!$D$5*INDEX(Вводные!$G$13:$G$64,MATCH($A59,Вводные!$A$13:$A$64,0)),0))</f>
        <v>0</v>
      </c>
      <c r="HZ59" s="32" t="n">
        <f aca="false">INDEX(Вводные!$D$13:$F$64,MATCH($A59,Вводные!$A$13:$A$64,0),MATCH(HZ$3,Вводные!$D$11:$F$11,0))*(1+IF(HZ$4=$A59,Вводные!$D$5*INDEX(Вводные!$G$13:$G$64,MATCH($A59,Вводные!$A$13:$A$64,0)),0))</f>
        <v>0</v>
      </c>
      <c r="IA59" s="32" t="n">
        <f aca="false">INDEX(Вводные!$D$13:$F$64,MATCH($A59,Вводные!$A$13:$A$64,0),MATCH(IA$3,Вводные!$D$11:$F$11,0))*(1+IF(IA$4=$A59,Вводные!$D$5*INDEX(Вводные!$G$13:$G$64,MATCH($A59,Вводные!$A$13:$A$64,0)),0))</f>
        <v>0</v>
      </c>
      <c r="IB59" s="32" t="n">
        <f aca="false">INDEX(Вводные!$D$13:$F$64,MATCH($A59,Вводные!$A$13:$A$64,0),MATCH(IB$3,Вводные!$D$11:$F$11,0))*(1+IF(IB$4=$A59,Вводные!$D$5*INDEX(Вводные!$G$13:$G$64,MATCH($A59,Вводные!$A$13:$A$64,0)),0))</f>
        <v>0</v>
      </c>
      <c r="IC59" s="32" t="n">
        <f aca="false">INDEX(Вводные!$D$13:$F$64,MATCH($A59,Вводные!$A$13:$A$64,0),MATCH(IC$3,Вводные!$D$11:$F$11,0))*(1+IF(IC$4=$A59,Вводные!$D$5*INDEX(Вводные!$G$13:$G$64,MATCH($A59,Вводные!$A$13:$A$64,0)),0))</f>
        <v>0</v>
      </c>
      <c r="ID59" s="32" t="n">
        <f aca="false">INDEX(Вводные!$D$13:$F$64,MATCH($A59,Вводные!$A$13:$A$64,0),MATCH(ID$3,Вводные!$D$11:$F$11,0))*(1+IF(ID$4=$A59,Вводные!$D$5*INDEX(Вводные!$G$13:$G$64,MATCH($A59,Вводные!$A$13:$A$64,0)),0))</f>
        <v>0</v>
      </c>
      <c r="IE59" s="32" t="n">
        <f aca="false">INDEX(Вводные!$D$13:$F$64,MATCH($A59,Вводные!$A$13:$A$64,0),MATCH(IE$3,Вводные!$D$11:$F$11,0))*(1+IF(IE$4=$A59,Вводные!$D$5*INDEX(Вводные!$G$13:$G$64,MATCH($A59,Вводные!$A$13:$A$64,0)),0))</f>
        <v>0</v>
      </c>
      <c r="IF59" s="32" t="n">
        <f aca="false">INDEX(Вводные!$D$13:$F$64,MATCH($A59,Вводные!$A$13:$A$64,0),MATCH(IF$3,Вводные!$D$11:$F$11,0))*(1+IF(IF$4=$A59,Вводные!$D$5*INDEX(Вводные!$G$13:$G$64,MATCH($A59,Вводные!$A$13:$A$64,0)),0))</f>
        <v>0</v>
      </c>
      <c r="IG59" s="32" t="n">
        <f aca="false">INDEX(Вводные!$D$13:$F$64,MATCH($A59,Вводные!$A$13:$A$64,0),MATCH(IG$3,Вводные!$D$11:$F$11,0))*(1+IF(IG$4=$A59,Вводные!$D$5*INDEX(Вводные!$G$13:$G$64,MATCH($A59,Вводные!$A$13:$A$64,0)),0))</f>
        <v>0</v>
      </c>
      <c r="IH59" s="32" t="n">
        <f aca="false">INDEX(Вводные!$D$13:$F$64,MATCH($A59,Вводные!$A$13:$A$64,0),MATCH(IH$3,Вводные!$D$11:$F$11,0))*(1+IF(IH$4=$A59,Вводные!$D$5*INDEX(Вводные!$G$13:$G$64,MATCH($A59,Вводные!$A$13:$A$64,0)),0))</f>
        <v>0</v>
      </c>
      <c r="II59" s="32" t="n">
        <f aca="false">INDEX(Вводные!$D$13:$F$64,MATCH($A59,Вводные!$A$13:$A$64,0),MATCH(II$3,Вводные!$D$11:$F$11,0))*(1+IF(II$4=$A59,Вводные!$D$5*INDEX(Вводные!$G$13:$G$64,MATCH($A59,Вводные!$A$13:$A$64,0)),0))</f>
        <v>0</v>
      </c>
      <c r="IJ59" s="32" t="n">
        <f aca="false">INDEX(Вводные!$D$13:$F$64,MATCH($A59,Вводные!$A$13:$A$64,0),MATCH(IJ$3,Вводные!$D$11:$F$11,0))*(1+IF(IJ$4=$A59,Вводные!$D$5*INDEX(Вводные!$G$13:$G$64,MATCH($A59,Вводные!$A$13:$A$64,0)),0))</f>
        <v>0</v>
      </c>
      <c r="IK59" s="32" t="n">
        <f aca="false">INDEX(Вводные!$D$13:$F$64,MATCH($A59,Вводные!$A$13:$A$64,0),MATCH(IK$3,Вводные!$D$11:$F$11,0))*(1+IF(IK$4=$A59,Вводные!$D$5*INDEX(Вводные!$G$13:$G$64,MATCH($A59,Вводные!$A$13:$A$64,0)),0))</f>
        <v>0</v>
      </c>
      <c r="IL59" s="32" t="n">
        <f aca="false">INDEX(Вводные!$D$13:$F$64,MATCH($A59,Вводные!$A$13:$A$64,0),MATCH(IL$3,Вводные!$D$11:$F$11,0))*(1+IF(IL$4=$A59,Вводные!$D$5*INDEX(Вводные!$G$13:$G$64,MATCH($A59,Вводные!$A$13:$A$64,0)),0))</f>
        <v>0</v>
      </c>
      <c r="IM59" s="32" t="n">
        <f aca="false">INDEX(Вводные!$D$13:$F$64,MATCH($A59,Вводные!$A$13:$A$64,0),MATCH(IM$3,Вводные!$D$11:$F$11,0))*(1+IF(IM$4=$A59,Вводные!$D$5*INDEX(Вводные!$G$13:$G$64,MATCH($A59,Вводные!$A$13:$A$64,0)),0))</f>
        <v>0</v>
      </c>
      <c r="IN59" s="32" t="n">
        <f aca="false">INDEX(Вводные!$D$13:$F$64,MATCH($A59,Вводные!$A$13:$A$64,0),MATCH(IN$3,Вводные!$D$11:$F$11,0))*(1+IF(IN$4=$A59,Вводные!$D$5*INDEX(Вводные!$G$13:$G$64,MATCH($A59,Вводные!$A$13:$A$64,0)),0))</f>
        <v>0</v>
      </c>
      <c r="IO59" s="32" t="n">
        <f aca="false">INDEX(Вводные!$D$13:$F$64,MATCH($A59,Вводные!$A$13:$A$64,0),MATCH(IO$3,Вводные!$D$11:$F$11,0))*(1+IF(IO$4=$A59,Вводные!$D$5*INDEX(Вводные!$G$13:$G$64,MATCH($A59,Вводные!$A$13:$A$64,0)),0))</f>
        <v>0</v>
      </c>
      <c r="IP59" s="32" t="n">
        <f aca="false">INDEX(Вводные!$D$13:$F$64,MATCH($A59,Вводные!$A$13:$A$64,0),MATCH(IP$3,Вводные!$D$11:$F$11,0))*(1+IF(IP$4=$A59,Вводные!$D$5*INDEX(Вводные!$G$13:$G$64,MATCH($A59,Вводные!$A$13:$A$64,0)),0))</f>
        <v>0</v>
      </c>
      <c r="IQ59" s="32" t="n">
        <f aca="false">INDEX(Вводные!$D$13:$F$64,MATCH($A59,Вводные!$A$13:$A$64,0),MATCH(IQ$3,Вводные!$D$11:$F$11,0))*(1+IF(IQ$4=$A59,Вводные!$D$5*INDEX(Вводные!$G$13:$G$64,MATCH($A59,Вводные!$A$13:$A$64,0)),0))</f>
        <v>0</v>
      </c>
      <c r="IR59" s="32" t="n">
        <f aca="false">INDEX(Вводные!$D$13:$F$64,MATCH($A59,Вводные!$A$13:$A$64,0),MATCH(IR$3,Вводные!$D$11:$F$11,0))*(1+IF(IR$4=$A59,Вводные!$D$5*INDEX(Вводные!$G$13:$G$64,MATCH($A59,Вводные!$A$13:$A$64,0)),0))</f>
        <v>0</v>
      </c>
      <c r="IS59" s="32" t="n">
        <f aca="false">INDEX(Вводные!$D$13:$F$64,MATCH($A59,Вводные!$A$13:$A$64,0),MATCH(IS$3,Вводные!$D$11:$F$11,0))*(1+IF(IS$4=$A59,Вводные!$D$5*INDEX(Вводные!$G$13:$G$64,MATCH($A59,Вводные!$A$13:$A$64,0)),0))</f>
        <v>0</v>
      </c>
      <c r="IT59" s="32" t="n">
        <f aca="false">INDEX(Вводные!$D$13:$F$64,MATCH($A59,Вводные!$A$13:$A$64,0),MATCH(IT$3,Вводные!$D$11:$F$11,0))*(1+IF(IT$4=$A59,Вводные!$D$5*INDEX(Вводные!$G$13:$G$64,MATCH($A59,Вводные!$A$13:$A$64,0)),0))</f>
        <v>0</v>
      </c>
      <c r="IU59" s="32" t="n">
        <f aca="false">INDEX(Вводные!$D$13:$F$64,MATCH($A59,Вводные!$A$13:$A$64,0),MATCH(IU$3,Вводные!$D$11:$F$11,0))*(1+IF(IU$4=$A59,Вводные!$D$5*INDEX(Вводные!$G$13:$G$64,MATCH($A59,Вводные!$A$13:$A$64,0)),0))</f>
        <v>0</v>
      </c>
      <c r="IV59" s="32" t="n">
        <f aca="false">INDEX(Вводные!$D$13:$F$64,MATCH($A59,Вводные!$A$13:$A$64,0),MATCH(IV$3,Вводные!$D$11:$F$11,0))*(1+IF(IV$4=$A59,Вводные!$D$5*INDEX(Вводные!$G$13:$G$64,MATCH($A59,Вводные!$A$13:$A$64,0)),0))</f>
        <v>0</v>
      </c>
      <c r="IW59" s="32" t="n">
        <f aca="false">INDEX(Вводные!$D$13:$F$64,MATCH($A59,Вводные!$A$13:$A$64,0),MATCH(IW$3,Вводные!$D$11:$F$11,0))*(1+IF(IW$4=$A59,Вводные!$D$5*INDEX(Вводные!$G$13:$G$64,MATCH($A59,Вводные!$A$13:$A$64,0)),0))</f>
        <v>0</v>
      </c>
      <c r="IX59" s="32" t="n">
        <f aca="false">INDEX(Вводные!$D$13:$F$64,MATCH($A59,Вводные!$A$13:$A$64,0),MATCH(IX$3,Вводные!$D$11:$F$11,0))*(1+IF(IX$4=$A59,Вводные!$D$5*INDEX(Вводные!$G$13:$G$64,MATCH($A59,Вводные!$A$13:$A$64,0)),0))</f>
        <v>0</v>
      </c>
      <c r="IY59" s="32" t="n">
        <f aca="false">INDEX(Вводные!$D$13:$F$64,MATCH($A59,Вводные!$A$13:$A$64,0),MATCH(IY$3,Вводные!$D$11:$F$11,0))*(1+IF(IY$4=$A59,Вводные!$D$5*INDEX(Вводные!$G$13:$G$64,MATCH($A59,Вводные!$A$13:$A$64,0)),0))</f>
        <v>0</v>
      </c>
      <c r="IZ59" s="32" t="n">
        <f aca="false">INDEX(Вводные!$D$13:$F$64,MATCH($A59,Вводные!$A$13:$A$64,0),MATCH(IZ$3,Вводные!$D$11:$F$11,0))*(1+IF(IZ$4=$A59,Вводные!$D$5*INDEX(Вводные!$G$13:$G$64,MATCH($A59,Вводные!$A$13:$A$64,0)),0))</f>
        <v>0</v>
      </c>
      <c r="JA59" s="32" t="n">
        <f aca="false">INDEX(Вводные!$D$13:$F$64,MATCH($A59,Вводные!$A$13:$A$64,0),MATCH(JA$3,Вводные!$D$11:$F$11,0))*(1+IF(JA$4=$A59,Вводные!$D$5*INDEX(Вводные!$G$13:$G$64,MATCH($A59,Вводные!$A$13:$A$64,0)),0))</f>
        <v>0</v>
      </c>
    </row>
    <row r="60" customFormat="false" ht="15" hidden="false" customHeight="false" outlineLevel="0" collapsed="false">
      <c r="A60" s="2" t="s">
        <v>252</v>
      </c>
      <c r="B60" s="13" t="s">
        <v>253</v>
      </c>
      <c r="C60" s="13" t="s">
        <v>185</v>
      </c>
      <c r="D60" s="9" t="s">
        <v>254</v>
      </c>
      <c r="E60" s="59" t="n">
        <f aca="false">E16*E59</f>
        <v>40570</v>
      </c>
      <c r="F60" s="59" t="n">
        <f aca="false">F16*F59</f>
        <v>2266.5</v>
      </c>
      <c r="G60" s="59" t="n">
        <f aca="false">G16*G59</f>
        <v>0</v>
      </c>
      <c r="H60" s="59" t="n">
        <f aca="false">SUM(E60:G60)</f>
        <v>42836.5</v>
      </c>
      <c r="J60" s="59" t="n">
        <f aca="false">J16*J59</f>
        <v>40570</v>
      </c>
      <c r="K60" s="59" t="n">
        <f aca="false">K16*K59</f>
        <v>40599.7</v>
      </c>
      <c r="L60" s="59" t="n">
        <f aca="false">L16*L59</f>
        <v>40599.7</v>
      </c>
      <c r="M60" s="59" t="n">
        <f aca="false">M16*M59</f>
        <v>40599.7</v>
      </c>
      <c r="N60" s="59" t="n">
        <f aca="false">N16*N59</f>
        <v>40594</v>
      </c>
      <c r="O60" s="59" t="n">
        <f aca="false">O16*O59</f>
        <v>40570</v>
      </c>
      <c r="P60" s="59" t="n">
        <f aca="false">P16*P59</f>
        <v>40570</v>
      </c>
      <c r="Q60" s="59" t="n">
        <f aca="false">Q16*Q59</f>
        <v>40570</v>
      </c>
      <c r="R60" s="59" t="n">
        <f aca="false">R16*R59</f>
        <v>40570</v>
      </c>
      <c r="S60" s="59" t="n">
        <f aca="false">S16*S59</f>
        <v>40570</v>
      </c>
      <c r="T60" s="59" t="n">
        <f aca="false">T16*T59</f>
        <v>40570</v>
      </c>
      <c r="U60" s="59" t="n">
        <f aca="false">U16*U59</f>
        <v>40570</v>
      </c>
      <c r="V60" s="59" t="n">
        <f aca="false">V16*V59</f>
        <v>40570</v>
      </c>
      <c r="W60" s="59" t="n">
        <f aca="false">W16*W59</f>
        <v>40570</v>
      </c>
      <c r="X60" s="59" t="n">
        <f aca="false">X16*X59</f>
        <v>40570</v>
      </c>
      <c r="Y60" s="59" t="n">
        <f aca="false">Y16*Y59</f>
        <v>40570</v>
      </c>
      <c r="Z60" s="59" t="n">
        <f aca="false">Z16*Z59</f>
        <v>40570</v>
      </c>
      <c r="AA60" s="59" t="n">
        <f aca="false">AA16*AA59</f>
        <v>40570</v>
      </c>
      <c r="AB60" s="59" t="n">
        <f aca="false">AB16*AB59</f>
        <v>40570</v>
      </c>
      <c r="AC60" s="59" t="n">
        <f aca="false">AC16*AC59</f>
        <v>40570</v>
      </c>
      <c r="AD60" s="59" t="n">
        <f aca="false">AD16*AD59</f>
        <v>40570</v>
      </c>
      <c r="AE60" s="59" t="n">
        <f aca="false">AE16*AE59</f>
        <v>40570</v>
      </c>
      <c r="AF60" s="59" t="n">
        <f aca="false">AF16*AF59</f>
        <v>40570</v>
      </c>
      <c r="AG60" s="59" t="n">
        <f aca="false">AG16*AG59</f>
        <v>40570</v>
      </c>
      <c r="AH60" s="59" t="n">
        <f aca="false">AH16*AH59</f>
        <v>40570</v>
      </c>
      <c r="AI60" s="59" t="n">
        <f aca="false">AI16*AI59</f>
        <v>40570</v>
      </c>
      <c r="AJ60" s="59" t="n">
        <f aca="false">AJ16*AJ59</f>
        <v>40570</v>
      </c>
      <c r="AK60" s="59" t="n">
        <f aca="false">AK16*AK59</f>
        <v>40975.7</v>
      </c>
      <c r="AL60" s="59" t="n">
        <f aca="false">AL16*AL59</f>
        <v>40570</v>
      </c>
      <c r="AM60" s="59" t="n">
        <f aca="false">AM16*AM59</f>
        <v>40570</v>
      </c>
      <c r="AN60" s="59" t="n">
        <f aca="false">AN16*AN59</f>
        <v>40570</v>
      </c>
      <c r="AO60" s="59" t="n">
        <f aca="false">AO16*AO59</f>
        <v>40570</v>
      </c>
      <c r="AP60" s="59" t="n">
        <f aca="false">AP16*AP59</f>
        <v>40570</v>
      </c>
      <c r="AQ60" s="59" t="n">
        <f aca="false">AQ16*AQ59</f>
        <v>40570</v>
      </c>
      <c r="AR60" s="59" t="n">
        <f aca="false">AR16*AR59</f>
        <v>40570</v>
      </c>
      <c r="AS60" s="59" t="n">
        <f aca="false">AS16*AS59</f>
        <v>40570</v>
      </c>
      <c r="AT60" s="59" t="n">
        <f aca="false">AT16*AT59</f>
        <v>40570</v>
      </c>
      <c r="AU60" s="59" t="n">
        <f aca="false">AU16*AU59</f>
        <v>40570</v>
      </c>
      <c r="AV60" s="59" t="n">
        <f aca="false">AV16*AV59</f>
        <v>40570</v>
      </c>
      <c r="AW60" s="59" t="n">
        <f aca="false">AW16*AW59</f>
        <v>40570</v>
      </c>
      <c r="AX60" s="59" t="n">
        <f aca="false">AX16*AX59</f>
        <v>40570</v>
      </c>
      <c r="AY60" s="59" t="n">
        <f aca="false">AY16*AY59</f>
        <v>40570</v>
      </c>
      <c r="AZ60" s="59" t="n">
        <f aca="false">AZ16*AZ59</f>
        <v>2266.5</v>
      </c>
      <c r="BA60" s="59" t="n">
        <f aca="false">BA16*BA59</f>
        <v>2267.34</v>
      </c>
      <c r="BB60" s="59" t="n">
        <f aca="false">BB16*BB59</f>
        <v>2267.34</v>
      </c>
      <c r="BC60" s="59" t="n">
        <f aca="false">BC16*BC59</f>
        <v>2267.34</v>
      </c>
      <c r="BD60" s="59" t="n">
        <f aca="false">BD16*BD59</f>
        <v>2267.175</v>
      </c>
      <c r="BE60" s="59" t="n">
        <f aca="false">BE16*BE59</f>
        <v>2266.5</v>
      </c>
      <c r="BF60" s="59" t="n">
        <f aca="false">BF16*BF59</f>
        <v>2266.5</v>
      </c>
      <c r="BG60" s="59" t="n">
        <f aca="false">BG16*BG59</f>
        <v>2266.5</v>
      </c>
      <c r="BH60" s="59" t="n">
        <f aca="false">BH16*BH59</f>
        <v>2266.5</v>
      </c>
      <c r="BI60" s="59" t="n">
        <f aca="false">BI16*BI59</f>
        <v>2266.5</v>
      </c>
      <c r="BJ60" s="59" t="n">
        <f aca="false">BJ16*BJ59</f>
        <v>2266.5</v>
      </c>
      <c r="BK60" s="59" t="n">
        <f aca="false">BK16*BK59</f>
        <v>2266.5</v>
      </c>
      <c r="BL60" s="59" t="n">
        <f aca="false">BL16*BL59</f>
        <v>2266.5</v>
      </c>
      <c r="BM60" s="59" t="n">
        <f aca="false">BM16*BM59</f>
        <v>2266.5</v>
      </c>
      <c r="BN60" s="59" t="n">
        <f aca="false">BN16*BN59</f>
        <v>2266.5</v>
      </c>
      <c r="BO60" s="59" t="n">
        <f aca="false">BO16*BO59</f>
        <v>2266.5</v>
      </c>
      <c r="BP60" s="59" t="n">
        <f aca="false">BP16*BP59</f>
        <v>2266.5</v>
      </c>
      <c r="BQ60" s="59" t="n">
        <f aca="false">BQ16*BQ59</f>
        <v>2266.5</v>
      </c>
      <c r="BR60" s="59" t="n">
        <f aca="false">BR16*BR59</f>
        <v>2266.5</v>
      </c>
      <c r="BS60" s="59" t="n">
        <f aca="false">BS16*BS59</f>
        <v>2266.5</v>
      </c>
      <c r="BT60" s="59" t="n">
        <f aca="false">BT16*BT59</f>
        <v>2266.5</v>
      </c>
      <c r="BU60" s="59" t="n">
        <f aca="false">BU16*BU59</f>
        <v>2266.5</v>
      </c>
      <c r="BV60" s="59" t="n">
        <f aca="false">BV16*BV59</f>
        <v>2266.5</v>
      </c>
      <c r="BW60" s="59" t="n">
        <f aca="false">BW16*BW59</f>
        <v>2266.5</v>
      </c>
      <c r="BX60" s="59" t="n">
        <f aca="false">BX16*BX59</f>
        <v>2266.5</v>
      </c>
      <c r="BY60" s="59" t="n">
        <f aca="false">BY16*BY59</f>
        <v>2266.5</v>
      </c>
      <c r="BZ60" s="59" t="n">
        <f aca="false">BZ16*BZ59</f>
        <v>2266.5</v>
      </c>
      <c r="CA60" s="59" t="n">
        <f aca="false">CA16*CA59</f>
        <v>2289.165</v>
      </c>
      <c r="CB60" s="59" t="n">
        <f aca="false">CB16*CB59</f>
        <v>2266.5</v>
      </c>
      <c r="CC60" s="59" t="n">
        <f aca="false">CC16*CC59</f>
        <v>2266.5</v>
      </c>
      <c r="CD60" s="59" t="n">
        <f aca="false">CD16*CD59</f>
        <v>2266.5</v>
      </c>
      <c r="CE60" s="59" t="n">
        <f aca="false">CE16*CE59</f>
        <v>2266.5</v>
      </c>
      <c r="CF60" s="59" t="n">
        <f aca="false">CF16*CF59</f>
        <v>2266.5</v>
      </c>
      <c r="CG60" s="59" t="n">
        <f aca="false">CG16*CG59</f>
        <v>2266.5</v>
      </c>
      <c r="CH60" s="59" t="n">
        <f aca="false">CH16*CH59</f>
        <v>2266.5</v>
      </c>
      <c r="CI60" s="59" t="n">
        <f aca="false">CI16*CI59</f>
        <v>2266.5</v>
      </c>
      <c r="CJ60" s="59" t="n">
        <f aca="false">CJ16*CJ59</f>
        <v>2266.5</v>
      </c>
      <c r="CK60" s="59" t="n">
        <f aca="false">CK16*CK59</f>
        <v>2266.5</v>
      </c>
      <c r="CL60" s="59" t="n">
        <f aca="false">CL16*CL59</f>
        <v>2266.5</v>
      </c>
      <c r="CM60" s="59" t="n">
        <f aca="false">CM16*CM59</f>
        <v>2266.5</v>
      </c>
      <c r="CN60" s="59" t="n">
        <f aca="false">CN16*CN59</f>
        <v>2266.5</v>
      </c>
      <c r="CO60" s="59" t="n">
        <f aca="false">CO16*CO59</f>
        <v>2266.5</v>
      </c>
      <c r="CP60" s="59" t="n">
        <f aca="false">CP16*CP59</f>
        <v>0</v>
      </c>
      <c r="CQ60" s="59" t="n">
        <f aca="false">CQ16*CQ59</f>
        <v>0</v>
      </c>
      <c r="CR60" s="59" t="n">
        <f aca="false">CR16*CR59</f>
        <v>0</v>
      </c>
      <c r="CS60" s="59" t="n">
        <f aca="false">CS16*CS59</f>
        <v>0</v>
      </c>
      <c r="CT60" s="59" t="n">
        <f aca="false">CT16*CT59</f>
        <v>0</v>
      </c>
      <c r="CU60" s="59" t="n">
        <f aca="false">CU16*CU59</f>
        <v>0</v>
      </c>
      <c r="CV60" s="59" t="n">
        <f aca="false">CV16*CV59</f>
        <v>0</v>
      </c>
      <c r="CW60" s="59" t="n">
        <f aca="false">CW16*CW59</f>
        <v>0</v>
      </c>
      <c r="CX60" s="59" t="n">
        <f aca="false">CX16*CX59</f>
        <v>0</v>
      </c>
      <c r="CY60" s="59" t="n">
        <f aca="false">CY16*CY59</f>
        <v>0</v>
      </c>
      <c r="CZ60" s="59" t="n">
        <f aca="false">CZ16*CZ59</f>
        <v>0</v>
      </c>
      <c r="DA60" s="59" t="n">
        <f aca="false">DA16*DA59</f>
        <v>0</v>
      </c>
      <c r="DB60" s="59" t="n">
        <f aca="false">DB16*DB59</f>
        <v>0</v>
      </c>
      <c r="DC60" s="59" t="n">
        <f aca="false">DC16*DC59</f>
        <v>0</v>
      </c>
      <c r="DD60" s="59" t="n">
        <f aca="false">DD16*DD59</f>
        <v>0</v>
      </c>
      <c r="DE60" s="59" t="n">
        <f aca="false">DE16*DE59</f>
        <v>0</v>
      </c>
      <c r="DF60" s="59" t="n">
        <f aca="false">DF16*DF59</f>
        <v>0</v>
      </c>
      <c r="DG60" s="59" t="n">
        <f aca="false">DG16*DG59</f>
        <v>0</v>
      </c>
      <c r="DH60" s="59" t="n">
        <f aca="false">DH16*DH59</f>
        <v>0</v>
      </c>
      <c r="DI60" s="59" t="n">
        <f aca="false">DI16*DI59</f>
        <v>0</v>
      </c>
      <c r="DJ60" s="59" t="n">
        <f aca="false">DJ16*DJ59</f>
        <v>0</v>
      </c>
      <c r="DK60" s="59" t="n">
        <f aca="false">DK16*DK59</f>
        <v>0</v>
      </c>
      <c r="DL60" s="59" t="n">
        <f aca="false">DL16*DL59</f>
        <v>0</v>
      </c>
      <c r="DM60" s="59" t="n">
        <f aca="false">DM16*DM59</f>
        <v>0</v>
      </c>
      <c r="DN60" s="59" t="n">
        <f aca="false">DN16*DN59</f>
        <v>0</v>
      </c>
      <c r="DO60" s="59" t="n">
        <f aca="false">DO16*DO59</f>
        <v>0</v>
      </c>
      <c r="DP60" s="59" t="n">
        <f aca="false">DP16*DP59</f>
        <v>0</v>
      </c>
      <c r="DQ60" s="59" t="n">
        <f aca="false">DQ16*DQ59</f>
        <v>0</v>
      </c>
      <c r="DR60" s="59" t="n">
        <f aca="false">DR16*DR59</f>
        <v>0</v>
      </c>
      <c r="DS60" s="59" t="n">
        <f aca="false">DS16*DS59</f>
        <v>0</v>
      </c>
      <c r="DT60" s="59" t="n">
        <f aca="false">DT16*DT59</f>
        <v>0</v>
      </c>
      <c r="DU60" s="59" t="n">
        <f aca="false">DU16*DU59</f>
        <v>0</v>
      </c>
      <c r="DV60" s="59" t="n">
        <f aca="false">DV16*DV59</f>
        <v>0</v>
      </c>
      <c r="DW60" s="59" t="n">
        <f aca="false">DW16*DW59</f>
        <v>0</v>
      </c>
      <c r="DX60" s="59" t="n">
        <f aca="false">DX16*DX59</f>
        <v>0</v>
      </c>
      <c r="DY60" s="59" t="n">
        <f aca="false">DY16*DY59</f>
        <v>0</v>
      </c>
      <c r="DZ60" s="59" t="n">
        <f aca="false">DZ16*DZ59</f>
        <v>0</v>
      </c>
      <c r="EA60" s="59" t="n">
        <f aca="false">EA16*EA59</f>
        <v>0</v>
      </c>
      <c r="EB60" s="59" t="n">
        <f aca="false">EB16*EB59</f>
        <v>0</v>
      </c>
      <c r="EC60" s="59" t="n">
        <f aca="false">EC16*EC59</f>
        <v>0</v>
      </c>
      <c r="ED60" s="59" t="n">
        <f aca="false">ED16*ED59</f>
        <v>0</v>
      </c>
      <c r="EE60" s="59" t="n">
        <f aca="false">EE16*EE59</f>
        <v>0</v>
      </c>
      <c r="EF60" s="59" t="n">
        <f aca="false">EF16*EF59</f>
        <v>49500</v>
      </c>
      <c r="EG60" s="59" t="n">
        <f aca="false">EG16*EG59</f>
        <v>49995</v>
      </c>
      <c r="EH60" s="59" t="n">
        <f aca="false">EH16*EH59</f>
        <v>49995</v>
      </c>
      <c r="EI60" s="59" t="n">
        <f aca="false">EI16*EI59</f>
        <v>49995</v>
      </c>
      <c r="EJ60" s="59" t="n">
        <f aca="false">EJ16*EJ59</f>
        <v>50000</v>
      </c>
      <c r="EK60" s="59" t="n">
        <f aca="false">EK16*EK59</f>
        <v>49500</v>
      </c>
      <c r="EL60" s="59" t="n">
        <f aca="false">EL16*EL59</f>
        <v>49500</v>
      </c>
      <c r="EM60" s="59" t="n">
        <f aca="false">EM16*EM59</f>
        <v>49500</v>
      </c>
      <c r="EN60" s="59" t="n">
        <f aca="false">EN16*EN59</f>
        <v>49500</v>
      </c>
      <c r="EO60" s="59" t="n">
        <f aca="false">EO16*EO59</f>
        <v>49500</v>
      </c>
      <c r="EP60" s="59" t="n">
        <f aca="false">EP16*EP59</f>
        <v>49500</v>
      </c>
      <c r="EQ60" s="59" t="n">
        <f aca="false">EQ16*EQ59</f>
        <v>49500</v>
      </c>
      <c r="ER60" s="59" t="n">
        <f aca="false">ER16*ER59</f>
        <v>49500</v>
      </c>
      <c r="ES60" s="59" t="n">
        <f aca="false">ES16*ES59</f>
        <v>49500</v>
      </c>
      <c r="ET60" s="59" t="n">
        <f aca="false">ET16*ET59</f>
        <v>49500</v>
      </c>
      <c r="EU60" s="59" t="n">
        <f aca="false">EU16*EU59</f>
        <v>49500</v>
      </c>
      <c r="EV60" s="59" t="n">
        <f aca="false">EV16*EV59</f>
        <v>49500</v>
      </c>
      <c r="EW60" s="59" t="n">
        <f aca="false">EW16*EW59</f>
        <v>49500</v>
      </c>
      <c r="EX60" s="59" t="n">
        <f aca="false">EX16*EX59</f>
        <v>49500</v>
      </c>
      <c r="EY60" s="59" t="n">
        <f aca="false">EY16*EY59</f>
        <v>49500</v>
      </c>
      <c r="EZ60" s="59" t="n">
        <f aca="false">EZ16*EZ59</f>
        <v>49500</v>
      </c>
      <c r="FA60" s="59" t="n">
        <f aca="false">FA16*FA59</f>
        <v>49500</v>
      </c>
      <c r="FB60" s="59" t="n">
        <f aca="false">FB16*FB59</f>
        <v>49500</v>
      </c>
      <c r="FC60" s="59" t="n">
        <f aca="false">FC16*FC59</f>
        <v>49500</v>
      </c>
      <c r="FD60" s="59" t="n">
        <f aca="false">FD16*FD59</f>
        <v>49500</v>
      </c>
      <c r="FE60" s="59" t="n">
        <f aca="false">FE16*FE59</f>
        <v>49500</v>
      </c>
      <c r="FF60" s="59" t="n">
        <f aca="false">FF16*FF59</f>
        <v>49500</v>
      </c>
      <c r="FG60" s="59" t="n">
        <f aca="false">FG16*FG59</f>
        <v>49995</v>
      </c>
      <c r="FH60" s="59" t="n">
        <f aca="false">FH16*FH59</f>
        <v>49500</v>
      </c>
      <c r="FI60" s="59" t="n">
        <f aca="false">FI16*FI59</f>
        <v>49500</v>
      </c>
      <c r="FJ60" s="59" t="n">
        <f aca="false">FJ16*FJ59</f>
        <v>49500</v>
      </c>
      <c r="FK60" s="59" t="n">
        <f aca="false">FK16*FK59</f>
        <v>49500</v>
      </c>
      <c r="FL60" s="59" t="n">
        <f aca="false">FL16*FL59</f>
        <v>49500</v>
      </c>
      <c r="FM60" s="59" t="n">
        <f aca="false">FM16*FM59</f>
        <v>49500</v>
      </c>
      <c r="FN60" s="59" t="n">
        <f aca="false">FN16*FN59</f>
        <v>49500</v>
      </c>
      <c r="FO60" s="59" t="n">
        <f aca="false">FO16*FO59</f>
        <v>49500</v>
      </c>
      <c r="FP60" s="59" t="n">
        <f aca="false">FP16*FP59</f>
        <v>49500</v>
      </c>
      <c r="FQ60" s="59" t="n">
        <f aca="false">FQ16*FQ59</f>
        <v>49500</v>
      </c>
      <c r="FR60" s="59" t="n">
        <f aca="false">FR16*FR59</f>
        <v>49500</v>
      </c>
      <c r="FS60" s="59" t="n">
        <f aca="false">FS16*FS59</f>
        <v>49500</v>
      </c>
      <c r="FT60" s="59" t="n">
        <f aca="false">FT16*FT59</f>
        <v>49500</v>
      </c>
      <c r="FU60" s="59" t="n">
        <f aca="false">FU16*FU59</f>
        <v>49500</v>
      </c>
      <c r="FV60" s="59" t="n">
        <f aca="false">FV16*FV59</f>
        <v>2800</v>
      </c>
      <c r="FW60" s="59" t="n">
        <f aca="false">FW16*FW59</f>
        <v>2828</v>
      </c>
      <c r="FX60" s="59" t="n">
        <f aca="false">FX16*FX59</f>
        <v>2828</v>
      </c>
      <c r="FY60" s="59" t="n">
        <f aca="false">FY16*FY59</f>
        <v>2828</v>
      </c>
      <c r="FZ60" s="59" t="n">
        <f aca="false">FZ16*FZ59</f>
        <v>2828.28282828283</v>
      </c>
      <c r="GA60" s="59" t="n">
        <f aca="false">GA16*GA59</f>
        <v>2800</v>
      </c>
      <c r="GB60" s="59" t="n">
        <f aca="false">GB16*GB59</f>
        <v>2800</v>
      </c>
      <c r="GC60" s="59" t="n">
        <f aca="false">GC16*GC59</f>
        <v>2800</v>
      </c>
      <c r="GD60" s="59" t="n">
        <f aca="false">GD16*GD59</f>
        <v>2800</v>
      </c>
      <c r="GE60" s="59" t="n">
        <f aca="false">GE16*GE59</f>
        <v>2800</v>
      </c>
      <c r="GF60" s="59" t="n">
        <f aca="false">GF16*GF59</f>
        <v>2800</v>
      </c>
      <c r="GG60" s="59" t="n">
        <f aca="false">GG16*GG59</f>
        <v>2800</v>
      </c>
      <c r="GH60" s="59" t="n">
        <f aca="false">GH16*GH59</f>
        <v>2800</v>
      </c>
      <c r="GI60" s="59" t="n">
        <f aca="false">GI16*GI59</f>
        <v>2800</v>
      </c>
      <c r="GJ60" s="59" t="n">
        <f aca="false">GJ16*GJ59</f>
        <v>2800</v>
      </c>
      <c r="GK60" s="59" t="n">
        <f aca="false">GK16*GK59</f>
        <v>2800</v>
      </c>
      <c r="GL60" s="59" t="n">
        <f aca="false">GL16*GL59</f>
        <v>2800</v>
      </c>
      <c r="GM60" s="59" t="n">
        <f aca="false">GM16*GM59</f>
        <v>2800</v>
      </c>
      <c r="GN60" s="59" t="n">
        <f aca="false">GN16*GN59</f>
        <v>2800</v>
      </c>
      <c r="GO60" s="59" t="n">
        <f aca="false">GO16*GO59</f>
        <v>2800</v>
      </c>
      <c r="GP60" s="59" t="n">
        <f aca="false">GP16*GP59</f>
        <v>2800</v>
      </c>
      <c r="GQ60" s="59" t="n">
        <f aca="false">GQ16*GQ59</f>
        <v>2800</v>
      </c>
      <c r="GR60" s="59" t="n">
        <f aca="false">GR16*GR59</f>
        <v>2800</v>
      </c>
      <c r="GS60" s="59" t="n">
        <f aca="false">GS16*GS59</f>
        <v>2800</v>
      </c>
      <c r="GT60" s="59" t="n">
        <f aca="false">GT16*GT59</f>
        <v>2800</v>
      </c>
      <c r="GU60" s="59" t="n">
        <f aca="false">GU16*GU59</f>
        <v>2800</v>
      </c>
      <c r="GV60" s="59" t="n">
        <f aca="false">GV16*GV59</f>
        <v>2800</v>
      </c>
      <c r="GW60" s="59" t="n">
        <f aca="false">GW16*GW59</f>
        <v>2828</v>
      </c>
      <c r="GX60" s="59" t="n">
        <f aca="false">GX16*GX59</f>
        <v>2800</v>
      </c>
      <c r="GY60" s="59" t="n">
        <f aca="false">GY16*GY59</f>
        <v>2800</v>
      </c>
      <c r="GZ60" s="59" t="n">
        <f aca="false">GZ16*GZ59</f>
        <v>2800</v>
      </c>
      <c r="HA60" s="59" t="n">
        <f aca="false">HA16*HA59</f>
        <v>2800</v>
      </c>
      <c r="HB60" s="59" t="n">
        <f aca="false">HB16*HB59</f>
        <v>2800</v>
      </c>
      <c r="HC60" s="59" t="n">
        <f aca="false">HC16*HC59</f>
        <v>2800</v>
      </c>
      <c r="HD60" s="59" t="n">
        <f aca="false">HD16*HD59</f>
        <v>2800</v>
      </c>
      <c r="HE60" s="59" t="n">
        <f aca="false">HE16*HE59</f>
        <v>2800</v>
      </c>
      <c r="HF60" s="59" t="n">
        <f aca="false">HF16*HF59</f>
        <v>2800</v>
      </c>
      <c r="HG60" s="59" t="n">
        <f aca="false">HG16*HG59</f>
        <v>2800</v>
      </c>
      <c r="HH60" s="59" t="n">
        <f aca="false">HH16*HH59</f>
        <v>2800</v>
      </c>
      <c r="HI60" s="59" t="n">
        <f aca="false">HI16*HI59</f>
        <v>2800</v>
      </c>
      <c r="HJ60" s="59" t="n">
        <f aca="false">HJ16*HJ59</f>
        <v>2800</v>
      </c>
      <c r="HK60" s="59" t="n">
        <f aca="false">HK16*HK59</f>
        <v>2800</v>
      </c>
      <c r="HL60" s="59" t="n">
        <f aca="false">HL16*HL59</f>
        <v>0</v>
      </c>
      <c r="HM60" s="59" t="n">
        <f aca="false">HM16*HM59</f>
        <v>0</v>
      </c>
      <c r="HN60" s="59" t="n">
        <f aca="false">HN16*HN59</f>
        <v>0</v>
      </c>
      <c r="HO60" s="59" t="n">
        <f aca="false">HO16*HO59</f>
        <v>0</v>
      </c>
      <c r="HP60" s="59" t="n">
        <f aca="false">HP16*HP59</f>
        <v>0</v>
      </c>
      <c r="HQ60" s="59" t="n">
        <f aca="false">HQ16*HQ59</f>
        <v>0</v>
      </c>
      <c r="HR60" s="59" t="n">
        <f aca="false">HR16*HR59</f>
        <v>0</v>
      </c>
      <c r="HS60" s="59" t="n">
        <f aca="false">HS16*HS59</f>
        <v>0</v>
      </c>
      <c r="HT60" s="59" t="n">
        <f aca="false">HT16*HT59</f>
        <v>0</v>
      </c>
      <c r="HU60" s="59" t="n">
        <f aca="false">HU16*HU59</f>
        <v>0</v>
      </c>
      <c r="HV60" s="59" t="n">
        <f aca="false">HV16*HV59</f>
        <v>0</v>
      </c>
      <c r="HW60" s="59" t="n">
        <f aca="false">HW16*HW59</f>
        <v>0</v>
      </c>
      <c r="HX60" s="59" t="n">
        <f aca="false">HX16*HX59</f>
        <v>0</v>
      </c>
      <c r="HY60" s="59" t="n">
        <f aca="false">HY16*HY59</f>
        <v>0</v>
      </c>
      <c r="HZ60" s="59" t="n">
        <f aca="false">HZ16*HZ59</f>
        <v>0</v>
      </c>
      <c r="IA60" s="59" t="n">
        <f aca="false">IA16*IA59</f>
        <v>0</v>
      </c>
      <c r="IB60" s="59" t="n">
        <f aca="false">IB16*IB59</f>
        <v>0</v>
      </c>
      <c r="IC60" s="59" t="n">
        <f aca="false">IC16*IC59</f>
        <v>0</v>
      </c>
      <c r="ID60" s="59" t="n">
        <f aca="false">ID16*ID59</f>
        <v>0</v>
      </c>
      <c r="IE60" s="59" t="n">
        <f aca="false">IE16*IE59</f>
        <v>0</v>
      </c>
      <c r="IF60" s="59" t="n">
        <f aca="false">IF16*IF59</f>
        <v>0</v>
      </c>
      <c r="IG60" s="59" t="n">
        <f aca="false">IG16*IG59</f>
        <v>0</v>
      </c>
      <c r="IH60" s="59" t="n">
        <f aca="false">IH16*IH59</f>
        <v>0</v>
      </c>
      <c r="II60" s="59" t="n">
        <f aca="false">II16*II59</f>
        <v>0</v>
      </c>
      <c r="IJ60" s="59" t="n">
        <f aca="false">IJ16*IJ59</f>
        <v>0</v>
      </c>
      <c r="IK60" s="59" t="n">
        <f aca="false">IK16*IK59</f>
        <v>0</v>
      </c>
      <c r="IL60" s="59" t="n">
        <f aca="false">IL16*IL59</f>
        <v>0</v>
      </c>
      <c r="IM60" s="59" t="n">
        <f aca="false">IM16*IM59</f>
        <v>0</v>
      </c>
      <c r="IN60" s="59" t="n">
        <f aca="false">IN16*IN59</f>
        <v>0</v>
      </c>
      <c r="IO60" s="59" t="n">
        <f aca="false">IO16*IO59</f>
        <v>0</v>
      </c>
      <c r="IP60" s="59" t="n">
        <f aca="false">IP16*IP59</f>
        <v>0</v>
      </c>
      <c r="IQ60" s="59" t="n">
        <f aca="false">IQ16*IQ59</f>
        <v>0</v>
      </c>
      <c r="IR60" s="59" t="n">
        <f aca="false">IR16*IR59</f>
        <v>0</v>
      </c>
      <c r="IS60" s="59" t="n">
        <f aca="false">IS16*IS59</f>
        <v>0</v>
      </c>
      <c r="IT60" s="59" t="n">
        <f aca="false">IT16*IT59</f>
        <v>0</v>
      </c>
      <c r="IU60" s="59" t="n">
        <f aca="false">IU16*IU59</f>
        <v>0</v>
      </c>
      <c r="IV60" s="59" t="n">
        <f aca="false">IV16*IV59</f>
        <v>0</v>
      </c>
      <c r="IW60" s="59" t="n">
        <f aca="false">IW16*IW59</f>
        <v>0</v>
      </c>
      <c r="IX60" s="59" t="n">
        <f aca="false">IX16*IX59</f>
        <v>0</v>
      </c>
      <c r="IY60" s="59" t="n">
        <f aca="false">IY16*IY59</f>
        <v>0</v>
      </c>
      <c r="IZ60" s="59" t="n">
        <f aca="false">IZ16*IZ59</f>
        <v>0</v>
      </c>
      <c r="JA60" s="59" t="n">
        <f aca="false">JA16*JA59</f>
        <v>0</v>
      </c>
    </row>
    <row r="61" customFormat="false" ht="15" hidden="false" customHeight="false" outlineLevel="0" collapsed="false">
      <c r="A61" s="13" t="s">
        <v>257</v>
      </c>
      <c r="B61" s="13" t="s">
        <v>258</v>
      </c>
      <c r="C61" s="13" t="s">
        <v>179</v>
      </c>
      <c r="D61" s="9" t="s">
        <v>36</v>
      </c>
      <c r="E61" s="14" t="n">
        <f aca="false">INDEX(Вводные!$D$13:$F$64,MATCH($A61,Вводные!$A$13:$A$64,0),MATCH(E$3,Вводные!$D$11:$F$11,0))*(1+IF(E$4=$A61,Вводные!$D$5*INDEX(Вводные!$G$13:$G$64,MATCH($A61,Вводные!$A$13:$A$64,0)),0))</f>
        <v>60</v>
      </c>
      <c r="F61" s="14" t="n">
        <f aca="false">INDEX(Вводные!$D$13:$F$64,MATCH($A61,Вводные!$A$13:$A$64,0),MATCH(F$3,Вводные!$D$11:$F$11,0))*(1+IF(F$4=$A61,Вводные!$D$5*INDEX(Вводные!$G$13:$G$64,MATCH($A61,Вводные!$A$13:$A$64,0)),0))</f>
        <v>1000</v>
      </c>
      <c r="G61" s="14" t="n">
        <f aca="false">INDEX(Вводные!$D$13:$F$64,MATCH($A61,Вводные!$A$13:$A$64,0),MATCH(G$3,Вводные!$D$11:$F$11,0))*(1+IF(G$4=$A61,Вводные!$D$5*INDEX(Вводные!$G$13:$G$64,MATCH($A61,Вводные!$A$13:$A$64,0)),0))</f>
        <v>0</v>
      </c>
      <c r="H61" s="59"/>
      <c r="J61" s="14" t="n">
        <f aca="false">INDEX(Вводные!$D$13:$F$64,MATCH($A61,Вводные!$A$13:$A$64,0),MATCH(J$3,Вводные!$D$11:$F$11,0))*(1+IF(J$4=$A61,Вводные!$D$5*INDEX(Вводные!$G$13:$G$64,MATCH($A61,Вводные!$A$13:$A$64,0)),0))</f>
        <v>60</v>
      </c>
      <c r="K61" s="14" t="n">
        <f aca="false">INDEX(Вводные!$D$13:$F$64,MATCH($A61,Вводные!$A$13:$A$64,0),MATCH(K$3,Вводные!$D$11:$F$11,0))*(1+IF(K$4=$A61,Вводные!$D$5*INDEX(Вводные!$G$13:$G$64,MATCH($A61,Вводные!$A$13:$A$64,0)),0))</f>
        <v>60</v>
      </c>
      <c r="L61" s="14" t="n">
        <f aca="false">INDEX(Вводные!$D$13:$F$64,MATCH($A61,Вводные!$A$13:$A$64,0),MATCH(L$3,Вводные!$D$11:$F$11,0))*(1+IF(L$4=$A61,Вводные!$D$5*INDEX(Вводные!$G$13:$G$64,MATCH($A61,Вводные!$A$13:$A$64,0)),0))</f>
        <v>60</v>
      </c>
      <c r="M61" s="14" t="n">
        <f aca="false">INDEX(Вводные!$D$13:$F$64,MATCH($A61,Вводные!$A$13:$A$64,0),MATCH(M$3,Вводные!$D$11:$F$11,0))*(1+IF(M$4=$A61,Вводные!$D$5*INDEX(Вводные!$G$13:$G$64,MATCH($A61,Вводные!$A$13:$A$64,0)),0))</f>
        <v>60</v>
      </c>
      <c r="N61" s="14" t="n">
        <f aca="false">INDEX(Вводные!$D$13:$F$64,MATCH($A61,Вводные!$A$13:$A$64,0),MATCH(N$3,Вводные!$D$11:$F$11,0))*(1+IF(N$4=$A61,Вводные!$D$5*INDEX(Вводные!$G$13:$G$64,MATCH($A61,Вводные!$A$13:$A$64,0)),0))</f>
        <v>60</v>
      </c>
      <c r="O61" s="14" t="n">
        <f aca="false">INDEX(Вводные!$D$13:$F$64,MATCH($A61,Вводные!$A$13:$A$64,0),MATCH(O$3,Вводные!$D$11:$F$11,0))*(1+IF(O$4=$A61,Вводные!$D$5*INDEX(Вводные!$G$13:$G$64,MATCH($A61,Вводные!$A$13:$A$64,0)),0))</f>
        <v>60</v>
      </c>
      <c r="P61" s="14" t="n">
        <f aca="false">INDEX(Вводные!$D$13:$F$64,MATCH($A61,Вводные!$A$13:$A$64,0),MATCH(P$3,Вводные!$D$11:$F$11,0))*(1+IF(P$4=$A61,Вводные!$D$5*INDEX(Вводные!$G$13:$G$64,MATCH($A61,Вводные!$A$13:$A$64,0)),0))</f>
        <v>60</v>
      </c>
      <c r="Q61" s="14" t="n">
        <f aca="false">INDEX(Вводные!$D$13:$F$64,MATCH($A61,Вводные!$A$13:$A$64,0),MATCH(Q$3,Вводные!$D$11:$F$11,0))*(1+IF(Q$4=$A61,Вводные!$D$5*INDEX(Вводные!$G$13:$G$64,MATCH($A61,Вводные!$A$13:$A$64,0)),0))</f>
        <v>60</v>
      </c>
      <c r="R61" s="14" t="n">
        <f aca="false">INDEX(Вводные!$D$13:$F$64,MATCH($A61,Вводные!$A$13:$A$64,0),MATCH(R$3,Вводные!$D$11:$F$11,0))*(1+IF(R$4=$A61,Вводные!$D$5*INDEX(Вводные!$G$13:$G$64,MATCH($A61,Вводные!$A$13:$A$64,0)),0))</f>
        <v>60</v>
      </c>
      <c r="S61" s="14" t="n">
        <f aca="false">INDEX(Вводные!$D$13:$F$64,MATCH($A61,Вводные!$A$13:$A$64,0),MATCH(S$3,Вводные!$D$11:$F$11,0))*(1+IF(S$4=$A61,Вводные!$D$5*INDEX(Вводные!$G$13:$G$64,MATCH($A61,Вводные!$A$13:$A$64,0)),0))</f>
        <v>60</v>
      </c>
      <c r="T61" s="14" t="n">
        <f aca="false">INDEX(Вводные!$D$13:$F$64,MATCH($A61,Вводные!$A$13:$A$64,0),MATCH(T$3,Вводные!$D$11:$F$11,0))*(1+IF(T$4=$A61,Вводные!$D$5*INDEX(Вводные!$G$13:$G$64,MATCH($A61,Вводные!$A$13:$A$64,0)),0))</f>
        <v>60</v>
      </c>
      <c r="U61" s="14" t="n">
        <f aca="false">INDEX(Вводные!$D$13:$F$64,MATCH($A61,Вводные!$A$13:$A$64,0),MATCH(U$3,Вводные!$D$11:$F$11,0))*(1+IF(U$4=$A61,Вводные!$D$5*INDEX(Вводные!$G$13:$G$64,MATCH($A61,Вводные!$A$13:$A$64,0)),0))</f>
        <v>60</v>
      </c>
      <c r="V61" s="14" t="n">
        <f aca="false">INDEX(Вводные!$D$13:$F$64,MATCH($A61,Вводные!$A$13:$A$64,0),MATCH(V$3,Вводные!$D$11:$F$11,0))*(1+IF(V$4=$A61,Вводные!$D$5*INDEX(Вводные!$G$13:$G$64,MATCH($A61,Вводные!$A$13:$A$64,0)),0))</f>
        <v>60</v>
      </c>
      <c r="W61" s="14" t="n">
        <f aca="false">INDEX(Вводные!$D$13:$F$64,MATCH($A61,Вводные!$A$13:$A$64,0),MATCH(W$3,Вводные!$D$11:$F$11,0))*(1+IF(W$4=$A61,Вводные!$D$5*INDEX(Вводные!$G$13:$G$64,MATCH($A61,Вводные!$A$13:$A$64,0)),0))</f>
        <v>60</v>
      </c>
      <c r="X61" s="14" t="n">
        <f aca="false">INDEX(Вводные!$D$13:$F$64,MATCH($A61,Вводные!$A$13:$A$64,0),MATCH(X$3,Вводные!$D$11:$F$11,0))*(1+IF(X$4=$A61,Вводные!$D$5*INDEX(Вводные!$G$13:$G$64,MATCH($A61,Вводные!$A$13:$A$64,0)),0))</f>
        <v>60</v>
      </c>
      <c r="Y61" s="14" t="n">
        <f aca="false">INDEX(Вводные!$D$13:$F$64,MATCH($A61,Вводные!$A$13:$A$64,0),MATCH(Y$3,Вводные!$D$11:$F$11,0))*(1+IF(Y$4=$A61,Вводные!$D$5*INDEX(Вводные!$G$13:$G$64,MATCH($A61,Вводные!$A$13:$A$64,0)),0))</f>
        <v>60</v>
      </c>
      <c r="Z61" s="14" t="n">
        <f aca="false">INDEX(Вводные!$D$13:$F$64,MATCH($A61,Вводные!$A$13:$A$64,0),MATCH(Z$3,Вводные!$D$11:$F$11,0))*(1+IF(Z$4=$A61,Вводные!$D$5*INDEX(Вводные!$G$13:$G$64,MATCH($A61,Вводные!$A$13:$A$64,0)),0))</f>
        <v>60</v>
      </c>
      <c r="AA61" s="14" t="n">
        <f aca="false">INDEX(Вводные!$D$13:$F$64,MATCH($A61,Вводные!$A$13:$A$64,0),MATCH(AA$3,Вводные!$D$11:$F$11,0))*(1+IF(AA$4=$A61,Вводные!$D$5*INDEX(Вводные!$G$13:$G$64,MATCH($A61,Вводные!$A$13:$A$64,0)),0))</f>
        <v>60</v>
      </c>
      <c r="AB61" s="14" t="n">
        <f aca="false">INDEX(Вводные!$D$13:$F$64,MATCH($A61,Вводные!$A$13:$A$64,0),MATCH(AB$3,Вводные!$D$11:$F$11,0))*(1+IF(AB$4=$A61,Вводные!$D$5*INDEX(Вводные!$G$13:$G$64,MATCH($A61,Вводные!$A$13:$A$64,0)),0))</f>
        <v>60</v>
      </c>
      <c r="AC61" s="14" t="n">
        <f aca="false">INDEX(Вводные!$D$13:$F$64,MATCH($A61,Вводные!$A$13:$A$64,0),MATCH(AC$3,Вводные!$D$11:$F$11,0))*(1+IF(AC$4=$A61,Вводные!$D$5*INDEX(Вводные!$G$13:$G$64,MATCH($A61,Вводные!$A$13:$A$64,0)),0))</f>
        <v>60</v>
      </c>
      <c r="AD61" s="14" t="n">
        <f aca="false">INDEX(Вводные!$D$13:$F$64,MATCH($A61,Вводные!$A$13:$A$64,0),MATCH(AD$3,Вводные!$D$11:$F$11,0))*(1+IF(AD$4=$A61,Вводные!$D$5*INDEX(Вводные!$G$13:$G$64,MATCH($A61,Вводные!$A$13:$A$64,0)),0))</f>
        <v>60</v>
      </c>
      <c r="AE61" s="14" t="n">
        <f aca="false">INDEX(Вводные!$D$13:$F$64,MATCH($A61,Вводные!$A$13:$A$64,0),MATCH(AE$3,Вводные!$D$11:$F$11,0))*(1+IF(AE$4=$A61,Вводные!$D$5*INDEX(Вводные!$G$13:$G$64,MATCH($A61,Вводные!$A$13:$A$64,0)),0))</f>
        <v>60</v>
      </c>
      <c r="AF61" s="14" t="n">
        <f aca="false">INDEX(Вводные!$D$13:$F$64,MATCH($A61,Вводные!$A$13:$A$64,0),MATCH(AF$3,Вводные!$D$11:$F$11,0))*(1+IF(AF$4=$A61,Вводные!$D$5*INDEX(Вводные!$G$13:$G$64,MATCH($A61,Вводные!$A$13:$A$64,0)),0))</f>
        <v>60</v>
      </c>
      <c r="AG61" s="14" t="n">
        <f aca="false">INDEX(Вводные!$D$13:$F$64,MATCH($A61,Вводные!$A$13:$A$64,0),MATCH(AG$3,Вводные!$D$11:$F$11,0))*(1+IF(AG$4=$A61,Вводные!$D$5*INDEX(Вводные!$G$13:$G$64,MATCH($A61,Вводные!$A$13:$A$64,0)),0))</f>
        <v>60</v>
      </c>
      <c r="AH61" s="14" t="n">
        <f aca="false">INDEX(Вводные!$D$13:$F$64,MATCH($A61,Вводные!$A$13:$A$64,0),MATCH(AH$3,Вводные!$D$11:$F$11,0))*(1+IF(AH$4=$A61,Вводные!$D$5*INDEX(Вводные!$G$13:$G$64,MATCH($A61,Вводные!$A$13:$A$64,0)),0))</f>
        <v>60</v>
      </c>
      <c r="AI61" s="14" t="n">
        <f aca="false">INDEX(Вводные!$D$13:$F$64,MATCH($A61,Вводные!$A$13:$A$64,0),MATCH(AI$3,Вводные!$D$11:$F$11,0))*(1+IF(AI$4=$A61,Вводные!$D$5*INDEX(Вводные!$G$13:$G$64,MATCH($A61,Вводные!$A$13:$A$64,0)),0))</f>
        <v>60</v>
      </c>
      <c r="AJ61" s="14" t="n">
        <f aca="false">INDEX(Вводные!$D$13:$F$64,MATCH($A61,Вводные!$A$13:$A$64,0),MATCH(AJ$3,Вводные!$D$11:$F$11,0))*(1+IF(AJ$4=$A61,Вводные!$D$5*INDEX(Вводные!$G$13:$G$64,MATCH($A61,Вводные!$A$13:$A$64,0)),0))</f>
        <v>60</v>
      </c>
      <c r="AK61" s="14" t="n">
        <f aca="false">INDEX(Вводные!$D$13:$F$64,MATCH($A61,Вводные!$A$13:$A$64,0),MATCH(AK$3,Вводные!$D$11:$F$11,0))*(1+IF(AK$4=$A61,Вводные!$D$5*INDEX(Вводные!$G$13:$G$64,MATCH($A61,Вводные!$A$13:$A$64,0)),0))</f>
        <v>60</v>
      </c>
      <c r="AL61" s="14" t="n">
        <f aca="false">INDEX(Вводные!$D$13:$F$64,MATCH($A61,Вводные!$A$13:$A$64,0),MATCH(AL$3,Вводные!$D$11:$F$11,0))*(1+IF(AL$4=$A61,Вводные!$D$5*INDEX(Вводные!$G$13:$G$64,MATCH($A61,Вводные!$A$13:$A$64,0)),0))</f>
        <v>60.6</v>
      </c>
      <c r="AM61" s="14" t="n">
        <f aca="false">INDEX(Вводные!$D$13:$F$64,MATCH($A61,Вводные!$A$13:$A$64,0),MATCH(AM$3,Вводные!$D$11:$F$11,0))*(1+IF(AM$4=$A61,Вводные!$D$5*INDEX(Вводные!$G$13:$G$64,MATCH($A61,Вводные!$A$13:$A$64,0)),0))</f>
        <v>60</v>
      </c>
      <c r="AN61" s="14" t="n">
        <f aca="false">INDEX(Вводные!$D$13:$F$64,MATCH($A61,Вводные!$A$13:$A$64,0),MATCH(AN$3,Вводные!$D$11:$F$11,0))*(1+IF(AN$4=$A61,Вводные!$D$5*INDEX(Вводные!$G$13:$G$64,MATCH($A61,Вводные!$A$13:$A$64,0)),0))</f>
        <v>60</v>
      </c>
      <c r="AO61" s="14" t="n">
        <f aca="false">INDEX(Вводные!$D$13:$F$64,MATCH($A61,Вводные!$A$13:$A$64,0),MATCH(AO$3,Вводные!$D$11:$F$11,0))*(1+IF(AO$4=$A61,Вводные!$D$5*INDEX(Вводные!$G$13:$G$64,MATCH($A61,Вводные!$A$13:$A$64,0)),0))</f>
        <v>60</v>
      </c>
      <c r="AP61" s="14" t="n">
        <f aca="false">INDEX(Вводные!$D$13:$F$64,MATCH($A61,Вводные!$A$13:$A$64,0),MATCH(AP$3,Вводные!$D$11:$F$11,0))*(1+IF(AP$4=$A61,Вводные!$D$5*INDEX(Вводные!$G$13:$G$64,MATCH($A61,Вводные!$A$13:$A$64,0)),0))</f>
        <v>60</v>
      </c>
      <c r="AQ61" s="14" t="n">
        <f aca="false">INDEX(Вводные!$D$13:$F$64,MATCH($A61,Вводные!$A$13:$A$64,0),MATCH(AQ$3,Вводные!$D$11:$F$11,0))*(1+IF(AQ$4=$A61,Вводные!$D$5*INDEX(Вводные!$G$13:$G$64,MATCH($A61,Вводные!$A$13:$A$64,0)),0))</f>
        <v>60</v>
      </c>
      <c r="AR61" s="14" t="n">
        <f aca="false">INDEX(Вводные!$D$13:$F$64,MATCH($A61,Вводные!$A$13:$A$64,0),MATCH(AR$3,Вводные!$D$11:$F$11,0))*(1+IF(AR$4=$A61,Вводные!$D$5*INDEX(Вводные!$G$13:$G$64,MATCH($A61,Вводные!$A$13:$A$64,0)),0))</f>
        <v>60</v>
      </c>
      <c r="AS61" s="14" t="n">
        <f aca="false">INDEX(Вводные!$D$13:$F$64,MATCH($A61,Вводные!$A$13:$A$64,0),MATCH(AS$3,Вводные!$D$11:$F$11,0))*(1+IF(AS$4=$A61,Вводные!$D$5*INDEX(Вводные!$G$13:$G$64,MATCH($A61,Вводные!$A$13:$A$64,0)),0))</f>
        <v>60</v>
      </c>
      <c r="AT61" s="14" t="n">
        <f aca="false">INDEX(Вводные!$D$13:$F$64,MATCH($A61,Вводные!$A$13:$A$64,0),MATCH(AT$3,Вводные!$D$11:$F$11,0))*(1+IF(AT$4=$A61,Вводные!$D$5*INDEX(Вводные!$G$13:$G$64,MATCH($A61,Вводные!$A$13:$A$64,0)),0))</f>
        <v>60</v>
      </c>
      <c r="AU61" s="14" t="n">
        <f aca="false">INDEX(Вводные!$D$13:$F$64,MATCH($A61,Вводные!$A$13:$A$64,0),MATCH(AU$3,Вводные!$D$11:$F$11,0))*(1+IF(AU$4=$A61,Вводные!$D$5*INDEX(Вводные!$G$13:$G$64,MATCH($A61,Вводные!$A$13:$A$64,0)),0))</f>
        <v>60</v>
      </c>
      <c r="AV61" s="14" t="n">
        <f aca="false">INDEX(Вводные!$D$13:$F$64,MATCH($A61,Вводные!$A$13:$A$64,0),MATCH(AV$3,Вводные!$D$11:$F$11,0))*(1+IF(AV$4=$A61,Вводные!$D$5*INDEX(Вводные!$G$13:$G$64,MATCH($A61,Вводные!$A$13:$A$64,0)),0))</f>
        <v>60</v>
      </c>
      <c r="AW61" s="14" t="n">
        <f aca="false">INDEX(Вводные!$D$13:$F$64,MATCH($A61,Вводные!$A$13:$A$64,0),MATCH(AW$3,Вводные!$D$11:$F$11,0))*(1+IF(AW$4=$A61,Вводные!$D$5*INDEX(Вводные!$G$13:$G$64,MATCH($A61,Вводные!$A$13:$A$64,0)),0))</f>
        <v>60</v>
      </c>
      <c r="AX61" s="14" t="n">
        <f aca="false">INDEX(Вводные!$D$13:$F$64,MATCH($A61,Вводные!$A$13:$A$64,0),MATCH(AX$3,Вводные!$D$11:$F$11,0))*(1+IF(AX$4=$A61,Вводные!$D$5*INDEX(Вводные!$G$13:$G$64,MATCH($A61,Вводные!$A$13:$A$64,0)),0))</f>
        <v>60</v>
      </c>
      <c r="AY61" s="14" t="n">
        <f aca="false">INDEX(Вводные!$D$13:$F$64,MATCH($A61,Вводные!$A$13:$A$64,0),MATCH(AY$3,Вводные!$D$11:$F$11,0))*(1+IF(AY$4=$A61,Вводные!$D$5*INDEX(Вводные!$G$13:$G$64,MATCH($A61,Вводные!$A$13:$A$64,0)),0))</f>
        <v>60</v>
      </c>
      <c r="AZ61" s="14" t="n">
        <f aca="false">INDEX(Вводные!$D$13:$F$64,MATCH($A61,Вводные!$A$13:$A$64,0),MATCH(AZ$3,Вводные!$D$11:$F$11,0))*(1+IF(AZ$4=$A61,Вводные!$D$5*INDEX(Вводные!$G$13:$G$64,MATCH($A61,Вводные!$A$13:$A$64,0)),0))</f>
        <v>1000</v>
      </c>
      <c r="BA61" s="14" t="n">
        <f aca="false">INDEX(Вводные!$D$13:$F$64,MATCH($A61,Вводные!$A$13:$A$64,0),MATCH(BA$3,Вводные!$D$11:$F$11,0))*(1+IF(BA$4=$A61,Вводные!$D$5*INDEX(Вводные!$G$13:$G$64,MATCH($A61,Вводные!$A$13:$A$64,0)),0))</f>
        <v>1000</v>
      </c>
      <c r="BB61" s="14" t="n">
        <f aca="false">INDEX(Вводные!$D$13:$F$64,MATCH($A61,Вводные!$A$13:$A$64,0),MATCH(BB$3,Вводные!$D$11:$F$11,0))*(1+IF(BB$4=$A61,Вводные!$D$5*INDEX(Вводные!$G$13:$G$64,MATCH($A61,Вводные!$A$13:$A$64,0)),0))</f>
        <v>1000</v>
      </c>
      <c r="BC61" s="14" t="n">
        <f aca="false">INDEX(Вводные!$D$13:$F$64,MATCH($A61,Вводные!$A$13:$A$64,0),MATCH(BC$3,Вводные!$D$11:$F$11,0))*(1+IF(BC$4=$A61,Вводные!$D$5*INDEX(Вводные!$G$13:$G$64,MATCH($A61,Вводные!$A$13:$A$64,0)),0))</f>
        <v>1000</v>
      </c>
      <c r="BD61" s="14" t="n">
        <f aca="false">INDEX(Вводные!$D$13:$F$64,MATCH($A61,Вводные!$A$13:$A$64,0),MATCH(BD$3,Вводные!$D$11:$F$11,0))*(1+IF(BD$4=$A61,Вводные!$D$5*INDEX(Вводные!$G$13:$G$64,MATCH($A61,Вводные!$A$13:$A$64,0)),0))</f>
        <v>1000</v>
      </c>
      <c r="BE61" s="14" t="n">
        <f aca="false">INDEX(Вводные!$D$13:$F$64,MATCH($A61,Вводные!$A$13:$A$64,0),MATCH(BE$3,Вводные!$D$11:$F$11,0))*(1+IF(BE$4=$A61,Вводные!$D$5*INDEX(Вводные!$G$13:$G$64,MATCH($A61,Вводные!$A$13:$A$64,0)),0))</f>
        <v>1000</v>
      </c>
      <c r="BF61" s="14" t="n">
        <f aca="false">INDEX(Вводные!$D$13:$F$64,MATCH($A61,Вводные!$A$13:$A$64,0),MATCH(BF$3,Вводные!$D$11:$F$11,0))*(1+IF(BF$4=$A61,Вводные!$D$5*INDEX(Вводные!$G$13:$G$64,MATCH($A61,Вводные!$A$13:$A$64,0)),0))</f>
        <v>1000</v>
      </c>
      <c r="BG61" s="14" t="n">
        <f aca="false">INDEX(Вводные!$D$13:$F$64,MATCH($A61,Вводные!$A$13:$A$64,0),MATCH(BG$3,Вводные!$D$11:$F$11,0))*(1+IF(BG$4=$A61,Вводные!$D$5*INDEX(Вводные!$G$13:$G$64,MATCH($A61,Вводные!$A$13:$A$64,0)),0))</f>
        <v>1000</v>
      </c>
      <c r="BH61" s="14" t="n">
        <f aca="false">INDEX(Вводные!$D$13:$F$64,MATCH($A61,Вводные!$A$13:$A$64,0),MATCH(BH$3,Вводные!$D$11:$F$11,0))*(1+IF(BH$4=$A61,Вводные!$D$5*INDEX(Вводные!$G$13:$G$64,MATCH($A61,Вводные!$A$13:$A$64,0)),0))</f>
        <v>1000</v>
      </c>
      <c r="BI61" s="14" t="n">
        <f aca="false">INDEX(Вводные!$D$13:$F$64,MATCH($A61,Вводные!$A$13:$A$64,0),MATCH(BI$3,Вводные!$D$11:$F$11,0))*(1+IF(BI$4=$A61,Вводные!$D$5*INDEX(Вводные!$G$13:$G$64,MATCH($A61,Вводные!$A$13:$A$64,0)),0))</f>
        <v>1000</v>
      </c>
      <c r="BJ61" s="14" t="n">
        <f aca="false">INDEX(Вводные!$D$13:$F$64,MATCH($A61,Вводные!$A$13:$A$64,0),MATCH(BJ$3,Вводные!$D$11:$F$11,0))*(1+IF(BJ$4=$A61,Вводные!$D$5*INDEX(Вводные!$G$13:$G$64,MATCH($A61,Вводные!$A$13:$A$64,0)),0))</f>
        <v>1000</v>
      </c>
      <c r="BK61" s="14" t="n">
        <f aca="false">INDEX(Вводные!$D$13:$F$64,MATCH($A61,Вводные!$A$13:$A$64,0),MATCH(BK$3,Вводные!$D$11:$F$11,0))*(1+IF(BK$4=$A61,Вводные!$D$5*INDEX(Вводные!$G$13:$G$64,MATCH($A61,Вводные!$A$13:$A$64,0)),0))</f>
        <v>1000</v>
      </c>
      <c r="BL61" s="14" t="n">
        <f aca="false">INDEX(Вводные!$D$13:$F$64,MATCH($A61,Вводные!$A$13:$A$64,0),MATCH(BL$3,Вводные!$D$11:$F$11,0))*(1+IF(BL$4=$A61,Вводные!$D$5*INDEX(Вводные!$G$13:$G$64,MATCH($A61,Вводные!$A$13:$A$64,0)),0))</f>
        <v>1000</v>
      </c>
      <c r="BM61" s="14" t="n">
        <f aca="false">INDEX(Вводные!$D$13:$F$64,MATCH($A61,Вводные!$A$13:$A$64,0),MATCH(BM$3,Вводные!$D$11:$F$11,0))*(1+IF(BM$4=$A61,Вводные!$D$5*INDEX(Вводные!$G$13:$G$64,MATCH($A61,Вводные!$A$13:$A$64,0)),0))</f>
        <v>1000</v>
      </c>
      <c r="BN61" s="14" t="n">
        <f aca="false">INDEX(Вводные!$D$13:$F$64,MATCH($A61,Вводные!$A$13:$A$64,0),MATCH(BN$3,Вводные!$D$11:$F$11,0))*(1+IF(BN$4=$A61,Вводные!$D$5*INDEX(Вводные!$G$13:$G$64,MATCH($A61,Вводные!$A$13:$A$64,0)),0))</f>
        <v>1000</v>
      </c>
      <c r="BO61" s="14" t="n">
        <f aca="false">INDEX(Вводные!$D$13:$F$64,MATCH($A61,Вводные!$A$13:$A$64,0),MATCH(BO$3,Вводные!$D$11:$F$11,0))*(1+IF(BO$4=$A61,Вводные!$D$5*INDEX(Вводные!$G$13:$G$64,MATCH($A61,Вводные!$A$13:$A$64,0)),0))</f>
        <v>1000</v>
      </c>
      <c r="BP61" s="14" t="n">
        <f aca="false">INDEX(Вводные!$D$13:$F$64,MATCH($A61,Вводные!$A$13:$A$64,0),MATCH(BP$3,Вводные!$D$11:$F$11,0))*(1+IF(BP$4=$A61,Вводные!$D$5*INDEX(Вводные!$G$13:$G$64,MATCH($A61,Вводные!$A$13:$A$64,0)),0))</f>
        <v>1000</v>
      </c>
      <c r="BQ61" s="14" t="n">
        <f aca="false">INDEX(Вводные!$D$13:$F$64,MATCH($A61,Вводные!$A$13:$A$64,0),MATCH(BQ$3,Вводные!$D$11:$F$11,0))*(1+IF(BQ$4=$A61,Вводные!$D$5*INDEX(Вводные!$G$13:$G$64,MATCH($A61,Вводные!$A$13:$A$64,0)),0))</f>
        <v>1000</v>
      </c>
      <c r="BR61" s="14" t="n">
        <f aca="false">INDEX(Вводные!$D$13:$F$64,MATCH($A61,Вводные!$A$13:$A$64,0),MATCH(BR$3,Вводные!$D$11:$F$11,0))*(1+IF(BR$4=$A61,Вводные!$D$5*INDEX(Вводные!$G$13:$G$64,MATCH($A61,Вводные!$A$13:$A$64,0)),0))</f>
        <v>1000</v>
      </c>
      <c r="BS61" s="14" t="n">
        <f aca="false">INDEX(Вводные!$D$13:$F$64,MATCH($A61,Вводные!$A$13:$A$64,0),MATCH(BS$3,Вводные!$D$11:$F$11,0))*(1+IF(BS$4=$A61,Вводные!$D$5*INDEX(Вводные!$G$13:$G$64,MATCH($A61,Вводные!$A$13:$A$64,0)),0))</f>
        <v>1000</v>
      </c>
      <c r="BT61" s="14" t="n">
        <f aca="false">INDEX(Вводные!$D$13:$F$64,MATCH($A61,Вводные!$A$13:$A$64,0),MATCH(BT$3,Вводные!$D$11:$F$11,0))*(1+IF(BT$4=$A61,Вводные!$D$5*INDEX(Вводные!$G$13:$G$64,MATCH($A61,Вводные!$A$13:$A$64,0)),0))</f>
        <v>1000</v>
      </c>
      <c r="BU61" s="14" t="n">
        <f aca="false">INDEX(Вводные!$D$13:$F$64,MATCH($A61,Вводные!$A$13:$A$64,0),MATCH(BU$3,Вводные!$D$11:$F$11,0))*(1+IF(BU$4=$A61,Вводные!$D$5*INDEX(Вводные!$G$13:$G$64,MATCH($A61,Вводные!$A$13:$A$64,0)),0))</f>
        <v>1000</v>
      </c>
      <c r="BV61" s="14" t="n">
        <f aca="false">INDEX(Вводные!$D$13:$F$64,MATCH($A61,Вводные!$A$13:$A$64,0),MATCH(BV$3,Вводные!$D$11:$F$11,0))*(1+IF(BV$4=$A61,Вводные!$D$5*INDEX(Вводные!$G$13:$G$64,MATCH($A61,Вводные!$A$13:$A$64,0)),0))</f>
        <v>1000</v>
      </c>
      <c r="BW61" s="14" t="n">
        <f aca="false">INDEX(Вводные!$D$13:$F$64,MATCH($A61,Вводные!$A$13:$A$64,0),MATCH(BW$3,Вводные!$D$11:$F$11,0))*(1+IF(BW$4=$A61,Вводные!$D$5*INDEX(Вводные!$G$13:$G$64,MATCH($A61,Вводные!$A$13:$A$64,0)),0))</f>
        <v>1000</v>
      </c>
      <c r="BX61" s="14" t="n">
        <f aca="false">INDEX(Вводные!$D$13:$F$64,MATCH($A61,Вводные!$A$13:$A$64,0),MATCH(BX$3,Вводные!$D$11:$F$11,0))*(1+IF(BX$4=$A61,Вводные!$D$5*INDEX(Вводные!$G$13:$G$64,MATCH($A61,Вводные!$A$13:$A$64,0)),0))</f>
        <v>1000</v>
      </c>
      <c r="BY61" s="14" t="n">
        <f aca="false">INDEX(Вводные!$D$13:$F$64,MATCH($A61,Вводные!$A$13:$A$64,0),MATCH(BY$3,Вводные!$D$11:$F$11,0))*(1+IF(BY$4=$A61,Вводные!$D$5*INDEX(Вводные!$G$13:$G$64,MATCH($A61,Вводные!$A$13:$A$64,0)),0))</f>
        <v>1000</v>
      </c>
      <c r="BZ61" s="14" t="n">
        <f aca="false">INDEX(Вводные!$D$13:$F$64,MATCH($A61,Вводные!$A$13:$A$64,0),MATCH(BZ$3,Вводные!$D$11:$F$11,0))*(1+IF(BZ$4=$A61,Вводные!$D$5*INDEX(Вводные!$G$13:$G$64,MATCH($A61,Вводные!$A$13:$A$64,0)),0))</f>
        <v>1000</v>
      </c>
      <c r="CA61" s="14" t="n">
        <f aca="false">INDEX(Вводные!$D$13:$F$64,MATCH($A61,Вводные!$A$13:$A$64,0),MATCH(CA$3,Вводные!$D$11:$F$11,0))*(1+IF(CA$4=$A61,Вводные!$D$5*INDEX(Вводные!$G$13:$G$64,MATCH($A61,Вводные!$A$13:$A$64,0)),0))</f>
        <v>1000</v>
      </c>
      <c r="CB61" s="14" t="n">
        <f aca="false">INDEX(Вводные!$D$13:$F$64,MATCH($A61,Вводные!$A$13:$A$64,0),MATCH(CB$3,Вводные!$D$11:$F$11,0))*(1+IF(CB$4=$A61,Вводные!$D$5*INDEX(Вводные!$G$13:$G$64,MATCH($A61,Вводные!$A$13:$A$64,0)),0))</f>
        <v>1010</v>
      </c>
      <c r="CC61" s="14" t="n">
        <f aca="false">INDEX(Вводные!$D$13:$F$64,MATCH($A61,Вводные!$A$13:$A$64,0),MATCH(CC$3,Вводные!$D$11:$F$11,0))*(1+IF(CC$4=$A61,Вводные!$D$5*INDEX(Вводные!$G$13:$G$64,MATCH($A61,Вводные!$A$13:$A$64,0)),0))</f>
        <v>1000</v>
      </c>
      <c r="CD61" s="14" t="n">
        <f aca="false">INDEX(Вводные!$D$13:$F$64,MATCH($A61,Вводные!$A$13:$A$64,0),MATCH(CD$3,Вводные!$D$11:$F$11,0))*(1+IF(CD$4=$A61,Вводные!$D$5*INDEX(Вводные!$G$13:$G$64,MATCH($A61,Вводные!$A$13:$A$64,0)),0))</f>
        <v>1000</v>
      </c>
      <c r="CE61" s="14" t="n">
        <f aca="false">INDEX(Вводные!$D$13:$F$64,MATCH($A61,Вводные!$A$13:$A$64,0),MATCH(CE$3,Вводные!$D$11:$F$11,0))*(1+IF(CE$4=$A61,Вводные!$D$5*INDEX(Вводные!$G$13:$G$64,MATCH($A61,Вводные!$A$13:$A$64,0)),0))</f>
        <v>1000</v>
      </c>
      <c r="CF61" s="14" t="n">
        <f aca="false">INDEX(Вводные!$D$13:$F$64,MATCH($A61,Вводные!$A$13:$A$64,0),MATCH(CF$3,Вводные!$D$11:$F$11,0))*(1+IF(CF$4=$A61,Вводные!$D$5*INDEX(Вводные!$G$13:$G$64,MATCH($A61,Вводные!$A$13:$A$64,0)),0))</f>
        <v>1000</v>
      </c>
      <c r="CG61" s="14" t="n">
        <f aca="false">INDEX(Вводные!$D$13:$F$64,MATCH($A61,Вводные!$A$13:$A$64,0),MATCH(CG$3,Вводные!$D$11:$F$11,0))*(1+IF(CG$4=$A61,Вводные!$D$5*INDEX(Вводные!$G$13:$G$64,MATCH($A61,Вводные!$A$13:$A$64,0)),0))</f>
        <v>1000</v>
      </c>
      <c r="CH61" s="14" t="n">
        <f aca="false">INDEX(Вводные!$D$13:$F$64,MATCH($A61,Вводные!$A$13:$A$64,0),MATCH(CH$3,Вводные!$D$11:$F$11,0))*(1+IF(CH$4=$A61,Вводные!$D$5*INDEX(Вводные!$G$13:$G$64,MATCH($A61,Вводные!$A$13:$A$64,0)),0))</f>
        <v>1000</v>
      </c>
      <c r="CI61" s="14" t="n">
        <f aca="false">INDEX(Вводные!$D$13:$F$64,MATCH($A61,Вводные!$A$13:$A$64,0),MATCH(CI$3,Вводные!$D$11:$F$11,0))*(1+IF(CI$4=$A61,Вводные!$D$5*INDEX(Вводные!$G$13:$G$64,MATCH($A61,Вводные!$A$13:$A$64,0)),0))</f>
        <v>1000</v>
      </c>
      <c r="CJ61" s="14" t="n">
        <f aca="false">INDEX(Вводные!$D$13:$F$64,MATCH($A61,Вводные!$A$13:$A$64,0),MATCH(CJ$3,Вводные!$D$11:$F$11,0))*(1+IF(CJ$4=$A61,Вводные!$D$5*INDEX(Вводные!$G$13:$G$64,MATCH($A61,Вводные!$A$13:$A$64,0)),0))</f>
        <v>1000</v>
      </c>
      <c r="CK61" s="14" t="n">
        <f aca="false">INDEX(Вводные!$D$13:$F$64,MATCH($A61,Вводные!$A$13:$A$64,0),MATCH(CK$3,Вводные!$D$11:$F$11,0))*(1+IF(CK$4=$A61,Вводные!$D$5*INDEX(Вводные!$G$13:$G$64,MATCH($A61,Вводные!$A$13:$A$64,0)),0))</f>
        <v>1000</v>
      </c>
      <c r="CL61" s="14" t="n">
        <f aca="false">INDEX(Вводные!$D$13:$F$64,MATCH($A61,Вводные!$A$13:$A$64,0),MATCH(CL$3,Вводные!$D$11:$F$11,0))*(1+IF(CL$4=$A61,Вводные!$D$5*INDEX(Вводные!$G$13:$G$64,MATCH($A61,Вводные!$A$13:$A$64,0)),0))</f>
        <v>1000</v>
      </c>
      <c r="CM61" s="14" t="n">
        <f aca="false">INDEX(Вводные!$D$13:$F$64,MATCH($A61,Вводные!$A$13:$A$64,0),MATCH(CM$3,Вводные!$D$11:$F$11,0))*(1+IF(CM$4=$A61,Вводные!$D$5*INDEX(Вводные!$G$13:$G$64,MATCH($A61,Вводные!$A$13:$A$64,0)),0))</f>
        <v>1000</v>
      </c>
      <c r="CN61" s="14" t="n">
        <f aca="false">INDEX(Вводные!$D$13:$F$64,MATCH($A61,Вводные!$A$13:$A$64,0),MATCH(CN$3,Вводные!$D$11:$F$11,0))*(1+IF(CN$4=$A61,Вводные!$D$5*INDEX(Вводные!$G$13:$G$64,MATCH($A61,Вводные!$A$13:$A$64,0)),0))</f>
        <v>1000</v>
      </c>
      <c r="CO61" s="14" t="n">
        <f aca="false">INDEX(Вводные!$D$13:$F$64,MATCH($A61,Вводные!$A$13:$A$64,0),MATCH(CO$3,Вводные!$D$11:$F$11,0))*(1+IF(CO$4=$A61,Вводные!$D$5*INDEX(Вводные!$G$13:$G$64,MATCH($A61,Вводные!$A$13:$A$64,0)),0))</f>
        <v>1000</v>
      </c>
      <c r="CP61" s="14" t="n">
        <f aca="false">INDEX(Вводные!$D$13:$F$64,MATCH($A61,Вводные!$A$13:$A$64,0),MATCH(CP$3,Вводные!$D$11:$F$11,0))*(1+IF(CP$4=$A61,Вводные!$D$5*INDEX(Вводные!$G$13:$G$64,MATCH($A61,Вводные!$A$13:$A$64,0)),0))</f>
        <v>0</v>
      </c>
      <c r="CQ61" s="14" t="n">
        <f aca="false">INDEX(Вводные!$D$13:$F$64,MATCH($A61,Вводные!$A$13:$A$64,0),MATCH(CQ$3,Вводные!$D$11:$F$11,0))*(1+IF(CQ$4=$A61,Вводные!$D$5*INDEX(Вводные!$G$13:$G$64,MATCH($A61,Вводные!$A$13:$A$64,0)),0))</f>
        <v>0</v>
      </c>
      <c r="CR61" s="14" t="n">
        <f aca="false">INDEX(Вводные!$D$13:$F$64,MATCH($A61,Вводные!$A$13:$A$64,0),MATCH(CR$3,Вводные!$D$11:$F$11,0))*(1+IF(CR$4=$A61,Вводные!$D$5*INDEX(Вводные!$G$13:$G$64,MATCH($A61,Вводные!$A$13:$A$64,0)),0))</f>
        <v>0</v>
      </c>
      <c r="CS61" s="14" t="n">
        <f aca="false">INDEX(Вводные!$D$13:$F$64,MATCH($A61,Вводные!$A$13:$A$64,0),MATCH(CS$3,Вводные!$D$11:$F$11,0))*(1+IF(CS$4=$A61,Вводные!$D$5*INDEX(Вводные!$G$13:$G$64,MATCH($A61,Вводные!$A$13:$A$64,0)),0))</f>
        <v>0</v>
      </c>
      <c r="CT61" s="14" t="n">
        <f aca="false">INDEX(Вводные!$D$13:$F$64,MATCH($A61,Вводные!$A$13:$A$64,0),MATCH(CT$3,Вводные!$D$11:$F$11,0))*(1+IF(CT$4=$A61,Вводные!$D$5*INDEX(Вводные!$G$13:$G$64,MATCH($A61,Вводные!$A$13:$A$64,0)),0))</f>
        <v>0</v>
      </c>
      <c r="CU61" s="14" t="n">
        <f aca="false">INDEX(Вводные!$D$13:$F$64,MATCH($A61,Вводные!$A$13:$A$64,0),MATCH(CU$3,Вводные!$D$11:$F$11,0))*(1+IF(CU$4=$A61,Вводные!$D$5*INDEX(Вводные!$G$13:$G$64,MATCH($A61,Вводные!$A$13:$A$64,0)),0))</f>
        <v>0</v>
      </c>
      <c r="CV61" s="14" t="n">
        <f aca="false">INDEX(Вводные!$D$13:$F$64,MATCH($A61,Вводные!$A$13:$A$64,0),MATCH(CV$3,Вводные!$D$11:$F$11,0))*(1+IF(CV$4=$A61,Вводные!$D$5*INDEX(Вводные!$G$13:$G$64,MATCH($A61,Вводные!$A$13:$A$64,0)),0))</f>
        <v>0</v>
      </c>
      <c r="CW61" s="14" t="n">
        <f aca="false">INDEX(Вводные!$D$13:$F$64,MATCH($A61,Вводные!$A$13:$A$64,0),MATCH(CW$3,Вводные!$D$11:$F$11,0))*(1+IF(CW$4=$A61,Вводные!$D$5*INDEX(Вводные!$G$13:$G$64,MATCH($A61,Вводные!$A$13:$A$64,0)),0))</f>
        <v>0</v>
      </c>
      <c r="CX61" s="14" t="n">
        <f aca="false">INDEX(Вводные!$D$13:$F$64,MATCH($A61,Вводные!$A$13:$A$64,0),MATCH(CX$3,Вводные!$D$11:$F$11,0))*(1+IF(CX$4=$A61,Вводные!$D$5*INDEX(Вводные!$G$13:$G$64,MATCH($A61,Вводные!$A$13:$A$64,0)),0))</f>
        <v>0</v>
      </c>
      <c r="CY61" s="14" t="n">
        <f aca="false">INDEX(Вводные!$D$13:$F$64,MATCH($A61,Вводные!$A$13:$A$64,0),MATCH(CY$3,Вводные!$D$11:$F$11,0))*(1+IF(CY$4=$A61,Вводные!$D$5*INDEX(Вводные!$G$13:$G$64,MATCH($A61,Вводные!$A$13:$A$64,0)),0))</f>
        <v>0</v>
      </c>
      <c r="CZ61" s="14" t="n">
        <f aca="false">INDEX(Вводные!$D$13:$F$64,MATCH($A61,Вводные!$A$13:$A$64,0),MATCH(CZ$3,Вводные!$D$11:$F$11,0))*(1+IF(CZ$4=$A61,Вводные!$D$5*INDEX(Вводные!$G$13:$G$64,MATCH($A61,Вводные!$A$13:$A$64,0)),0))</f>
        <v>0</v>
      </c>
      <c r="DA61" s="14" t="n">
        <f aca="false">INDEX(Вводные!$D$13:$F$64,MATCH($A61,Вводные!$A$13:$A$64,0),MATCH(DA$3,Вводные!$D$11:$F$11,0))*(1+IF(DA$4=$A61,Вводные!$D$5*INDEX(Вводные!$G$13:$G$64,MATCH($A61,Вводные!$A$13:$A$64,0)),0))</f>
        <v>0</v>
      </c>
      <c r="DB61" s="14" t="n">
        <f aca="false">INDEX(Вводные!$D$13:$F$64,MATCH($A61,Вводные!$A$13:$A$64,0),MATCH(DB$3,Вводные!$D$11:$F$11,0))*(1+IF(DB$4=$A61,Вводные!$D$5*INDEX(Вводные!$G$13:$G$64,MATCH($A61,Вводные!$A$13:$A$64,0)),0))</f>
        <v>0</v>
      </c>
      <c r="DC61" s="14" t="n">
        <f aca="false">INDEX(Вводные!$D$13:$F$64,MATCH($A61,Вводные!$A$13:$A$64,0),MATCH(DC$3,Вводные!$D$11:$F$11,0))*(1+IF(DC$4=$A61,Вводные!$D$5*INDEX(Вводные!$G$13:$G$64,MATCH($A61,Вводные!$A$13:$A$64,0)),0))</f>
        <v>0</v>
      </c>
      <c r="DD61" s="14" t="n">
        <f aca="false">INDEX(Вводные!$D$13:$F$64,MATCH($A61,Вводные!$A$13:$A$64,0),MATCH(DD$3,Вводные!$D$11:$F$11,0))*(1+IF(DD$4=$A61,Вводные!$D$5*INDEX(Вводные!$G$13:$G$64,MATCH($A61,Вводные!$A$13:$A$64,0)),0))</f>
        <v>0</v>
      </c>
      <c r="DE61" s="14" t="n">
        <f aca="false">INDEX(Вводные!$D$13:$F$64,MATCH($A61,Вводные!$A$13:$A$64,0),MATCH(DE$3,Вводные!$D$11:$F$11,0))*(1+IF(DE$4=$A61,Вводные!$D$5*INDEX(Вводные!$G$13:$G$64,MATCH($A61,Вводные!$A$13:$A$64,0)),0))</f>
        <v>0</v>
      </c>
      <c r="DF61" s="14" t="n">
        <f aca="false">INDEX(Вводные!$D$13:$F$64,MATCH($A61,Вводные!$A$13:$A$64,0),MATCH(DF$3,Вводные!$D$11:$F$11,0))*(1+IF(DF$4=$A61,Вводные!$D$5*INDEX(Вводные!$G$13:$G$64,MATCH($A61,Вводные!$A$13:$A$64,0)),0))</f>
        <v>0</v>
      </c>
      <c r="DG61" s="14" t="n">
        <f aca="false">INDEX(Вводные!$D$13:$F$64,MATCH($A61,Вводные!$A$13:$A$64,0),MATCH(DG$3,Вводные!$D$11:$F$11,0))*(1+IF(DG$4=$A61,Вводные!$D$5*INDEX(Вводные!$G$13:$G$64,MATCH($A61,Вводные!$A$13:$A$64,0)),0))</f>
        <v>0</v>
      </c>
      <c r="DH61" s="14" t="n">
        <f aca="false">INDEX(Вводные!$D$13:$F$64,MATCH($A61,Вводные!$A$13:$A$64,0),MATCH(DH$3,Вводные!$D$11:$F$11,0))*(1+IF(DH$4=$A61,Вводные!$D$5*INDEX(Вводные!$G$13:$G$64,MATCH($A61,Вводные!$A$13:$A$64,0)),0))</f>
        <v>0</v>
      </c>
      <c r="DI61" s="14" t="n">
        <f aca="false">INDEX(Вводные!$D$13:$F$64,MATCH($A61,Вводные!$A$13:$A$64,0),MATCH(DI$3,Вводные!$D$11:$F$11,0))*(1+IF(DI$4=$A61,Вводные!$D$5*INDEX(Вводные!$G$13:$G$64,MATCH($A61,Вводные!$A$13:$A$64,0)),0))</f>
        <v>0</v>
      </c>
      <c r="DJ61" s="14" t="n">
        <f aca="false">INDEX(Вводные!$D$13:$F$64,MATCH($A61,Вводные!$A$13:$A$64,0),MATCH(DJ$3,Вводные!$D$11:$F$11,0))*(1+IF(DJ$4=$A61,Вводные!$D$5*INDEX(Вводные!$G$13:$G$64,MATCH($A61,Вводные!$A$13:$A$64,0)),0))</f>
        <v>0</v>
      </c>
      <c r="DK61" s="14" t="n">
        <f aca="false">INDEX(Вводные!$D$13:$F$64,MATCH($A61,Вводные!$A$13:$A$64,0),MATCH(DK$3,Вводные!$D$11:$F$11,0))*(1+IF(DK$4=$A61,Вводные!$D$5*INDEX(Вводные!$G$13:$G$64,MATCH($A61,Вводные!$A$13:$A$64,0)),0))</f>
        <v>0</v>
      </c>
      <c r="DL61" s="14" t="n">
        <f aca="false">INDEX(Вводные!$D$13:$F$64,MATCH($A61,Вводные!$A$13:$A$64,0),MATCH(DL$3,Вводные!$D$11:$F$11,0))*(1+IF(DL$4=$A61,Вводные!$D$5*INDEX(Вводные!$G$13:$G$64,MATCH($A61,Вводные!$A$13:$A$64,0)),0))</f>
        <v>0</v>
      </c>
      <c r="DM61" s="14" t="n">
        <f aca="false">INDEX(Вводные!$D$13:$F$64,MATCH($A61,Вводные!$A$13:$A$64,0),MATCH(DM$3,Вводные!$D$11:$F$11,0))*(1+IF(DM$4=$A61,Вводные!$D$5*INDEX(Вводные!$G$13:$G$64,MATCH($A61,Вводные!$A$13:$A$64,0)),0))</f>
        <v>0</v>
      </c>
      <c r="DN61" s="14" t="n">
        <f aca="false">INDEX(Вводные!$D$13:$F$64,MATCH($A61,Вводные!$A$13:$A$64,0),MATCH(DN$3,Вводные!$D$11:$F$11,0))*(1+IF(DN$4=$A61,Вводные!$D$5*INDEX(Вводные!$G$13:$G$64,MATCH($A61,Вводные!$A$13:$A$64,0)),0))</f>
        <v>0</v>
      </c>
      <c r="DO61" s="14" t="n">
        <f aca="false">INDEX(Вводные!$D$13:$F$64,MATCH($A61,Вводные!$A$13:$A$64,0),MATCH(DO$3,Вводные!$D$11:$F$11,0))*(1+IF(DO$4=$A61,Вводные!$D$5*INDEX(Вводные!$G$13:$G$64,MATCH($A61,Вводные!$A$13:$A$64,0)),0))</f>
        <v>0</v>
      </c>
      <c r="DP61" s="14" t="n">
        <f aca="false">INDEX(Вводные!$D$13:$F$64,MATCH($A61,Вводные!$A$13:$A$64,0),MATCH(DP$3,Вводные!$D$11:$F$11,0))*(1+IF(DP$4=$A61,Вводные!$D$5*INDEX(Вводные!$G$13:$G$64,MATCH($A61,Вводные!$A$13:$A$64,0)),0))</f>
        <v>0</v>
      </c>
      <c r="DQ61" s="14" t="n">
        <f aca="false">INDEX(Вводные!$D$13:$F$64,MATCH($A61,Вводные!$A$13:$A$64,0),MATCH(DQ$3,Вводные!$D$11:$F$11,0))*(1+IF(DQ$4=$A61,Вводные!$D$5*INDEX(Вводные!$G$13:$G$64,MATCH($A61,Вводные!$A$13:$A$64,0)),0))</f>
        <v>0</v>
      </c>
      <c r="DR61" s="14" t="n">
        <f aca="false">INDEX(Вводные!$D$13:$F$64,MATCH($A61,Вводные!$A$13:$A$64,0),MATCH(DR$3,Вводные!$D$11:$F$11,0))*(1+IF(DR$4=$A61,Вводные!$D$5*INDEX(Вводные!$G$13:$G$64,MATCH($A61,Вводные!$A$13:$A$64,0)),0))</f>
        <v>0</v>
      </c>
      <c r="DS61" s="14" t="n">
        <f aca="false">INDEX(Вводные!$D$13:$F$64,MATCH($A61,Вводные!$A$13:$A$64,0),MATCH(DS$3,Вводные!$D$11:$F$11,0))*(1+IF(DS$4=$A61,Вводные!$D$5*INDEX(Вводные!$G$13:$G$64,MATCH($A61,Вводные!$A$13:$A$64,0)),0))</f>
        <v>0</v>
      </c>
      <c r="DT61" s="14" t="n">
        <f aca="false">INDEX(Вводные!$D$13:$F$64,MATCH($A61,Вводные!$A$13:$A$64,0),MATCH(DT$3,Вводные!$D$11:$F$11,0))*(1+IF(DT$4=$A61,Вводные!$D$5*INDEX(Вводные!$G$13:$G$64,MATCH($A61,Вводные!$A$13:$A$64,0)),0))</f>
        <v>0</v>
      </c>
      <c r="DU61" s="14" t="n">
        <f aca="false">INDEX(Вводные!$D$13:$F$64,MATCH($A61,Вводные!$A$13:$A$64,0),MATCH(DU$3,Вводные!$D$11:$F$11,0))*(1+IF(DU$4=$A61,Вводные!$D$5*INDEX(Вводные!$G$13:$G$64,MATCH($A61,Вводные!$A$13:$A$64,0)),0))</f>
        <v>0</v>
      </c>
      <c r="DV61" s="14" t="n">
        <f aca="false">INDEX(Вводные!$D$13:$F$64,MATCH($A61,Вводные!$A$13:$A$64,0),MATCH(DV$3,Вводные!$D$11:$F$11,0))*(1+IF(DV$4=$A61,Вводные!$D$5*INDEX(Вводные!$G$13:$G$64,MATCH($A61,Вводные!$A$13:$A$64,0)),0))</f>
        <v>0</v>
      </c>
      <c r="DW61" s="14" t="n">
        <f aca="false">INDEX(Вводные!$D$13:$F$64,MATCH($A61,Вводные!$A$13:$A$64,0),MATCH(DW$3,Вводные!$D$11:$F$11,0))*(1+IF(DW$4=$A61,Вводные!$D$5*INDEX(Вводные!$G$13:$G$64,MATCH($A61,Вводные!$A$13:$A$64,0)),0))</f>
        <v>0</v>
      </c>
      <c r="DX61" s="14" t="n">
        <f aca="false">INDEX(Вводные!$D$13:$F$64,MATCH($A61,Вводные!$A$13:$A$64,0),MATCH(DX$3,Вводные!$D$11:$F$11,0))*(1+IF(DX$4=$A61,Вводные!$D$5*INDEX(Вводные!$G$13:$G$64,MATCH($A61,Вводные!$A$13:$A$64,0)),0))</f>
        <v>0</v>
      </c>
      <c r="DY61" s="14" t="n">
        <f aca="false">INDEX(Вводные!$D$13:$F$64,MATCH($A61,Вводные!$A$13:$A$64,0),MATCH(DY$3,Вводные!$D$11:$F$11,0))*(1+IF(DY$4=$A61,Вводные!$D$5*INDEX(Вводные!$G$13:$G$64,MATCH($A61,Вводные!$A$13:$A$64,0)),0))</f>
        <v>0</v>
      </c>
      <c r="DZ61" s="14" t="n">
        <f aca="false">INDEX(Вводные!$D$13:$F$64,MATCH($A61,Вводные!$A$13:$A$64,0),MATCH(DZ$3,Вводные!$D$11:$F$11,0))*(1+IF(DZ$4=$A61,Вводные!$D$5*INDEX(Вводные!$G$13:$G$64,MATCH($A61,Вводные!$A$13:$A$64,0)),0))</f>
        <v>0</v>
      </c>
      <c r="EA61" s="14" t="n">
        <f aca="false">INDEX(Вводные!$D$13:$F$64,MATCH($A61,Вводные!$A$13:$A$64,0),MATCH(EA$3,Вводные!$D$11:$F$11,0))*(1+IF(EA$4=$A61,Вводные!$D$5*INDEX(Вводные!$G$13:$G$64,MATCH($A61,Вводные!$A$13:$A$64,0)),0))</f>
        <v>0</v>
      </c>
      <c r="EB61" s="14" t="n">
        <f aca="false">INDEX(Вводные!$D$13:$F$64,MATCH($A61,Вводные!$A$13:$A$64,0),MATCH(EB$3,Вводные!$D$11:$F$11,0))*(1+IF(EB$4=$A61,Вводные!$D$5*INDEX(Вводные!$G$13:$G$64,MATCH($A61,Вводные!$A$13:$A$64,0)),0))</f>
        <v>0</v>
      </c>
      <c r="EC61" s="14" t="n">
        <f aca="false">INDEX(Вводные!$D$13:$F$64,MATCH($A61,Вводные!$A$13:$A$64,0),MATCH(EC$3,Вводные!$D$11:$F$11,0))*(1+IF(EC$4=$A61,Вводные!$D$5*INDEX(Вводные!$G$13:$G$64,MATCH($A61,Вводные!$A$13:$A$64,0)),0))</f>
        <v>0</v>
      </c>
      <c r="ED61" s="14" t="n">
        <f aca="false">INDEX(Вводные!$D$13:$F$64,MATCH($A61,Вводные!$A$13:$A$64,0),MATCH(ED$3,Вводные!$D$11:$F$11,0))*(1+IF(ED$4=$A61,Вводные!$D$5*INDEX(Вводные!$G$13:$G$64,MATCH($A61,Вводные!$A$13:$A$64,0)),0))</f>
        <v>0</v>
      </c>
      <c r="EE61" s="14" t="n">
        <f aca="false">INDEX(Вводные!$D$13:$F$64,MATCH($A61,Вводные!$A$13:$A$64,0),MATCH(EE$3,Вводные!$D$11:$F$11,0))*(1+IF(EE$4=$A61,Вводные!$D$5*INDEX(Вводные!$G$13:$G$64,MATCH($A61,Вводные!$A$13:$A$64,0)),0))</f>
        <v>0</v>
      </c>
      <c r="EF61" s="14" t="n">
        <f aca="false">INDEX(Вводные!$D$13:$F$64,MATCH($A61,Вводные!$A$13:$A$64,0),MATCH(EF$3,Вводные!$D$11:$F$11,0))*(1+IF(EF$4=$A61,Вводные!$D$5*INDEX(Вводные!$G$13:$G$64,MATCH($A61,Вводные!$A$13:$A$64,0)),0))</f>
        <v>60</v>
      </c>
      <c r="EG61" s="14" t="n">
        <f aca="false">INDEX(Вводные!$D$13:$F$64,MATCH($A61,Вводные!$A$13:$A$64,0),MATCH(EG$3,Вводные!$D$11:$F$11,0))*(1+IF(EG$4=$A61,Вводные!$D$5*INDEX(Вводные!$G$13:$G$64,MATCH($A61,Вводные!$A$13:$A$64,0)),0))</f>
        <v>60</v>
      </c>
      <c r="EH61" s="14" t="n">
        <f aca="false">INDEX(Вводные!$D$13:$F$64,MATCH($A61,Вводные!$A$13:$A$64,0),MATCH(EH$3,Вводные!$D$11:$F$11,0))*(1+IF(EH$4=$A61,Вводные!$D$5*INDEX(Вводные!$G$13:$G$64,MATCH($A61,Вводные!$A$13:$A$64,0)),0))</f>
        <v>60</v>
      </c>
      <c r="EI61" s="14" t="n">
        <f aca="false">INDEX(Вводные!$D$13:$F$64,MATCH($A61,Вводные!$A$13:$A$64,0),MATCH(EI$3,Вводные!$D$11:$F$11,0))*(1+IF(EI$4=$A61,Вводные!$D$5*INDEX(Вводные!$G$13:$G$64,MATCH($A61,Вводные!$A$13:$A$64,0)),0))</f>
        <v>60</v>
      </c>
      <c r="EJ61" s="14" t="n">
        <f aca="false">INDEX(Вводные!$D$13:$F$64,MATCH($A61,Вводные!$A$13:$A$64,0),MATCH(EJ$3,Вводные!$D$11:$F$11,0))*(1+IF(EJ$4=$A61,Вводные!$D$5*INDEX(Вводные!$G$13:$G$64,MATCH($A61,Вводные!$A$13:$A$64,0)),0))</f>
        <v>60</v>
      </c>
      <c r="EK61" s="14" t="n">
        <f aca="false">INDEX(Вводные!$D$13:$F$64,MATCH($A61,Вводные!$A$13:$A$64,0),MATCH(EK$3,Вводные!$D$11:$F$11,0))*(1+IF(EK$4=$A61,Вводные!$D$5*INDEX(Вводные!$G$13:$G$64,MATCH($A61,Вводные!$A$13:$A$64,0)),0))</f>
        <v>60</v>
      </c>
      <c r="EL61" s="14" t="n">
        <f aca="false">INDEX(Вводные!$D$13:$F$64,MATCH($A61,Вводные!$A$13:$A$64,0),MATCH(EL$3,Вводные!$D$11:$F$11,0))*(1+IF(EL$4=$A61,Вводные!$D$5*INDEX(Вводные!$G$13:$G$64,MATCH($A61,Вводные!$A$13:$A$64,0)),0))</f>
        <v>60</v>
      </c>
      <c r="EM61" s="14" t="n">
        <f aca="false">INDEX(Вводные!$D$13:$F$64,MATCH($A61,Вводные!$A$13:$A$64,0),MATCH(EM$3,Вводные!$D$11:$F$11,0))*(1+IF(EM$4=$A61,Вводные!$D$5*INDEX(Вводные!$G$13:$G$64,MATCH($A61,Вводные!$A$13:$A$64,0)),0))</f>
        <v>60</v>
      </c>
      <c r="EN61" s="14" t="n">
        <f aca="false">INDEX(Вводные!$D$13:$F$64,MATCH($A61,Вводные!$A$13:$A$64,0),MATCH(EN$3,Вводные!$D$11:$F$11,0))*(1+IF(EN$4=$A61,Вводные!$D$5*INDEX(Вводные!$G$13:$G$64,MATCH($A61,Вводные!$A$13:$A$64,0)),0))</f>
        <v>60</v>
      </c>
      <c r="EO61" s="14" t="n">
        <f aca="false">INDEX(Вводные!$D$13:$F$64,MATCH($A61,Вводные!$A$13:$A$64,0),MATCH(EO$3,Вводные!$D$11:$F$11,0))*(1+IF(EO$4=$A61,Вводные!$D$5*INDEX(Вводные!$G$13:$G$64,MATCH($A61,Вводные!$A$13:$A$64,0)),0))</f>
        <v>60</v>
      </c>
      <c r="EP61" s="14" t="n">
        <f aca="false">INDEX(Вводные!$D$13:$F$64,MATCH($A61,Вводные!$A$13:$A$64,0),MATCH(EP$3,Вводные!$D$11:$F$11,0))*(1+IF(EP$4=$A61,Вводные!$D$5*INDEX(Вводные!$G$13:$G$64,MATCH($A61,Вводные!$A$13:$A$64,0)),0))</f>
        <v>60</v>
      </c>
      <c r="EQ61" s="14" t="n">
        <f aca="false">INDEX(Вводные!$D$13:$F$64,MATCH($A61,Вводные!$A$13:$A$64,0),MATCH(EQ$3,Вводные!$D$11:$F$11,0))*(1+IF(EQ$4=$A61,Вводные!$D$5*INDEX(Вводные!$G$13:$G$64,MATCH($A61,Вводные!$A$13:$A$64,0)),0))</f>
        <v>60</v>
      </c>
      <c r="ER61" s="14" t="n">
        <f aca="false">INDEX(Вводные!$D$13:$F$64,MATCH($A61,Вводные!$A$13:$A$64,0),MATCH(ER$3,Вводные!$D$11:$F$11,0))*(1+IF(ER$4=$A61,Вводные!$D$5*INDEX(Вводные!$G$13:$G$64,MATCH($A61,Вводные!$A$13:$A$64,0)),0))</f>
        <v>60</v>
      </c>
      <c r="ES61" s="14" t="n">
        <f aca="false">INDEX(Вводные!$D$13:$F$64,MATCH($A61,Вводные!$A$13:$A$64,0),MATCH(ES$3,Вводные!$D$11:$F$11,0))*(1+IF(ES$4=$A61,Вводные!$D$5*INDEX(Вводные!$G$13:$G$64,MATCH($A61,Вводные!$A$13:$A$64,0)),0))</f>
        <v>60</v>
      </c>
      <c r="ET61" s="14" t="n">
        <f aca="false">INDEX(Вводные!$D$13:$F$64,MATCH($A61,Вводные!$A$13:$A$64,0),MATCH(ET$3,Вводные!$D$11:$F$11,0))*(1+IF(ET$4=$A61,Вводные!$D$5*INDEX(Вводные!$G$13:$G$64,MATCH($A61,Вводные!$A$13:$A$64,0)),0))</f>
        <v>60</v>
      </c>
      <c r="EU61" s="14" t="n">
        <f aca="false">INDEX(Вводные!$D$13:$F$64,MATCH($A61,Вводные!$A$13:$A$64,0),MATCH(EU$3,Вводные!$D$11:$F$11,0))*(1+IF(EU$4=$A61,Вводные!$D$5*INDEX(Вводные!$G$13:$G$64,MATCH($A61,Вводные!$A$13:$A$64,0)),0))</f>
        <v>60</v>
      </c>
      <c r="EV61" s="14" t="n">
        <f aca="false">INDEX(Вводные!$D$13:$F$64,MATCH($A61,Вводные!$A$13:$A$64,0),MATCH(EV$3,Вводные!$D$11:$F$11,0))*(1+IF(EV$4=$A61,Вводные!$D$5*INDEX(Вводные!$G$13:$G$64,MATCH($A61,Вводные!$A$13:$A$64,0)),0))</f>
        <v>60</v>
      </c>
      <c r="EW61" s="14" t="n">
        <f aca="false">INDEX(Вводные!$D$13:$F$64,MATCH($A61,Вводные!$A$13:$A$64,0),MATCH(EW$3,Вводные!$D$11:$F$11,0))*(1+IF(EW$4=$A61,Вводные!$D$5*INDEX(Вводные!$G$13:$G$64,MATCH($A61,Вводные!$A$13:$A$64,0)),0))</f>
        <v>60</v>
      </c>
      <c r="EX61" s="14" t="n">
        <f aca="false">INDEX(Вводные!$D$13:$F$64,MATCH($A61,Вводные!$A$13:$A$64,0),MATCH(EX$3,Вводные!$D$11:$F$11,0))*(1+IF(EX$4=$A61,Вводные!$D$5*INDEX(Вводные!$G$13:$G$64,MATCH($A61,Вводные!$A$13:$A$64,0)),0))</f>
        <v>60</v>
      </c>
      <c r="EY61" s="14" t="n">
        <f aca="false">INDEX(Вводные!$D$13:$F$64,MATCH($A61,Вводные!$A$13:$A$64,0),MATCH(EY$3,Вводные!$D$11:$F$11,0))*(1+IF(EY$4=$A61,Вводные!$D$5*INDEX(Вводные!$G$13:$G$64,MATCH($A61,Вводные!$A$13:$A$64,0)),0))</f>
        <v>60</v>
      </c>
      <c r="EZ61" s="14" t="n">
        <f aca="false">INDEX(Вводные!$D$13:$F$64,MATCH($A61,Вводные!$A$13:$A$64,0),MATCH(EZ$3,Вводные!$D$11:$F$11,0))*(1+IF(EZ$4=$A61,Вводные!$D$5*INDEX(Вводные!$G$13:$G$64,MATCH($A61,Вводные!$A$13:$A$64,0)),0))</f>
        <v>60</v>
      </c>
      <c r="FA61" s="14" t="n">
        <f aca="false">INDEX(Вводные!$D$13:$F$64,MATCH($A61,Вводные!$A$13:$A$64,0),MATCH(FA$3,Вводные!$D$11:$F$11,0))*(1+IF(FA$4=$A61,Вводные!$D$5*INDEX(Вводные!$G$13:$G$64,MATCH($A61,Вводные!$A$13:$A$64,0)),0))</f>
        <v>60</v>
      </c>
      <c r="FB61" s="14" t="n">
        <f aca="false">INDEX(Вводные!$D$13:$F$64,MATCH($A61,Вводные!$A$13:$A$64,0),MATCH(FB$3,Вводные!$D$11:$F$11,0))*(1+IF(FB$4=$A61,Вводные!$D$5*INDEX(Вводные!$G$13:$G$64,MATCH($A61,Вводные!$A$13:$A$64,0)),0))</f>
        <v>60</v>
      </c>
      <c r="FC61" s="14" t="n">
        <f aca="false">INDEX(Вводные!$D$13:$F$64,MATCH($A61,Вводные!$A$13:$A$64,0),MATCH(FC$3,Вводные!$D$11:$F$11,0))*(1+IF(FC$4=$A61,Вводные!$D$5*INDEX(Вводные!$G$13:$G$64,MATCH($A61,Вводные!$A$13:$A$64,0)),0))</f>
        <v>60</v>
      </c>
      <c r="FD61" s="14" t="n">
        <f aca="false">INDEX(Вводные!$D$13:$F$64,MATCH($A61,Вводные!$A$13:$A$64,0),MATCH(FD$3,Вводные!$D$11:$F$11,0))*(1+IF(FD$4=$A61,Вводные!$D$5*INDEX(Вводные!$G$13:$G$64,MATCH($A61,Вводные!$A$13:$A$64,0)),0))</f>
        <v>60</v>
      </c>
      <c r="FE61" s="14" t="n">
        <f aca="false">INDEX(Вводные!$D$13:$F$64,MATCH($A61,Вводные!$A$13:$A$64,0),MATCH(FE$3,Вводные!$D$11:$F$11,0))*(1+IF(FE$4=$A61,Вводные!$D$5*INDEX(Вводные!$G$13:$G$64,MATCH($A61,Вводные!$A$13:$A$64,0)),0))</f>
        <v>60</v>
      </c>
      <c r="FF61" s="14" t="n">
        <f aca="false">INDEX(Вводные!$D$13:$F$64,MATCH($A61,Вводные!$A$13:$A$64,0),MATCH(FF$3,Вводные!$D$11:$F$11,0))*(1+IF(FF$4=$A61,Вводные!$D$5*INDEX(Вводные!$G$13:$G$64,MATCH($A61,Вводные!$A$13:$A$64,0)),0))</f>
        <v>60</v>
      </c>
      <c r="FG61" s="14" t="n">
        <f aca="false">INDEX(Вводные!$D$13:$F$64,MATCH($A61,Вводные!$A$13:$A$64,0),MATCH(FG$3,Вводные!$D$11:$F$11,0))*(1+IF(FG$4=$A61,Вводные!$D$5*INDEX(Вводные!$G$13:$G$64,MATCH($A61,Вводные!$A$13:$A$64,0)),0))</f>
        <v>60</v>
      </c>
      <c r="FH61" s="14" t="n">
        <f aca="false">INDEX(Вводные!$D$13:$F$64,MATCH($A61,Вводные!$A$13:$A$64,0),MATCH(FH$3,Вводные!$D$11:$F$11,0))*(1+IF(FH$4=$A61,Вводные!$D$5*INDEX(Вводные!$G$13:$G$64,MATCH($A61,Вводные!$A$13:$A$64,0)),0))</f>
        <v>60.6</v>
      </c>
      <c r="FI61" s="14" t="n">
        <f aca="false">INDEX(Вводные!$D$13:$F$64,MATCH($A61,Вводные!$A$13:$A$64,0),MATCH(FI$3,Вводные!$D$11:$F$11,0))*(1+IF(FI$4=$A61,Вводные!$D$5*INDEX(Вводные!$G$13:$G$64,MATCH($A61,Вводные!$A$13:$A$64,0)),0))</f>
        <v>60</v>
      </c>
      <c r="FJ61" s="14" t="n">
        <f aca="false">INDEX(Вводные!$D$13:$F$64,MATCH($A61,Вводные!$A$13:$A$64,0),MATCH(FJ$3,Вводные!$D$11:$F$11,0))*(1+IF(FJ$4=$A61,Вводные!$D$5*INDEX(Вводные!$G$13:$G$64,MATCH($A61,Вводные!$A$13:$A$64,0)),0))</f>
        <v>60</v>
      </c>
      <c r="FK61" s="14" t="n">
        <f aca="false">INDEX(Вводные!$D$13:$F$64,MATCH($A61,Вводные!$A$13:$A$64,0),MATCH(FK$3,Вводные!$D$11:$F$11,0))*(1+IF(FK$4=$A61,Вводные!$D$5*INDEX(Вводные!$G$13:$G$64,MATCH($A61,Вводные!$A$13:$A$64,0)),0))</f>
        <v>60</v>
      </c>
      <c r="FL61" s="14" t="n">
        <f aca="false">INDEX(Вводные!$D$13:$F$64,MATCH($A61,Вводные!$A$13:$A$64,0),MATCH(FL$3,Вводные!$D$11:$F$11,0))*(1+IF(FL$4=$A61,Вводные!$D$5*INDEX(Вводные!$G$13:$G$64,MATCH($A61,Вводные!$A$13:$A$64,0)),0))</f>
        <v>60</v>
      </c>
      <c r="FM61" s="14" t="n">
        <f aca="false">INDEX(Вводные!$D$13:$F$64,MATCH($A61,Вводные!$A$13:$A$64,0),MATCH(FM$3,Вводные!$D$11:$F$11,0))*(1+IF(FM$4=$A61,Вводные!$D$5*INDEX(Вводные!$G$13:$G$64,MATCH($A61,Вводные!$A$13:$A$64,0)),0))</f>
        <v>60</v>
      </c>
      <c r="FN61" s="14" t="n">
        <f aca="false">INDEX(Вводные!$D$13:$F$64,MATCH($A61,Вводные!$A$13:$A$64,0),MATCH(FN$3,Вводные!$D$11:$F$11,0))*(1+IF(FN$4=$A61,Вводные!$D$5*INDEX(Вводные!$G$13:$G$64,MATCH($A61,Вводные!$A$13:$A$64,0)),0))</f>
        <v>60</v>
      </c>
      <c r="FO61" s="14" t="n">
        <f aca="false">INDEX(Вводные!$D$13:$F$64,MATCH($A61,Вводные!$A$13:$A$64,0),MATCH(FO$3,Вводные!$D$11:$F$11,0))*(1+IF(FO$4=$A61,Вводные!$D$5*INDEX(Вводные!$G$13:$G$64,MATCH($A61,Вводные!$A$13:$A$64,0)),0))</f>
        <v>60</v>
      </c>
      <c r="FP61" s="14" t="n">
        <f aca="false">INDEX(Вводные!$D$13:$F$64,MATCH($A61,Вводные!$A$13:$A$64,0),MATCH(FP$3,Вводные!$D$11:$F$11,0))*(1+IF(FP$4=$A61,Вводные!$D$5*INDEX(Вводные!$G$13:$G$64,MATCH($A61,Вводные!$A$13:$A$64,0)),0))</f>
        <v>60</v>
      </c>
      <c r="FQ61" s="14" t="n">
        <f aca="false">INDEX(Вводные!$D$13:$F$64,MATCH($A61,Вводные!$A$13:$A$64,0),MATCH(FQ$3,Вводные!$D$11:$F$11,0))*(1+IF(FQ$4=$A61,Вводные!$D$5*INDEX(Вводные!$G$13:$G$64,MATCH($A61,Вводные!$A$13:$A$64,0)),0))</f>
        <v>60</v>
      </c>
      <c r="FR61" s="14" t="n">
        <f aca="false">INDEX(Вводные!$D$13:$F$64,MATCH($A61,Вводные!$A$13:$A$64,0),MATCH(FR$3,Вводные!$D$11:$F$11,0))*(1+IF(FR$4=$A61,Вводные!$D$5*INDEX(Вводные!$G$13:$G$64,MATCH($A61,Вводные!$A$13:$A$64,0)),0))</f>
        <v>60</v>
      </c>
      <c r="FS61" s="14" t="n">
        <f aca="false">INDEX(Вводные!$D$13:$F$64,MATCH($A61,Вводные!$A$13:$A$64,0),MATCH(FS$3,Вводные!$D$11:$F$11,0))*(1+IF(FS$4=$A61,Вводные!$D$5*INDEX(Вводные!$G$13:$G$64,MATCH($A61,Вводные!$A$13:$A$64,0)),0))</f>
        <v>60</v>
      </c>
      <c r="FT61" s="14" t="n">
        <f aca="false">INDEX(Вводные!$D$13:$F$64,MATCH($A61,Вводные!$A$13:$A$64,0),MATCH(FT$3,Вводные!$D$11:$F$11,0))*(1+IF(FT$4=$A61,Вводные!$D$5*INDEX(Вводные!$G$13:$G$64,MATCH($A61,Вводные!$A$13:$A$64,0)),0))</f>
        <v>60</v>
      </c>
      <c r="FU61" s="14" t="n">
        <f aca="false">INDEX(Вводные!$D$13:$F$64,MATCH($A61,Вводные!$A$13:$A$64,0),MATCH(FU$3,Вводные!$D$11:$F$11,0))*(1+IF(FU$4=$A61,Вводные!$D$5*INDEX(Вводные!$G$13:$G$64,MATCH($A61,Вводные!$A$13:$A$64,0)),0))</f>
        <v>60</v>
      </c>
      <c r="FV61" s="14" t="n">
        <f aca="false">INDEX(Вводные!$D$13:$F$64,MATCH($A61,Вводные!$A$13:$A$64,0),MATCH(FV$3,Вводные!$D$11:$F$11,0))*(1+IF(FV$4=$A61,Вводные!$D$5*INDEX(Вводные!$G$13:$G$64,MATCH($A61,Вводные!$A$13:$A$64,0)),0))</f>
        <v>1000</v>
      </c>
      <c r="FW61" s="14" t="n">
        <f aca="false">INDEX(Вводные!$D$13:$F$64,MATCH($A61,Вводные!$A$13:$A$64,0),MATCH(FW$3,Вводные!$D$11:$F$11,0))*(1+IF(FW$4=$A61,Вводные!$D$5*INDEX(Вводные!$G$13:$G$64,MATCH($A61,Вводные!$A$13:$A$64,0)),0))</f>
        <v>1000</v>
      </c>
      <c r="FX61" s="14" t="n">
        <f aca="false">INDEX(Вводные!$D$13:$F$64,MATCH($A61,Вводные!$A$13:$A$64,0),MATCH(FX$3,Вводные!$D$11:$F$11,0))*(1+IF(FX$4=$A61,Вводные!$D$5*INDEX(Вводные!$G$13:$G$64,MATCH($A61,Вводные!$A$13:$A$64,0)),0))</f>
        <v>1000</v>
      </c>
      <c r="FY61" s="14" t="n">
        <f aca="false">INDEX(Вводные!$D$13:$F$64,MATCH($A61,Вводные!$A$13:$A$64,0),MATCH(FY$3,Вводные!$D$11:$F$11,0))*(1+IF(FY$4=$A61,Вводные!$D$5*INDEX(Вводные!$G$13:$G$64,MATCH($A61,Вводные!$A$13:$A$64,0)),0))</f>
        <v>1000</v>
      </c>
      <c r="FZ61" s="14" t="n">
        <f aca="false">INDEX(Вводные!$D$13:$F$64,MATCH($A61,Вводные!$A$13:$A$64,0),MATCH(FZ$3,Вводные!$D$11:$F$11,0))*(1+IF(FZ$4=$A61,Вводные!$D$5*INDEX(Вводные!$G$13:$G$64,MATCH($A61,Вводные!$A$13:$A$64,0)),0))</f>
        <v>1000</v>
      </c>
      <c r="GA61" s="14" t="n">
        <f aca="false">INDEX(Вводные!$D$13:$F$64,MATCH($A61,Вводные!$A$13:$A$64,0),MATCH(GA$3,Вводные!$D$11:$F$11,0))*(1+IF(GA$4=$A61,Вводные!$D$5*INDEX(Вводные!$G$13:$G$64,MATCH($A61,Вводные!$A$13:$A$64,0)),0))</f>
        <v>1000</v>
      </c>
      <c r="GB61" s="14" t="n">
        <f aca="false">INDEX(Вводные!$D$13:$F$64,MATCH($A61,Вводные!$A$13:$A$64,0),MATCH(GB$3,Вводные!$D$11:$F$11,0))*(1+IF(GB$4=$A61,Вводные!$D$5*INDEX(Вводные!$G$13:$G$64,MATCH($A61,Вводные!$A$13:$A$64,0)),0))</f>
        <v>1000</v>
      </c>
      <c r="GC61" s="14" t="n">
        <f aca="false">INDEX(Вводные!$D$13:$F$64,MATCH($A61,Вводные!$A$13:$A$64,0),MATCH(GC$3,Вводные!$D$11:$F$11,0))*(1+IF(GC$4=$A61,Вводные!$D$5*INDEX(Вводные!$G$13:$G$64,MATCH($A61,Вводные!$A$13:$A$64,0)),0))</f>
        <v>1000</v>
      </c>
      <c r="GD61" s="14" t="n">
        <f aca="false">INDEX(Вводные!$D$13:$F$64,MATCH($A61,Вводные!$A$13:$A$64,0),MATCH(GD$3,Вводные!$D$11:$F$11,0))*(1+IF(GD$4=$A61,Вводные!$D$5*INDEX(Вводные!$G$13:$G$64,MATCH($A61,Вводные!$A$13:$A$64,0)),0))</f>
        <v>1000</v>
      </c>
      <c r="GE61" s="14" t="n">
        <f aca="false">INDEX(Вводные!$D$13:$F$64,MATCH($A61,Вводные!$A$13:$A$64,0),MATCH(GE$3,Вводные!$D$11:$F$11,0))*(1+IF(GE$4=$A61,Вводные!$D$5*INDEX(Вводные!$G$13:$G$64,MATCH($A61,Вводные!$A$13:$A$64,0)),0))</f>
        <v>1000</v>
      </c>
      <c r="GF61" s="14" t="n">
        <f aca="false">INDEX(Вводные!$D$13:$F$64,MATCH($A61,Вводные!$A$13:$A$64,0),MATCH(GF$3,Вводные!$D$11:$F$11,0))*(1+IF(GF$4=$A61,Вводные!$D$5*INDEX(Вводные!$G$13:$G$64,MATCH($A61,Вводные!$A$13:$A$64,0)),0))</f>
        <v>1000</v>
      </c>
      <c r="GG61" s="14" t="n">
        <f aca="false">INDEX(Вводные!$D$13:$F$64,MATCH($A61,Вводные!$A$13:$A$64,0),MATCH(GG$3,Вводные!$D$11:$F$11,0))*(1+IF(GG$4=$A61,Вводные!$D$5*INDEX(Вводные!$G$13:$G$64,MATCH($A61,Вводные!$A$13:$A$64,0)),0))</f>
        <v>1000</v>
      </c>
      <c r="GH61" s="14" t="n">
        <f aca="false">INDEX(Вводные!$D$13:$F$64,MATCH($A61,Вводные!$A$13:$A$64,0),MATCH(GH$3,Вводные!$D$11:$F$11,0))*(1+IF(GH$4=$A61,Вводные!$D$5*INDEX(Вводные!$G$13:$G$64,MATCH($A61,Вводные!$A$13:$A$64,0)),0))</f>
        <v>1000</v>
      </c>
      <c r="GI61" s="14" t="n">
        <f aca="false">INDEX(Вводные!$D$13:$F$64,MATCH($A61,Вводные!$A$13:$A$64,0),MATCH(GI$3,Вводные!$D$11:$F$11,0))*(1+IF(GI$4=$A61,Вводные!$D$5*INDEX(Вводные!$G$13:$G$64,MATCH($A61,Вводные!$A$13:$A$64,0)),0))</f>
        <v>1000</v>
      </c>
      <c r="GJ61" s="14" t="n">
        <f aca="false">INDEX(Вводные!$D$13:$F$64,MATCH($A61,Вводные!$A$13:$A$64,0),MATCH(GJ$3,Вводные!$D$11:$F$11,0))*(1+IF(GJ$4=$A61,Вводные!$D$5*INDEX(Вводные!$G$13:$G$64,MATCH($A61,Вводные!$A$13:$A$64,0)),0))</f>
        <v>1000</v>
      </c>
      <c r="GK61" s="14" t="n">
        <f aca="false">INDEX(Вводные!$D$13:$F$64,MATCH($A61,Вводные!$A$13:$A$64,0),MATCH(GK$3,Вводные!$D$11:$F$11,0))*(1+IF(GK$4=$A61,Вводные!$D$5*INDEX(Вводные!$G$13:$G$64,MATCH($A61,Вводные!$A$13:$A$64,0)),0))</f>
        <v>1000</v>
      </c>
      <c r="GL61" s="14" t="n">
        <f aca="false">INDEX(Вводные!$D$13:$F$64,MATCH($A61,Вводные!$A$13:$A$64,0),MATCH(GL$3,Вводные!$D$11:$F$11,0))*(1+IF(GL$4=$A61,Вводные!$D$5*INDEX(Вводные!$G$13:$G$64,MATCH($A61,Вводные!$A$13:$A$64,0)),0))</f>
        <v>1000</v>
      </c>
      <c r="GM61" s="14" t="n">
        <f aca="false">INDEX(Вводные!$D$13:$F$64,MATCH($A61,Вводные!$A$13:$A$64,0),MATCH(GM$3,Вводные!$D$11:$F$11,0))*(1+IF(GM$4=$A61,Вводные!$D$5*INDEX(Вводные!$G$13:$G$64,MATCH($A61,Вводные!$A$13:$A$64,0)),0))</f>
        <v>1000</v>
      </c>
      <c r="GN61" s="14" t="n">
        <f aca="false">INDEX(Вводные!$D$13:$F$64,MATCH($A61,Вводные!$A$13:$A$64,0),MATCH(GN$3,Вводные!$D$11:$F$11,0))*(1+IF(GN$4=$A61,Вводные!$D$5*INDEX(Вводные!$G$13:$G$64,MATCH($A61,Вводные!$A$13:$A$64,0)),0))</f>
        <v>1000</v>
      </c>
      <c r="GO61" s="14" t="n">
        <f aca="false">INDEX(Вводные!$D$13:$F$64,MATCH($A61,Вводные!$A$13:$A$64,0),MATCH(GO$3,Вводные!$D$11:$F$11,0))*(1+IF(GO$4=$A61,Вводные!$D$5*INDEX(Вводные!$G$13:$G$64,MATCH($A61,Вводные!$A$13:$A$64,0)),0))</f>
        <v>1000</v>
      </c>
      <c r="GP61" s="14" t="n">
        <f aca="false">INDEX(Вводные!$D$13:$F$64,MATCH($A61,Вводные!$A$13:$A$64,0),MATCH(GP$3,Вводные!$D$11:$F$11,0))*(1+IF(GP$4=$A61,Вводные!$D$5*INDEX(Вводные!$G$13:$G$64,MATCH($A61,Вводные!$A$13:$A$64,0)),0))</f>
        <v>1000</v>
      </c>
      <c r="GQ61" s="14" t="n">
        <f aca="false">INDEX(Вводные!$D$13:$F$64,MATCH($A61,Вводные!$A$13:$A$64,0),MATCH(GQ$3,Вводные!$D$11:$F$11,0))*(1+IF(GQ$4=$A61,Вводные!$D$5*INDEX(Вводные!$G$13:$G$64,MATCH($A61,Вводные!$A$13:$A$64,0)),0))</f>
        <v>1000</v>
      </c>
      <c r="GR61" s="14" t="n">
        <f aca="false">INDEX(Вводные!$D$13:$F$64,MATCH($A61,Вводные!$A$13:$A$64,0),MATCH(GR$3,Вводные!$D$11:$F$11,0))*(1+IF(GR$4=$A61,Вводные!$D$5*INDEX(Вводные!$G$13:$G$64,MATCH($A61,Вводные!$A$13:$A$64,0)),0))</f>
        <v>1000</v>
      </c>
      <c r="GS61" s="14" t="n">
        <f aca="false">INDEX(Вводные!$D$13:$F$64,MATCH($A61,Вводные!$A$13:$A$64,0),MATCH(GS$3,Вводные!$D$11:$F$11,0))*(1+IF(GS$4=$A61,Вводные!$D$5*INDEX(Вводные!$G$13:$G$64,MATCH($A61,Вводные!$A$13:$A$64,0)),0))</f>
        <v>1000</v>
      </c>
      <c r="GT61" s="14" t="n">
        <f aca="false">INDEX(Вводные!$D$13:$F$64,MATCH($A61,Вводные!$A$13:$A$64,0),MATCH(GT$3,Вводные!$D$11:$F$11,0))*(1+IF(GT$4=$A61,Вводные!$D$5*INDEX(Вводные!$G$13:$G$64,MATCH($A61,Вводные!$A$13:$A$64,0)),0))</f>
        <v>1000</v>
      </c>
      <c r="GU61" s="14" t="n">
        <f aca="false">INDEX(Вводные!$D$13:$F$64,MATCH($A61,Вводные!$A$13:$A$64,0),MATCH(GU$3,Вводные!$D$11:$F$11,0))*(1+IF(GU$4=$A61,Вводные!$D$5*INDEX(Вводные!$G$13:$G$64,MATCH($A61,Вводные!$A$13:$A$64,0)),0))</f>
        <v>1000</v>
      </c>
      <c r="GV61" s="14" t="n">
        <f aca="false">INDEX(Вводные!$D$13:$F$64,MATCH($A61,Вводные!$A$13:$A$64,0),MATCH(GV$3,Вводные!$D$11:$F$11,0))*(1+IF(GV$4=$A61,Вводные!$D$5*INDEX(Вводные!$G$13:$G$64,MATCH($A61,Вводные!$A$13:$A$64,0)),0))</f>
        <v>1000</v>
      </c>
      <c r="GW61" s="14" t="n">
        <f aca="false">INDEX(Вводные!$D$13:$F$64,MATCH($A61,Вводные!$A$13:$A$64,0),MATCH(GW$3,Вводные!$D$11:$F$11,0))*(1+IF(GW$4=$A61,Вводные!$D$5*INDEX(Вводные!$G$13:$G$64,MATCH($A61,Вводные!$A$13:$A$64,0)),0))</f>
        <v>1000</v>
      </c>
      <c r="GX61" s="14" t="n">
        <f aca="false">INDEX(Вводные!$D$13:$F$64,MATCH($A61,Вводные!$A$13:$A$64,0),MATCH(GX$3,Вводные!$D$11:$F$11,0))*(1+IF(GX$4=$A61,Вводные!$D$5*INDEX(Вводные!$G$13:$G$64,MATCH($A61,Вводные!$A$13:$A$64,0)),0))</f>
        <v>1010</v>
      </c>
      <c r="GY61" s="14" t="n">
        <f aca="false">INDEX(Вводные!$D$13:$F$64,MATCH($A61,Вводные!$A$13:$A$64,0),MATCH(GY$3,Вводные!$D$11:$F$11,0))*(1+IF(GY$4=$A61,Вводные!$D$5*INDEX(Вводные!$G$13:$G$64,MATCH($A61,Вводные!$A$13:$A$64,0)),0))</f>
        <v>1000</v>
      </c>
      <c r="GZ61" s="14" t="n">
        <f aca="false">INDEX(Вводные!$D$13:$F$64,MATCH($A61,Вводные!$A$13:$A$64,0),MATCH(GZ$3,Вводные!$D$11:$F$11,0))*(1+IF(GZ$4=$A61,Вводные!$D$5*INDEX(Вводные!$G$13:$G$64,MATCH($A61,Вводные!$A$13:$A$64,0)),0))</f>
        <v>1000</v>
      </c>
      <c r="HA61" s="14" t="n">
        <f aca="false">INDEX(Вводные!$D$13:$F$64,MATCH($A61,Вводные!$A$13:$A$64,0),MATCH(HA$3,Вводные!$D$11:$F$11,0))*(1+IF(HA$4=$A61,Вводные!$D$5*INDEX(Вводные!$G$13:$G$64,MATCH($A61,Вводные!$A$13:$A$64,0)),0))</f>
        <v>1000</v>
      </c>
      <c r="HB61" s="14" t="n">
        <f aca="false">INDEX(Вводные!$D$13:$F$64,MATCH($A61,Вводные!$A$13:$A$64,0),MATCH(HB$3,Вводные!$D$11:$F$11,0))*(1+IF(HB$4=$A61,Вводные!$D$5*INDEX(Вводные!$G$13:$G$64,MATCH($A61,Вводные!$A$13:$A$64,0)),0))</f>
        <v>1000</v>
      </c>
      <c r="HC61" s="14" t="n">
        <f aca="false">INDEX(Вводные!$D$13:$F$64,MATCH($A61,Вводные!$A$13:$A$64,0),MATCH(HC$3,Вводные!$D$11:$F$11,0))*(1+IF(HC$4=$A61,Вводные!$D$5*INDEX(Вводные!$G$13:$G$64,MATCH($A61,Вводные!$A$13:$A$64,0)),0))</f>
        <v>1000</v>
      </c>
      <c r="HD61" s="14" t="n">
        <f aca="false">INDEX(Вводные!$D$13:$F$64,MATCH($A61,Вводные!$A$13:$A$64,0),MATCH(HD$3,Вводные!$D$11:$F$11,0))*(1+IF(HD$4=$A61,Вводные!$D$5*INDEX(Вводные!$G$13:$G$64,MATCH($A61,Вводные!$A$13:$A$64,0)),0))</f>
        <v>1000</v>
      </c>
      <c r="HE61" s="14" t="n">
        <f aca="false">INDEX(Вводные!$D$13:$F$64,MATCH($A61,Вводные!$A$13:$A$64,0),MATCH(HE$3,Вводные!$D$11:$F$11,0))*(1+IF(HE$4=$A61,Вводные!$D$5*INDEX(Вводные!$G$13:$G$64,MATCH($A61,Вводные!$A$13:$A$64,0)),0))</f>
        <v>1000</v>
      </c>
      <c r="HF61" s="14" t="n">
        <f aca="false">INDEX(Вводные!$D$13:$F$64,MATCH($A61,Вводные!$A$13:$A$64,0),MATCH(HF$3,Вводные!$D$11:$F$11,0))*(1+IF(HF$4=$A61,Вводные!$D$5*INDEX(Вводные!$G$13:$G$64,MATCH($A61,Вводные!$A$13:$A$64,0)),0))</f>
        <v>1000</v>
      </c>
      <c r="HG61" s="14" t="n">
        <f aca="false">INDEX(Вводные!$D$13:$F$64,MATCH($A61,Вводные!$A$13:$A$64,0),MATCH(HG$3,Вводные!$D$11:$F$11,0))*(1+IF(HG$4=$A61,Вводные!$D$5*INDEX(Вводные!$G$13:$G$64,MATCH($A61,Вводные!$A$13:$A$64,0)),0))</f>
        <v>1000</v>
      </c>
      <c r="HH61" s="14" t="n">
        <f aca="false">INDEX(Вводные!$D$13:$F$64,MATCH($A61,Вводные!$A$13:$A$64,0),MATCH(HH$3,Вводные!$D$11:$F$11,0))*(1+IF(HH$4=$A61,Вводные!$D$5*INDEX(Вводные!$G$13:$G$64,MATCH($A61,Вводные!$A$13:$A$64,0)),0))</f>
        <v>1000</v>
      </c>
      <c r="HI61" s="14" t="n">
        <f aca="false">INDEX(Вводные!$D$13:$F$64,MATCH($A61,Вводные!$A$13:$A$64,0),MATCH(HI$3,Вводные!$D$11:$F$11,0))*(1+IF(HI$4=$A61,Вводные!$D$5*INDEX(Вводные!$G$13:$G$64,MATCH($A61,Вводные!$A$13:$A$64,0)),0))</f>
        <v>1000</v>
      </c>
      <c r="HJ61" s="14" t="n">
        <f aca="false">INDEX(Вводные!$D$13:$F$64,MATCH($A61,Вводные!$A$13:$A$64,0),MATCH(HJ$3,Вводные!$D$11:$F$11,0))*(1+IF(HJ$4=$A61,Вводные!$D$5*INDEX(Вводные!$G$13:$G$64,MATCH($A61,Вводные!$A$13:$A$64,0)),0))</f>
        <v>1000</v>
      </c>
      <c r="HK61" s="14" t="n">
        <f aca="false">INDEX(Вводные!$D$13:$F$64,MATCH($A61,Вводные!$A$13:$A$64,0),MATCH(HK$3,Вводные!$D$11:$F$11,0))*(1+IF(HK$4=$A61,Вводные!$D$5*INDEX(Вводные!$G$13:$G$64,MATCH($A61,Вводные!$A$13:$A$64,0)),0))</f>
        <v>1000</v>
      </c>
      <c r="HL61" s="14" t="n">
        <f aca="false">INDEX(Вводные!$D$13:$F$64,MATCH($A61,Вводные!$A$13:$A$64,0),MATCH(HL$3,Вводные!$D$11:$F$11,0))*(1+IF(HL$4=$A61,Вводные!$D$5*INDEX(Вводные!$G$13:$G$64,MATCH($A61,Вводные!$A$13:$A$64,0)),0))</f>
        <v>0</v>
      </c>
      <c r="HM61" s="14" t="n">
        <f aca="false">INDEX(Вводные!$D$13:$F$64,MATCH($A61,Вводные!$A$13:$A$64,0),MATCH(HM$3,Вводные!$D$11:$F$11,0))*(1+IF(HM$4=$A61,Вводные!$D$5*INDEX(Вводные!$G$13:$G$64,MATCH($A61,Вводные!$A$13:$A$64,0)),0))</f>
        <v>0</v>
      </c>
      <c r="HN61" s="14" t="n">
        <f aca="false">INDEX(Вводные!$D$13:$F$64,MATCH($A61,Вводные!$A$13:$A$64,0),MATCH(HN$3,Вводные!$D$11:$F$11,0))*(1+IF(HN$4=$A61,Вводные!$D$5*INDEX(Вводные!$G$13:$G$64,MATCH($A61,Вводные!$A$13:$A$64,0)),0))</f>
        <v>0</v>
      </c>
      <c r="HO61" s="14" t="n">
        <f aca="false">INDEX(Вводные!$D$13:$F$64,MATCH($A61,Вводные!$A$13:$A$64,0),MATCH(HO$3,Вводные!$D$11:$F$11,0))*(1+IF(HO$4=$A61,Вводные!$D$5*INDEX(Вводные!$G$13:$G$64,MATCH($A61,Вводные!$A$13:$A$64,0)),0))</f>
        <v>0</v>
      </c>
      <c r="HP61" s="14" t="n">
        <f aca="false">INDEX(Вводные!$D$13:$F$64,MATCH($A61,Вводные!$A$13:$A$64,0),MATCH(HP$3,Вводные!$D$11:$F$11,0))*(1+IF(HP$4=$A61,Вводные!$D$5*INDEX(Вводные!$G$13:$G$64,MATCH($A61,Вводные!$A$13:$A$64,0)),0))</f>
        <v>0</v>
      </c>
      <c r="HQ61" s="14" t="n">
        <f aca="false">INDEX(Вводные!$D$13:$F$64,MATCH($A61,Вводные!$A$13:$A$64,0),MATCH(HQ$3,Вводные!$D$11:$F$11,0))*(1+IF(HQ$4=$A61,Вводные!$D$5*INDEX(Вводные!$G$13:$G$64,MATCH($A61,Вводные!$A$13:$A$64,0)),0))</f>
        <v>0</v>
      </c>
      <c r="HR61" s="14" t="n">
        <f aca="false">INDEX(Вводные!$D$13:$F$64,MATCH($A61,Вводные!$A$13:$A$64,0),MATCH(HR$3,Вводные!$D$11:$F$11,0))*(1+IF(HR$4=$A61,Вводные!$D$5*INDEX(Вводные!$G$13:$G$64,MATCH($A61,Вводные!$A$13:$A$64,0)),0))</f>
        <v>0</v>
      </c>
      <c r="HS61" s="14" t="n">
        <f aca="false">INDEX(Вводные!$D$13:$F$64,MATCH($A61,Вводные!$A$13:$A$64,0),MATCH(HS$3,Вводные!$D$11:$F$11,0))*(1+IF(HS$4=$A61,Вводные!$D$5*INDEX(Вводные!$G$13:$G$64,MATCH($A61,Вводные!$A$13:$A$64,0)),0))</f>
        <v>0</v>
      </c>
      <c r="HT61" s="14" t="n">
        <f aca="false">INDEX(Вводные!$D$13:$F$64,MATCH($A61,Вводные!$A$13:$A$64,0),MATCH(HT$3,Вводные!$D$11:$F$11,0))*(1+IF(HT$4=$A61,Вводные!$D$5*INDEX(Вводные!$G$13:$G$64,MATCH($A61,Вводные!$A$13:$A$64,0)),0))</f>
        <v>0</v>
      </c>
      <c r="HU61" s="14" t="n">
        <f aca="false">INDEX(Вводные!$D$13:$F$64,MATCH($A61,Вводные!$A$13:$A$64,0),MATCH(HU$3,Вводные!$D$11:$F$11,0))*(1+IF(HU$4=$A61,Вводные!$D$5*INDEX(Вводные!$G$13:$G$64,MATCH($A61,Вводные!$A$13:$A$64,0)),0))</f>
        <v>0</v>
      </c>
      <c r="HV61" s="14" t="n">
        <f aca="false">INDEX(Вводные!$D$13:$F$64,MATCH($A61,Вводные!$A$13:$A$64,0),MATCH(HV$3,Вводные!$D$11:$F$11,0))*(1+IF(HV$4=$A61,Вводные!$D$5*INDEX(Вводные!$G$13:$G$64,MATCH($A61,Вводные!$A$13:$A$64,0)),0))</f>
        <v>0</v>
      </c>
      <c r="HW61" s="14" t="n">
        <f aca="false">INDEX(Вводные!$D$13:$F$64,MATCH($A61,Вводные!$A$13:$A$64,0),MATCH(HW$3,Вводные!$D$11:$F$11,0))*(1+IF(HW$4=$A61,Вводные!$D$5*INDEX(Вводные!$G$13:$G$64,MATCH($A61,Вводные!$A$13:$A$64,0)),0))</f>
        <v>0</v>
      </c>
      <c r="HX61" s="14" t="n">
        <f aca="false">INDEX(Вводные!$D$13:$F$64,MATCH($A61,Вводные!$A$13:$A$64,0),MATCH(HX$3,Вводные!$D$11:$F$11,0))*(1+IF(HX$4=$A61,Вводные!$D$5*INDEX(Вводные!$G$13:$G$64,MATCH($A61,Вводные!$A$13:$A$64,0)),0))</f>
        <v>0</v>
      </c>
      <c r="HY61" s="14" t="n">
        <f aca="false">INDEX(Вводные!$D$13:$F$64,MATCH($A61,Вводные!$A$13:$A$64,0),MATCH(HY$3,Вводные!$D$11:$F$11,0))*(1+IF(HY$4=$A61,Вводные!$D$5*INDEX(Вводные!$G$13:$G$64,MATCH($A61,Вводные!$A$13:$A$64,0)),0))</f>
        <v>0</v>
      </c>
      <c r="HZ61" s="14" t="n">
        <f aca="false">INDEX(Вводные!$D$13:$F$64,MATCH($A61,Вводные!$A$13:$A$64,0),MATCH(HZ$3,Вводные!$D$11:$F$11,0))*(1+IF(HZ$4=$A61,Вводные!$D$5*INDEX(Вводные!$G$13:$G$64,MATCH($A61,Вводные!$A$13:$A$64,0)),0))</f>
        <v>0</v>
      </c>
      <c r="IA61" s="14" t="n">
        <f aca="false">INDEX(Вводные!$D$13:$F$64,MATCH($A61,Вводные!$A$13:$A$64,0),MATCH(IA$3,Вводные!$D$11:$F$11,0))*(1+IF(IA$4=$A61,Вводные!$D$5*INDEX(Вводные!$G$13:$G$64,MATCH($A61,Вводные!$A$13:$A$64,0)),0))</f>
        <v>0</v>
      </c>
      <c r="IB61" s="14" t="n">
        <f aca="false">INDEX(Вводные!$D$13:$F$64,MATCH($A61,Вводные!$A$13:$A$64,0),MATCH(IB$3,Вводные!$D$11:$F$11,0))*(1+IF(IB$4=$A61,Вводные!$D$5*INDEX(Вводные!$G$13:$G$64,MATCH($A61,Вводные!$A$13:$A$64,0)),0))</f>
        <v>0</v>
      </c>
      <c r="IC61" s="14" t="n">
        <f aca="false">INDEX(Вводные!$D$13:$F$64,MATCH($A61,Вводные!$A$13:$A$64,0),MATCH(IC$3,Вводные!$D$11:$F$11,0))*(1+IF(IC$4=$A61,Вводные!$D$5*INDEX(Вводные!$G$13:$G$64,MATCH($A61,Вводные!$A$13:$A$64,0)),0))</f>
        <v>0</v>
      </c>
      <c r="ID61" s="14" t="n">
        <f aca="false">INDEX(Вводные!$D$13:$F$64,MATCH($A61,Вводные!$A$13:$A$64,0),MATCH(ID$3,Вводные!$D$11:$F$11,0))*(1+IF(ID$4=$A61,Вводные!$D$5*INDEX(Вводные!$G$13:$G$64,MATCH($A61,Вводные!$A$13:$A$64,0)),0))</f>
        <v>0</v>
      </c>
      <c r="IE61" s="14" t="n">
        <f aca="false">INDEX(Вводные!$D$13:$F$64,MATCH($A61,Вводные!$A$13:$A$64,0),MATCH(IE$3,Вводные!$D$11:$F$11,0))*(1+IF(IE$4=$A61,Вводные!$D$5*INDEX(Вводные!$G$13:$G$64,MATCH($A61,Вводные!$A$13:$A$64,0)),0))</f>
        <v>0</v>
      </c>
      <c r="IF61" s="14" t="n">
        <f aca="false">INDEX(Вводные!$D$13:$F$64,MATCH($A61,Вводные!$A$13:$A$64,0),MATCH(IF$3,Вводные!$D$11:$F$11,0))*(1+IF(IF$4=$A61,Вводные!$D$5*INDEX(Вводные!$G$13:$G$64,MATCH($A61,Вводные!$A$13:$A$64,0)),0))</f>
        <v>0</v>
      </c>
      <c r="IG61" s="14" t="n">
        <f aca="false">INDEX(Вводные!$D$13:$F$64,MATCH($A61,Вводные!$A$13:$A$64,0),MATCH(IG$3,Вводные!$D$11:$F$11,0))*(1+IF(IG$4=$A61,Вводные!$D$5*INDEX(Вводные!$G$13:$G$64,MATCH($A61,Вводные!$A$13:$A$64,0)),0))</f>
        <v>0</v>
      </c>
      <c r="IH61" s="14" t="n">
        <f aca="false">INDEX(Вводные!$D$13:$F$64,MATCH($A61,Вводные!$A$13:$A$64,0),MATCH(IH$3,Вводные!$D$11:$F$11,0))*(1+IF(IH$4=$A61,Вводные!$D$5*INDEX(Вводные!$G$13:$G$64,MATCH($A61,Вводные!$A$13:$A$64,0)),0))</f>
        <v>0</v>
      </c>
      <c r="II61" s="14" t="n">
        <f aca="false">INDEX(Вводные!$D$13:$F$64,MATCH($A61,Вводные!$A$13:$A$64,0),MATCH(II$3,Вводные!$D$11:$F$11,0))*(1+IF(II$4=$A61,Вводные!$D$5*INDEX(Вводные!$G$13:$G$64,MATCH($A61,Вводные!$A$13:$A$64,0)),0))</f>
        <v>0</v>
      </c>
      <c r="IJ61" s="14" t="n">
        <f aca="false">INDEX(Вводные!$D$13:$F$64,MATCH($A61,Вводные!$A$13:$A$64,0),MATCH(IJ$3,Вводные!$D$11:$F$11,0))*(1+IF(IJ$4=$A61,Вводные!$D$5*INDEX(Вводные!$G$13:$G$64,MATCH($A61,Вводные!$A$13:$A$64,0)),0))</f>
        <v>0</v>
      </c>
      <c r="IK61" s="14" t="n">
        <f aca="false">INDEX(Вводные!$D$13:$F$64,MATCH($A61,Вводные!$A$13:$A$64,0),MATCH(IK$3,Вводные!$D$11:$F$11,0))*(1+IF(IK$4=$A61,Вводные!$D$5*INDEX(Вводные!$G$13:$G$64,MATCH($A61,Вводные!$A$13:$A$64,0)),0))</f>
        <v>0</v>
      </c>
      <c r="IL61" s="14" t="n">
        <f aca="false">INDEX(Вводные!$D$13:$F$64,MATCH($A61,Вводные!$A$13:$A$64,0),MATCH(IL$3,Вводные!$D$11:$F$11,0))*(1+IF(IL$4=$A61,Вводные!$D$5*INDEX(Вводные!$G$13:$G$64,MATCH($A61,Вводные!$A$13:$A$64,0)),0))</f>
        <v>0</v>
      </c>
      <c r="IM61" s="14" t="n">
        <f aca="false">INDEX(Вводные!$D$13:$F$64,MATCH($A61,Вводные!$A$13:$A$64,0),MATCH(IM$3,Вводные!$D$11:$F$11,0))*(1+IF(IM$4=$A61,Вводные!$D$5*INDEX(Вводные!$G$13:$G$64,MATCH($A61,Вводные!$A$13:$A$64,0)),0))</f>
        <v>0</v>
      </c>
      <c r="IN61" s="14" t="n">
        <f aca="false">INDEX(Вводные!$D$13:$F$64,MATCH($A61,Вводные!$A$13:$A$64,0),MATCH(IN$3,Вводные!$D$11:$F$11,0))*(1+IF(IN$4=$A61,Вводные!$D$5*INDEX(Вводные!$G$13:$G$64,MATCH($A61,Вводные!$A$13:$A$64,0)),0))</f>
        <v>0</v>
      </c>
      <c r="IO61" s="14" t="n">
        <f aca="false">INDEX(Вводные!$D$13:$F$64,MATCH($A61,Вводные!$A$13:$A$64,0),MATCH(IO$3,Вводные!$D$11:$F$11,0))*(1+IF(IO$4=$A61,Вводные!$D$5*INDEX(Вводные!$G$13:$G$64,MATCH($A61,Вводные!$A$13:$A$64,0)),0))</f>
        <v>0</v>
      </c>
      <c r="IP61" s="14" t="n">
        <f aca="false">INDEX(Вводные!$D$13:$F$64,MATCH($A61,Вводные!$A$13:$A$64,0),MATCH(IP$3,Вводные!$D$11:$F$11,0))*(1+IF(IP$4=$A61,Вводные!$D$5*INDEX(Вводные!$G$13:$G$64,MATCH($A61,Вводные!$A$13:$A$64,0)),0))</f>
        <v>0</v>
      </c>
      <c r="IQ61" s="14" t="n">
        <f aca="false">INDEX(Вводные!$D$13:$F$64,MATCH($A61,Вводные!$A$13:$A$64,0),MATCH(IQ$3,Вводные!$D$11:$F$11,0))*(1+IF(IQ$4=$A61,Вводные!$D$5*INDEX(Вводные!$G$13:$G$64,MATCH($A61,Вводные!$A$13:$A$64,0)),0))</f>
        <v>0</v>
      </c>
      <c r="IR61" s="14" t="n">
        <f aca="false">INDEX(Вводные!$D$13:$F$64,MATCH($A61,Вводные!$A$13:$A$64,0),MATCH(IR$3,Вводные!$D$11:$F$11,0))*(1+IF(IR$4=$A61,Вводные!$D$5*INDEX(Вводные!$G$13:$G$64,MATCH($A61,Вводные!$A$13:$A$64,0)),0))</f>
        <v>0</v>
      </c>
      <c r="IS61" s="14" t="n">
        <f aca="false">INDEX(Вводные!$D$13:$F$64,MATCH($A61,Вводные!$A$13:$A$64,0),MATCH(IS$3,Вводные!$D$11:$F$11,0))*(1+IF(IS$4=$A61,Вводные!$D$5*INDEX(Вводные!$G$13:$G$64,MATCH($A61,Вводные!$A$13:$A$64,0)),0))</f>
        <v>0</v>
      </c>
      <c r="IT61" s="14" t="n">
        <f aca="false">INDEX(Вводные!$D$13:$F$64,MATCH($A61,Вводные!$A$13:$A$64,0),MATCH(IT$3,Вводные!$D$11:$F$11,0))*(1+IF(IT$4=$A61,Вводные!$D$5*INDEX(Вводные!$G$13:$G$64,MATCH($A61,Вводные!$A$13:$A$64,0)),0))</f>
        <v>0</v>
      </c>
      <c r="IU61" s="14" t="n">
        <f aca="false">INDEX(Вводные!$D$13:$F$64,MATCH($A61,Вводные!$A$13:$A$64,0),MATCH(IU$3,Вводные!$D$11:$F$11,0))*(1+IF(IU$4=$A61,Вводные!$D$5*INDEX(Вводные!$G$13:$G$64,MATCH($A61,Вводные!$A$13:$A$64,0)),0))</f>
        <v>0</v>
      </c>
      <c r="IV61" s="14" t="n">
        <f aca="false">INDEX(Вводные!$D$13:$F$64,MATCH($A61,Вводные!$A$13:$A$64,0),MATCH(IV$3,Вводные!$D$11:$F$11,0))*(1+IF(IV$4=$A61,Вводные!$D$5*INDEX(Вводные!$G$13:$G$64,MATCH($A61,Вводные!$A$13:$A$64,0)),0))</f>
        <v>0</v>
      </c>
      <c r="IW61" s="14" t="n">
        <f aca="false">INDEX(Вводные!$D$13:$F$64,MATCH($A61,Вводные!$A$13:$A$64,0),MATCH(IW$3,Вводные!$D$11:$F$11,0))*(1+IF(IW$4=$A61,Вводные!$D$5*INDEX(Вводные!$G$13:$G$64,MATCH($A61,Вводные!$A$13:$A$64,0)),0))</f>
        <v>0</v>
      </c>
      <c r="IX61" s="14" t="n">
        <f aca="false">INDEX(Вводные!$D$13:$F$64,MATCH($A61,Вводные!$A$13:$A$64,0),MATCH(IX$3,Вводные!$D$11:$F$11,0))*(1+IF(IX$4=$A61,Вводные!$D$5*INDEX(Вводные!$G$13:$G$64,MATCH($A61,Вводные!$A$13:$A$64,0)),0))</f>
        <v>0</v>
      </c>
      <c r="IY61" s="14" t="n">
        <f aca="false">INDEX(Вводные!$D$13:$F$64,MATCH($A61,Вводные!$A$13:$A$64,0),MATCH(IY$3,Вводные!$D$11:$F$11,0))*(1+IF(IY$4=$A61,Вводные!$D$5*INDEX(Вводные!$G$13:$G$64,MATCH($A61,Вводные!$A$13:$A$64,0)),0))</f>
        <v>0</v>
      </c>
      <c r="IZ61" s="14" t="n">
        <f aca="false">INDEX(Вводные!$D$13:$F$64,MATCH($A61,Вводные!$A$13:$A$64,0),MATCH(IZ$3,Вводные!$D$11:$F$11,0))*(1+IF(IZ$4=$A61,Вводные!$D$5*INDEX(Вводные!$G$13:$G$64,MATCH($A61,Вводные!$A$13:$A$64,0)),0))</f>
        <v>0</v>
      </c>
      <c r="JA61" s="14" t="n">
        <f aca="false">INDEX(Вводные!$D$13:$F$64,MATCH($A61,Вводные!$A$13:$A$64,0),MATCH(JA$3,Вводные!$D$11:$F$11,0))*(1+IF(JA$4=$A61,Вводные!$D$5*INDEX(Вводные!$G$13:$G$64,MATCH($A61,Вводные!$A$13:$A$64,0)),0))</f>
        <v>0</v>
      </c>
    </row>
    <row r="62" customFormat="false" ht="15" hidden="false" customHeight="false" outlineLevel="0" collapsed="false">
      <c r="A62" s="13" t="s">
        <v>259</v>
      </c>
      <c r="B62" s="13" t="s">
        <v>260</v>
      </c>
      <c r="C62" s="13" t="s">
        <v>194</v>
      </c>
      <c r="D62" s="9" t="s">
        <v>36</v>
      </c>
      <c r="E62" s="32" t="n">
        <f aca="false">INDEX(Вводные!$D$13:$F$64,MATCH($A62,Вводные!$A$13:$A$64,0),MATCH(E$3,Вводные!$D$11:$F$11,0))*(1+IF(E$4=$A62,Вводные!$D$5*INDEX(Вводные!$G$13:$G$64,MATCH($A62,Вводные!$A$13:$A$64,0)),0))</f>
        <v>0.0002</v>
      </c>
      <c r="F62" s="32" t="n">
        <f aca="false">INDEX(Вводные!$D$13:$F$64,MATCH($A62,Вводные!$A$13:$A$64,0),MATCH(F$3,Вводные!$D$11:$F$11,0))*(1+IF(F$4=$A62,Вводные!$D$5*INDEX(Вводные!$G$13:$G$64,MATCH($A62,Вводные!$A$13:$A$64,0)),0))</f>
        <v>0.0005</v>
      </c>
      <c r="G62" s="32" t="n">
        <f aca="false">INDEX(Вводные!$D$13:$F$64,MATCH($A62,Вводные!$A$13:$A$64,0),MATCH(G$3,Вводные!$D$11:$F$11,0))*(1+IF(G$4=$A62,Вводные!$D$5*INDEX(Вводные!$G$13:$G$64,MATCH($A62,Вводные!$A$13:$A$64,0)),0))</f>
        <v>0.0003</v>
      </c>
      <c r="H62" s="60"/>
      <c r="J62" s="32" t="n">
        <f aca="false">INDEX(Вводные!$D$13:$F$64,MATCH($A62,Вводные!$A$13:$A$64,0),MATCH(J$3,Вводные!$D$11:$F$11,0))*(1+IF(J$4=$A62,Вводные!$D$5*INDEX(Вводные!$G$13:$G$64,MATCH($A62,Вводные!$A$13:$A$64,0)),0))</f>
        <v>0.0002</v>
      </c>
      <c r="K62" s="32" t="n">
        <f aca="false">INDEX(Вводные!$D$13:$F$64,MATCH($A62,Вводные!$A$13:$A$64,0),MATCH(K$3,Вводные!$D$11:$F$11,0))*(1+IF(K$4=$A62,Вводные!$D$5*INDEX(Вводные!$G$13:$G$64,MATCH($A62,Вводные!$A$13:$A$64,0)),0))</f>
        <v>0.0002</v>
      </c>
      <c r="L62" s="32" t="n">
        <f aca="false">INDEX(Вводные!$D$13:$F$64,MATCH($A62,Вводные!$A$13:$A$64,0),MATCH(L$3,Вводные!$D$11:$F$11,0))*(1+IF(L$4=$A62,Вводные!$D$5*INDEX(Вводные!$G$13:$G$64,MATCH($A62,Вводные!$A$13:$A$64,0)),0))</f>
        <v>0.0002</v>
      </c>
      <c r="M62" s="32" t="n">
        <f aca="false">INDEX(Вводные!$D$13:$F$64,MATCH($A62,Вводные!$A$13:$A$64,0),MATCH(M$3,Вводные!$D$11:$F$11,0))*(1+IF(M$4=$A62,Вводные!$D$5*INDEX(Вводные!$G$13:$G$64,MATCH($A62,Вводные!$A$13:$A$64,0)),0))</f>
        <v>0.0002</v>
      </c>
      <c r="N62" s="32" t="n">
        <f aca="false">INDEX(Вводные!$D$13:$F$64,MATCH($A62,Вводные!$A$13:$A$64,0),MATCH(N$3,Вводные!$D$11:$F$11,0))*(1+IF(N$4=$A62,Вводные!$D$5*INDEX(Вводные!$G$13:$G$64,MATCH($A62,Вводные!$A$13:$A$64,0)),0))</f>
        <v>0.0002</v>
      </c>
      <c r="O62" s="32" t="n">
        <f aca="false">INDEX(Вводные!$D$13:$F$64,MATCH($A62,Вводные!$A$13:$A$64,0),MATCH(O$3,Вводные!$D$11:$F$11,0))*(1+IF(O$4=$A62,Вводные!$D$5*INDEX(Вводные!$G$13:$G$64,MATCH($A62,Вводные!$A$13:$A$64,0)),0))</f>
        <v>0.0002</v>
      </c>
      <c r="P62" s="32" t="n">
        <f aca="false">INDEX(Вводные!$D$13:$F$64,MATCH($A62,Вводные!$A$13:$A$64,0),MATCH(P$3,Вводные!$D$11:$F$11,0))*(1+IF(P$4=$A62,Вводные!$D$5*INDEX(Вводные!$G$13:$G$64,MATCH($A62,Вводные!$A$13:$A$64,0)),0))</f>
        <v>0.0002</v>
      </c>
      <c r="Q62" s="32" t="n">
        <f aca="false">INDEX(Вводные!$D$13:$F$64,MATCH($A62,Вводные!$A$13:$A$64,0),MATCH(Q$3,Вводные!$D$11:$F$11,0))*(1+IF(Q$4=$A62,Вводные!$D$5*INDEX(Вводные!$G$13:$G$64,MATCH($A62,Вводные!$A$13:$A$64,0)),0))</f>
        <v>0.0002</v>
      </c>
      <c r="R62" s="32" t="n">
        <f aca="false">INDEX(Вводные!$D$13:$F$64,MATCH($A62,Вводные!$A$13:$A$64,0),MATCH(R$3,Вводные!$D$11:$F$11,0))*(1+IF(R$4=$A62,Вводные!$D$5*INDEX(Вводные!$G$13:$G$64,MATCH($A62,Вводные!$A$13:$A$64,0)),0))</f>
        <v>0.0002</v>
      </c>
      <c r="S62" s="32" t="n">
        <f aca="false">INDEX(Вводные!$D$13:$F$64,MATCH($A62,Вводные!$A$13:$A$64,0),MATCH(S$3,Вводные!$D$11:$F$11,0))*(1+IF(S$4=$A62,Вводные!$D$5*INDEX(Вводные!$G$13:$G$64,MATCH($A62,Вводные!$A$13:$A$64,0)),0))</f>
        <v>0.0002</v>
      </c>
      <c r="T62" s="32" t="n">
        <f aca="false">INDEX(Вводные!$D$13:$F$64,MATCH($A62,Вводные!$A$13:$A$64,0),MATCH(T$3,Вводные!$D$11:$F$11,0))*(1+IF(T$4=$A62,Вводные!$D$5*INDEX(Вводные!$G$13:$G$64,MATCH($A62,Вводные!$A$13:$A$64,0)),0))</f>
        <v>0.0002</v>
      </c>
      <c r="U62" s="32" t="n">
        <f aca="false">INDEX(Вводные!$D$13:$F$64,MATCH($A62,Вводные!$A$13:$A$64,0),MATCH(U$3,Вводные!$D$11:$F$11,0))*(1+IF(U$4=$A62,Вводные!$D$5*INDEX(Вводные!$G$13:$G$64,MATCH($A62,Вводные!$A$13:$A$64,0)),0))</f>
        <v>0.0002</v>
      </c>
      <c r="V62" s="32" t="n">
        <f aca="false">INDEX(Вводные!$D$13:$F$64,MATCH($A62,Вводные!$A$13:$A$64,0),MATCH(V$3,Вводные!$D$11:$F$11,0))*(1+IF(V$4=$A62,Вводные!$D$5*INDEX(Вводные!$G$13:$G$64,MATCH($A62,Вводные!$A$13:$A$64,0)),0))</f>
        <v>0.0002</v>
      </c>
      <c r="W62" s="32" t="n">
        <f aca="false">INDEX(Вводные!$D$13:$F$64,MATCH($A62,Вводные!$A$13:$A$64,0),MATCH(W$3,Вводные!$D$11:$F$11,0))*(1+IF(W$4=$A62,Вводные!$D$5*INDEX(Вводные!$G$13:$G$64,MATCH($A62,Вводные!$A$13:$A$64,0)),0))</f>
        <v>0.0002</v>
      </c>
      <c r="X62" s="32" t="n">
        <f aca="false">INDEX(Вводные!$D$13:$F$64,MATCH($A62,Вводные!$A$13:$A$64,0),MATCH(X$3,Вводные!$D$11:$F$11,0))*(1+IF(X$4=$A62,Вводные!$D$5*INDEX(Вводные!$G$13:$G$64,MATCH($A62,Вводные!$A$13:$A$64,0)),0))</f>
        <v>0.0002</v>
      </c>
      <c r="Y62" s="32" t="n">
        <f aca="false">INDEX(Вводные!$D$13:$F$64,MATCH($A62,Вводные!$A$13:$A$64,0),MATCH(Y$3,Вводные!$D$11:$F$11,0))*(1+IF(Y$4=$A62,Вводные!$D$5*INDEX(Вводные!$G$13:$G$64,MATCH($A62,Вводные!$A$13:$A$64,0)),0))</f>
        <v>0.0002</v>
      </c>
      <c r="Z62" s="32" t="n">
        <f aca="false">INDEX(Вводные!$D$13:$F$64,MATCH($A62,Вводные!$A$13:$A$64,0),MATCH(Z$3,Вводные!$D$11:$F$11,0))*(1+IF(Z$4=$A62,Вводные!$D$5*INDEX(Вводные!$G$13:$G$64,MATCH($A62,Вводные!$A$13:$A$64,0)),0))</f>
        <v>0.0002</v>
      </c>
      <c r="AA62" s="32" t="n">
        <f aca="false">INDEX(Вводные!$D$13:$F$64,MATCH($A62,Вводные!$A$13:$A$64,0),MATCH(AA$3,Вводные!$D$11:$F$11,0))*(1+IF(AA$4=$A62,Вводные!$D$5*INDEX(Вводные!$G$13:$G$64,MATCH($A62,Вводные!$A$13:$A$64,0)),0))</f>
        <v>0.0002</v>
      </c>
      <c r="AB62" s="32" t="n">
        <f aca="false">INDEX(Вводные!$D$13:$F$64,MATCH($A62,Вводные!$A$13:$A$64,0),MATCH(AB$3,Вводные!$D$11:$F$11,0))*(1+IF(AB$4=$A62,Вводные!$D$5*INDEX(Вводные!$G$13:$G$64,MATCH($A62,Вводные!$A$13:$A$64,0)),0))</f>
        <v>0.0002</v>
      </c>
      <c r="AC62" s="32" t="n">
        <f aca="false">INDEX(Вводные!$D$13:$F$64,MATCH($A62,Вводные!$A$13:$A$64,0),MATCH(AC$3,Вводные!$D$11:$F$11,0))*(1+IF(AC$4=$A62,Вводные!$D$5*INDEX(Вводные!$G$13:$G$64,MATCH($A62,Вводные!$A$13:$A$64,0)),0))</f>
        <v>0.0002</v>
      </c>
      <c r="AD62" s="32" t="n">
        <f aca="false">INDEX(Вводные!$D$13:$F$64,MATCH($A62,Вводные!$A$13:$A$64,0),MATCH(AD$3,Вводные!$D$11:$F$11,0))*(1+IF(AD$4=$A62,Вводные!$D$5*INDEX(Вводные!$G$13:$G$64,MATCH($A62,Вводные!$A$13:$A$64,0)),0))</f>
        <v>0.0002</v>
      </c>
      <c r="AE62" s="32" t="n">
        <f aca="false">INDEX(Вводные!$D$13:$F$64,MATCH($A62,Вводные!$A$13:$A$64,0),MATCH(AE$3,Вводные!$D$11:$F$11,0))*(1+IF(AE$4=$A62,Вводные!$D$5*INDEX(Вводные!$G$13:$G$64,MATCH($A62,Вводные!$A$13:$A$64,0)),0))</f>
        <v>0.0002</v>
      </c>
      <c r="AF62" s="32" t="n">
        <f aca="false">INDEX(Вводные!$D$13:$F$64,MATCH($A62,Вводные!$A$13:$A$64,0),MATCH(AF$3,Вводные!$D$11:$F$11,0))*(1+IF(AF$4=$A62,Вводные!$D$5*INDEX(Вводные!$G$13:$G$64,MATCH($A62,Вводные!$A$13:$A$64,0)),0))</f>
        <v>0.0002</v>
      </c>
      <c r="AG62" s="32" t="n">
        <f aca="false">INDEX(Вводные!$D$13:$F$64,MATCH($A62,Вводные!$A$13:$A$64,0),MATCH(AG$3,Вводные!$D$11:$F$11,0))*(1+IF(AG$4=$A62,Вводные!$D$5*INDEX(Вводные!$G$13:$G$64,MATCH($A62,Вводные!$A$13:$A$64,0)),0))</f>
        <v>0.0002</v>
      </c>
      <c r="AH62" s="32" t="n">
        <f aca="false">INDEX(Вводные!$D$13:$F$64,MATCH($A62,Вводные!$A$13:$A$64,0),MATCH(AH$3,Вводные!$D$11:$F$11,0))*(1+IF(AH$4=$A62,Вводные!$D$5*INDEX(Вводные!$G$13:$G$64,MATCH($A62,Вводные!$A$13:$A$64,0)),0))</f>
        <v>0.0002</v>
      </c>
      <c r="AI62" s="32" t="n">
        <f aca="false">INDEX(Вводные!$D$13:$F$64,MATCH($A62,Вводные!$A$13:$A$64,0),MATCH(AI$3,Вводные!$D$11:$F$11,0))*(1+IF(AI$4=$A62,Вводные!$D$5*INDEX(Вводные!$G$13:$G$64,MATCH($A62,Вводные!$A$13:$A$64,0)),0))</f>
        <v>0.0002</v>
      </c>
      <c r="AJ62" s="32" t="n">
        <f aca="false">INDEX(Вводные!$D$13:$F$64,MATCH($A62,Вводные!$A$13:$A$64,0),MATCH(AJ$3,Вводные!$D$11:$F$11,0))*(1+IF(AJ$4=$A62,Вводные!$D$5*INDEX(Вводные!$G$13:$G$64,MATCH($A62,Вводные!$A$13:$A$64,0)),0))</f>
        <v>0.0002</v>
      </c>
      <c r="AK62" s="32" t="n">
        <f aca="false">INDEX(Вводные!$D$13:$F$64,MATCH($A62,Вводные!$A$13:$A$64,0),MATCH(AK$3,Вводные!$D$11:$F$11,0))*(1+IF(AK$4=$A62,Вводные!$D$5*INDEX(Вводные!$G$13:$G$64,MATCH($A62,Вводные!$A$13:$A$64,0)),0))</f>
        <v>0.0002</v>
      </c>
      <c r="AL62" s="32" t="n">
        <f aca="false">INDEX(Вводные!$D$13:$F$64,MATCH($A62,Вводные!$A$13:$A$64,0),MATCH(AL$3,Вводные!$D$11:$F$11,0))*(1+IF(AL$4=$A62,Вводные!$D$5*INDEX(Вводные!$G$13:$G$64,MATCH($A62,Вводные!$A$13:$A$64,0)),0))</f>
        <v>0.0002</v>
      </c>
      <c r="AM62" s="32" t="n">
        <f aca="false">INDEX(Вводные!$D$13:$F$64,MATCH($A62,Вводные!$A$13:$A$64,0),MATCH(AM$3,Вводные!$D$11:$F$11,0))*(1+IF(AM$4=$A62,Вводные!$D$5*INDEX(Вводные!$G$13:$G$64,MATCH($A62,Вводные!$A$13:$A$64,0)),0))</f>
        <v>0.000202</v>
      </c>
      <c r="AN62" s="32" t="n">
        <f aca="false">INDEX(Вводные!$D$13:$F$64,MATCH($A62,Вводные!$A$13:$A$64,0),MATCH(AN$3,Вводные!$D$11:$F$11,0))*(1+IF(AN$4=$A62,Вводные!$D$5*INDEX(Вводные!$G$13:$G$64,MATCH($A62,Вводные!$A$13:$A$64,0)),0))</f>
        <v>0.0002</v>
      </c>
      <c r="AO62" s="32" t="n">
        <f aca="false">INDEX(Вводные!$D$13:$F$64,MATCH($A62,Вводные!$A$13:$A$64,0),MATCH(AO$3,Вводные!$D$11:$F$11,0))*(1+IF(AO$4=$A62,Вводные!$D$5*INDEX(Вводные!$G$13:$G$64,MATCH($A62,Вводные!$A$13:$A$64,0)),0))</f>
        <v>0.0002</v>
      </c>
      <c r="AP62" s="32" t="n">
        <f aca="false">INDEX(Вводные!$D$13:$F$64,MATCH($A62,Вводные!$A$13:$A$64,0),MATCH(AP$3,Вводные!$D$11:$F$11,0))*(1+IF(AP$4=$A62,Вводные!$D$5*INDEX(Вводные!$G$13:$G$64,MATCH($A62,Вводные!$A$13:$A$64,0)),0))</f>
        <v>0.0002</v>
      </c>
      <c r="AQ62" s="32" t="n">
        <f aca="false">INDEX(Вводные!$D$13:$F$64,MATCH($A62,Вводные!$A$13:$A$64,0),MATCH(AQ$3,Вводные!$D$11:$F$11,0))*(1+IF(AQ$4=$A62,Вводные!$D$5*INDEX(Вводные!$G$13:$G$64,MATCH($A62,Вводные!$A$13:$A$64,0)),0))</f>
        <v>0.0002</v>
      </c>
      <c r="AR62" s="32" t="n">
        <f aca="false">INDEX(Вводные!$D$13:$F$64,MATCH($A62,Вводные!$A$13:$A$64,0),MATCH(AR$3,Вводные!$D$11:$F$11,0))*(1+IF(AR$4=$A62,Вводные!$D$5*INDEX(Вводные!$G$13:$G$64,MATCH($A62,Вводные!$A$13:$A$64,0)),0))</f>
        <v>0.0002</v>
      </c>
      <c r="AS62" s="32" t="n">
        <f aca="false">INDEX(Вводные!$D$13:$F$64,MATCH($A62,Вводные!$A$13:$A$64,0),MATCH(AS$3,Вводные!$D$11:$F$11,0))*(1+IF(AS$4=$A62,Вводные!$D$5*INDEX(Вводные!$G$13:$G$64,MATCH($A62,Вводные!$A$13:$A$64,0)),0))</f>
        <v>0.0002</v>
      </c>
      <c r="AT62" s="32" t="n">
        <f aca="false">INDEX(Вводные!$D$13:$F$64,MATCH($A62,Вводные!$A$13:$A$64,0),MATCH(AT$3,Вводные!$D$11:$F$11,0))*(1+IF(AT$4=$A62,Вводные!$D$5*INDEX(Вводные!$G$13:$G$64,MATCH($A62,Вводные!$A$13:$A$64,0)),0))</f>
        <v>0.0002</v>
      </c>
      <c r="AU62" s="32" t="n">
        <f aca="false">INDEX(Вводные!$D$13:$F$64,MATCH($A62,Вводные!$A$13:$A$64,0),MATCH(AU$3,Вводные!$D$11:$F$11,0))*(1+IF(AU$4=$A62,Вводные!$D$5*INDEX(Вводные!$G$13:$G$64,MATCH($A62,Вводные!$A$13:$A$64,0)),0))</f>
        <v>0.0002</v>
      </c>
      <c r="AV62" s="32" t="n">
        <f aca="false">INDEX(Вводные!$D$13:$F$64,MATCH($A62,Вводные!$A$13:$A$64,0),MATCH(AV$3,Вводные!$D$11:$F$11,0))*(1+IF(AV$4=$A62,Вводные!$D$5*INDEX(Вводные!$G$13:$G$64,MATCH($A62,Вводные!$A$13:$A$64,0)),0))</f>
        <v>0.0002</v>
      </c>
      <c r="AW62" s="32" t="n">
        <f aca="false">INDEX(Вводные!$D$13:$F$64,MATCH($A62,Вводные!$A$13:$A$64,0),MATCH(AW$3,Вводные!$D$11:$F$11,0))*(1+IF(AW$4=$A62,Вводные!$D$5*INDEX(Вводные!$G$13:$G$64,MATCH($A62,Вводные!$A$13:$A$64,0)),0))</f>
        <v>0.0002</v>
      </c>
      <c r="AX62" s="32" t="n">
        <f aca="false">INDEX(Вводные!$D$13:$F$64,MATCH($A62,Вводные!$A$13:$A$64,0),MATCH(AX$3,Вводные!$D$11:$F$11,0))*(1+IF(AX$4=$A62,Вводные!$D$5*INDEX(Вводные!$G$13:$G$64,MATCH($A62,Вводные!$A$13:$A$64,0)),0))</f>
        <v>0.0002</v>
      </c>
      <c r="AY62" s="32" t="n">
        <f aca="false">INDEX(Вводные!$D$13:$F$64,MATCH($A62,Вводные!$A$13:$A$64,0),MATCH(AY$3,Вводные!$D$11:$F$11,0))*(1+IF(AY$4=$A62,Вводные!$D$5*INDEX(Вводные!$G$13:$G$64,MATCH($A62,Вводные!$A$13:$A$64,0)),0))</f>
        <v>0.0002</v>
      </c>
      <c r="AZ62" s="32" t="n">
        <f aca="false">INDEX(Вводные!$D$13:$F$64,MATCH($A62,Вводные!$A$13:$A$64,0),MATCH(AZ$3,Вводные!$D$11:$F$11,0))*(1+IF(AZ$4=$A62,Вводные!$D$5*INDEX(Вводные!$G$13:$G$64,MATCH($A62,Вводные!$A$13:$A$64,0)),0))</f>
        <v>0.0005</v>
      </c>
      <c r="BA62" s="32" t="n">
        <f aca="false">INDEX(Вводные!$D$13:$F$64,MATCH($A62,Вводные!$A$13:$A$64,0),MATCH(BA$3,Вводные!$D$11:$F$11,0))*(1+IF(BA$4=$A62,Вводные!$D$5*INDEX(Вводные!$G$13:$G$64,MATCH($A62,Вводные!$A$13:$A$64,0)),0))</f>
        <v>0.0005</v>
      </c>
      <c r="BB62" s="32" t="n">
        <f aca="false">INDEX(Вводные!$D$13:$F$64,MATCH($A62,Вводные!$A$13:$A$64,0),MATCH(BB$3,Вводные!$D$11:$F$11,0))*(1+IF(BB$4=$A62,Вводные!$D$5*INDEX(Вводные!$G$13:$G$64,MATCH($A62,Вводные!$A$13:$A$64,0)),0))</f>
        <v>0.0005</v>
      </c>
      <c r="BC62" s="32" t="n">
        <f aca="false">INDEX(Вводные!$D$13:$F$64,MATCH($A62,Вводные!$A$13:$A$64,0),MATCH(BC$3,Вводные!$D$11:$F$11,0))*(1+IF(BC$4=$A62,Вводные!$D$5*INDEX(Вводные!$G$13:$G$64,MATCH($A62,Вводные!$A$13:$A$64,0)),0))</f>
        <v>0.0005</v>
      </c>
      <c r="BD62" s="32" t="n">
        <f aca="false">INDEX(Вводные!$D$13:$F$64,MATCH($A62,Вводные!$A$13:$A$64,0),MATCH(BD$3,Вводные!$D$11:$F$11,0))*(1+IF(BD$4=$A62,Вводные!$D$5*INDEX(Вводные!$G$13:$G$64,MATCH($A62,Вводные!$A$13:$A$64,0)),0))</f>
        <v>0.0005</v>
      </c>
      <c r="BE62" s="32" t="n">
        <f aca="false">INDEX(Вводные!$D$13:$F$64,MATCH($A62,Вводные!$A$13:$A$64,0),MATCH(BE$3,Вводные!$D$11:$F$11,0))*(1+IF(BE$4=$A62,Вводные!$D$5*INDEX(Вводные!$G$13:$G$64,MATCH($A62,Вводные!$A$13:$A$64,0)),0))</f>
        <v>0.0005</v>
      </c>
      <c r="BF62" s="32" t="n">
        <f aca="false">INDEX(Вводные!$D$13:$F$64,MATCH($A62,Вводные!$A$13:$A$64,0),MATCH(BF$3,Вводные!$D$11:$F$11,0))*(1+IF(BF$4=$A62,Вводные!$D$5*INDEX(Вводные!$G$13:$G$64,MATCH($A62,Вводные!$A$13:$A$64,0)),0))</f>
        <v>0.0005</v>
      </c>
      <c r="BG62" s="32" t="n">
        <f aca="false">INDEX(Вводные!$D$13:$F$64,MATCH($A62,Вводные!$A$13:$A$64,0),MATCH(BG$3,Вводные!$D$11:$F$11,0))*(1+IF(BG$4=$A62,Вводные!$D$5*INDEX(Вводные!$G$13:$G$64,MATCH($A62,Вводные!$A$13:$A$64,0)),0))</f>
        <v>0.0005</v>
      </c>
      <c r="BH62" s="32" t="n">
        <f aca="false">INDEX(Вводные!$D$13:$F$64,MATCH($A62,Вводные!$A$13:$A$64,0),MATCH(BH$3,Вводные!$D$11:$F$11,0))*(1+IF(BH$4=$A62,Вводные!$D$5*INDEX(Вводные!$G$13:$G$64,MATCH($A62,Вводные!$A$13:$A$64,0)),0))</f>
        <v>0.0005</v>
      </c>
      <c r="BI62" s="32" t="n">
        <f aca="false">INDEX(Вводные!$D$13:$F$64,MATCH($A62,Вводные!$A$13:$A$64,0),MATCH(BI$3,Вводные!$D$11:$F$11,0))*(1+IF(BI$4=$A62,Вводные!$D$5*INDEX(Вводные!$G$13:$G$64,MATCH($A62,Вводные!$A$13:$A$64,0)),0))</f>
        <v>0.0005</v>
      </c>
      <c r="BJ62" s="32" t="n">
        <f aca="false">INDEX(Вводные!$D$13:$F$64,MATCH($A62,Вводные!$A$13:$A$64,0),MATCH(BJ$3,Вводные!$D$11:$F$11,0))*(1+IF(BJ$4=$A62,Вводные!$D$5*INDEX(Вводные!$G$13:$G$64,MATCH($A62,Вводные!$A$13:$A$64,0)),0))</f>
        <v>0.0005</v>
      </c>
      <c r="BK62" s="32" t="n">
        <f aca="false">INDEX(Вводные!$D$13:$F$64,MATCH($A62,Вводные!$A$13:$A$64,0),MATCH(BK$3,Вводные!$D$11:$F$11,0))*(1+IF(BK$4=$A62,Вводные!$D$5*INDEX(Вводные!$G$13:$G$64,MATCH($A62,Вводные!$A$13:$A$64,0)),0))</f>
        <v>0.0005</v>
      </c>
      <c r="BL62" s="32" t="n">
        <f aca="false">INDEX(Вводные!$D$13:$F$64,MATCH($A62,Вводные!$A$13:$A$64,0),MATCH(BL$3,Вводные!$D$11:$F$11,0))*(1+IF(BL$4=$A62,Вводные!$D$5*INDEX(Вводные!$G$13:$G$64,MATCH($A62,Вводные!$A$13:$A$64,0)),0))</f>
        <v>0.0005</v>
      </c>
      <c r="BM62" s="32" t="n">
        <f aca="false">INDEX(Вводные!$D$13:$F$64,MATCH($A62,Вводные!$A$13:$A$64,0),MATCH(BM$3,Вводные!$D$11:$F$11,0))*(1+IF(BM$4=$A62,Вводные!$D$5*INDEX(Вводные!$G$13:$G$64,MATCH($A62,Вводные!$A$13:$A$64,0)),0))</f>
        <v>0.0005</v>
      </c>
      <c r="BN62" s="32" t="n">
        <f aca="false">INDEX(Вводные!$D$13:$F$64,MATCH($A62,Вводные!$A$13:$A$64,0),MATCH(BN$3,Вводные!$D$11:$F$11,0))*(1+IF(BN$4=$A62,Вводные!$D$5*INDEX(Вводные!$G$13:$G$64,MATCH($A62,Вводные!$A$13:$A$64,0)),0))</f>
        <v>0.0005</v>
      </c>
      <c r="BO62" s="32" t="n">
        <f aca="false">INDEX(Вводные!$D$13:$F$64,MATCH($A62,Вводные!$A$13:$A$64,0),MATCH(BO$3,Вводные!$D$11:$F$11,0))*(1+IF(BO$4=$A62,Вводные!$D$5*INDEX(Вводные!$G$13:$G$64,MATCH($A62,Вводные!$A$13:$A$64,0)),0))</f>
        <v>0.0005</v>
      </c>
      <c r="BP62" s="32" t="n">
        <f aca="false">INDEX(Вводные!$D$13:$F$64,MATCH($A62,Вводные!$A$13:$A$64,0),MATCH(BP$3,Вводные!$D$11:$F$11,0))*(1+IF(BP$4=$A62,Вводные!$D$5*INDEX(Вводные!$G$13:$G$64,MATCH($A62,Вводные!$A$13:$A$64,0)),0))</f>
        <v>0.0005</v>
      </c>
      <c r="BQ62" s="32" t="n">
        <f aca="false">INDEX(Вводные!$D$13:$F$64,MATCH($A62,Вводные!$A$13:$A$64,0),MATCH(BQ$3,Вводные!$D$11:$F$11,0))*(1+IF(BQ$4=$A62,Вводные!$D$5*INDEX(Вводные!$G$13:$G$64,MATCH($A62,Вводные!$A$13:$A$64,0)),0))</f>
        <v>0.0005</v>
      </c>
      <c r="BR62" s="32" t="n">
        <f aca="false">INDEX(Вводные!$D$13:$F$64,MATCH($A62,Вводные!$A$13:$A$64,0),MATCH(BR$3,Вводные!$D$11:$F$11,0))*(1+IF(BR$4=$A62,Вводные!$D$5*INDEX(Вводные!$G$13:$G$64,MATCH($A62,Вводные!$A$13:$A$64,0)),0))</f>
        <v>0.0005</v>
      </c>
      <c r="BS62" s="32" t="n">
        <f aca="false">INDEX(Вводные!$D$13:$F$64,MATCH($A62,Вводные!$A$13:$A$64,0),MATCH(BS$3,Вводные!$D$11:$F$11,0))*(1+IF(BS$4=$A62,Вводные!$D$5*INDEX(Вводные!$G$13:$G$64,MATCH($A62,Вводные!$A$13:$A$64,0)),0))</f>
        <v>0.0005</v>
      </c>
      <c r="BT62" s="32" t="n">
        <f aca="false">INDEX(Вводные!$D$13:$F$64,MATCH($A62,Вводные!$A$13:$A$64,0),MATCH(BT$3,Вводные!$D$11:$F$11,0))*(1+IF(BT$4=$A62,Вводные!$D$5*INDEX(Вводные!$G$13:$G$64,MATCH($A62,Вводные!$A$13:$A$64,0)),0))</f>
        <v>0.0005</v>
      </c>
      <c r="BU62" s="32" t="n">
        <f aca="false">INDEX(Вводные!$D$13:$F$64,MATCH($A62,Вводные!$A$13:$A$64,0),MATCH(BU$3,Вводные!$D$11:$F$11,0))*(1+IF(BU$4=$A62,Вводные!$D$5*INDEX(Вводные!$G$13:$G$64,MATCH($A62,Вводные!$A$13:$A$64,0)),0))</f>
        <v>0.0005</v>
      </c>
      <c r="BV62" s="32" t="n">
        <f aca="false">INDEX(Вводные!$D$13:$F$64,MATCH($A62,Вводные!$A$13:$A$64,0),MATCH(BV$3,Вводные!$D$11:$F$11,0))*(1+IF(BV$4=$A62,Вводные!$D$5*INDEX(Вводные!$G$13:$G$64,MATCH($A62,Вводные!$A$13:$A$64,0)),0))</f>
        <v>0.0005</v>
      </c>
      <c r="BW62" s="32" t="n">
        <f aca="false">INDEX(Вводные!$D$13:$F$64,MATCH($A62,Вводные!$A$13:$A$64,0),MATCH(BW$3,Вводные!$D$11:$F$11,0))*(1+IF(BW$4=$A62,Вводные!$D$5*INDEX(Вводные!$G$13:$G$64,MATCH($A62,Вводные!$A$13:$A$64,0)),0))</f>
        <v>0.0005</v>
      </c>
      <c r="BX62" s="32" t="n">
        <f aca="false">INDEX(Вводные!$D$13:$F$64,MATCH($A62,Вводные!$A$13:$A$64,0),MATCH(BX$3,Вводные!$D$11:$F$11,0))*(1+IF(BX$4=$A62,Вводные!$D$5*INDEX(Вводные!$G$13:$G$64,MATCH($A62,Вводные!$A$13:$A$64,0)),0))</f>
        <v>0.0005</v>
      </c>
      <c r="BY62" s="32" t="n">
        <f aca="false">INDEX(Вводные!$D$13:$F$64,MATCH($A62,Вводные!$A$13:$A$64,0),MATCH(BY$3,Вводные!$D$11:$F$11,0))*(1+IF(BY$4=$A62,Вводные!$D$5*INDEX(Вводные!$G$13:$G$64,MATCH($A62,Вводные!$A$13:$A$64,0)),0))</f>
        <v>0.0005</v>
      </c>
      <c r="BZ62" s="32" t="n">
        <f aca="false">INDEX(Вводные!$D$13:$F$64,MATCH($A62,Вводные!$A$13:$A$64,0),MATCH(BZ$3,Вводные!$D$11:$F$11,0))*(1+IF(BZ$4=$A62,Вводные!$D$5*INDEX(Вводные!$G$13:$G$64,MATCH($A62,Вводные!$A$13:$A$64,0)),0))</f>
        <v>0.0005</v>
      </c>
      <c r="CA62" s="32" t="n">
        <f aca="false">INDEX(Вводные!$D$13:$F$64,MATCH($A62,Вводные!$A$13:$A$64,0),MATCH(CA$3,Вводные!$D$11:$F$11,0))*(1+IF(CA$4=$A62,Вводные!$D$5*INDEX(Вводные!$G$13:$G$64,MATCH($A62,Вводные!$A$13:$A$64,0)),0))</f>
        <v>0.0005</v>
      </c>
      <c r="CB62" s="32" t="n">
        <f aca="false">INDEX(Вводные!$D$13:$F$64,MATCH($A62,Вводные!$A$13:$A$64,0),MATCH(CB$3,Вводные!$D$11:$F$11,0))*(1+IF(CB$4=$A62,Вводные!$D$5*INDEX(Вводные!$G$13:$G$64,MATCH($A62,Вводные!$A$13:$A$64,0)),0))</f>
        <v>0.0005</v>
      </c>
      <c r="CC62" s="32" t="n">
        <f aca="false">INDEX(Вводные!$D$13:$F$64,MATCH($A62,Вводные!$A$13:$A$64,0),MATCH(CC$3,Вводные!$D$11:$F$11,0))*(1+IF(CC$4=$A62,Вводные!$D$5*INDEX(Вводные!$G$13:$G$64,MATCH($A62,Вводные!$A$13:$A$64,0)),0))</f>
        <v>0.000505</v>
      </c>
      <c r="CD62" s="32" t="n">
        <f aca="false">INDEX(Вводные!$D$13:$F$64,MATCH($A62,Вводные!$A$13:$A$64,0),MATCH(CD$3,Вводные!$D$11:$F$11,0))*(1+IF(CD$4=$A62,Вводные!$D$5*INDEX(Вводные!$G$13:$G$64,MATCH($A62,Вводные!$A$13:$A$64,0)),0))</f>
        <v>0.0005</v>
      </c>
      <c r="CE62" s="32" t="n">
        <f aca="false">INDEX(Вводные!$D$13:$F$64,MATCH($A62,Вводные!$A$13:$A$64,0),MATCH(CE$3,Вводные!$D$11:$F$11,0))*(1+IF(CE$4=$A62,Вводные!$D$5*INDEX(Вводные!$G$13:$G$64,MATCH($A62,Вводные!$A$13:$A$64,0)),0))</f>
        <v>0.0005</v>
      </c>
      <c r="CF62" s="32" t="n">
        <f aca="false">INDEX(Вводные!$D$13:$F$64,MATCH($A62,Вводные!$A$13:$A$64,0),MATCH(CF$3,Вводные!$D$11:$F$11,0))*(1+IF(CF$4=$A62,Вводные!$D$5*INDEX(Вводные!$G$13:$G$64,MATCH($A62,Вводные!$A$13:$A$64,0)),0))</f>
        <v>0.0005</v>
      </c>
      <c r="CG62" s="32" t="n">
        <f aca="false">INDEX(Вводные!$D$13:$F$64,MATCH($A62,Вводные!$A$13:$A$64,0),MATCH(CG$3,Вводные!$D$11:$F$11,0))*(1+IF(CG$4=$A62,Вводные!$D$5*INDEX(Вводные!$G$13:$G$64,MATCH($A62,Вводные!$A$13:$A$64,0)),0))</f>
        <v>0.0005</v>
      </c>
      <c r="CH62" s="32" t="n">
        <f aca="false">INDEX(Вводные!$D$13:$F$64,MATCH($A62,Вводные!$A$13:$A$64,0),MATCH(CH$3,Вводные!$D$11:$F$11,0))*(1+IF(CH$4=$A62,Вводные!$D$5*INDEX(Вводные!$G$13:$G$64,MATCH($A62,Вводные!$A$13:$A$64,0)),0))</f>
        <v>0.0005</v>
      </c>
      <c r="CI62" s="32" t="n">
        <f aca="false">INDEX(Вводные!$D$13:$F$64,MATCH($A62,Вводные!$A$13:$A$64,0),MATCH(CI$3,Вводные!$D$11:$F$11,0))*(1+IF(CI$4=$A62,Вводные!$D$5*INDEX(Вводные!$G$13:$G$64,MATCH($A62,Вводные!$A$13:$A$64,0)),0))</f>
        <v>0.0005</v>
      </c>
      <c r="CJ62" s="32" t="n">
        <f aca="false">INDEX(Вводные!$D$13:$F$64,MATCH($A62,Вводные!$A$13:$A$64,0),MATCH(CJ$3,Вводные!$D$11:$F$11,0))*(1+IF(CJ$4=$A62,Вводные!$D$5*INDEX(Вводные!$G$13:$G$64,MATCH($A62,Вводные!$A$13:$A$64,0)),0))</f>
        <v>0.0005</v>
      </c>
      <c r="CK62" s="32" t="n">
        <f aca="false">INDEX(Вводные!$D$13:$F$64,MATCH($A62,Вводные!$A$13:$A$64,0),MATCH(CK$3,Вводные!$D$11:$F$11,0))*(1+IF(CK$4=$A62,Вводные!$D$5*INDEX(Вводные!$G$13:$G$64,MATCH($A62,Вводные!$A$13:$A$64,0)),0))</f>
        <v>0.0005</v>
      </c>
      <c r="CL62" s="32" t="n">
        <f aca="false">INDEX(Вводные!$D$13:$F$64,MATCH($A62,Вводные!$A$13:$A$64,0),MATCH(CL$3,Вводные!$D$11:$F$11,0))*(1+IF(CL$4=$A62,Вводные!$D$5*INDEX(Вводные!$G$13:$G$64,MATCH($A62,Вводные!$A$13:$A$64,0)),0))</f>
        <v>0.0005</v>
      </c>
      <c r="CM62" s="32" t="n">
        <f aca="false">INDEX(Вводные!$D$13:$F$64,MATCH($A62,Вводные!$A$13:$A$64,0),MATCH(CM$3,Вводные!$D$11:$F$11,0))*(1+IF(CM$4=$A62,Вводные!$D$5*INDEX(Вводные!$G$13:$G$64,MATCH($A62,Вводные!$A$13:$A$64,0)),0))</f>
        <v>0.0005</v>
      </c>
      <c r="CN62" s="32" t="n">
        <f aca="false">INDEX(Вводные!$D$13:$F$64,MATCH($A62,Вводные!$A$13:$A$64,0),MATCH(CN$3,Вводные!$D$11:$F$11,0))*(1+IF(CN$4=$A62,Вводные!$D$5*INDEX(Вводные!$G$13:$G$64,MATCH($A62,Вводные!$A$13:$A$64,0)),0))</f>
        <v>0.0005</v>
      </c>
      <c r="CO62" s="32" t="n">
        <f aca="false">INDEX(Вводные!$D$13:$F$64,MATCH($A62,Вводные!$A$13:$A$64,0),MATCH(CO$3,Вводные!$D$11:$F$11,0))*(1+IF(CO$4=$A62,Вводные!$D$5*INDEX(Вводные!$G$13:$G$64,MATCH($A62,Вводные!$A$13:$A$64,0)),0))</f>
        <v>0.0005</v>
      </c>
      <c r="CP62" s="32" t="n">
        <f aca="false">INDEX(Вводные!$D$13:$F$64,MATCH($A62,Вводные!$A$13:$A$64,0),MATCH(CP$3,Вводные!$D$11:$F$11,0))*(1+IF(CP$4=$A62,Вводные!$D$5*INDEX(Вводные!$G$13:$G$64,MATCH($A62,Вводные!$A$13:$A$64,0)),0))</f>
        <v>0.0003</v>
      </c>
      <c r="CQ62" s="32" t="n">
        <f aca="false">INDEX(Вводные!$D$13:$F$64,MATCH($A62,Вводные!$A$13:$A$64,0),MATCH(CQ$3,Вводные!$D$11:$F$11,0))*(1+IF(CQ$4=$A62,Вводные!$D$5*INDEX(Вводные!$G$13:$G$64,MATCH($A62,Вводные!$A$13:$A$64,0)),0))</f>
        <v>0.0003</v>
      </c>
      <c r="CR62" s="32" t="n">
        <f aca="false">INDEX(Вводные!$D$13:$F$64,MATCH($A62,Вводные!$A$13:$A$64,0),MATCH(CR$3,Вводные!$D$11:$F$11,0))*(1+IF(CR$4=$A62,Вводные!$D$5*INDEX(Вводные!$G$13:$G$64,MATCH($A62,Вводные!$A$13:$A$64,0)),0))</f>
        <v>0.0003</v>
      </c>
      <c r="CS62" s="32" t="n">
        <f aca="false">INDEX(Вводные!$D$13:$F$64,MATCH($A62,Вводные!$A$13:$A$64,0),MATCH(CS$3,Вводные!$D$11:$F$11,0))*(1+IF(CS$4=$A62,Вводные!$D$5*INDEX(Вводные!$G$13:$G$64,MATCH($A62,Вводные!$A$13:$A$64,0)),0))</f>
        <v>0.0003</v>
      </c>
      <c r="CT62" s="32" t="n">
        <f aca="false">INDEX(Вводные!$D$13:$F$64,MATCH($A62,Вводные!$A$13:$A$64,0),MATCH(CT$3,Вводные!$D$11:$F$11,0))*(1+IF(CT$4=$A62,Вводные!$D$5*INDEX(Вводные!$G$13:$G$64,MATCH($A62,Вводные!$A$13:$A$64,0)),0))</f>
        <v>0.0003</v>
      </c>
      <c r="CU62" s="32" t="n">
        <f aca="false">INDEX(Вводные!$D$13:$F$64,MATCH($A62,Вводные!$A$13:$A$64,0),MATCH(CU$3,Вводные!$D$11:$F$11,0))*(1+IF(CU$4=$A62,Вводные!$D$5*INDEX(Вводные!$G$13:$G$64,MATCH($A62,Вводные!$A$13:$A$64,0)),0))</f>
        <v>0.0003</v>
      </c>
      <c r="CV62" s="32" t="n">
        <f aca="false">INDEX(Вводные!$D$13:$F$64,MATCH($A62,Вводные!$A$13:$A$64,0),MATCH(CV$3,Вводные!$D$11:$F$11,0))*(1+IF(CV$4=$A62,Вводные!$D$5*INDEX(Вводные!$G$13:$G$64,MATCH($A62,Вводные!$A$13:$A$64,0)),0))</f>
        <v>0.0003</v>
      </c>
      <c r="CW62" s="32" t="n">
        <f aca="false">INDEX(Вводные!$D$13:$F$64,MATCH($A62,Вводные!$A$13:$A$64,0),MATCH(CW$3,Вводные!$D$11:$F$11,0))*(1+IF(CW$4=$A62,Вводные!$D$5*INDEX(Вводные!$G$13:$G$64,MATCH($A62,Вводные!$A$13:$A$64,0)),0))</f>
        <v>0.0003</v>
      </c>
      <c r="CX62" s="32" t="n">
        <f aca="false">INDEX(Вводные!$D$13:$F$64,MATCH($A62,Вводные!$A$13:$A$64,0),MATCH(CX$3,Вводные!$D$11:$F$11,0))*(1+IF(CX$4=$A62,Вводные!$D$5*INDEX(Вводные!$G$13:$G$64,MATCH($A62,Вводные!$A$13:$A$64,0)),0))</f>
        <v>0.0003</v>
      </c>
      <c r="CY62" s="32" t="n">
        <f aca="false">INDEX(Вводные!$D$13:$F$64,MATCH($A62,Вводные!$A$13:$A$64,0),MATCH(CY$3,Вводные!$D$11:$F$11,0))*(1+IF(CY$4=$A62,Вводные!$D$5*INDEX(Вводные!$G$13:$G$64,MATCH($A62,Вводные!$A$13:$A$64,0)),0))</f>
        <v>0.0003</v>
      </c>
      <c r="CZ62" s="32" t="n">
        <f aca="false">INDEX(Вводные!$D$13:$F$64,MATCH($A62,Вводные!$A$13:$A$64,0),MATCH(CZ$3,Вводные!$D$11:$F$11,0))*(1+IF(CZ$4=$A62,Вводные!$D$5*INDEX(Вводные!$G$13:$G$64,MATCH($A62,Вводные!$A$13:$A$64,0)),0))</f>
        <v>0.0003</v>
      </c>
      <c r="DA62" s="32" t="n">
        <f aca="false">INDEX(Вводные!$D$13:$F$64,MATCH($A62,Вводные!$A$13:$A$64,0),MATCH(DA$3,Вводные!$D$11:$F$11,0))*(1+IF(DA$4=$A62,Вводные!$D$5*INDEX(Вводные!$G$13:$G$64,MATCH($A62,Вводные!$A$13:$A$64,0)),0))</f>
        <v>0.0003</v>
      </c>
      <c r="DB62" s="32" t="n">
        <f aca="false">INDEX(Вводные!$D$13:$F$64,MATCH($A62,Вводные!$A$13:$A$64,0),MATCH(DB$3,Вводные!$D$11:$F$11,0))*(1+IF(DB$4=$A62,Вводные!$D$5*INDEX(Вводные!$G$13:$G$64,MATCH($A62,Вводные!$A$13:$A$64,0)),0))</f>
        <v>0.0003</v>
      </c>
      <c r="DC62" s="32" t="n">
        <f aca="false">INDEX(Вводные!$D$13:$F$64,MATCH($A62,Вводные!$A$13:$A$64,0),MATCH(DC$3,Вводные!$D$11:$F$11,0))*(1+IF(DC$4=$A62,Вводные!$D$5*INDEX(Вводные!$G$13:$G$64,MATCH($A62,Вводные!$A$13:$A$64,0)),0))</f>
        <v>0.0003</v>
      </c>
      <c r="DD62" s="32" t="n">
        <f aca="false">INDEX(Вводные!$D$13:$F$64,MATCH($A62,Вводные!$A$13:$A$64,0),MATCH(DD$3,Вводные!$D$11:$F$11,0))*(1+IF(DD$4=$A62,Вводные!$D$5*INDEX(Вводные!$G$13:$G$64,MATCH($A62,Вводные!$A$13:$A$64,0)),0))</f>
        <v>0.0003</v>
      </c>
      <c r="DE62" s="32" t="n">
        <f aca="false">INDEX(Вводные!$D$13:$F$64,MATCH($A62,Вводные!$A$13:$A$64,0),MATCH(DE$3,Вводные!$D$11:$F$11,0))*(1+IF(DE$4=$A62,Вводные!$D$5*INDEX(Вводные!$G$13:$G$64,MATCH($A62,Вводные!$A$13:$A$64,0)),0))</f>
        <v>0.0003</v>
      </c>
      <c r="DF62" s="32" t="n">
        <f aca="false">INDEX(Вводные!$D$13:$F$64,MATCH($A62,Вводные!$A$13:$A$64,0),MATCH(DF$3,Вводные!$D$11:$F$11,0))*(1+IF(DF$4=$A62,Вводные!$D$5*INDEX(Вводные!$G$13:$G$64,MATCH($A62,Вводные!$A$13:$A$64,0)),0))</f>
        <v>0.0003</v>
      </c>
      <c r="DG62" s="32" t="n">
        <f aca="false">INDEX(Вводные!$D$13:$F$64,MATCH($A62,Вводные!$A$13:$A$64,0),MATCH(DG$3,Вводные!$D$11:$F$11,0))*(1+IF(DG$4=$A62,Вводные!$D$5*INDEX(Вводные!$G$13:$G$64,MATCH($A62,Вводные!$A$13:$A$64,0)),0))</f>
        <v>0.0003</v>
      </c>
      <c r="DH62" s="32" t="n">
        <f aca="false">INDEX(Вводные!$D$13:$F$64,MATCH($A62,Вводные!$A$13:$A$64,0),MATCH(DH$3,Вводные!$D$11:$F$11,0))*(1+IF(DH$4=$A62,Вводные!$D$5*INDEX(Вводные!$G$13:$G$64,MATCH($A62,Вводные!$A$13:$A$64,0)),0))</f>
        <v>0.0003</v>
      </c>
      <c r="DI62" s="32" t="n">
        <f aca="false">INDEX(Вводные!$D$13:$F$64,MATCH($A62,Вводные!$A$13:$A$64,0),MATCH(DI$3,Вводные!$D$11:$F$11,0))*(1+IF(DI$4=$A62,Вводные!$D$5*INDEX(Вводные!$G$13:$G$64,MATCH($A62,Вводные!$A$13:$A$64,0)),0))</f>
        <v>0.0003</v>
      </c>
      <c r="DJ62" s="32" t="n">
        <f aca="false">INDEX(Вводные!$D$13:$F$64,MATCH($A62,Вводные!$A$13:$A$64,0),MATCH(DJ$3,Вводные!$D$11:$F$11,0))*(1+IF(DJ$4=$A62,Вводные!$D$5*INDEX(Вводные!$G$13:$G$64,MATCH($A62,Вводные!$A$13:$A$64,0)),0))</f>
        <v>0.0003</v>
      </c>
      <c r="DK62" s="32" t="n">
        <f aca="false">INDEX(Вводные!$D$13:$F$64,MATCH($A62,Вводные!$A$13:$A$64,0),MATCH(DK$3,Вводные!$D$11:$F$11,0))*(1+IF(DK$4=$A62,Вводные!$D$5*INDEX(Вводные!$G$13:$G$64,MATCH($A62,Вводные!$A$13:$A$64,0)),0))</f>
        <v>0.0003</v>
      </c>
      <c r="DL62" s="32" t="n">
        <f aca="false">INDEX(Вводные!$D$13:$F$64,MATCH($A62,Вводные!$A$13:$A$64,0),MATCH(DL$3,Вводные!$D$11:$F$11,0))*(1+IF(DL$4=$A62,Вводные!$D$5*INDEX(Вводные!$G$13:$G$64,MATCH($A62,Вводные!$A$13:$A$64,0)),0))</f>
        <v>0.0003</v>
      </c>
      <c r="DM62" s="32" t="n">
        <f aca="false">INDEX(Вводные!$D$13:$F$64,MATCH($A62,Вводные!$A$13:$A$64,0),MATCH(DM$3,Вводные!$D$11:$F$11,0))*(1+IF(DM$4=$A62,Вводные!$D$5*INDEX(Вводные!$G$13:$G$64,MATCH($A62,Вводные!$A$13:$A$64,0)),0))</f>
        <v>0.0003</v>
      </c>
      <c r="DN62" s="32" t="n">
        <f aca="false">INDEX(Вводные!$D$13:$F$64,MATCH($A62,Вводные!$A$13:$A$64,0),MATCH(DN$3,Вводные!$D$11:$F$11,0))*(1+IF(DN$4=$A62,Вводные!$D$5*INDEX(Вводные!$G$13:$G$64,MATCH($A62,Вводные!$A$13:$A$64,0)),0))</f>
        <v>0.0003</v>
      </c>
      <c r="DO62" s="32" t="n">
        <f aca="false">INDEX(Вводные!$D$13:$F$64,MATCH($A62,Вводные!$A$13:$A$64,0),MATCH(DO$3,Вводные!$D$11:$F$11,0))*(1+IF(DO$4=$A62,Вводные!$D$5*INDEX(Вводные!$G$13:$G$64,MATCH($A62,Вводные!$A$13:$A$64,0)),0))</f>
        <v>0.0003</v>
      </c>
      <c r="DP62" s="32" t="n">
        <f aca="false">INDEX(Вводные!$D$13:$F$64,MATCH($A62,Вводные!$A$13:$A$64,0),MATCH(DP$3,Вводные!$D$11:$F$11,0))*(1+IF(DP$4=$A62,Вводные!$D$5*INDEX(Вводные!$G$13:$G$64,MATCH($A62,Вводные!$A$13:$A$64,0)),0))</f>
        <v>0.0003</v>
      </c>
      <c r="DQ62" s="32" t="n">
        <f aca="false">INDEX(Вводные!$D$13:$F$64,MATCH($A62,Вводные!$A$13:$A$64,0),MATCH(DQ$3,Вводные!$D$11:$F$11,0))*(1+IF(DQ$4=$A62,Вводные!$D$5*INDEX(Вводные!$G$13:$G$64,MATCH($A62,Вводные!$A$13:$A$64,0)),0))</f>
        <v>0.0003</v>
      </c>
      <c r="DR62" s="32" t="n">
        <f aca="false">INDEX(Вводные!$D$13:$F$64,MATCH($A62,Вводные!$A$13:$A$64,0),MATCH(DR$3,Вводные!$D$11:$F$11,0))*(1+IF(DR$4=$A62,Вводные!$D$5*INDEX(Вводные!$G$13:$G$64,MATCH($A62,Вводные!$A$13:$A$64,0)),0))</f>
        <v>0.0003</v>
      </c>
      <c r="DS62" s="32" t="n">
        <f aca="false">INDEX(Вводные!$D$13:$F$64,MATCH($A62,Вводные!$A$13:$A$64,0),MATCH(DS$3,Вводные!$D$11:$F$11,0))*(1+IF(DS$4=$A62,Вводные!$D$5*INDEX(Вводные!$G$13:$G$64,MATCH($A62,Вводные!$A$13:$A$64,0)),0))</f>
        <v>0.000303</v>
      </c>
      <c r="DT62" s="32" t="n">
        <f aca="false">INDEX(Вводные!$D$13:$F$64,MATCH($A62,Вводные!$A$13:$A$64,0),MATCH(DT$3,Вводные!$D$11:$F$11,0))*(1+IF(DT$4=$A62,Вводные!$D$5*INDEX(Вводные!$G$13:$G$64,MATCH($A62,Вводные!$A$13:$A$64,0)),0))</f>
        <v>0.0003</v>
      </c>
      <c r="DU62" s="32" t="n">
        <f aca="false">INDEX(Вводные!$D$13:$F$64,MATCH($A62,Вводные!$A$13:$A$64,0),MATCH(DU$3,Вводные!$D$11:$F$11,0))*(1+IF(DU$4=$A62,Вводные!$D$5*INDEX(Вводные!$G$13:$G$64,MATCH($A62,Вводные!$A$13:$A$64,0)),0))</f>
        <v>0.0003</v>
      </c>
      <c r="DV62" s="32" t="n">
        <f aca="false">INDEX(Вводные!$D$13:$F$64,MATCH($A62,Вводные!$A$13:$A$64,0),MATCH(DV$3,Вводные!$D$11:$F$11,0))*(1+IF(DV$4=$A62,Вводные!$D$5*INDEX(Вводные!$G$13:$G$64,MATCH($A62,Вводные!$A$13:$A$64,0)),0))</f>
        <v>0.0003</v>
      </c>
      <c r="DW62" s="32" t="n">
        <f aca="false">INDEX(Вводные!$D$13:$F$64,MATCH($A62,Вводные!$A$13:$A$64,0),MATCH(DW$3,Вводные!$D$11:$F$11,0))*(1+IF(DW$4=$A62,Вводные!$D$5*INDEX(Вводные!$G$13:$G$64,MATCH($A62,Вводные!$A$13:$A$64,0)),0))</f>
        <v>0.0003</v>
      </c>
      <c r="DX62" s="32" t="n">
        <f aca="false">INDEX(Вводные!$D$13:$F$64,MATCH($A62,Вводные!$A$13:$A$64,0),MATCH(DX$3,Вводные!$D$11:$F$11,0))*(1+IF(DX$4=$A62,Вводные!$D$5*INDEX(Вводные!$G$13:$G$64,MATCH($A62,Вводные!$A$13:$A$64,0)),0))</f>
        <v>0.0003</v>
      </c>
      <c r="DY62" s="32" t="n">
        <f aca="false">INDEX(Вводные!$D$13:$F$64,MATCH($A62,Вводные!$A$13:$A$64,0),MATCH(DY$3,Вводные!$D$11:$F$11,0))*(1+IF(DY$4=$A62,Вводные!$D$5*INDEX(Вводные!$G$13:$G$64,MATCH($A62,Вводные!$A$13:$A$64,0)),0))</f>
        <v>0.0003</v>
      </c>
      <c r="DZ62" s="32" t="n">
        <f aca="false">INDEX(Вводные!$D$13:$F$64,MATCH($A62,Вводные!$A$13:$A$64,0),MATCH(DZ$3,Вводные!$D$11:$F$11,0))*(1+IF(DZ$4=$A62,Вводные!$D$5*INDEX(Вводные!$G$13:$G$64,MATCH($A62,Вводные!$A$13:$A$64,0)),0))</f>
        <v>0.0003</v>
      </c>
      <c r="EA62" s="32" t="n">
        <f aca="false">INDEX(Вводные!$D$13:$F$64,MATCH($A62,Вводные!$A$13:$A$64,0),MATCH(EA$3,Вводные!$D$11:$F$11,0))*(1+IF(EA$4=$A62,Вводные!$D$5*INDEX(Вводные!$G$13:$G$64,MATCH($A62,Вводные!$A$13:$A$64,0)),0))</f>
        <v>0.0003</v>
      </c>
      <c r="EB62" s="32" t="n">
        <f aca="false">INDEX(Вводные!$D$13:$F$64,MATCH($A62,Вводные!$A$13:$A$64,0),MATCH(EB$3,Вводные!$D$11:$F$11,0))*(1+IF(EB$4=$A62,Вводные!$D$5*INDEX(Вводные!$G$13:$G$64,MATCH($A62,Вводные!$A$13:$A$64,0)),0))</f>
        <v>0.0003</v>
      </c>
      <c r="EC62" s="32" t="n">
        <f aca="false">INDEX(Вводные!$D$13:$F$64,MATCH($A62,Вводные!$A$13:$A$64,0),MATCH(EC$3,Вводные!$D$11:$F$11,0))*(1+IF(EC$4=$A62,Вводные!$D$5*INDEX(Вводные!$G$13:$G$64,MATCH($A62,Вводные!$A$13:$A$64,0)),0))</f>
        <v>0.0003</v>
      </c>
      <c r="ED62" s="32" t="n">
        <f aca="false">INDEX(Вводные!$D$13:$F$64,MATCH($A62,Вводные!$A$13:$A$64,0),MATCH(ED$3,Вводные!$D$11:$F$11,0))*(1+IF(ED$4=$A62,Вводные!$D$5*INDEX(Вводные!$G$13:$G$64,MATCH($A62,Вводные!$A$13:$A$64,0)),0))</f>
        <v>0.0003</v>
      </c>
      <c r="EE62" s="32" t="n">
        <f aca="false">INDEX(Вводные!$D$13:$F$64,MATCH($A62,Вводные!$A$13:$A$64,0),MATCH(EE$3,Вводные!$D$11:$F$11,0))*(1+IF(EE$4=$A62,Вводные!$D$5*INDEX(Вводные!$G$13:$G$64,MATCH($A62,Вводные!$A$13:$A$64,0)),0))</f>
        <v>0.0003</v>
      </c>
      <c r="EF62" s="32" t="n">
        <f aca="false">INDEX(Вводные!$D$13:$F$64,MATCH($A62,Вводные!$A$13:$A$64,0),MATCH(EF$3,Вводные!$D$11:$F$11,0))*(1+IF(EF$4=$A62,Вводные!$D$5*INDEX(Вводные!$G$13:$G$64,MATCH($A62,Вводные!$A$13:$A$64,0)),0))</f>
        <v>0.0002</v>
      </c>
      <c r="EG62" s="32" t="n">
        <f aca="false">INDEX(Вводные!$D$13:$F$64,MATCH($A62,Вводные!$A$13:$A$64,0),MATCH(EG$3,Вводные!$D$11:$F$11,0))*(1+IF(EG$4=$A62,Вводные!$D$5*INDEX(Вводные!$G$13:$G$64,MATCH($A62,Вводные!$A$13:$A$64,0)),0))</f>
        <v>0.0002</v>
      </c>
      <c r="EH62" s="32" t="n">
        <f aca="false">INDEX(Вводные!$D$13:$F$64,MATCH($A62,Вводные!$A$13:$A$64,0),MATCH(EH$3,Вводные!$D$11:$F$11,0))*(1+IF(EH$4=$A62,Вводные!$D$5*INDEX(Вводные!$G$13:$G$64,MATCH($A62,Вводные!$A$13:$A$64,0)),0))</f>
        <v>0.0002</v>
      </c>
      <c r="EI62" s="32" t="n">
        <f aca="false">INDEX(Вводные!$D$13:$F$64,MATCH($A62,Вводные!$A$13:$A$64,0),MATCH(EI$3,Вводные!$D$11:$F$11,0))*(1+IF(EI$4=$A62,Вводные!$D$5*INDEX(Вводные!$G$13:$G$64,MATCH($A62,Вводные!$A$13:$A$64,0)),0))</f>
        <v>0.0002</v>
      </c>
      <c r="EJ62" s="32" t="n">
        <f aca="false">INDEX(Вводные!$D$13:$F$64,MATCH($A62,Вводные!$A$13:$A$64,0),MATCH(EJ$3,Вводные!$D$11:$F$11,0))*(1+IF(EJ$4=$A62,Вводные!$D$5*INDEX(Вводные!$G$13:$G$64,MATCH($A62,Вводные!$A$13:$A$64,0)),0))</f>
        <v>0.0002</v>
      </c>
      <c r="EK62" s="32" t="n">
        <f aca="false">INDEX(Вводные!$D$13:$F$64,MATCH($A62,Вводные!$A$13:$A$64,0),MATCH(EK$3,Вводные!$D$11:$F$11,0))*(1+IF(EK$4=$A62,Вводные!$D$5*INDEX(Вводные!$G$13:$G$64,MATCH($A62,Вводные!$A$13:$A$64,0)),0))</f>
        <v>0.0002</v>
      </c>
      <c r="EL62" s="32" t="n">
        <f aca="false">INDEX(Вводные!$D$13:$F$64,MATCH($A62,Вводные!$A$13:$A$64,0),MATCH(EL$3,Вводные!$D$11:$F$11,0))*(1+IF(EL$4=$A62,Вводные!$D$5*INDEX(Вводные!$G$13:$G$64,MATCH($A62,Вводные!$A$13:$A$64,0)),0))</f>
        <v>0.0002</v>
      </c>
      <c r="EM62" s="32" t="n">
        <f aca="false">INDEX(Вводные!$D$13:$F$64,MATCH($A62,Вводные!$A$13:$A$64,0),MATCH(EM$3,Вводные!$D$11:$F$11,0))*(1+IF(EM$4=$A62,Вводные!$D$5*INDEX(Вводные!$G$13:$G$64,MATCH($A62,Вводные!$A$13:$A$64,0)),0))</f>
        <v>0.0002</v>
      </c>
      <c r="EN62" s="32" t="n">
        <f aca="false">INDEX(Вводные!$D$13:$F$64,MATCH($A62,Вводные!$A$13:$A$64,0),MATCH(EN$3,Вводные!$D$11:$F$11,0))*(1+IF(EN$4=$A62,Вводные!$D$5*INDEX(Вводные!$G$13:$G$64,MATCH($A62,Вводные!$A$13:$A$64,0)),0))</f>
        <v>0.0002</v>
      </c>
      <c r="EO62" s="32" t="n">
        <f aca="false">INDEX(Вводные!$D$13:$F$64,MATCH($A62,Вводные!$A$13:$A$64,0),MATCH(EO$3,Вводные!$D$11:$F$11,0))*(1+IF(EO$4=$A62,Вводные!$D$5*INDEX(Вводные!$G$13:$G$64,MATCH($A62,Вводные!$A$13:$A$64,0)),0))</f>
        <v>0.0002</v>
      </c>
      <c r="EP62" s="32" t="n">
        <f aca="false">INDEX(Вводные!$D$13:$F$64,MATCH($A62,Вводные!$A$13:$A$64,0),MATCH(EP$3,Вводные!$D$11:$F$11,0))*(1+IF(EP$4=$A62,Вводные!$D$5*INDEX(Вводные!$G$13:$G$64,MATCH($A62,Вводные!$A$13:$A$64,0)),0))</f>
        <v>0.0002</v>
      </c>
      <c r="EQ62" s="32" t="n">
        <f aca="false">INDEX(Вводные!$D$13:$F$64,MATCH($A62,Вводные!$A$13:$A$64,0),MATCH(EQ$3,Вводные!$D$11:$F$11,0))*(1+IF(EQ$4=$A62,Вводные!$D$5*INDEX(Вводные!$G$13:$G$64,MATCH($A62,Вводные!$A$13:$A$64,0)),0))</f>
        <v>0.0002</v>
      </c>
      <c r="ER62" s="32" t="n">
        <f aca="false">INDEX(Вводные!$D$13:$F$64,MATCH($A62,Вводные!$A$13:$A$64,0),MATCH(ER$3,Вводные!$D$11:$F$11,0))*(1+IF(ER$4=$A62,Вводные!$D$5*INDEX(Вводные!$G$13:$G$64,MATCH($A62,Вводные!$A$13:$A$64,0)),0))</f>
        <v>0.0002</v>
      </c>
      <c r="ES62" s="32" t="n">
        <f aca="false">INDEX(Вводные!$D$13:$F$64,MATCH($A62,Вводные!$A$13:$A$64,0),MATCH(ES$3,Вводные!$D$11:$F$11,0))*(1+IF(ES$4=$A62,Вводные!$D$5*INDEX(Вводные!$G$13:$G$64,MATCH($A62,Вводные!$A$13:$A$64,0)),0))</f>
        <v>0.0002</v>
      </c>
      <c r="ET62" s="32" t="n">
        <f aca="false">INDEX(Вводные!$D$13:$F$64,MATCH($A62,Вводные!$A$13:$A$64,0),MATCH(ET$3,Вводные!$D$11:$F$11,0))*(1+IF(ET$4=$A62,Вводные!$D$5*INDEX(Вводные!$G$13:$G$64,MATCH($A62,Вводные!$A$13:$A$64,0)),0))</f>
        <v>0.0002</v>
      </c>
      <c r="EU62" s="32" t="n">
        <f aca="false">INDEX(Вводные!$D$13:$F$64,MATCH($A62,Вводные!$A$13:$A$64,0),MATCH(EU$3,Вводные!$D$11:$F$11,0))*(1+IF(EU$4=$A62,Вводные!$D$5*INDEX(Вводные!$G$13:$G$64,MATCH($A62,Вводные!$A$13:$A$64,0)),0))</f>
        <v>0.0002</v>
      </c>
      <c r="EV62" s="32" t="n">
        <f aca="false">INDEX(Вводные!$D$13:$F$64,MATCH($A62,Вводные!$A$13:$A$64,0),MATCH(EV$3,Вводные!$D$11:$F$11,0))*(1+IF(EV$4=$A62,Вводные!$D$5*INDEX(Вводные!$G$13:$G$64,MATCH($A62,Вводные!$A$13:$A$64,0)),0))</f>
        <v>0.0002</v>
      </c>
      <c r="EW62" s="32" t="n">
        <f aca="false">INDEX(Вводные!$D$13:$F$64,MATCH($A62,Вводные!$A$13:$A$64,0),MATCH(EW$3,Вводные!$D$11:$F$11,0))*(1+IF(EW$4=$A62,Вводные!$D$5*INDEX(Вводные!$G$13:$G$64,MATCH($A62,Вводные!$A$13:$A$64,0)),0))</f>
        <v>0.0002</v>
      </c>
      <c r="EX62" s="32" t="n">
        <f aca="false">INDEX(Вводные!$D$13:$F$64,MATCH($A62,Вводные!$A$13:$A$64,0),MATCH(EX$3,Вводные!$D$11:$F$11,0))*(1+IF(EX$4=$A62,Вводные!$D$5*INDEX(Вводные!$G$13:$G$64,MATCH($A62,Вводные!$A$13:$A$64,0)),0))</f>
        <v>0.0002</v>
      </c>
      <c r="EY62" s="32" t="n">
        <f aca="false">INDEX(Вводные!$D$13:$F$64,MATCH($A62,Вводные!$A$13:$A$64,0),MATCH(EY$3,Вводные!$D$11:$F$11,0))*(1+IF(EY$4=$A62,Вводные!$D$5*INDEX(Вводные!$G$13:$G$64,MATCH($A62,Вводные!$A$13:$A$64,0)),0))</f>
        <v>0.0002</v>
      </c>
      <c r="EZ62" s="32" t="n">
        <f aca="false">INDEX(Вводные!$D$13:$F$64,MATCH($A62,Вводные!$A$13:$A$64,0),MATCH(EZ$3,Вводные!$D$11:$F$11,0))*(1+IF(EZ$4=$A62,Вводные!$D$5*INDEX(Вводные!$G$13:$G$64,MATCH($A62,Вводные!$A$13:$A$64,0)),0))</f>
        <v>0.0002</v>
      </c>
      <c r="FA62" s="32" t="n">
        <f aca="false">INDEX(Вводные!$D$13:$F$64,MATCH($A62,Вводные!$A$13:$A$64,0),MATCH(FA$3,Вводные!$D$11:$F$11,0))*(1+IF(FA$4=$A62,Вводные!$D$5*INDEX(Вводные!$G$13:$G$64,MATCH($A62,Вводные!$A$13:$A$64,0)),0))</f>
        <v>0.0002</v>
      </c>
      <c r="FB62" s="32" t="n">
        <f aca="false">INDEX(Вводные!$D$13:$F$64,MATCH($A62,Вводные!$A$13:$A$64,0),MATCH(FB$3,Вводные!$D$11:$F$11,0))*(1+IF(FB$4=$A62,Вводные!$D$5*INDEX(Вводные!$G$13:$G$64,MATCH($A62,Вводные!$A$13:$A$64,0)),0))</f>
        <v>0.0002</v>
      </c>
      <c r="FC62" s="32" t="n">
        <f aca="false">INDEX(Вводные!$D$13:$F$64,MATCH($A62,Вводные!$A$13:$A$64,0),MATCH(FC$3,Вводные!$D$11:$F$11,0))*(1+IF(FC$4=$A62,Вводные!$D$5*INDEX(Вводные!$G$13:$G$64,MATCH($A62,Вводные!$A$13:$A$64,0)),0))</f>
        <v>0.0002</v>
      </c>
      <c r="FD62" s="32" t="n">
        <f aca="false">INDEX(Вводные!$D$13:$F$64,MATCH($A62,Вводные!$A$13:$A$64,0),MATCH(FD$3,Вводные!$D$11:$F$11,0))*(1+IF(FD$4=$A62,Вводные!$D$5*INDEX(Вводные!$G$13:$G$64,MATCH($A62,Вводные!$A$13:$A$64,0)),0))</f>
        <v>0.0002</v>
      </c>
      <c r="FE62" s="32" t="n">
        <f aca="false">INDEX(Вводные!$D$13:$F$64,MATCH($A62,Вводные!$A$13:$A$64,0),MATCH(FE$3,Вводные!$D$11:$F$11,0))*(1+IF(FE$4=$A62,Вводные!$D$5*INDEX(Вводные!$G$13:$G$64,MATCH($A62,Вводные!$A$13:$A$64,0)),0))</f>
        <v>0.0002</v>
      </c>
      <c r="FF62" s="32" t="n">
        <f aca="false">INDEX(Вводные!$D$13:$F$64,MATCH($A62,Вводные!$A$13:$A$64,0),MATCH(FF$3,Вводные!$D$11:$F$11,0))*(1+IF(FF$4=$A62,Вводные!$D$5*INDEX(Вводные!$G$13:$G$64,MATCH($A62,Вводные!$A$13:$A$64,0)),0))</f>
        <v>0.0002</v>
      </c>
      <c r="FG62" s="32" t="n">
        <f aca="false">INDEX(Вводные!$D$13:$F$64,MATCH($A62,Вводные!$A$13:$A$64,0),MATCH(FG$3,Вводные!$D$11:$F$11,0))*(1+IF(FG$4=$A62,Вводные!$D$5*INDEX(Вводные!$G$13:$G$64,MATCH($A62,Вводные!$A$13:$A$64,0)),0))</f>
        <v>0.0002</v>
      </c>
      <c r="FH62" s="32" t="n">
        <f aca="false">INDEX(Вводные!$D$13:$F$64,MATCH($A62,Вводные!$A$13:$A$64,0),MATCH(FH$3,Вводные!$D$11:$F$11,0))*(1+IF(FH$4=$A62,Вводные!$D$5*INDEX(Вводные!$G$13:$G$64,MATCH($A62,Вводные!$A$13:$A$64,0)),0))</f>
        <v>0.0002</v>
      </c>
      <c r="FI62" s="32" t="n">
        <f aca="false">INDEX(Вводные!$D$13:$F$64,MATCH($A62,Вводные!$A$13:$A$64,0),MATCH(FI$3,Вводные!$D$11:$F$11,0))*(1+IF(FI$4=$A62,Вводные!$D$5*INDEX(Вводные!$G$13:$G$64,MATCH($A62,Вводные!$A$13:$A$64,0)),0))</f>
        <v>0.000202</v>
      </c>
      <c r="FJ62" s="32" t="n">
        <f aca="false">INDEX(Вводные!$D$13:$F$64,MATCH($A62,Вводные!$A$13:$A$64,0),MATCH(FJ$3,Вводные!$D$11:$F$11,0))*(1+IF(FJ$4=$A62,Вводные!$D$5*INDEX(Вводные!$G$13:$G$64,MATCH($A62,Вводные!$A$13:$A$64,0)),0))</f>
        <v>0.0002</v>
      </c>
      <c r="FK62" s="32" t="n">
        <f aca="false">INDEX(Вводные!$D$13:$F$64,MATCH($A62,Вводные!$A$13:$A$64,0),MATCH(FK$3,Вводные!$D$11:$F$11,0))*(1+IF(FK$4=$A62,Вводные!$D$5*INDEX(Вводные!$G$13:$G$64,MATCH($A62,Вводные!$A$13:$A$64,0)),0))</f>
        <v>0.0002</v>
      </c>
      <c r="FL62" s="32" t="n">
        <f aca="false">INDEX(Вводные!$D$13:$F$64,MATCH($A62,Вводные!$A$13:$A$64,0),MATCH(FL$3,Вводные!$D$11:$F$11,0))*(1+IF(FL$4=$A62,Вводные!$D$5*INDEX(Вводные!$G$13:$G$64,MATCH($A62,Вводные!$A$13:$A$64,0)),0))</f>
        <v>0.0002</v>
      </c>
      <c r="FM62" s="32" t="n">
        <f aca="false">INDEX(Вводные!$D$13:$F$64,MATCH($A62,Вводные!$A$13:$A$64,0),MATCH(FM$3,Вводные!$D$11:$F$11,0))*(1+IF(FM$4=$A62,Вводные!$D$5*INDEX(Вводные!$G$13:$G$64,MATCH($A62,Вводные!$A$13:$A$64,0)),0))</f>
        <v>0.0002</v>
      </c>
      <c r="FN62" s="32" t="n">
        <f aca="false">INDEX(Вводные!$D$13:$F$64,MATCH($A62,Вводные!$A$13:$A$64,0),MATCH(FN$3,Вводные!$D$11:$F$11,0))*(1+IF(FN$4=$A62,Вводные!$D$5*INDEX(Вводные!$G$13:$G$64,MATCH($A62,Вводные!$A$13:$A$64,0)),0))</f>
        <v>0.0002</v>
      </c>
      <c r="FO62" s="32" t="n">
        <f aca="false">INDEX(Вводные!$D$13:$F$64,MATCH($A62,Вводные!$A$13:$A$64,0),MATCH(FO$3,Вводные!$D$11:$F$11,0))*(1+IF(FO$4=$A62,Вводные!$D$5*INDEX(Вводные!$G$13:$G$64,MATCH($A62,Вводные!$A$13:$A$64,0)),0))</f>
        <v>0.0002</v>
      </c>
      <c r="FP62" s="32" t="n">
        <f aca="false">INDEX(Вводные!$D$13:$F$64,MATCH($A62,Вводные!$A$13:$A$64,0),MATCH(FP$3,Вводные!$D$11:$F$11,0))*(1+IF(FP$4=$A62,Вводные!$D$5*INDEX(Вводные!$G$13:$G$64,MATCH($A62,Вводные!$A$13:$A$64,0)),0))</f>
        <v>0.0002</v>
      </c>
      <c r="FQ62" s="32" t="n">
        <f aca="false">INDEX(Вводные!$D$13:$F$64,MATCH($A62,Вводные!$A$13:$A$64,0),MATCH(FQ$3,Вводные!$D$11:$F$11,0))*(1+IF(FQ$4=$A62,Вводные!$D$5*INDEX(Вводные!$G$13:$G$64,MATCH($A62,Вводные!$A$13:$A$64,0)),0))</f>
        <v>0.0002</v>
      </c>
      <c r="FR62" s="32" t="n">
        <f aca="false">INDEX(Вводные!$D$13:$F$64,MATCH($A62,Вводные!$A$13:$A$64,0),MATCH(FR$3,Вводные!$D$11:$F$11,0))*(1+IF(FR$4=$A62,Вводные!$D$5*INDEX(Вводные!$G$13:$G$64,MATCH($A62,Вводные!$A$13:$A$64,0)),0))</f>
        <v>0.0002</v>
      </c>
      <c r="FS62" s="32" t="n">
        <f aca="false">INDEX(Вводные!$D$13:$F$64,MATCH($A62,Вводные!$A$13:$A$64,0),MATCH(FS$3,Вводные!$D$11:$F$11,0))*(1+IF(FS$4=$A62,Вводные!$D$5*INDEX(Вводные!$G$13:$G$64,MATCH($A62,Вводные!$A$13:$A$64,0)),0))</f>
        <v>0.0002</v>
      </c>
      <c r="FT62" s="32" t="n">
        <f aca="false">INDEX(Вводные!$D$13:$F$64,MATCH($A62,Вводные!$A$13:$A$64,0),MATCH(FT$3,Вводные!$D$11:$F$11,0))*(1+IF(FT$4=$A62,Вводные!$D$5*INDEX(Вводные!$G$13:$G$64,MATCH($A62,Вводные!$A$13:$A$64,0)),0))</f>
        <v>0.0002</v>
      </c>
      <c r="FU62" s="32" t="n">
        <f aca="false">INDEX(Вводные!$D$13:$F$64,MATCH($A62,Вводные!$A$13:$A$64,0),MATCH(FU$3,Вводные!$D$11:$F$11,0))*(1+IF(FU$4=$A62,Вводные!$D$5*INDEX(Вводные!$G$13:$G$64,MATCH($A62,Вводные!$A$13:$A$64,0)),0))</f>
        <v>0.0002</v>
      </c>
      <c r="FV62" s="32" t="n">
        <f aca="false">INDEX(Вводные!$D$13:$F$64,MATCH($A62,Вводные!$A$13:$A$64,0),MATCH(FV$3,Вводные!$D$11:$F$11,0))*(1+IF(FV$4=$A62,Вводные!$D$5*INDEX(Вводные!$G$13:$G$64,MATCH($A62,Вводные!$A$13:$A$64,0)),0))</f>
        <v>0.0005</v>
      </c>
      <c r="FW62" s="32" t="n">
        <f aca="false">INDEX(Вводные!$D$13:$F$64,MATCH($A62,Вводные!$A$13:$A$64,0),MATCH(FW$3,Вводные!$D$11:$F$11,0))*(1+IF(FW$4=$A62,Вводные!$D$5*INDEX(Вводные!$G$13:$G$64,MATCH($A62,Вводные!$A$13:$A$64,0)),0))</f>
        <v>0.0005</v>
      </c>
      <c r="FX62" s="32" t="n">
        <f aca="false">INDEX(Вводные!$D$13:$F$64,MATCH($A62,Вводные!$A$13:$A$64,0),MATCH(FX$3,Вводные!$D$11:$F$11,0))*(1+IF(FX$4=$A62,Вводные!$D$5*INDEX(Вводные!$G$13:$G$64,MATCH($A62,Вводные!$A$13:$A$64,0)),0))</f>
        <v>0.0005</v>
      </c>
      <c r="FY62" s="32" t="n">
        <f aca="false">INDEX(Вводные!$D$13:$F$64,MATCH($A62,Вводные!$A$13:$A$64,0),MATCH(FY$3,Вводные!$D$11:$F$11,0))*(1+IF(FY$4=$A62,Вводные!$D$5*INDEX(Вводные!$G$13:$G$64,MATCH($A62,Вводные!$A$13:$A$64,0)),0))</f>
        <v>0.0005</v>
      </c>
      <c r="FZ62" s="32" t="n">
        <f aca="false">INDEX(Вводные!$D$13:$F$64,MATCH($A62,Вводные!$A$13:$A$64,0),MATCH(FZ$3,Вводные!$D$11:$F$11,0))*(1+IF(FZ$4=$A62,Вводные!$D$5*INDEX(Вводные!$G$13:$G$64,MATCH($A62,Вводные!$A$13:$A$64,0)),0))</f>
        <v>0.0005</v>
      </c>
      <c r="GA62" s="32" t="n">
        <f aca="false">INDEX(Вводные!$D$13:$F$64,MATCH($A62,Вводные!$A$13:$A$64,0),MATCH(GA$3,Вводные!$D$11:$F$11,0))*(1+IF(GA$4=$A62,Вводные!$D$5*INDEX(Вводные!$G$13:$G$64,MATCH($A62,Вводные!$A$13:$A$64,0)),0))</f>
        <v>0.0005</v>
      </c>
      <c r="GB62" s="32" t="n">
        <f aca="false">INDEX(Вводные!$D$13:$F$64,MATCH($A62,Вводные!$A$13:$A$64,0),MATCH(GB$3,Вводные!$D$11:$F$11,0))*(1+IF(GB$4=$A62,Вводные!$D$5*INDEX(Вводные!$G$13:$G$64,MATCH($A62,Вводные!$A$13:$A$64,0)),0))</f>
        <v>0.0005</v>
      </c>
      <c r="GC62" s="32" t="n">
        <f aca="false">INDEX(Вводные!$D$13:$F$64,MATCH($A62,Вводные!$A$13:$A$64,0),MATCH(GC$3,Вводные!$D$11:$F$11,0))*(1+IF(GC$4=$A62,Вводные!$D$5*INDEX(Вводные!$G$13:$G$64,MATCH($A62,Вводные!$A$13:$A$64,0)),0))</f>
        <v>0.0005</v>
      </c>
      <c r="GD62" s="32" t="n">
        <f aca="false">INDEX(Вводные!$D$13:$F$64,MATCH($A62,Вводные!$A$13:$A$64,0),MATCH(GD$3,Вводные!$D$11:$F$11,0))*(1+IF(GD$4=$A62,Вводные!$D$5*INDEX(Вводные!$G$13:$G$64,MATCH($A62,Вводные!$A$13:$A$64,0)),0))</f>
        <v>0.0005</v>
      </c>
      <c r="GE62" s="32" t="n">
        <f aca="false">INDEX(Вводные!$D$13:$F$64,MATCH($A62,Вводные!$A$13:$A$64,0),MATCH(GE$3,Вводные!$D$11:$F$11,0))*(1+IF(GE$4=$A62,Вводные!$D$5*INDEX(Вводные!$G$13:$G$64,MATCH($A62,Вводные!$A$13:$A$64,0)),0))</f>
        <v>0.0005</v>
      </c>
      <c r="GF62" s="32" t="n">
        <f aca="false">INDEX(Вводные!$D$13:$F$64,MATCH($A62,Вводные!$A$13:$A$64,0),MATCH(GF$3,Вводные!$D$11:$F$11,0))*(1+IF(GF$4=$A62,Вводные!$D$5*INDEX(Вводные!$G$13:$G$64,MATCH($A62,Вводные!$A$13:$A$64,0)),0))</f>
        <v>0.0005</v>
      </c>
      <c r="GG62" s="32" t="n">
        <f aca="false">INDEX(Вводные!$D$13:$F$64,MATCH($A62,Вводные!$A$13:$A$64,0),MATCH(GG$3,Вводные!$D$11:$F$11,0))*(1+IF(GG$4=$A62,Вводные!$D$5*INDEX(Вводные!$G$13:$G$64,MATCH($A62,Вводные!$A$13:$A$64,0)),0))</f>
        <v>0.0005</v>
      </c>
      <c r="GH62" s="32" t="n">
        <f aca="false">INDEX(Вводные!$D$13:$F$64,MATCH($A62,Вводные!$A$13:$A$64,0),MATCH(GH$3,Вводные!$D$11:$F$11,0))*(1+IF(GH$4=$A62,Вводные!$D$5*INDEX(Вводные!$G$13:$G$64,MATCH($A62,Вводные!$A$13:$A$64,0)),0))</f>
        <v>0.0005</v>
      </c>
      <c r="GI62" s="32" t="n">
        <f aca="false">INDEX(Вводные!$D$13:$F$64,MATCH($A62,Вводные!$A$13:$A$64,0),MATCH(GI$3,Вводные!$D$11:$F$11,0))*(1+IF(GI$4=$A62,Вводные!$D$5*INDEX(Вводные!$G$13:$G$64,MATCH($A62,Вводные!$A$13:$A$64,0)),0))</f>
        <v>0.0005</v>
      </c>
      <c r="GJ62" s="32" t="n">
        <f aca="false">INDEX(Вводные!$D$13:$F$64,MATCH($A62,Вводные!$A$13:$A$64,0),MATCH(GJ$3,Вводные!$D$11:$F$11,0))*(1+IF(GJ$4=$A62,Вводные!$D$5*INDEX(Вводные!$G$13:$G$64,MATCH($A62,Вводные!$A$13:$A$64,0)),0))</f>
        <v>0.0005</v>
      </c>
      <c r="GK62" s="32" t="n">
        <f aca="false">INDEX(Вводные!$D$13:$F$64,MATCH($A62,Вводные!$A$13:$A$64,0),MATCH(GK$3,Вводные!$D$11:$F$11,0))*(1+IF(GK$4=$A62,Вводные!$D$5*INDEX(Вводные!$G$13:$G$64,MATCH($A62,Вводные!$A$13:$A$64,0)),0))</f>
        <v>0.0005</v>
      </c>
      <c r="GL62" s="32" t="n">
        <f aca="false">INDEX(Вводные!$D$13:$F$64,MATCH($A62,Вводные!$A$13:$A$64,0),MATCH(GL$3,Вводные!$D$11:$F$11,0))*(1+IF(GL$4=$A62,Вводные!$D$5*INDEX(Вводные!$G$13:$G$64,MATCH($A62,Вводные!$A$13:$A$64,0)),0))</f>
        <v>0.0005</v>
      </c>
      <c r="GM62" s="32" t="n">
        <f aca="false">INDEX(Вводные!$D$13:$F$64,MATCH($A62,Вводные!$A$13:$A$64,0),MATCH(GM$3,Вводные!$D$11:$F$11,0))*(1+IF(GM$4=$A62,Вводные!$D$5*INDEX(Вводные!$G$13:$G$64,MATCH($A62,Вводные!$A$13:$A$64,0)),0))</f>
        <v>0.0005</v>
      </c>
      <c r="GN62" s="32" t="n">
        <f aca="false">INDEX(Вводные!$D$13:$F$64,MATCH($A62,Вводные!$A$13:$A$64,0),MATCH(GN$3,Вводные!$D$11:$F$11,0))*(1+IF(GN$4=$A62,Вводные!$D$5*INDEX(Вводные!$G$13:$G$64,MATCH($A62,Вводные!$A$13:$A$64,0)),0))</f>
        <v>0.0005</v>
      </c>
      <c r="GO62" s="32" t="n">
        <f aca="false">INDEX(Вводные!$D$13:$F$64,MATCH($A62,Вводные!$A$13:$A$64,0),MATCH(GO$3,Вводные!$D$11:$F$11,0))*(1+IF(GO$4=$A62,Вводные!$D$5*INDEX(Вводные!$G$13:$G$64,MATCH($A62,Вводные!$A$13:$A$64,0)),0))</f>
        <v>0.0005</v>
      </c>
      <c r="GP62" s="32" t="n">
        <f aca="false">INDEX(Вводные!$D$13:$F$64,MATCH($A62,Вводные!$A$13:$A$64,0),MATCH(GP$3,Вводные!$D$11:$F$11,0))*(1+IF(GP$4=$A62,Вводные!$D$5*INDEX(Вводные!$G$13:$G$64,MATCH($A62,Вводные!$A$13:$A$64,0)),0))</f>
        <v>0.0005</v>
      </c>
      <c r="GQ62" s="32" t="n">
        <f aca="false">INDEX(Вводные!$D$13:$F$64,MATCH($A62,Вводные!$A$13:$A$64,0),MATCH(GQ$3,Вводные!$D$11:$F$11,0))*(1+IF(GQ$4=$A62,Вводные!$D$5*INDEX(Вводные!$G$13:$G$64,MATCH($A62,Вводные!$A$13:$A$64,0)),0))</f>
        <v>0.0005</v>
      </c>
      <c r="GR62" s="32" t="n">
        <f aca="false">INDEX(Вводные!$D$13:$F$64,MATCH($A62,Вводные!$A$13:$A$64,0),MATCH(GR$3,Вводные!$D$11:$F$11,0))*(1+IF(GR$4=$A62,Вводные!$D$5*INDEX(Вводные!$G$13:$G$64,MATCH($A62,Вводные!$A$13:$A$64,0)),0))</f>
        <v>0.0005</v>
      </c>
      <c r="GS62" s="32" t="n">
        <f aca="false">INDEX(Вводные!$D$13:$F$64,MATCH($A62,Вводные!$A$13:$A$64,0),MATCH(GS$3,Вводные!$D$11:$F$11,0))*(1+IF(GS$4=$A62,Вводные!$D$5*INDEX(Вводные!$G$13:$G$64,MATCH($A62,Вводные!$A$13:$A$64,0)),0))</f>
        <v>0.0005</v>
      </c>
      <c r="GT62" s="32" t="n">
        <f aca="false">INDEX(Вводные!$D$13:$F$64,MATCH($A62,Вводные!$A$13:$A$64,0),MATCH(GT$3,Вводные!$D$11:$F$11,0))*(1+IF(GT$4=$A62,Вводные!$D$5*INDEX(Вводные!$G$13:$G$64,MATCH($A62,Вводные!$A$13:$A$64,0)),0))</f>
        <v>0.0005</v>
      </c>
      <c r="GU62" s="32" t="n">
        <f aca="false">INDEX(Вводные!$D$13:$F$64,MATCH($A62,Вводные!$A$13:$A$64,0),MATCH(GU$3,Вводные!$D$11:$F$11,0))*(1+IF(GU$4=$A62,Вводные!$D$5*INDEX(Вводные!$G$13:$G$64,MATCH($A62,Вводные!$A$13:$A$64,0)),0))</f>
        <v>0.0005</v>
      </c>
      <c r="GV62" s="32" t="n">
        <f aca="false">INDEX(Вводные!$D$13:$F$64,MATCH($A62,Вводные!$A$13:$A$64,0),MATCH(GV$3,Вводные!$D$11:$F$11,0))*(1+IF(GV$4=$A62,Вводные!$D$5*INDEX(Вводные!$G$13:$G$64,MATCH($A62,Вводные!$A$13:$A$64,0)),0))</f>
        <v>0.0005</v>
      </c>
      <c r="GW62" s="32" t="n">
        <f aca="false">INDEX(Вводные!$D$13:$F$64,MATCH($A62,Вводные!$A$13:$A$64,0),MATCH(GW$3,Вводные!$D$11:$F$11,0))*(1+IF(GW$4=$A62,Вводные!$D$5*INDEX(Вводные!$G$13:$G$64,MATCH($A62,Вводные!$A$13:$A$64,0)),0))</f>
        <v>0.0005</v>
      </c>
      <c r="GX62" s="32" t="n">
        <f aca="false">INDEX(Вводные!$D$13:$F$64,MATCH($A62,Вводные!$A$13:$A$64,0),MATCH(GX$3,Вводные!$D$11:$F$11,0))*(1+IF(GX$4=$A62,Вводные!$D$5*INDEX(Вводные!$G$13:$G$64,MATCH($A62,Вводные!$A$13:$A$64,0)),0))</f>
        <v>0.0005</v>
      </c>
      <c r="GY62" s="32" t="n">
        <f aca="false">INDEX(Вводные!$D$13:$F$64,MATCH($A62,Вводные!$A$13:$A$64,0),MATCH(GY$3,Вводные!$D$11:$F$11,0))*(1+IF(GY$4=$A62,Вводные!$D$5*INDEX(Вводные!$G$13:$G$64,MATCH($A62,Вводные!$A$13:$A$64,0)),0))</f>
        <v>0.000505</v>
      </c>
      <c r="GZ62" s="32" t="n">
        <f aca="false">INDEX(Вводные!$D$13:$F$64,MATCH($A62,Вводные!$A$13:$A$64,0),MATCH(GZ$3,Вводные!$D$11:$F$11,0))*(1+IF(GZ$4=$A62,Вводные!$D$5*INDEX(Вводные!$G$13:$G$64,MATCH($A62,Вводные!$A$13:$A$64,0)),0))</f>
        <v>0.0005</v>
      </c>
      <c r="HA62" s="32" t="n">
        <f aca="false">INDEX(Вводные!$D$13:$F$64,MATCH($A62,Вводные!$A$13:$A$64,0),MATCH(HA$3,Вводные!$D$11:$F$11,0))*(1+IF(HA$4=$A62,Вводные!$D$5*INDEX(Вводные!$G$13:$G$64,MATCH($A62,Вводные!$A$13:$A$64,0)),0))</f>
        <v>0.0005</v>
      </c>
      <c r="HB62" s="32" t="n">
        <f aca="false">INDEX(Вводные!$D$13:$F$64,MATCH($A62,Вводные!$A$13:$A$64,0),MATCH(HB$3,Вводные!$D$11:$F$11,0))*(1+IF(HB$4=$A62,Вводные!$D$5*INDEX(Вводные!$G$13:$G$64,MATCH($A62,Вводные!$A$13:$A$64,0)),0))</f>
        <v>0.0005</v>
      </c>
      <c r="HC62" s="32" t="n">
        <f aca="false">INDEX(Вводные!$D$13:$F$64,MATCH($A62,Вводные!$A$13:$A$64,0),MATCH(HC$3,Вводные!$D$11:$F$11,0))*(1+IF(HC$4=$A62,Вводные!$D$5*INDEX(Вводные!$G$13:$G$64,MATCH($A62,Вводные!$A$13:$A$64,0)),0))</f>
        <v>0.0005</v>
      </c>
      <c r="HD62" s="32" t="n">
        <f aca="false">INDEX(Вводные!$D$13:$F$64,MATCH($A62,Вводные!$A$13:$A$64,0),MATCH(HD$3,Вводные!$D$11:$F$11,0))*(1+IF(HD$4=$A62,Вводные!$D$5*INDEX(Вводные!$G$13:$G$64,MATCH($A62,Вводные!$A$13:$A$64,0)),0))</f>
        <v>0.0005</v>
      </c>
      <c r="HE62" s="32" t="n">
        <f aca="false">INDEX(Вводные!$D$13:$F$64,MATCH($A62,Вводные!$A$13:$A$64,0),MATCH(HE$3,Вводные!$D$11:$F$11,0))*(1+IF(HE$4=$A62,Вводные!$D$5*INDEX(Вводные!$G$13:$G$64,MATCH($A62,Вводные!$A$13:$A$64,0)),0))</f>
        <v>0.0005</v>
      </c>
      <c r="HF62" s="32" t="n">
        <f aca="false">INDEX(Вводные!$D$13:$F$64,MATCH($A62,Вводные!$A$13:$A$64,0),MATCH(HF$3,Вводные!$D$11:$F$11,0))*(1+IF(HF$4=$A62,Вводные!$D$5*INDEX(Вводные!$G$13:$G$64,MATCH($A62,Вводные!$A$13:$A$64,0)),0))</f>
        <v>0.0005</v>
      </c>
      <c r="HG62" s="32" t="n">
        <f aca="false">INDEX(Вводные!$D$13:$F$64,MATCH($A62,Вводные!$A$13:$A$64,0),MATCH(HG$3,Вводные!$D$11:$F$11,0))*(1+IF(HG$4=$A62,Вводные!$D$5*INDEX(Вводные!$G$13:$G$64,MATCH($A62,Вводные!$A$13:$A$64,0)),0))</f>
        <v>0.0005</v>
      </c>
      <c r="HH62" s="32" t="n">
        <f aca="false">INDEX(Вводные!$D$13:$F$64,MATCH($A62,Вводные!$A$13:$A$64,0),MATCH(HH$3,Вводные!$D$11:$F$11,0))*(1+IF(HH$4=$A62,Вводные!$D$5*INDEX(Вводные!$G$13:$G$64,MATCH($A62,Вводные!$A$13:$A$64,0)),0))</f>
        <v>0.0005</v>
      </c>
      <c r="HI62" s="32" t="n">
        <f aca="false">INDEX(Вводные!$D$13:$F$64,MATCH($A62,Вводные!$A$13:$A$64,0),MATCH(HI$3,Вводные!$D$11:$F$11,0))*(1+IF(HI$4=$A62,Вводные!$D$5*INDEX(Вводные!$G$13:$G$64,MATCH($A62,Вводные!$A$13:$A$64,0)),0))</f>
        <v>0.0005</v>
      </c>
      <c r="HJ62" s="32" t="n">
        <f aca="false">INDEX(Вводные!$D$13:$F$64,MATCH($A62,Вводные!$A$13:$A$64,0),MATCH(HJ$3,Вводные!$D$11:$F$11,0))*(1+IF(HJ$4=$A62,Вводные!$D$5*INDEX(Вводные!$G$13:$G$64,MATCH($A62,Вводные!$A$13:$A$64,0)),0))</f>
        <v>0.0005</v>
      </c>
      <c r="HK62" s="32" t="n">
        <f aca="false">INDEX(Вводные!$D$13:$F$64,MATCH($A62,Вводные!$A$13:$A$64,0),MATCH(HK$3,Вводные!$D$11:$F$11,0))*(1+IF(HK$4=$A62,Вводные!$D$5*INDEX(Вводные!$G$13:$G$64,MATCH($A62,Вводные!$A$13:$A$64,0)),0))</f>
        <v>0.0005</v>
      </c>
      <c r="HL62" s="32" t="n">
        <f aca="false">INDEX(Вводные!$D$13:$F$64,MATCH($A62,Вводные!$A$13:$A$64,0),MATCH(HL$3,Вводные!$D$11:$F$11,0))*(1+IF(HL$4=$A62,Вводные!$D$5*INDEX(Вводные!$G$13:$G$64,MATCH($A62,Вводные!$A$13:$A$64,0)),0))</f>
        <v>0.0003</v>
      </c>
      <c r="HM62" s="32" t="n">
        <f aca="false">INDEX(Вводные!$D$13:$F$64,MATCH($A62,Вводные!$A$13:$A$64,0),MATCH(HM$3,Вводные!$D$11:$F$11,0))*(1+IF(HM$4=$A62,Вводные!$D$5*INDEX(Вводные!$G$13:$G$64,MATCH($A62,Вводные!$A$13:$A$64,0)),0))</f>
        <v>0.0003</v>
      </c>
      <c r="HN62" s="32" t="n">
        <f aca="false">INDEX(Вводные!$D$13:$F$64,MATCH($A62,Вводные!$A$13:$A$64,0),MATCH(HN$3,Вводные!$D$11:$F$11,0))*(1+IF(HN$4=$A62,Вводные!$D$5*INDEX(Вводные!$G$13:$G$64,MATCH($A62,Вводные!$A$13:$A$64,0)),0))</f>
        <v>0.0003</v>
      </c>
      <c r="HO62" s="32" t="n">
        <f aca="false">INDEX(Вводные!$D$13:$F$64,MATCH($A62,Вводные!$A$13:$A$64,0),MATCH(HO$3,Вводные!$D$11:$F$11,0))*(1+IF(HO$4=$A62,Вводные!$D$5*INDEX(Вводные!$G$13:$G$64,MATCH($A62,Вводные!$A$13:$A$64,0)),0))</f>
        <v>0.0003</v>
      </c>
      <c r="HP62" s="32" t="n">
        <f aca="false">INDEX(Вводные!$D$13:$F$64,MATCH($A62,Вводные!$A$13:$A$64,0),MATCH(HP$3,Вводные!$D$11:$F$11,0))*(1+IF(HP$4=$A62,Вводные!$D$5*INDEX(Вводные!$G$13:$G$64,MATCH($A62,Вводные!$A$13:$A$64,0)),0))</f>
        <v>0.0003</v>
      </c>
      <c r="HQ62" s="32" t="n">
        <f aca="false">INDEX(Вводные!$D$13:$F$64,MATCH($A62,Вводные!$A$13:$A$64,0),MATCH(HQ$3,Вводные!$D$11:$F$11,0))*(1+IF(HQ$4=$A62,Вводные!$D$5*INDEX(Вводные!$G$13:$G$64,MATCH($A62,Вводные!$A$13:$A$64,0)),0))</f>
        <v>0.0003</v>
      </c>
      <c r="HR62" s="32" t="n">
        <f aca="false">INDEX(Вводные!$D$13:$F$64,MATCH($A62,Вводные!$A$13:$A$64,0),MATCH(HR$3,Вводные!$D$11:$F$11,0))*(1+IF(HR$4=$A62,Вводные!$D$5*INDEX(Вводные!$G$13:$G$64,MATCH($A62,Вводные!$A$13:$A$64,0)),0))</f>
        <v>0.0003</v>
      </c>
      <c r="HS62" s="32" t="n">
        <f aca="false">INDEX(Вводные!$D$13:$F$64,MATCH($A62,Вводные!$A$13:$A$64,0),MATCH(HS$3,Вводные!$D$11:$F$11,0))*(1+IF(HS$4=$A62,Вводные!$D$5*INDEX(Вводные!$G$13:$G$64,MATCH($A62,Вводные!$A$13:$A$64,0)),0))</f>
        <v>0.0003</v>
      </c>
      <c r="HT62" s="32" t="n">
        <f aca="false">INDEX(Вводные!$D$13:$F$64,MATCH($A62,Вводные!$A$13:$A$64,0),MATCH(HT$3,Вводные!$D$11:$F$11,0))*(1+IF(HT$4=$A62,Вводные!$D$5*INDEX(Вводные!$G$13:$G$64,MATCH($A62,Вводные!$A$13:$A$64,0)),0))</f>
        <v>0.0003</v>
      </c>
      <c r="HU62" s="32" t="n">
        <f aca="false">INDEX(Вводные!$D$13:$F$64,MATCH($A62,Вводные!$A$13:$A$64,0),MATCH(HU$3,Вводные!$D$11:$F$11,0))*(1+IF(HU$4=$A62,Вводные!$D$5*INDEX(Вводные!$G$13:$G$64,MATCH($A62,Вводные!$A$13:$A$64,0)),0))</f>
        <v>0.0003</v>
      </c>
      <c r="HV62" s="32" t="n">
        <f aca="false">INDEX(Вводные!$D$13:$F$64,MATCH($A62,Вводные!$A$13:$A$64,0),MATCH(HV$3,Вводные!$D$11:$F$11,0))*(1+IF(HV$4=$A62,Вводные!$D$5*INDEX(Вводные!$G$13:$G$64,MATCH($A62,Вводные!$A$13:$A$64,0)),0))</f>
        <v>0.0003</v>
      </c>
      <c r="HW62" s="32" t="n">
        <f aca="false">INDEX(Вводные!$D$13:$F$64,MATCH($A62,Вводные!$A$13:$A$64,0),MATCH(HW$3,Вводные!$D$11:$F$11,0))*(1+IF(HW$4=$A62,Вводные!$D$5*INDEX(Вводные!$G$13:$G$64,MATCH($A62,Вводные!$A$13:$A$64,0)),0))</f>
        <v>0.0003</v>
      </c>
      <c r="HX62" s="32" t="n">
        <f aca="false">INDEX(Вводные!$D$13:$F$64,MATCH($A62,Вводные!$A$13:$A$64,0),MATCH(HX$3,Вводные!$D$11:$F$11,0))*(1+IF(HX$4=$A62,Вводные!$D$5*INDEX(Вводные!$G$13:$G$64,MATCH($A62,Вводные!$A$13:$A$64,0)),0))</f>
        <v>0.0003</v>
      </c>
      <c r="HY62" s="32" t="n">
        <f aca="false">INDEX(Вводные!$D$13:$F$64,MATCH($A62,Вводные!$A$13:$A$64,0),MATCH(HY$3,Вводные!$D$11:$F$11,0))*(1+IF(HY$4=$A62,Вводные!$D$5*INDEX(Вводные!$G$13:$G$64,MATCH($A62,Вводные!$A$13:$A$64,0)),0))</f>
        <v>0.0003</v>
      </c>
      <c r="HZ62" s="32" t="n">
        <f aca="false">INDEX(Вводные!$D$13:$F$64,MATCH($A62,Вводные!$A$13:$A$64,0),MATCH(HZ$3,Вводные!$D$11:$F$11,0))*(1+IF(HZ$4=$A62,Вводные!$D$5*INDEX(Вводные!$G$13:$G$64,MATCH($A62,Вводные!$A$13:$A$64,0)),0))</f>
        <v>0.0003</v>
      </c>
      <c r="IA62" s="32" t="n">
        <f aca="false">INDEX(Вводные!$D$13:$F$64,MATCH($A62,Вводные!$A$13:$A$64,0),MATCH(IA$3,Вводные!$D$11:$F$11,0))*(1+IF(IA$4=$A62,Вводные!$D$5*INDEX(Вводные!$G$13:$G$64,MATCH($A62,Вводные!$A$13:$A$64,0)),0))</f>
        <v>0.0003</v>
      </c>
      <c r="IB62" s="32" t="n">
        <f aca="false">INDEX(Вводные!$D$13:$F$64,MATCH($A62,Вводные!$A$13:$A$64,0),MATCH(IB$3,Вводные!$D$11:$F$11,0))*(1+IF(IB$4=$A62,Вводные!$D$5*INDEX(Вводные!$G$13:$G$64,MATCH($A62,Вводные!$A$13:$A$64,0)),0))</f>
        <v>0.0003</v>
      </c>
      <c r="IC62" s="32" t="n">
        <f aca="false">INDEX(Вводные!$D$13:$F$64,MATCH($A62,Вводные!$A$13:$A$64,0),MATCH(IC$3,Вводные!$D$11:$F$11,0))*(1+IF(IC$4=$A62,Вводные!$D$5*INDEX(Вводные!$G$13:$G$64,MATCH($A62,Вводные!$A$13:$A$64,0)),0))</f>
        <v>0.0003</v>
      </c>
      <c r="ID62" s="32" t="n">
        <f aca="false">INDEX(Вводные!$D$13:$F$64,MATCH($A62,Вводные!$A$13:$A$64,0),MATCH(ID$3,Вводные!$D$11:$F$11,0))*(1+IF(ID$4=$A62,Вводные!$D$5*INDEX(Вводные!$G$13:$G$64,MATCH($A62,Вводные!$A$13:$A$64,0)),0))</f>
        <v>0.0003</v>
      </c>
      <c r="IE62" s="32" t="n">
        <f aca="false">INDEX(Вводные!$D$13:$F$64,MATCH($A62,Вводные!$A$13:$A$64,0),MATCH(IE$3,Вводные!$D$11:$F$11,0))*(1+IF(IE$4=$A62,Вводные!$D$5*INDEX(Вводные!$G$13:$G$64,MATCH($A62,Вводные!$A$13:$A$64,0)),0))</f>
        <v>0.0003</v>
      </c>
      <c r="IF62" s="32" t="n">
        <f aca="false">INDEX(Вводные!$D$13:$F$64,MATCH($A62,Вводные!$A$13:$A$64,0),MATCH(IF$3,Вводные!$D$11:$F$11,0))*(1+IF(IF$4=$A62,Вводные!$D$5*INDEX(Вводные!$G$13:$G$64,MATCH($A62,Вводные!$A$13:$A$64,0)),0))</f>
        <v>0.0003</v>
      </c>
      <c r="IG62" s="32" t="n">
        <f aca="false">INDEX(Вводные!$D$13:$F$64,MATCH($A62,Вводные!$A$13:$A$64,0),MATCH(IG$3,Вводные!$D$11:$F$11,0))*(1+IF(IG$4=$A62,Вводные!$D$5*INDEX(Вводные!$G$13:$G$64,MATCH($A62,Вводные!$A$13:$A$64,0)),0))</f>
        <v>0.0003</v>
      </c>
      <c r="IH62" s="32" t="n">
        <f aca="false">INDEX(Вводные!$D$13:$F$64,MATCH($A62,Вводные!$A$13:$A$64,0),MATCH(IH$3,Вводные!$D$11:$F$11,0))*(1+IF(IH$4=$A62,Вводные!$D$5*INDEX(Вводные!$G$13:$G$64,MATCH($A62,Вводные!$A$13:$A$64,0)),0))</f>
        <v>0.0003</v>
      </c>
      <c r="II62" s="32" t="n">
        <f aca="false">INDEX(Вводные!$D$13:$F$64,MATCH($A62,Вводные!$A$13:$A$64,0),MATCH(II$3,Вводные!$D$11:$F$11,0))*(1+IF(II$4=$A62,Вводные!$D$5*INDEX(Вводные!$G$13:$G$64,MATCH($A62,Вводные!$A$13:$A$64,0)),0))</f>
        <v>0.0003</v>
      </c>
      <c r="IJ62" s="32" t="n">
        <f aca="false">INDEX(Вводные!$D$13:$F$64,MATCH($A62,Вводные!$A$13:$A$64,0),MATCH(IJ$3,Вводные!$D$11:$F$11,0))*(1+IF(IJ$4=$A62,Вводные!$D$5*INDEX(Вводные!$G$13:$G$64,MATCH($A62,Вводные!$A$13:$A$64,0)),0))</f>
        <v>0.0003</v>
      </c>
      <c r="IK62" s="32" t="n">
        <f aca="false">INDEX(Вводные!$D$13:$F$64,MATCH($A62,Вводные!$A$13:$A$64,0),MATCH(IK$3,Вводные!$D$11:$F$11,0))*(1+IF(IK$4=$A62,Вводные!$D$5*INDEX(Вводные!$G$13:$G$64,MATCH($A62,Вводные!$A$13:$A$64,0)),0))</f>
        <v>0.0003</v>
      </c>
      <c r="IL62" s="32" t="n">
        <f aca="false">INDEX(Вводные!$D$13:$F$64,MATCH($A62,Вводные!$A$13:$A$64,0),MATCH(IL$3,Вводные!$D$11:$F$11,0))*(1+IF(IL$4=$A62,Вводные!$D$5*INDEX(Вводные!$G$13:$G$64,MATCH($A62,Вводные!$A$13:$A$64,0)),0))</f>
        <v>0.0003</v>
      </c>
      <c r="IM62" s="32" t="n">
        <f aca="false">INDEX(Вводные!$D$13:$F$64,MATCH($A62,Вводные!$A$13:$A$64,0),MATCH(IM$3,Вводные!$D$11:$F$11,0))*(1+IF(IM$4=$A62,Вводные!$D$5*INDEX(Вводные!$G$13:$G$64,MATCH($A62,Вводные!$A$13:$A$64,0)),0))</f>
        <v>0.0003</v>
      </c>
      <c r="IN62" s="32" t="n">
        <f aca="false">INDEX(Вводные!$D$13:$F$64,MATCH($A62,Вводные!$A$13:$A$64,0),MATCH(IN$3,Вводные!$D$11:$F$11,0))*(1+IF(IN$4=$A62,Вводные!$D$5*INDEX(Вводные!$G$13:$G$64,MATCH($A62,Вводные!$A$13:$A$64,0)),0))</f>
        <v>0.0003</v>
      </c>
      <c r="IO62" s="32" t="n">
        <f aca="false">INDEX(Вводные!$D$13:$F$64,MATCH($A62,Вводные!$A$13:$A$64,0),MATCH(IO$3,Вводные!$D$11:$F$11,0))*(1+IF(IO$4=$A62,Вводные!$D$5*INDEX(Вводные!$G$13:$G$64,MATCH($A62,Вводные!$A$13:$A$64,0)),0))</f>
        <v>0.000303</v>
      </c>
      <c r="IP62" s="32" t="n">
        <f aca="false">INDEX(Вводные!$D$13:$F$64,MATCH($A62,Вводные!$A$13:$A$64,0),MATCH(IP$3,Вводные!$D$11:$F$11,0))*(1+IF(IP$4=$A62,Вводные!$D$5*INDEX(Вводные!$G$13:$G$64,MATCH($A62,Вводные!$A$13:$A$64,0)),0))</f>
        <v>0.0003</v>
      </c>
      <c r="IQ62" s="32" t="n">
        <f aca="false">INDEX(Вводные!$D$13:$F$64,MATCH($A62,Вводные!$A$13:$A$64,0),MATCH(IQ$3,Вводные!$D$11:$F$11,0))*(1+IF(IQ$4=$A62,Вводные!$D$5*INDEX(Вводные!$G$13:$G$64,MATCH($A62,Вводные!$A$13:$A$64,0)),0))</f>
        <v>0.0003</v>
      </c>
      <c r="IR62" s="32" t="n">
        <f aca="false">INDEX(Вводные!$D$13:$F$64,MATCH($A62,Вводные!$A$13:$A$64,0),MATCH(IR$3,Вводные!$D$11:$F$11,0))*(1+IF(IR$4=$A62,Вводные!$D$5*INDEX(Вводные!$G$13:$G$64,MATCH($A62,Вводные!$A$13:$A$64,0)),0))</f>
        <v>0.0003</v>
      </c>
      <c r="IS62" s="32" t="n">
        <f aca="false">INDEX(Вводные!$D$13:$F$64,MATCH($A62,Вводные!$A$13:$A$64,0),MATCH(IS$3,Вводные!$D$11:$F$11,0))*(1+IF(IS$4=$A62,Вводные!$D$5*INDEX(Вводные!$G$13:$G$64,MATCH($A62,Вводные!$A$13:$A$64,0)),0))</f>
        <v>0.0003</v>
      </c>
      <c r="IT62" s="32" t="n">
        <f aca="false">INDEX(Вводные!$D$13:$F$64,MATCH($A62,Вводные!$A$13:$A$64,0),MATCH(IT$3,Вводные!$D$11:$F$11,0))*(1+IF(IT$4=$A62,Вводные!$D$5*INDEX(Вводные!$G$13:$G$64,MATCH($A62,Вводные!$A$13:$A$64,0)),0))</f>
        <v>0.0003</v>
      </c>
      <c r="IU62" s="32" t="n">
        <f aca="false">INDEX(Вводные!$D$13:$F$64,MATCH($A62,Вводные!$A$13:$A$64,0),MATCH(IU$3,Вводные!$D$11:$F$11,0))*(1+IF(IU$4=$A62,Вводные!$D$5*INDEX(Вводные!$G$13:$G$64,MATCH($A62,Вводные!$A$13:$A$64,0)),0))</f>
        <v>0.0003</v>
      </c>
      <c r="IV62" s="32" t="n">
        <f aca="false">INDEX(Вводные!$D$13:$F$64,MATCH($A62,Вводные!$A$13:$A$64,0),MATCH(IV$3,Вводные!$D$11:$F$11,0))*(1+IF(IV$4=$A62,Вводные!$D$5*INDEX(Вводные!$G$13:$G$64,MATCH($A62,Вводные!$A$13:$A$64,0)),0))</f>
        <v>0.0003</v>
      </c>
      <c r="IW62" s="32" t="n">
        <f aca="false">INDEX(Вводные!$D$13:$F$64,MATCH($A62,Вводные!$A$13:$A$64,0),MATCH(IW$3,Вводные!$D$11:$F$11,0))*(1+IF(IW$4=$A62,Вводные!$D$5*INDEX(Вводные!$G$13:$G$64,MATCH($A62,Вводные!$A$13:$A$64,0)),0))</f>
        <v>0.0003</v>
      </c>
      <c r="IX62" s="32" t="n">
        <f aca="false">INDEX(Вводные!$D$13:$F$64,MATCH($A62,Вводные!$A$13:$A$64,0),MATCH(IX$3,Вводные!$D$11:$F$11,0))*(1+IF(IX$4=$A62,Вводные!$D$5*INDEX(Вводные!$G$13:$G$64,MATCH($A62,Вводные!$A$13:$A$64,0)),0))</f>
        <v>0.0003</v>
      </c>
      <c r="IY62" s="32" t="n">
        <f aca="false">INDEX(Вводные!$D$13:$F$64,MATCH($A62,Вводные!$A$13:$A$64,0),MATCH(IY$3,Вводные!$D$11:$F$11,0))*(1+IF(IY$4=$A62,Вводные!$D$5*INDEX(Вводные!$G$13:$G$64,MATCH($A62,Вводные!$A$13:$A$64,0)),0))</f>
        <v>0.0003</v>
      </c>
      <c r="IZ62" s="32" t="n">
        <f aca="false">INDEX(Вводные!$D$13:$F$64,MATCH($A62,Вводные!$A$13:$A$64,0),MATCH(IZ$3,Вводные!$D$11:$F$11,0))*(1+IF(IZ$4=$A62,Вводные!$D$5*INDEX(Вводные!$G$13:$G$64,MATCH($A62,Вводные!$A$13:$A$64,0)),0))</f>
        <v>0.0003</v>
      </c>
      <c r="JA62" s="32" t="n">
        <f aca="false">INDEX(Вводные!$D$13:$F$64,MATCH($A62,Вводные!$A$13:$A$64,0),MATCH(JA$3,Вводные!$D$11:$F$11,0))*(1+IF(JA$4=$A62,Вводные!$D$5*INDEX(Вводные!$G$13:$G$64,MATCH($A62,Вводные!$A$13:$A$64,0)),0))</f>
        <v>0.0003</v>
      </c>
    </row>
    <row r="63" customFormat="false" ht="15" hidden="false" customHeight="false" outlineLevel="0" collapsed="false">
      <c r="A63" s="2" t="s">
        <v>109</v>
      </c>
      <c r="B63" s="13" t="s">
        <v>110</v>
      </c>
      <c r="C63" s="13" t="s">
        <v>179</v>
      </c>
      <c r="D63" s="9" t="s">
        <v>251</v>
      </c>
      <c r="E63" s="59" t="n">
        <f aca="false">E60*E61+E19*E62</f>
        <v>3245600</v>
      </c>
      <c r="F63" s="59" t="n">
        <f aca="false">F60*F61+F19*F62</f>
        <v>3777500</v>
      </c>
      <c r="G63" s="59" t="n">
        <f aca="false">G60*G61+G19*G62</f>
        <v>3015000</v>
      </c>
      <c r="H63" s="59" t="n">
        <f aca="false">SUM(E63:G63)</f>
        <v>10038100</v>
      </c>
      <c r="J63" s="59" t="n">
        <f aca="false">J60*J61+J19*J62</f>
        <v>3245600</v>
      </c>
      <c r="K63" s="59" t="n">
        <f aca="false">K60*K61+K19*K62</f>
        <v>3247976</v>
      </c>
      <c r="L63" s="59" t="n">
        <f aca="false">L60*L61+L19*L62</f>
        <v>3247976</v>
      </c>
      <c r="M63" s="59" t="n">
        <f aca="false">M60*M61+M19*M62</f>
        <v>3247976</v>
      </c>
      <c r="N63" s="59" t="n">
        <f aca="false">N60*N61+N19*N62</f>
        <v>3247520</v>
      </c>
      <c r="O63" s="59" t="n">
        <f aca="false">O60*O61+O19*O62</f>
        <v>3245600</v>
      </c>
      <c r="P63" s="59" t="n">
        <f aca="false">P60*P61+P19*P62</f>
        <v>3245600</v>
      </c>
      <c r="Q63" s="59" t="n">
        <f aca="false">Q60*Q61+Q19*Q62</f>
        <v>3245600</v>
      </c>
      <c r="R63" s="59" t="n">
        <f aca="false">R60*R61+R19*R62</f>
        <v>3245600</v>
      </c>
      <c r="S63" s="59" t="n">
        <f aca="false">S60*S61+S19*S62</f>
        <v>3245600</v>
      </c>
      <c r="T63" s="59" t="n">
        <f aca="false">T60*T61+T19*T62</f>
        <v>3253714</v>
      </c>
      <c r="U63" s="59" t="n">
        <f aca="false">U60*U61+U19*U62</f>
        <v>3245600</v>
      </c>
      <c r="V63" s="59" t="n">
        <f aca="false">V60*V61+V19*V62</f>
        <v>3245600</v>
      </c>
      <c r="W63" s="59" t="n">
        <f aca="false">W60*W61+W19*W62</f>
        <v>3245600</v>
      </c>
      <c r="X63" s="59" t="n">
        <f aca="false">X60*X61+X19*X62</f>
        <v>3245600</v>
      </c>
      <c r="Y63" s="59" t="n">
        <f aca="false">Y60*Y61+Y19*Y62</f>
        <v>3245600</v>
      </c>
      <c r="Z63" s="59" t="n">
        <f aca="false">Z60*Z61+Z19*Z62</f>
        <v>3245600</v>
      </c>
      <c r="AA63" s="59" t="n">
        <f aca="false">AA60*AA61+AA19*AA62</f>
        <v>3245600</v>
      </c>
      <c r="AB63" s="59" t="n">
        <f aca="false">AB60*AB61+AB19*AB62</f>
        <v>3245600</v>
      </c>
      <c r="AC63" s="59" t="n">
        <f aca="false">AC60*AC61+AC19*AC62</f>
        <v>3245600</v>
      </c>
      <c r="AD63" s="59" t="n">
        <f aca="false">AD60*AD61+AD19*AD62</f>
        <v>3245600</v>
      </c>
      <c r="AE63" s="59" t="n">
        <f aca="false">AE60*AE61+AE19*AE62</f>
        <v>3245600</v>
      </c>
      <c r="AF63" s="59" t="n">
        <f aca="false">AF60*AF61+AF19*AF62</f>
        <v>3245600</v>
      </c>
      <c r="AG63" s="59" t="n">
        <f aca="false">AG60*AG61+AG19*AG62</f>
        <v>3245600</v>
      </c>
      <c r="AH63" s="59" t="n">
        <f aca="false">AH60*AH61+AH19*AH62</f>
        <v>3245600</v>
      </c>
      <c r="AI63" s="59" t="n">
        <f aca="false">AI60*AI61+AI19*AI62</f>
        <v>3245600</v>
      </c>
      <c r="AJ63" s="59" t="n">
        <f aca="false">AJ60*AJ61+AJ19*AJ62</f>
        <v>3245600</v>
      </c>
      <c r="AK63" s="59" t="n">
        <f aca="false">AK60*AK61+AK19*AK62</f>
        <v>3269942</v>
      </c>
      <c r="AL63" s="59" t="n">
        <f aca="false">AL60*AL61+AL19*AL62</f>
        <v>3269942</v>
      </c>
      <c r="AM63" s="59" t="n">
        <f aca="false">AM60*AM61+AM19*AM62</f>
        <v>3253714</v>
      </c>
      <c r="AN63" s="59" t="n">
        <f aca="false">AN60*AN61+AN19*AN62</f>
        <v>3245600</v>
      </c>
      <c r="AO63" s="59" t="n">
        <f aca="false">AO60*AO61+AO19*AO62</f>
        <v>3245600</v>
      </c>
      <c r="AP63" s="59" t="n">
        <f aca="false">AP60*AP61+AP19*AP62</f>
        <v>3245600</v>
      </c>
      <c r="AQ63" s="59" t="n">
        <f aca="false">AQ60*AQ61+AQ19*AQ62</f>
        <v>3245600</v>
      </c>
      <c r="AR63" s="59" t="n">
        <f aca="false">AR60*AR61+AR19*AR62</f>
        <v>3245600</v>
      </c>
      <c r="AS63" s="59" t="n">
        <f aca="false">AS60*AS61+AS19*AS62</f>
        <v>3245600</v>
      </c>
      <c r="AT63" s="59" t="n">
        <f aca="false">AT60*AT61+AT19*AT62</f>
        <v>3245600</v>
      </c>
      <c r="AU63" s="59" t="n">
        <f aca="false">AU60*AU61+AU19*AU62</f>
        <v>3245600</v>
      </c>
      <c r="AV63" s="59" t="n">
        <f aca="false">AV60*AV61+AV19*AV62</f>
        <v>3245600</v>
      </c>
      <c r="AW63" s="59" t="n">
        <f aca="false">AW60*AW61+AW19*AW62</f>
        <v>3245600</v>
      </c>
      <c r="AX63" s="59" t="n">
        <f aca="false">AX60*AX61+AX19*AX62</f>
        <v>3245600</v>
      </c>
      <c r="AY63" s="59" t="n">
        <f aca="false">AY60*AY61+AY19*AY62</f>
        <v>3245600</v>
      </c>
      <c r="AZ63" s="59" t="n">
        <f aca="false">AZ60*AZ61+AZ19*AZ62</f>
        <v>3777500</v>
      </c>
      <c r="BA63" s="59" t="n">
        <f aca="false">BA60*BA61+BA19*BA62</f>
        <v>3778900</v>
      </c>
      <c r="BB63" s="59" t="n">
        <f aca="false">BB60*BB61+BB19*BB62</f>
        <v>3778900</v>
      </c>
      <c r="BC63" s="59" t="n">
        <f aca="false">BC60*BC61+BC19*BC62</f>
        <v>3778900</v>
      </c>
      <c r="BD63" s="59" t="n">
        <f aca="false">BD60*BD61+BD19*BD62</f>
        <v>3778625</v>
      </c>
      <c r="BE63" s="59" t="n">
        <f aca="false">BE60*BE61+BE19*BE62</f>
        <v>3777500</v>
      </c>
      <c r="BF63" s="59" t="n">
        <f aca="false">BF60*BF61+BF19*BF62</f>
        <v>3777500</v>
      </c>
      <c r="BG63" s="59" t="n">
        <f aca="false">BG60*BG61+BG19*BG62</f>
        <v>3777500</v>
      </c>
      <c r="BH63" s="59" t="n">
        <f aca="false">BH60*BH61+BH19*BH62</f>
        <v>3777500</v>
      </c>
      <c r="BI63" s="59" t="n">
        <f aca="false">BI60*BI61+BI19*BI62</f>
        <v>3777500</v>
      </c>
      <c r="BJ63" s="59" t="n">
        <f aca="false">BJ60*BJ61+BJ19*BJ62</f>
        <v>3792610</v>
      </c>
      <c r="BK63" s="59" t="n">
        <f aca="false">BK60*BK61+BK19*BK62</f>
        <v>3777500</v>
      </c>
      <c r="BL63" s="59" t="n">
        <f aca="false">BL60*BL61+BL19*BL62</f>
        <v>3777500</v>
      </c>
      <c r="BM63" s="59" t="n">
        <f aca="false">BM60*BM61+BM19*BM62</f>
        <v>3777500</v>
      </c>
      <c r="BN63" s="59" t="n">
        <f aca="false">BN60*BN61+BN19*BN62</f>
        <v>3777500</v>
      </c>
      <c r="BO63" s="59" t="n">
        <f aca="false">BO60*BO61+BO19*BO62</f>
        <v>3777500</v>
      </c>
      <c r="BP63" s="59" t="n">
        <f aca="false">BP60*BP61+BP19*BP62</f>
        <v>3777500</v>
      </c>
      <c r="BQ63" s="59" t="n">
        <f aca="false">BQ60*BQ61+BQ19*BQ62</f>
        <v>3777500</v>
      </c>
      <c r="BR63" s="59" t="n">
        <f aca="false">BR60*BR61+BR19*BR62</f>
        <v>3777500</v>
      </c>
      <c r="BS63" s="59" t="n">
        <f aca="false">BS60*BS61+BS19*BS62</f>
        <v>3777500</v>
      </c>
      <c r="BT63" s="59" t="n">
        <f aca="false">BT60*BT61+BT19*BT62</f>
        <v>3777500</v>
      </c>
      <c r="BU63" s="59" t="n">
        <f aca="false">BU60*BU61+BU19*BU62</f>
        <v>3777500</v>
      </c>
      <c r="BV63" s="59" t="n">
        <f aca="false">BV60*BV61+BV19*BV62</f>
        <v>3777500</v>
      </c>
      <c r="BW63" s="59" t="n">
        <f aca="false">BW60*BW61+BW19*BW62</f>
        <v>3777500</v>
      </c>
      <c r="BX63" s="59" t="n">
        <f aca="false">BX60*BX61+BX19*BX62</f>
        <v>3777500</v>
      </c>
      <c r="BY63" s="59" t="n">
        <f aca="false">BY60*BY61+BY19*BY62</f>
        <v>3777500</v>
      </c>
      <c r="BZ63" s="59" t="n">
        <f aca="false">BZ60*BZ61+BZ19*BZ62</f>
        <v>3777500</v>
      </c>
      <c r="CA63" s="59" t="n">
        <f aca="false">CA60*CA61+CA19*CA62</f>
        <v>3800165</v>
      </c>
      <c r="CB63" s="59" t="n">
        <f aca="false">CB60*CB61+CB19*CB62</f>
        <v>3800165</v>
      </c>
      <c r="CC63" s="59" t="n">
        <f aca="false">CC60*CC61+CC19*CC62</f>
        <v>3792610</v>
      </c>
      <c r="CD63" s="59" t="n">
        <f aca="false">CD60*CD61+CD19*CD62</f>
        <v>3777500</v>
      </c>
      <c r="CE63" s="59" t="n">
        <f aca="false">CE60*CE61+CE19*CE62</f>
        <v>3777500</v>
      </c>
      <c r="CF63" s="59" t="n">
        <f aca="false">CF60*CF61+CF19*CF62</f>
        <v>3777500</v>
      </c>
      <c r="CG63" s="59" t="n">
        <f aca="false">CG60*CG61+CG19*CG62</f>
        <v>3777500</v>
      </c>
      <c r="CH63" s="59" t="n">
        <f aca="false">CH60*CH61+CH19*CH62</f>
        <v>3777500</v>
      </c>
      <c r="CI63" s="59" t="n">
        <f aca="false">CI60*CI61+CI19*CI62</f>
        <v>3777500</v>
      </c>
      <c r="CJ63" s="59" t="n">
        <f aca="false">CJ60*CJ61+CJ19*CJ62</f>
        <v>3777500</v>
      </c>
      <c r="CK63" s="59" t="n">
        <f aca="false">CK60*CK61+CK19*CK62</f>
        <v>3777500</v>
      </c>
      <c r="CL63" s="59" t="n">
        <f aca="false">CL60*CL61+CL19*CL62</f>
        <v>3777500</v>
      </c>
      <c r="CM63" s="59" t="n">
        <f aca="false">CM60*CM61+CM19*CM62</f>
        <v>3777500</v>
      </c>
      <c r="CN63" s="59" t="n">
        <f aca="false">CN60*CN61+CN19*CN62</f>
        <v>3777500</v>
      </c>
      <c r="CO63" s="59" t="n">
        <f aca="false">CO60*CO61+CO19*CO62</f>
        <v>3777500</v>
      </c>
      <c r="CP63" s="59" t="n">
        <f aca="false">CP60*CP61+CP19*CP62</f>
        <v>3015000</v>
      </c>
      <c r="CQ63" s="59" t="n">
        <f aca="false">CQ60*CQ61+CQ19*CQ62</f>
        <v>3016350</v>
      </c>
      <c r="CR63" s="59" t="n">
        <f aca="false">CR60*CR61+CR19*CR62</f>
        <v>3016350</v>
      </c>
      <c r="CS63" s="59" t="n">
        <f aca="false">CS60*CS61+CS19*CS62</f>
        <v>3016350</v>
      </c>
      <c r="CT63" s="59" t="n">
        <f aca="false">CT60*CT61+CT19*CT62</f>
        <v>3016200</v>
      </c>
      <c r="CU63" s="59" t="n">
        <f aca="false">CU60*CU61+CU19*CU62</f>
        <v>3015000</v>
      </c>
      <c r="CV63" s="59" t="n">
        <f aca="false">CV60*CV61+CV19*CV62</f>
        <v>3015000</v>
      </c>
      <c r="CW63" s="59" t="n">
        <f aca="false">CW60*CW61+CW19*CW62</f>
        <v>3015000</v>
      </c>
      <c r="CX63" s="59" t="n">
        <f aca="false">CX60*CX61+CX19*CX62</f>
        <v>3015000</v>
      </c>
      <c r="CY63" s="59" t="n">
        <f aca="false">CY60*CY61+CY19*CY62</f>
        <v>3015000</v>
      </c>
      <c r="CZ63" s="59" t="n">
        <f aca="false">CZ60*CZ61+CZ19*CZ62</f>
        <v>3045150</v>
      </c>
      <c r="DA63" s="59" t="n">
        <f aca="false">DA60*DA61+DA19*DA62</f>
        <v>3015000</v>
      </c>
      <c r="DB63" s="59" t="n">
        <f aca="false">DB60*DB61+DB19*DB62</f>
        <v>3015000</v>
      </c>
      <c r="DC63" s="59" t="n">
        <f aca="false">DC60*DC61+DC19*DC62</f>
        <v>3015000</v>
      </c>
      <c r="DD63" s="59" t="n">
        <f aca="false">DD60*DD61+DD19*DD62</f>
        <v>3015000</v>
      </c>
      <c r="DE63" s="59" t="n">
        <f aca="false">DE60*DE61+DE19*DE62</f>
        <v>3015000</v>
      </c>
      <c r="DF63" s="59" t="n">
        <f aca="false">DF60*DF61+DF19*DF62</f>
        <v>3015000</v>
      </c>
      <c r="DG63" s="59" t="n">
        <f aca="false">DG60*DG61+DG19*DG62</f>
        <v>3015000</v>
      </c>
      <c r="DH63" s="59" t="n">
        <f aca="false">DH60*DH61+DH19*DH62</f>
        <v>3015000</v>
      </c>
      <c r="DI63" s="59" t="n">
        <f aca="false">DI60*DI61+DI19*DI62</f>
        <v>3015000</v>
      </c>
      <c r="DJ63" s="59" t="n">
        <f aca="false">DJ60*DJ61+DJ19*DJ62</f>
        <v>3015000</v>
      </c>
      <c r="DK63" s="59" t="n">
        <f aca="false">DK60*DK61+DK19*DK62</f>
        <v>3015000</v>
      </c>
      <c r="DL63" s="59" t="n">
        <f aca="false">DL60*DL61+DL19*DL62</f>
        <v>3015000</v>
      </c>
      <c r="DM63" s="59" t="n">
        <f aca="false">DM60*DM61+DM19*DM62</f>
        <v>3015000</v>
      </c>
      <c r="DN63" s="59" t="n">
        <f aca="false">DN60*DN61+DN19*DN62</f>
        <v>3015000</v>
      </c>
      <c r="DO63" s="59" t="n">
        <f aca="false">DO60*DO61+DO19*DO62</f>
        <v>3015000</v>
      </c>
      <c r="DP63" s="59" t="n">
        <f aca="false">DP60*DP61+DP19*DP62</f>
        <v>3015000</v>
      </c>
      <c r="DQ63" s="59" t="n">
        <f aca="false">DQ60*DQ61+DQ19*DQ62</f>
        <v>3015000</v>
      </c>
      <c r="DR63" s="59" t="n">
        <f aca="false">DR60*DR61+DR19*DR62</f>
        <v>3015000</v>
      </c>
      <c r="DS63" s="59" t="n">
        <f aca="false">DS60*DS61+DS19*DS62</f>
        <v>3045150</v>
      </c>
      <c r="DT63" s="59" t="n">
        <f aca="false">DT60*DT61+DT19*DT62</f>
        <v>3015000</v>
      </c>
      <c r="DU63" s="59" t="n">
        <f aca="false">DU60*DU61+DU19*DU62</f>
        <v>3015000</v>
      </c>
      <c r="DV63" s="59" t="n">
        <f aca="false">DV60*DV61+DV19*DV62</f>
        <v>3015000</v>
      </c>
      <c r="DW63" s="59" t="n">
        <f aca="false">DW60*DW61+DW19*DW62</f>
        <v>3015000</v>
      </c>
      <c r="DX63" s="59" t="n">
        <f aca="false">DX60*DX61+DX19*DX62</f>
        <v>3015000</v>
      </c>
      <c r="DY63" s="59" t="n">
        <f aca="false">DY60*DY61+DY19*DY62</f>
        <v>3015000</v>
      </c>
      <c r="DZ63" s="59" t="n">
        <f aca="false">DZ60*DZ61+DZ19*DZ62</f>
        <v>3015000</v>
      </c>
      <c r="EA63" s="59" t="n">
        <f aca="false">EA60*EA61+EA19*EA62</f>
        <v>3015000</v>
      </c>
      <c r="EB63" s="59" t="n">
        <f aca="false">EB60*EB61+EB19*EB62</f>
        <v>3015000</v>
      </c>
      <c r="EC63" s="59" t="n">
        <f aca="false">EC60*EC61+EC19*EC62</f>
        <v>3015000</v>
      </c>
      <c r="ED63" s="59" t="n">
        <f aca="false">ED60*ED61+ED19*ED62</f>
        <v>3015000</v>
      </c>
      <c r="EE63" s="59" t="n">
        <f aca="false">EE60*EE61+EE19*EE62</f>
        <v>3015000</v>
      </c>
      <c r="EF63" s="59" t="n">
        <f aca="false">EF60*EF61+EF19*EF62</f>
        <v>3960000</v>
      </c>
      <c r="EG63" s="59" t="n">
        <f aca="false">EG60*EG61+EG19*EG62</f>
        <v>3999600</v>
      </c>
      <c r="EH63" s="59" t="n">
        <f aca="false">EH60*EH61+EH19*EH62</f>
        <v>3999600</v>
      </c>
      <c r="EI63" s="59" t="n">
        <f aca="false">EI60*EI61+EI19*EI62</f>
        <v>3999600</v>
      </c>
      <c r="EJ63" s="59" t="n">
        <f aca="false">EJ60*EJ61+EJ19*EJ62</f>
        <v>4000000</v>
      </c>
      <c r="EK63" s="59" t="n">
        <f aca="false">EK60*EK61+EK19*EK62</f>
        <v>3960000</v>
      </c>
      <c r="EL63" s="59" t="n">
        <f aca="false">EL60*EL61+EL19*EL62</f>
        <v>3960000</v>
      </c>
      <c r="EM63" s="59" t="n">
        <f aca="false">EM60*EM61+EM19*EM62</f>
        <v>3960000</v>
      </c>
      <c r="EN63" s="59" t="n">
        <f aca="false">EN60*EN61+EN19*EN62</f>
        <v>3960000</v>
      </c>
      <c r="EO63" s="59" t="n">
        <f aca="false">EO60*EO61+EO19*EO62</f>
        <v>3960000</v>
      </c>
      <c r="EP63" s="59" t="n">
        <f aca="false">EP60*EP61+EP19*EP62</f>
        <v>3969900</v>
      </c>
      <c r="EQ63" s="59" t="n">
        <f aca="false">EQ60*EQ61+EQ19*EQ62</f>
        <v>3960000</v>
      </c>
      <c r="ER63" s="59" t="n">
        <f aca="false">ER60*ER61+ER19*ER62</f>
        <v>3960000</v>
      </c>
      <c r="ES63" s="59" t="n">
        <f aca="false">ES60*ES61+ES19*ES62</f>
        <v>3960000</v>
      </c>
      <c r="ET63" s="59" t="n">
        <f aca="false">ET60*ET61+ET19*ET62</f>
        <v>3960000</v>
      </c>
      <c r="EU63" s="59" t="n">
        <f aca="false">EU60*EU61+EU19*EU62</f>
        <v>3960000</v>
      </c>
      <c r="EV63" s="59" t="n">
        <f aca="false">EV60*EV61+EV19*EV62</f>
        <v>3960000</v>
      </c>
      <c r="EW63" s="59" t="n">
        <f aca="false">EW60*EW61+EW19*EW62</f>
        <v>3960000</v>
      </c>
      <c r="EX63" s="59" t="n">
        <f aca="false">EX60*EX61+EX19*EX62</f>
        <v>3960000</v>
      </c>
      <c r="EY63" s="59" t="n">
        <f aca="false">EY60*EY61+EY19*EY62</f>
        <v>3960000</v>
      </c>
      <c r="EZ63" s="59" t="n">
        <f aca="false">EZ60*EZ61+EZ19*EZ62</f>
        <v>3960000</v>
      </c>
      <c r="FA63" s="59" t="n">
        <f aca="false">FA60*FA61+FA19*FA62</f>
        <v>3960000</v>
      </c>
      <c r="FB63" s="59" t="n">
        <f aca="false">FB60*FB61+FB19*FB62</f>
        <v>3960000</v>
      </c>
      <c r="FC63" s="59" t="n">
        <f aca="false">FC60*FC61+FC19*FC62</f>
        <v>3960000</v>
      </c>
      <c r="FD63" s="59" t="n">
        <f aca="false">FD60*FD61+FD19*FD62</f>
        <v>3960000</v>
      </c>
      <c r="FE63" s="59" t="n">
        <f aca="false">FE60*FE61+FE19*FE62</f>
        <v>3960000</v>
      </c>
      <c r="FF63" s="59" t="n">
        <f aca="false">FF60*FF61+FF19*FF62</f>
        <v>3960000</v>
      </c>
      <c r="FG63" s="59" t="n">
        <f aca="false">FG60*FG61+FG19*FG62</f>
        <v>3989700</v>
      </c>
      <c r="FH63" s="59" t="n">
        <f aca="false">FH60*FH61+FH19*FH62</f>
        <v>3989700</v>
      </c>
      <c r="FI63" s="59" t="n">
        <f aca="false">FI60*FI61+FI19*FI62</f>
        <v>3969900</v>
      </c>
      <c r="FJ63" s="59" t="n">
        <f aca="false">FJ60*FJ61+FJ19*FJ62</f>
        <v>3960000</v>
      </c>
      <c r="FK63" s="59" t="n">
        <f aca="false">FK60*FK61+FK19*FK62</f>
        <v>3960000</v>
      </c>
      <c r="FL63" s="59" t="n">
        <f aca="false">FL60*FL61+FL19*FL62</f>
        <v>3960000</v>
      </c>
      <c r="FM63" s="59" t="n">
        <f aca="false">FM60*FM61+FM19*FM62</f>
        <v>3960000</v>
      </c>
      <c r="FN63" s="59" t="n">
        <f aca="false">FN60*FN61+FN19*FN62</f>
        <v>3960000</v>
      </c>
      <c r="FO63" s="59" t="n">
        <f aca="false">FO60*FO61+FO19*FO62</f>
        <v>3960000</v>
      </c>
      <c r="FP63" s="59" t="n">
        <f aca="false">FP60*FP61+FP19*FP62</f>
        <v>3960000</v>
      </c>
      <c r="FQ63" s="59" t="n">
        <f aca="false">FQ60*FQ61+FQ19*FQ62</f>
        <v>3960000</v>
      </c>
      <c r="FR63" s="59" t="n">
        <f aca="false">FR60*FR61+FR19*FR62</f>
        <v>3960000</v>
      </c>
      <c r="FS63" s="59" t="n">
        <f aca="false">FS60*FS61+FS19*FS62</f>
        <v>3960000</v>
      </c>
      <c r="FT63" s="59" t="n">
        <f aca="false">FT60*FT61+FT19*FT62</f>
        <v>3960000</v>
      </c>
      <c r="FU63" s="59" t="n">
        <f aca="false">FU60*FU61+FU19*FU62</f>
        <v>3960000</v>
      </c>
      <c r="FV63" s="59" t="n">
        <f aca="false">FV60*FV61+FV19*FV62</f>
        <v>4666666.66666667</v>
      </c>
      <c r="FW63" s="59" t="n">
        <f aca="false">FW60*FW61+FW19*FW62</f>
        <v>4713333.33333333</v>
      </c>
      <c r="FX63" s="59" t="n">
        <f aca="false">FX60*FX61+FX19*FX62</f>
        <v>4713333.33333333</v>
      </c>
      <c r="FY63" s="59" t="n">
        <f aca="false">FY60*FY61+FY19*FY62</f>
        <v>4713333.33333333</v>
      </c>
      <c r="FZ63" s="59" t="n">
        <f aca="false">FZ60*FZ61+FZ19*FZ62</f>
        <v>4713804.71380471</v>
      </c>
      <c r="GA63" s="59" t="n">
        <f aca="false">GA60*GA61+GA19*GA62</f>
        <v>4666666.66666667</v>
      </c>
      <c r="GB63" s="59" t="n">
        <f aca="false">GB60*GB61+GB19*GB62</f>
        <v>4666666.66666667</v>
      </c>
      <c r="GC63" s="59" t="n">
        <f aca="false">GC60*GC61+GC19*GC62</f>
        <v>4666666.66666667</v>
      </c>
      <c r="GD63" s="59" t="n">
        <f aca="false">GD60*GD61+GD19*GD62</f>
        <v>4666666.66666667</v>
      </c>
      <c r="GE63" s="59" t="n">
        <f aca="false">GE60*GE61+GE19*GE62</f>
        <v>4666666.66666667</v>
      </c>
      <c r="GF63" s="59" t="n">
        <f aca="false">GF60*GF61+GF19*GF62</f>
        <v>4685333.33333333</v>
      </c>
      <c r="GG63" s="59" t="n">
        <f aca="false">GG60*GG61+GG19*GG62</f>
        <v>4666666.66666667</v>
      </c>
      <c r="GH63" s="59" t="n">
        <f aca="false">GH60*GH61+GH19*GH62</f>
        <v>4666666.66666667</v>
      </c>
      <c r="GI63" s="59" t="n">
        <f aca="false">GI60*GI61+GI19*GI62</f>
        <v>4666666.66666667</v>
      </c>
      <c r="GJ63" s="59" t="n">
        <f aca="false">GJ60*GJ61+GJ19*GJ62</f>
        <v>4666666.66666667</v>
      </c>
      <c r="GK63" s="59" t="n">
        <f aca="false">GK60*GK61+GK19*GK62</f>
        <v>4666666.66666667</v>
      </c>
      <c r="GL63" s="59" t="n">
        <f aca="false">GL60*GL61+GL19*GL62</f>
        <v>4666666.66666667</v>
      </c>
      <c r="GM63" s="59" t="n">
        <f aca="false">GM60*GM61+GM19*GM62</f>
        <v>4666666.66666667</v>
      </c>
      <c r="GN63" s="59" t="n">
        <f aca="false">GN60*GN61+GN19*GN62</f>
        <v>4666666.66666667</v>
      </c>
      <c r="GO63" s="59" t="n">
        <f aca="false">GO60*GO61+GO19*GO62</f>
        <v>4666666.66666667</v>
      </c>
      <c r="GP63" s="59" t="n">
        <f aca="false">GP60*GP61+GP19*GP62</f>
        <v>4666666.66666667</v>
      </c>
      <c r="GQ63" s="59" t="n">
        <f aca="false">GQ60*GQ61+GQ19*GQ62</f>
        <v>4666666.66666667</v>
      </c>
      <c r="GR63" s="59" t="n">
        <f aca="false">GR60*GR61+GR19*GR62</f>
        <v>4666666.66666667</v>
      </c>
      <c r="GS63" s="59" t="n">
        <f aca="false">GS60*GS61+GS19*GS62</f>
        <v>4666666.66666667</v>
      </c>
      <c r="GT63" s="59" t="n">
        <f aca="false">GT60*GT61+GT19*GT62</f>
        <v>4666666.66666667</v>
      </c>
      <c r="GU63" s="59" t="n">
        <f aca="false">GU60*GU61+GU19*GU62</f>
        <v>4666666.66666667</v>
      </c>
      <c r="GV63" s="59" t="n">
        <f aca="false">GV60*GV61+GV19*GV62</f>
        <v>4666666.66666667</v>
      </c>
      <c r="GW63" s="59" t="n">
        <f aca="false">GW60*GW61+GW19*GW62</f>
        <v>4694666.66666667</v>
      </c>
      <c r="GX63" s="59" t="n">
        <f aca="false">GX60*GX61+GX19*GX62</f>
        <v>4694666.66666667</v>
      </c>
      <c r="GY63" s="59" t="n">
        <f aca="false">GY60*GY61+GY19*GY62</f>
        <v>4685333.33333333</v>
      </c>
      <c r="GZ63" s="59" t="n">
        <f aca="false">GZ60*GZ61+GZ19*GZ62</f>
        <v>4666666.66666667</v>
      </c>
      <c r="HA63" s="59" t="n">
        <f aca="false">HA60*HA61+HA19*HA62</f>
        <v>4666666.66666667</v>
      </c>
      <c r="HB63" s="59" t="n">
        <f aca="false">HB60*HB61+HB19*HB62</f>
        <v>4666666.66666667</v>
      </c>
      <c r="HC63" s="59" t="n">
        <f aca="false">HC60*HC61+HC19*HC62</f>
        <v>4666666.66666667</v>
      </c>
      <c r="HD63" s="59" t="n">
        <f aca="false">HD60*HD61+HD19*HD62</f>
        <v>4666666.66666667</v>
      </c>
      <c r="HE63" s="59" t="n">
        <f aca="false">HE60*HE61+HE19*HE62</f>
        <v>4666666.66666667</v>
      </c>
      <c r="HF63" s="59" t="n">
        <f aca="false">HF60*HF61+HF19*HF62</f>
        <v>4666666.66666667</v>
      </c>
      <c r="HG63" s="59" t="n">
        <f aca="false">HG60*HG61+HG19*HG62</f>
        <v>4666666.66666667</v>
      </c>
      <c r="HH63" s="59" t="n">
        <f aca="false">HH60*HH61+HH19*HH62</f>
        <v>4666666.66666667</v>
      </c>
      <c r="HI63" s="59" t="n">
        <f aca="false">HI60*HI61+HI19*HI62</f>
        <v>4666666.66666667</v>
      </c>
      <c r="HJ63" s="59" t="n">
        <f aca="false">HJ60*HJ61+HJ19*HJ62</f>
        <v>4666666.66666667</v>
      </c>
      <c r="HK63" s="59" t="n">
        <f aca="false">HK60*HK61+HK19*HK62</f>
        <v>4666666.66666667</v>
      </c>
      <c r="HL63" s="59" t="n">
        <f aca="false">HL60*HL61+HL19*HL62</f>
        <v>3375000</v>
      </c>
      <c r="HM63" s="59" t="n">
        <f aca="false">HM60*HM61+HM19*HM62</f>
        <v>3408750</v>
      </c>
      <c r="HN63" s="59" t="n">
        <f aca="false">HN60*HN61+HN19*HN62</f>
        <v>3408750</v>
      </c>
      <c r="HO63" s="59" t="n">
        <f aca="false">HO60*HO61+HO19*HO62</f>
        <v>3408750</v>
      </c>
      <c r="HP63" s="59" t="n">
        <f aca="false">HP60*HP61+HP19*HP62</f>
        <v>3409090.90909091</v>
      </c>
      <c r="HQ63" s="59" t="n">
        <f aca="false">HQ60*HQ61+HQ19*HQ62</f>
        <v>3375000</v>
      </c>
      <c r="HR63" s="59" t="n">
        <f aca="false">HR60*HR61+HR19*HR62</f>
        <v>3375000</v>
      </c>
      <c r="HS63" s="59" t="n">
        <f aca="false">HS60*HS61+HS19*HS62</f>
        <v>3375000</v>
      </c>
      <c r="HT63" s="59" t="n">
        <f aca="false">HT60*HT61+HT19*HT62</f>
        <v>3375000</v>
      </c>
      <c r="HU63" s="59" t="n">
        <f aca="false">HU60*HU61+HU19*HU62</f>
        <v>3375000</v>
      </c>
      <c r="HV63" s="59" t="n">
        <f aca="false">HV60*HV61+HV19*HV62</f>
        <v>3408750</v>
      </c>
      <c r="HW63" s="59" t="n">
        <f aca="false">HW60*HW61+HW19*HW62</f>
        <v>3375000</v>
      </c>
      <c r="HX63" s="59" t="n">
        <f aca="false">HX60*HX61+HX19*HX62</f>
        <v>3375000</v>
      </c>
      <c r="HY63" s="59" t="n">
        <f aca="false">HY60*HY61+HY19*HY62</f>
        <v>3375000</v>
      </c>
      <c r="HZ63" s="59" t="n">
        <f aca="false">HZ60*HZ61+HZ19*HZ62</f>
        <v>3375000</v>
      </c>
      <c r="IA63" s="59" t="n">
        <f aca="false">IA60*IA61+IA19*IA62</f>
        <v>3375000</v>
      </c>
      <c r="IB63" s="59" t="n">
        <f aca="false">IB60*IB61+IB19*IB62</f>
        <v>3375000</v>
      </c>
      <c r="IC63" s="59" t="n">
        <f aca="false">IC60*IC61+IC19*IC62</f>
        <v>3375000</v>
      </c>
      <c r="ID63" s="59" t="n">
        <f aca="false">ID60*ID61+ID19*ID62</f>
        <v>3375000</v>
      </c>
      <c r="IE63" s="59" t="n">
        <f aca="false">IE60*IE61+IE19*IE62</f>
        <v>3375000</v>
      </c>
      <c r="IF63" s="59" t="n">
        <f aca="false">IF60*IF61+IF19*IF62</f>
        <v>3375000</v>
      </c>
      <c r="IG63" s="59" t="n">
        <f aca="false">IG60*IG61+IG19*IG62</f>
        <v>3375000</v>
      </c>
      <c r="IH63" s="59" t="n">
        <f aca="false">IH60*IH61+IH19*IH62</f>
        <v>3375000</v>
      </c>
      <c r="II63" s="59" t="n">
        <f aca="false">II60*II61+II19*II62</f>
        <v>3375000</v>
      </c>
      <c r="IJ63" s="59" t="n">
        <f aca="false">IJ60*IJ61+IJ19*IJ62</f>
        <v>3375000</v>
      </c>
      <c r="IK63" s="59" t="n">
        <f aca="false">IK60*IK61+IK19*IK62</f>
        <v>3375000</v>
      </c>
      <c r="IL63" s="59" t="n">
        <f aca="false">IL60*IL61+IL19*IL62</f>
        <v>3375000</v>
      </c>
      <c r="IM63" s="59" t="n">
        <f aca="false">IM60*IM61+IM19*IM62</f>
        <v>3375000</v>
      </c>
      <c r="IN63" s="59" t="n">
        <f aca="false">IN60*IN61+IN19*IN62</f>
        <v>3375000</v>
      </c>
      <c r="IO63" s="59" t="n">
        <f aca="false">IO60*IO61+IO19*IO62</f>
        <v>3408750</v>
      </c>
      <c r="IP63" s="59" t="n">
        <f aca="false">IP60*IP61+IP19*IP62</f>
        <v>3375000</v>
      </c>
      <c r="IQ63" s="59" t="n">
        <f aca="false">IQ60*IQ61+IQ19*IQ62</f>
        <v>3375000</v>
      </c>
      <c r="IR63" s="59" t="n">
        <f aca="false">IR60*IR61+IR19*IR62</f>
        <v>3375000</v>
      </c>
      <c r="IS63" s="59" t="n">
        <f aca="false">IS60*IS61+IS19*IS62</f>
        <v>3375000</v>
      </c>
      <c r="IT63" s="59" t="n">
        <f aca="false">IT60*IT61+IT19*IT62</f>
        <v>3375000</v>
      </c>
      <c r="IU63" s="59" t="n">
        <f aca="false">IU60*IU61+IU19*IU62</f>
        <v>3375000</v>
      </c>
      <c r="IV63" s="59" t="n">
        <f aca="false">IV60*IV61+IV19*IV62</f>
        <v>3375000</v>
      </c>
      <c r="IW63" s="59" t="n">
        <f aca="false">IW60*IW61+IW19*IW62</f>
        <v>3375000</v>
      </c>
      <c r="IX63" s="59" t="n">
        <f aca="false">IX60*IX61+IX19*IX62</f>
        <v>3375000</v>
      </c>
      <c r="IY63" s="59" t="n">
        <f aca="false">IY60*IY61+IY19*IY62</f>
        <v>3375000</v>
      </c>
      <c r="IZ63" s="59" t="n">
        <f aca="false">IZ60*IZ61+IZ19*IZ62</f>
        <v>3375000</v>
      </c>
      <c r="JA63" s="59" t="n">
        <f aca="false">JA60*JA61+JA19*JA62</f>
        <v>3375000</v>
      </c>
    </row>
    <row r="64" customFormat="false" ht="15" hidden="false" customHeight="false" outlineLevel="0" collapsed="false">
      <c r="A64" s="4" t="s">
        <v>731</v>
      </c>
      <c r="B64" s="5"/>
      <c r="C64" s="5"/>
      <c r="D64" s="5"/>
      <c r="E64" s="5"/>
      <c r="F64" s="5"/>
      <c r="G64" s="5"/>
      <c r="H64" s="5"/>
    </row>
    <row r="65" customFormat="false" ht="15" hidden="false" customHeight="false" outlineLevel="0" collapsed="false">
      <c r="A65" s="16" t="s">
        <v>111</v>
      </c>
      <c r="B65" s="16" t="s">
        <v>112</v>
      </c>
      <c r="C65" s="26" t="s">
        <v>179</v>
      </c>
      <c r="D65" s="24" t="s">
        <v>181</v>
      </c>
      <c r="E65" s="62" t="n">
        <f aca="false">E26+E33+E40+E46+E52+E57+E63</f>
        <v>43659405.5</v>
      </c>
      <c r="F65" s="62" t="n">
        <f aca="false">F26+F33+F40+F46+F52+F57+F63</f>
        <v>32988152</v>
      </c>
      <c r="G65" s="62" t="n">
        <f aca="false">G26+G33+G40+G46+G52+G57+G63</f>
        <v>32451852</v>
      </c>
      <c r="H65" s="62" t="n">
        <f aca="false">SUM(E65:G65)</f>
        <v>109099409.5</v>
      </c>
      <c r="J65" s="59" t="n">
        <f aca="false">J26+J33+J40+J46+J52+J57+J63</f>
        <v>43659405.5</v>
      </c>
      <c r="K65" s="59" t="n">
        <f aca="false">K26+K33+K40+K46+K52+K57+K63</f>
        <v>43691367.155</v>
      </c>
      <c r="L65" s="59" t="n">
        <f aca="false">L26+L33+L40+L46+L52+L57+L63</f>
        <v>43691367.155</v>
      </c>
      <c r="M65" s="59" t="n">
        <f aca="false">M26+M33+M40+M46+M52+M57+M63</f>
        <v>43691367.155</v>
      </c>
      <c r="N65" s="59" t="n">
        <f aca="false">N26+N33+N40+N46+N52+N57+N63</f>
        <v>43685233.1</v>
      </c>
      <c r="O65" s="59" t="n">
        <f aca="false">O26+O33+O40+O46+O52+O57+O63</f>
        <v>43782089.18</v>
      </c>
      <c r="P65" s="59" t="n">
        <f aca="false">P26+P33+P40+P46+P52+P57+P63</f>
        <v>43782089.18</v>
      </c>
      <c r="Q65" s="59" t="n">
        <f aca="false">Q26+Q33+Q40+Q46+Q52+Q57+Q63</f>
        <v>43782089.18</v>
      </c>
      <c r="R65" s="59" t="n">
        <f aca="false">R26+R33+R40+R46+R52+R57+R63</f>
        <v>43812760.1</v>
      </c>
      <c r="S65" s="59" t="n">
        <f aca="false">S26+S33+S40+S46+S52+S57+S63</f>
        <v>43690076.42</v>
      </c>
      <c r="T65" s="59" t="n">
        <f aca="false">T26+T33+T40+T46+T52+T57+T63</f>
        <v>43797343.5</v>
      </c>
      <c r="U65" s="59" t="n">
        <f aca="false">U26+U33+U40+U46+U52+U57+U63</f>
        <v>43781115.5</v>
      </c>
      <c r="V65" s="59" t="n">
        <f aca="false">V26+V33+V40+V46+V52+V57+V63</f>
        <v>43902825.5</v>
      </c>
      <c r="W65" s="59" t="n">
        <f aca="false">W26+W33+W40+W46+W52+W57+W63</f>
        <v>43756773.5</v>
      </c>
      <c r="X65" s="59" t="n">
        <f aca="false">X26+X33+X40+X46+X52+X57+X63</f>
        <v>43760830.5</v>
      </c>
      <c r="Y65" s="59" t="n">
        <f aca="false">Y26+Y33+Y40+Y46+Y52+Y57+Y63</f>
        <v>43760830.5</v>
      </c>
      <c r="Z65" s="59" t="n">
        <f aca="false">Z26+Z33+Z40+Z46+Z52+Z57+Z63</f>
        <v>43902825.5</v>
      </c>
      <c r="AA65" s="59" t="n">
        <f aca="false">AA26+AA33+AA40+AA46+AA52+AA57+AA63</f>
        <v>43801400.5</v>
      </c>
      <c r="AB65" s="59" t="n">
        <f aca="false">AB26+AB33+AB40+AB46+AB52+AB57+AB63</f>
        <v>43659405.5</v>
      </c>
      <c r="AC65" s="59" t="n">
        <f aca="false">AC26+AC33+AC40+AC46+AC52+AC57+AC63</f>
        <v>43697439.875</v>
      </c>
      <c r="AD65" s="59" t="n">
        <f aca="false">AD26+AD33+AD40+AD46+AD52+AD57+AD63</f>
        <v>43697439.875</v>
      </c>
      <c r="AE65" s="59" t="n">
        <f aca="false">AE26+AE33+AE40+AE46+AE52+AE57+AE63</f>
        <v>43697439.875</v>
      </c>
      <c r="AF65" s="59" t="n">
        <f aca="false">AF26+AF33+AF40+AF46+AF52+AF57+AF63</f>
        <v>43671576.5</v>
      </c>
      <c r="AG65" s="59" t="n">
        <f aca="false">AG26+AG33+AG40+AG46+AG52+AG57+AG63</f>
        <v>43671576.5</v>
      </c>
      <c r="AH65" s="59" t="n">
        <f aca="false">AH26+AH33+AH40+AH46+AH52+AH57+AH63</f>
        <v>43671576.5</v>
      </c>
      <c r="AI65" s="59" t="n">
        <f aca="false">AI26+AI33+AI40+AI46+AI52+AI57+AI63</f>
        <v>43667519.5</v>
      </c>
      <c r="AJ65" s="59" t="n">
        <f aca="false">AJ26+AJ33+AJ40+AJ46+AJ52+AJ57+AJ63</f>
        <v>43667519.5</v>
      </c>
      <c r="AK65" s="59" t="n">
        <f aca="false">AK26+AK33+AK40+AK46+AK52+AK57+AK63</f>
        <v>43683747.5</v>
      </c>
      <c r="AL65" s="59" t="n">
        <f aca="false">AL26+AL33+AL40+AL46+AL52+AL57+AL63</f>
        <v>43683747.5</v>
      </c>
      <c r="AM65" s="59" t="n">
        <f aca="false">AM26+AM33+AM40+AM46+AM52+AM57+AM63</f>
        <v>43667519.5</v>
      </c>
      <c r="AN65" s="59" t="n">
        <f aca="false">AN26+AN33+AN40+AN46+AN52+AN57+AN63</f>
        <v>43659405.5</v>
      </c>
      <c r="AO65" s="59" t="n">
        <f aca="false">AO26+AO33+AO40+AO46+AO52+AO57+AO63</f>
        <v>43659405.5</v>
      </c>
      <c r="AP65" s="59" t="n">
        <f aca="false">AP26+AP33+AP40+AP46+AP52+AP57+AP63</f>
        <v>43659405.5</v>
      </c>
      <c r="AQ65" s="59" t="n">
        <f aca="false">AQ26+AQ33+AQ40+AQ46+AQ52+AQ57+AQ63</f>
        <v>43659405.5</v>
      </c>
      <c r="AR65" s="59" t="n">
        <f aca="false">AR26+AR33+AR40+AR46+AR52+AR57+AR63</f>
        <v>43659405.5</v>
      </c>
      <c r="AS65" s="59" t="n">
        <f aca="false">AS26+AS33+AS40+AS46+AS52+AS57+AS63</f>
        <v>43659405.5</v>
      </c>
      <c r="AT65" s="59" t="n">
        <f aca="false">AT26+AT33+AT40+AT46+AT52+AT57+AT63</f>
        <v>43659405.5</v>
      </c>
      <c r="AU65" s="59" t="n">
        <f aca="false">AU26+AU33+AU40+AU46+AU52+AU57+AU63</f>
        <v>43659405.5</v>
      </c>
      <c r="AV65" s="59" t="n">
        <f aca="false">AV26+AV33+AV40+AV46+AV52+AV57+AV63</f>
        <v>43659405.5</v>
      </c>
      <c r="AW65" s="59" t="n">
        <f aca="false">AW26+AW33+AW40+AW46+AW52+AW57+AW63</f>
        <v>43659405.5</v>
      </c>
      <c r="AX65" s="59" t="n">
        <f aca="false">AX26+AX33+AX40+AX46+AX52+AX57+AX63</f>
        <v>43659405.5</v>
      </c>
      <c r="AY65" s="59" t="n">
        <f aca="false">AY26+AY33+AY40+AY46+AY52+AY57+AY63</f>
        <v>43659405.5</v>
      </c>
      <c r="AZ65" s="59" t="n">
        <f aca="false">AZ26+AZ33+AZ40+AZ46+AZ52+AZ57+AZ63</f>
        <v>32988152</v>
      </c>
      <c r="BA65" s="59" t="n">
        <f aca="false">BA26+BA33+BA40+BA46+BA52+BA57+BA63</f>
        <v>33000377.92</v>
      </c>
      <c r="BB65" s="59" t="n">
        <f aca="false">BB26+BB33+BB40+BB46+BB52+BB57+BB63</f>
        <v>33000377.92</v>
      </c>
      <c r="BC65" s="59" t="n">
        <f aca="false">BC26+BC33+BC40+BC46+BC52+BC57+BC63</f>
        <v>33000377.92</v>
      </c>
      <c r="BD65" s="59" t="n">
        <f aca="false">BD26+BD33+BD40+BD46+BD52+BD57+BD63</f>
        <v>32997976.4</v>
      </c>
      <c r="BE65" s="59" t="n">
        <f aca="false">BE26+BE33+BE40+BE46+BE52+BE57+BE63</f>
        <v>33030036.92</v>
      </c>
      <c r="BF65" s="59" t="n">
        <f aca="false">BF26+BF33+BF40+BF46+BF52+BF57+BF63</f>
        <v>33030036.92</v>
      </c>
      <c r="BG65" s="59" t="n">
        <f aca="false">BG26+BG33+BG40+BG46+BG52+BG57+BG63</f>
        <v>33030036.92</v>
      </c>
      <c r="BH65" s="59" t="n">
        <f aca="false">BH26+BH33+BH40+BH46+BH52+BH57+BH63</f>
        <v>33040508.15</v>
      </c>
      <c r="BI65" s="59" t="n">
        <f aca="false">BI26+BI33+BI40+BI46+BI52+BI57+BI63</f>
        <v>32998623.23</v>
      </c>
      <c r="BJ65" s="59" t="n">
        <f aca="false">BJ26+BJ33+BJ40+BJ46+BJ52+BJ57+BJ63</f>
        <v>33112054</v>
      </c>
      <c r="BK65" s="59" t="n">
        <f aca="false">BK26+BK33+BK40+BK46+BK52+BK57+BK63</f>
        <v>33036504</v>
      </c>
      <c r="BL65" s="59" t="n">
        <f aca="false">BL26+BL33+BL40+BL46+BL52+BL57+BL63</f>
        <v>33109032</v>
      </c>
      <c r="BM65" s="59" t="n">
        <f aca="false">BM26+BM33+BM40+BM46+BM52+BM57+BM63</f>
        <v>33048592</v>
      </c>
      <c r="BN65" s="59" t="n">
        <f aca="false">BN26+BN33+BN40+BN46+BN52+BN57+BN63</f>
        <v>33056147</v>
      </c>
      <c r="BO65" s="59" t="n">
        <f aca="false">BO26+BO33+BO40+BO46+BO52+BO57+BO63</f>
        <v>33056147</v>
      </c>
      <c r="BP65" s="59" t="n">
        <f aca="false">BP26+BP33+BP40+BP46+BP52+BP57+BP63</f>
        <v>33214802</v>
      </c>
      <c r="BQ65" s="59" t="n">
        <f aca="false">BQ26+BQ33+BQ40+BQ46+BQ52+BQ57+BQ63</f>
        <v>33146807</v>
      </c>
      <c r="BR65" s="59" t="n">
        <f aca="false">BR26+BR33+BR40+BR46+BR52+BR57+BR63</f>
        <v>32988152</v>
      </c>
      <c r="BS65" s="59" t="n">
        <f aca="false">BS26+BS33+BS40+BS46+BS52+BS57+BS63</f>
        <v>33010817</v>
      </c>
      <c r="BT65" s="59" t="n">
        <f aca="false">BT26+BT33+BT40+BT46+BT52+BT57+BT63</f>
        <v>33010817</v>
      </c>
      <c r="BU65" s="59" t="n">
        <f aca="false">BU26+BU33+BU40+BU46+BU52+BU57+BU63</f>
        <v>33010817</v>
      </c>
      <c r="BV65" s="59" t="n">
        <f aca="false">BV26+BV33+BV40+BV46+BV52+BV57+BV63</f>
        <v>33038921.6</v>
      </c>
      <c r="BW65" s="59" t="n">
        <f aca="false">BW26+BW33+BW40+BW46+BW52+BW57+BW63</f>
        <v>33038921.6</v>
      </c>
      <c r="BX65" s="59" t="n">
        <f aca="false">BX26+BX33+BX40+BX46+BX52+BX57+BX63</f>
        <v>33038921.6</v>
      </c>
      <c r="BY65" s="59" t="n">
        <f aca="false">BY26+BY33+BY40+BY46+BY52+BY57+BY63</f>
        <v>33048592</v>
      </c>
      <c r="BZ65" s="59" t="n">
        <f aca="false">BZ26+BZ33+BZ40+BZ46+BZ52+BZ57+BZ63</f>
        <v>33048592</v>
      </c>
      <c r="CA65" s="59" t="n">
        <f aca="false">CA26+CA33+CA40+CA46+CA52+CA57+CA63</f>
        <v>33010817</v>
      </c>
      <c r="CB65" s="59" t="n">
        <f aca="false">CB26+CB33+CB40+CB46+CB52+CB57+CB63</f>
        <v>33010817</v>
      </c>
      <c r="CC65" s="59" t="n">
        <f aca="false">CC26+CC33+CC40+CC46+CC52+CC57+CC63</f>
        <v>33003262</v>
      </c>
      <c r="CD65" s="59" t="n">
        <f aca="false">CD26+CD33+CD40+CD46+CD52+CD57+CD63</f>
        <v>32988152</v>
      </c>
      <c r="CE65" s="59" t="n">
        <f aca="false">CE26+CE33+CE40+CE46+CE52+CE57+CE63</f>
        <v>32988152</v>
      </c>
      <c r="CF65" s="59" t="n">
        <f aca="false">CF26+CF33+CF40+CF46+CF52+CF57+CF63</f>
        <v>32988152</v>
      </c>
      <c r="CG65" s="59" t="n">
        <f aca="false">CG26+CG33+CG40+CG46+CG52+CG57+CG63</f>
        <v>32988152</v>
      </c>
      <c r="CH65" s="59" t="n">
        <f aca="false">CH26+CH33+CH40+CH46+CH52+CH57+CH63</f>
        <v>32988152</v>
      </c>
      <c r="CI65" s="59" t="n">
        <f aca="false">CI26+CI33+CI40+CI46+CI52+CI57+CI63</f>
        <v>32988152</v>
      </c>
      <c r="CJ65" s="59" t="n">
        <f aca="false">CJ26+CJ33+CJ40+CJ46+CJ52+CJ57+CJ63</f>
        <v>32988152</v>
      </c>
      <c r="CK65" s="59" t="n">
        <f aca="false">CK26+CK33+CK40+CK46+CK52+CK57+CK63</f>
        <v>32988152</v>
      </c>
      <c r="CL65" s="59" t="n">
        <f aca="false">CL26+CL33+CL40+CL46+CL52+CL57+CL63</f>
        <v>32988152</v>
      </c>
      <c r="CM65" s="59" t="n">
        <f aca="false">CM26+CM33+CM40+CM46+CM52+CM57+CM63</f>
        <v>32988152</v>
      </c>
      <c r="CN65" s="59" t="n">
        <f aca="false">CN26+CN33+CN40+CN46+CN52+CN57+CN63</f>
        <v>32988152</v>
      </c>
      <c r="CO65" s="59" t="n">
        <f aca="false">CO26+CO33+CO40+CO46+CO52+CO57+CO63</f>
        <v>32988152</v>
      </c>
      <c r="CP65" s="59" t="n">
        <f aca="false">CP26+CP33+CP40+CP46+CP52+CP57+CP63</f>
        <v>32451852</v>
      </c>
      <c r="CQ65" s="59" t="n">
        <f aca="false">CQ26+CQ33+CQ40+CQ46+CQ52+CQ57+CQ63</f>
        <v>32466382.68</v>
      </c>
      <c r="CR65" s="59" t="n">
        <f aca="false">CR26+CR33+CR40+CR46+CR52+CR57+CR63</f>
        <v>32466382.68</v>
      </c>
      <c r="CS65" s="59" t="n">
        <f aca="false">CS26+CS33+CS40+CS46+CS52+CS57+CS63</f>
        <v>32466382.68</v>
      </c>
      <c r="CT65" s="59" t="n">
        <f aca="false">CT26+CT33+CT40+CT46+CT52+CT57+CT63</f>
        <v>32464768.16</v>
      </c>
      <c r="CU65" s="59" t="n">
        <f aca="false">CU26+CU33+CU40+CU46+CU52+CU57+CU63</f>
        <v>32512055.52</v>
      </c>
      <c r="CV65" s="59" t="n">
        <f aca="false">CV26+CV33+CV40+CV46+CV52+CV57+CV63</f>
        <v>32512055.52</v>
      </c>
      <c r="CW65" s="59" t="n">
        <f aca="false">CW26+CW33+CW40+CW46+CW52+CW57+CW63</f>
        <v>32512055.52</v>
      </c>
      <c r="CX65" s="59" t="n">
        <f aca="false">CX26+CX33+CX40+CX46+CX52+CX57+CX63</f>
        <v>32552191.2</v>
      </c>
      <c r="CY65" s="59" t="n">
        <f aca="false">CY26+CY33+CY40+CY46+CY52+CY57+CY63</f>
        <v>32491987.68</v>
      </c>
      <c r="CZ65" s="59" t="n">
        <f aca="false">CZ26+CZ33+CZ40+CZ46+CZ52+CZ57+CZ63</f>
        <v>32547327</v>
      </c>
      <c r="DA65" s="59" t="n">
        <f aca="false">DA26+DA33+DA40+DA46+DA52+DA57+DA63</f>
        <v>32502102</v>
      </c>
      <c r="DB65" s="59" t="n">
        <f aca="false">DB26+DB33+DB40+DB46+DB52+DB57+DB63</f>
        <v>32703102</v>
      </c>
      <c r="DC65" s="59" t="n">
        <f aca="false">DC26+DC33+DC40+DC46+DC52+DC57+DC63</f>
        <v>32627727</v>
      </c>
      <c r="DD65" s="59" t="n">
        <f aca="false">DD26+DD33+DD40+DD46+DD52+DD57+DD63</f>
        <v>32512152</v>
      </c>
      <c r="DE65" s="59" t="n">
        <f aca="false">DE26+DE33+DE40+DE46+DE52+DE57+DE63</f>
        <v>32512152</v>
      </c>
      <c r="DF65" s="59" t="n">
        <f aca="false">DF26+DF33+DF40+DF46+DF52+DF57+DF63</f>
        <v>32773452</v>
      </c>
      <c r="DG65" s="59" t="n">
        <f aca="false">DG26+DG33+DG40+DG46+DG52+DG57+DG63</f>
        <v>32713152</v>
      </c>
      <c r="DH65" s="59" t="n">
        <f aca="false">DH26+DH33+DH40+DH46+DH52+DH57+DH63</f>
        <v>32451852</v>
      </c>
      <c r="DI65" s="59" t="n">
        <f aca="false">DI26+DI33+DI40+DI46+DI52+DI57+DI63</f>
        <v>32459892</v>
      </c>
      <c r="DJ65" s="59" t="n">
        <f aca="false">DJ26+DJ33+DJ40+DJ46+DJ52+DJ57+DJ63</f>
        <v>32459892</v>
      </c>
      <c r="DK65" s="59" t="n">
        <f aca="false">DK26+DK33+DK40+DK46+DK52+DK57+DK63</f>
        <v>32459892</v>
      </c>
      <c r="DL65" s="59" t="n">
        <f aca="false">DL26+DL33+DL40+DL46+DL52+DL57+DL63</f>
        <v>32552352</v>
      </c>
      <c r="DM65" s="59" t="n">
        <f aca="false">DM26+DM33+DM40+DM46+DM52+DM57+DM63</f>
        <v>32552352</v>
      </c>
      <c r="DN65" s="59" t="n">
        <f aca="false">DN26+DN33+DN40+DN46+DN52+DN57+DN63</f>
        <v>32552352</v>
      </c>
      <c r="DO65" s="59" t="n">
        <f aca="false">DO26+DO33+DO40+DO46+DO52+DO57+DO63</f>
        <v>32466927</v>
      </c>
      <c r="DP65" s="59" t="n">
        <f aca="false">DP26+DP33+DP40+DP46+DP52+DP57+DP63</f>
        <v>32466927</v>
      </c>
      <c r="DQ65" s="59" t="n">
        <f aca="false">DQ26+DQ33+DQ40+DQ46+DQ52+DQ57+DQ63</f>
        <v>32451852</v>
      </c>
      <c r="DR65" s="59" t="n">
        <f aca="false">DR26+DR33+DR40+DR46+DR52+DR57+DR63</f>
        <v>32451852</v>
      </c>
      <c r="DS65" s="59" t="n">
        <f aca="false">DS26+DS33+DS40+DS46+DS52+DS57+DS63</f>
        <v>32482002</v>
      </c>
      <c r="DT65" s="59" t="n">
        <f aca="false">DT26+DT33+DT40+DT46+DT52+DT57+DT63</f>
        <v>32451852</v>
      </c>
      <c r="DU65" s="59" t="n">
        <f aca="false">DU26+DU33+DU40+DU46+DU52+DU57+DU63</f>
        <v>32451852</v>
      </c>
      <c r="DV65" s="59" t="n">
        <f aca="false">DV26+DV33+DV40+DV46+DV52+DV57+DV63</f>
        <v>32451852</v>
      </c>
      <c r="DW65" s="59" t="n">
        <f aca="false">DW26+DW33+DW40+DW46+DW52+DW57+DW63</f>
        <v>32451852</v>
      </c>
      <c r="DX65" s="59" t="n">
        <f aca="false">DX26+DX33+DX40+DX46+DX52+DX57+DX63</f>
        <v>32451852</v>
      </c>
      <c r="DY65" s="59" t="n">
        <f aca="false">DY26+DY33+DY40+DY46+DY52+DY57+DY63</f>
        <v>32451852</v>
      </c>
      <c r="DZ65" s="59" t="n">
        <f aca="false">DZ26+DZ33+DZ40+DZ46+DZ52+DZ57+DZ63</f>
        <v>32451852</v>
      </c>
      <c r="EA65" s="59" t="n">
        <f aca="false">EA26+EA33+EA40+EA46+EA52+EA57+EA63</f>
        <v>32451852</v>
      </c>
      <c r="EB65" s="59" t="n">
        <f aca="false">EB26+EB33+EB40+EB46+EB52+EB57+EB63</f>
        <v>32451852</v>
      </c>
      <c r="EC65" s="59" t="n">
        <f aca="false">EC26+EC33+EC40+EC46+EC52+EC57+EC63</f>
        <v>32451852</v>
      </c>
      <c r="ED65" s="59" t="n">
        <f aca="false">ED26+ED33+ED40+ED46+ED52+ED57+ED63</f>
        <v>32451852</v>
      </c>
      <c r="EE65" s="59" t="n">
        <f aca="false">EE26+EE33+EE40+EE46+EE52+EE57+EE63</f>
        <v>32451852</v>
      </c>
      <c r="EF65" s="59" t="n">
        <f aca="false">EF26+EF33+EF40+EF46+EF52+EF57+EF63</f>
        <v>53269425</v>
      </c>
      <c r="EG65" s="59" t="n">
        <f aca="false">EG26+EG33+EG40+EG46+EG52+EG57+EG63</f>
        <v>53802119.25</v>
      </c>
      <c r="EH65" s="59" t="n">
        <f aca="false">EH26+EH33+EH40+EH46+EH52+EH57+EH63</f>
        <v>53802119.25</v>
      </c>
      <c r="EI65" s="59" t="n">
        <f aca="false">EI26+EI33+EI40+EI46+EI52+EI57+EI63</f>
        <v>53802119.25</v>
      </c>
      <c r="EJ65" s="59" t="n">
        <f aca="false">EJ26+EJ33+EJ40+EJ46+EJ52+EJ57+EJ63</f>
        <v>53807500</v>
      </c>
      <c r="EK65" s="59" t="n">
        <f aca="false">EK26+EK33+EK40+EK46+EK52+EK57+EK63</f>
        <v>53419113</v>
      </c>
      <c r="EL65" s="59" t="n">
        <f aca="false">EL26+EL33+EL40+EL46+EL52+EL57+EL63</f>
        <v>53419113</v>
      </c>
      <c r="EM65" s="59" t="n">
        <f aca="false">EM26+EM33+EM40+EM46+EM52+EM57+EM63</f>
        <v>53419113</v>
      </c>
      <c r="EN65" s="59" t="n">
        <f aca="false">EN26+EN33+EN40+EN46+EN52+EN57+EN63</f>
        <v>53456535</v>
      </c>
      <c r="EO65" s="59" t="n">
        <f aca="false">EO26+EO33+EO40+EO46+EO52+EO57+EO63</f>
        <v>53306847</v>
      </c>
      <c r="EP65" s="59" t="n">
        <f aca="false">EP26+EP33+EP40+EP46+EP52+EP57+EP63</f>
        <v>53437725</v>
      </c>
      <c r="EQ65" s="59" t="n">
        <f aca="false">EQ26+EQ33+EQ40+EQ46+EQ52+EQ57+EQ63</f>
        <v>53417925</v>
      </c>
      <c r="ER65" s="59" t="n">
        <f aca="false">ER26+ER33+ER40+ER46+ER52+ER57+ER63</f>
        <v>53566425</v>
      </c>
      <c r="ES65" s="59" t="n">
        <f aca="false">ES26+ES33+ES40+ES46+ES52+ES57+ES63</f>
        <v>53388225</v>
      </c>
      <c r="ET65" s="59" t="n">
        <f aca="false">ET26+ET33+ET40+ET46+ET52+ET57+ET63</f>
        <v>53393175</v>
      </c>
      <c r="EU65" s="59" t="n">
        <f aca="false">EU26+EU33+EU40+EU46+EU52+EU57+EU63</f>
        <v>53393175</v>
      </c>
      <c r="EV65" s="59" t="n">
        <f aca="false">EV26+EV33+EV40+EV46+EV52+EV57+EV63</f>
        <v>53566425</v>
      </c>
      <c r="EW65" s="59" t="n">
        <f aca="false">EW26+EW33+EW40+EW46+EW52+EW57+EW63</f>
        <v>53442675</v>
      </c>
      <c r="EX65" s="59" t="n">
        <f aca="false">EX26+EX33+EX40+EX46+EX52+EX57+EX63</f>
        <v>53269425</v>
      </c>
      <c r="EY65" s="59" t="n">
        <f aca="false">EY26+EY33+EY40+EY46+EY52+EY57+EY63</f>
        <v>53315831.25</v>
      </c>
      <c r="EZ65" s="59" t="n">
        <f aca="false">EZ26+EZ33+EZ40+EZ46+EZ52+EZ57+EZ63</f>
        <v>53315831.25</v>
      </c>
      <c r="FA65" s="59" t="n">
        <f aca="false">FA26+FA33+FA40+FA46+FA52+FA57+FA63</f>
        <v>53315831.25</v>
      </c>
      <c r="FB65" s="59" t="n">
        <f aca="false">FB26+FB33+FB40+FB46+FB52+FB57+FB63</f>
        <v>53284275</v>
      </c>
      <c r="FC65" s="59" t="n">
        <f aca="false">FC26+FC33+FC40+FC46+FC52+FC57+FC63</f>
        <v>53284275</v>
      </c>
      <c r="FD65" s="59" t="n">
        <f aca="false">FD26+FD33+FD40+FD46+FD52+FD57+FD63</f>
        <v>53284275</v>
      </c>
      <c r="FE65" s="59" t="n">
        <f aca="false">FE26+FE33+FE40+FE46+FE52+FE57+FE63</f>
        <v>53279325</v>
      </c>
      <c r="FF65" s="59" t="n">
        <f aca="false">FF26+FF33+FF40+FF46+FF52+FF57+FF63</f>
        <v>53279325</v>
      </c>
      <c r="FG65" s="59" t="n">
        <f aca="false">FG26+FG33+FG40+FG46+FG52+FG57+FG63</f>
        <v>53299125</v>
      </c>
      <c r="FH65" s="59" t="n">
        <f aca="false">FH26+FH33+FH40+FH46+FH52+FH57+FH63</f>
        <v>53299125</v>
      </c>
      <c r="FI65" s="59" t="n">
        <f aca="false">FI26+FI33+FI40+FI46+FI52+FI57+FI63</f>
        <v>53279325</v>
      </c>
      <c r="FJ65" s="59" t="n">
        <f aca="false">FJ26+FJ33+FJ40+FJ46+FJ52+FJ57+FJ63</f>
        <v>53269425</v>
      </c>
      <c r="FK65" s="59" t="n">
        <f aca="false">FK26+FK33+FK40+FK46+FK52+FK57+FK63</f>
        <v>53269425</v>
      </c>
      <c r="FL65" s="59" t="n">
        <f aca="false">FL26+FL33+FL40+FL46+FL52+FL57+FL63</f>
        <v>53269425</v>
      </c>
      <c r="FM65" s="59" t="n">
        <f aca="false">FM26+FM33+FM40+FM46+FM52+FM57+FM63</f>
        <v>53269425</v>
      </c>
      <c r="FN65" s="59" t="n">
        <f aca="false">FN26+FN33+FN40+FN46+FN52+FN57+FN63</f>
        <v>53269425</v>
      </c>
      <c r="FO65" s="59" t="n">
        <f aca="false">FO26+FO33+FO40+FO46+FO52+FO57+FO63</f>
        <v>53269425</v>
      </c>
      <c r="FP65" s="59" t="n">
        <f aca="false">FP26+FP33+FP40+FP46+FP52+FP57+FP63</f>
        <v>53269425</v>
      </c>
      <c r="FQ65" s="59" t="n">
        <f aca="false">FQ26+FQ33+FQ40+FQ46+FQ52+FQ57+FQ63</f>
        <v>53269425</v>
      </c>
      <c r="FR65" s="59" t="n">
        <f aca="false">FR26+FR33+FR40+FR46+FR52+FR57+FR63</f>
        <v>53269425</v>
      </c>
      <c r="FS65" s="59" t="n">
        <f aca="false">FS26+FS33+FS40+FS46+FS52+FS57+FS63</f>
        <v>53269425</v>
      </c>
      <c r="FT65" s="59" t="n">
        <f aca="false">FT26+FT33+FT40+FT46+FT52+FT57+FT63</f>
        <v>53269425</v>
      </c>
      <c r="FU65" s="59" t="n">
        <f aca="false">FU26+FU33+FU40+FU46+FU52+FU57+FU63</f>
        <v>53269425</v>
      </c>
      <c r="FV65" s="59" t="n">
        <f aca="false">FV26+FV33+FV40+FV46+FV52+FV57+FV63</f>
        <v>40753066.6666667</v>
      </c>
      <c r="FW65" s="59" t="n">
        <f aca="false">FW26+FW33+FW40+FW46+FW52+FW57+FW63</f>
        <v>41160597.3333333</v>
      </c>
      <c r="FX65" s="59" t="n">
        <f aca="false">FX26+FX33+FX40+FX46+FX52+FX57+FX63</f>
        <v>41160597.3333333</v>
      </c>
      <c r="FY65" s="59" t="n">
        <f aca="false">FY26+FY33+FY40+FY46+FY52+FY57+FY63</f>
        <v>41160597.3333333</v>
      </c>
      <c r="FZ65" s="59" t="n">
        <f aca="false">FZ26+FZ33+FZ40+FZ46+FZ52+FZ57+FZ63</f>
        <v>41164713.8047138</v>
      </c>
      <c r="GA65" s="59" t="n">
        <f aca="false">GA26+GA33+GA40+GA46+GA52+GA57+GA63</f>
        <v>40804810.6666667</v>
      </c>
      <c r="GB65" s="59" t="n">
        <f aca="false">GB26+GB33+GB40+GB46+GB52+GB57+GB63</f>
        <v>40804810.6666667</v>
      </c>
      <c r="GC65" s="59" t="n">
        <f aca="false">GC26+GC33+GC40+GC46+GC52+GC57+GC63</f>
        <v>40804810.6666667</v>
      </c>
      <c r="GD65" s="59" t="n">
        <f aca="false">GD26+GD33+GD40+GD46+GD52+GD57+GD63</f>
        <v>40817746.6666667</v>
      </c>
      <c r="GE65" s="59" t="n">
        <f aca="false">GE26+GE33+GE40+GE46+GE52+GE57+GE63</f>
        <v>40766002.6666667</v>
      </c>
      <c r="GF65" s="59" t="n">
        <f aca="false">GF26+GF33+GF40+GF46+GF52+GF57+GF63</f>
        <v>40906133.3333333</v>
      </c>
      <c r="GG65" s="59" t="n">
        <f aca="false">GG26+GG33+GG40+GG46+GG52+GG57+GG63</f>
        <v>40812800</v>
      </c>
      <c r="GH65" s="59" t="n">
        <f aca="false">GH26+GH33+GH40+GH46+GH52+GH57+GH63</f>
        <v>40902400</v>
      </c>
      <c r="GI65" s="59" t="n">
        <f aca="false">GI26+GI33+GI40+GI46+GI52+GI57+GI63</f>
        <v>40827733.3333333</v>
      </c>
      <c r="GJ65" s="59" t="n">
        <f aca="false">GJ26+GJ33+GJ40+GJ46+GJ52+GJ57+GJ63</f>
        <v>40837066.6666667</v>
      </c>
      <c r="GK65" s="59" t="n">
        <f aca="false">GK26+GK33+GK40+GK46+GK52+GK57+GK63</f>
        <v>40837066.6666667</v>
      </c>
      <c r="GL65" s="59" t="n">
        <f aca="false">GL26+GL33+GL40+GL46+GL52+GL57+GL63</f>
        <v>41033066.6666667</v>
      </c>
      <c r="GM65" s="59" t="n">
        <f aca="false">GM26+GM33+GM40+GM46+GM52+GM57+GM63</f>
        <v>40949066.6666667</v>
      </c>
      <c r="GN65" s="59" t="n">
        <f aca="false">GN26+GN33+GN40+GN46+GN52+GN57+GN63</f>
        <v>40753066.6666667</v>
      </c>
      <c r="GO65" s="59" t="n">
        <f aca="false">GO26+GO33+GO40+GO46+GO52+GO57+GO63</f>
        <v>40781066.6666667</v>
      </c>
      <c r="GP65" s="59" t="n">
        <f aca="false">GP26+GP33+GP40+GP46+GP52+GP57+GP63</f>
        <v>40781066.6666667</v>
      </c>
      <c r="GQ65" s="59" t="n">
        <f aca="false">GQ26+GQ33+GQ40+GQ46+GQ52+GQ57+GQ63</f>
        <v>40781066.6666667</v>
      </c>
      <c r="GR65" s="59" t="n">
        <f aca="false">GR26+GR33+GR40+GR46+GR52+GR57+GR63</f>
        <v>40815786.6666667</v>
      </c>
      <c r="GS65" s="59" t="n">
        <f aca="false">GS26+GS33+GS40+GS46+GS52+GS57+GS63</f>
        <v>40815786.6666667</v>
      </c>
      <c r="GT65" s="59" t="n">
        <f aca="false">GT26+GT33+GT40+GT46+GT52+GT57+GT63</f>
        <v>40815786.6666667</v>
      </c>
      <c r="GU65" s="59" t="n">
        <f aca="false">GU26+GU33+GU40+GU46+GU52+GU57+GU63</f>
        <v>40827733.3333333</v>
      </c>
      <c r="GV65" s="59" t="n">
        <f aca="false">GV26+GV33+GV40+GV46+GV52+GV57+GV63</f>
        <v>40827733.3333333</v>
      </c>
      <c r="GW65" s="59" t="n">
        <f aca="false">GW26+GW33+GW40+GW46+GW52+GW57+GW63</f>
        <v>40781066.6666667</v>
      </c>
      <c r="GX65" s="59" t="n">
        <f aca="false">GX26+GX33+GX40+GX46+GX52+GX57+GX63</f>
        <v>40781066.6666667</v>
      </c>
      <c r="GY65" s="59" t="n">
        <f aca="false">GY26+GY33+GY40+GY46+GY52+GY57+GY63</f>
        <v>40771733.3333333</v>
      </c>
      <c r="GZ65" s="59" t="n">
        <f aca="false">GZ26+GZ33+GZ40+GZ46+GZ52+GZ57+GZ63</f>
        <v>40753066.6666667</v>
      </c>
      <c r="HA65" s="59" t="n">
        <f aca="false">HA26+HA33+HA40+HA46+HA52+HA57+HA63</f>
        <v>40753066.6666667</v>
      </c>
      <c r="HB65" s="59" t="n">
        <f aca="false">HB26+HB33+HB40+HB46+HB52+HB57+HB63</f>
        <v>40753066.6666667</v>
      </c>
      <c r="HC65" s="59" t="n">
        <f aca="false">HC26+HC33+HC40+HC46+HC52+HC57+HC63</f>
        <v>40753066.6666667</v>
      </c>
      <c r="HD65" s="59" t="n">
        <f aca="false">HD26+HD33+HD40+HD46+HD52+HD57+HD63</f>
        <v>40753066.6666667</v>
      </c>
      <c r="HE65" s="59" t="n">
        <f aca="false">HE26+HE33+HE40+HE46+HE52+HE57+HE63</f>
        <v>40753066.6666667</v>
      </c>
      <c r="HF65" s="59" t="n">
        <f aca="false">HF26+HF33+HF40+HF46+HF52+HF57+HF63</f>
        <v>40753066.6666667</v>
      </c>
      <c r="HG65" s="59" t="n">
        <f aca="false">HG26+HG33+HG40+HG46+HG52+HG57+HG63</f>
        <v>40753066.6666667</v>
      </c>
      <c r="HH65" s="59" t="n">
        <f aca="false">HH26+HH33+HH40+HH46+HH52+HH57+HH63</f>
        <v>40753066.6666667</v>
      </c>
      <c r="HI65" s="59" t="n">
        <f aca="false">HI26+HI33+HI40+HI46+HI52+HI57+HI63</f>
        <v>40753066.6666667</v>
      </c>
      <c r="HJ65" s="59" t="n">
        <f aca="false">HJ26+HJ33+HJ40+HJ46+HJ52+HJ57+HJ63</f>
        <v>40753066.6666667</v>
      </c>
      <c r="HK65" s="59" t="n">
        <f aca="false">HK26+HK33+HK40+HK46+HK52+HK57+HK63</f>
        <v>40753066.6666667</v>
      </c>
      <c r="HL65" s="59" t="n">
        <f aca="false">HL26+HL33+HL40+HL46+HL52+HL57+HL63</f>
        <v>36326700</v>
      </c>
      <c r="HM65" s="59" t="n">
        <f aca="false">HM26+HM33+HM40+HM46+HM52+HM57+HM63</f>
        <v>36689967</v>
      </c>
      <c r="HN65" s="59" t="n">
        <f aca="false">HN26+HN33+HN40+HN46+HN52+HN57+HN63</f>
        <v>36689967</v>
      </c>
      <c r="HO65" s="59" t="n">
        <f aca="false">HO26+HO33+HO40+HO46+HO52+HO57+HO63</f>
        <v>36689967</v>
      </c>
      <c r="HP65" s="59" t="n">
        <f aca="false">HP26+HP33+HP40+HP46+HP52+HP57+HP63</f>
        <v>36693636.3636364</v>
      </c>
      <c r="HQ65" s="59" t="n">
        <f aca="false">HQ26+HQ33+HQ40+HQ46+HQ52+HQ57+HQ63</f>
        <v>36394092</v>
      </c>
      <c r="HR65" s="59" t="n">
        <f aca="false">HR26+HR33+HR40+HR46+HR52+HR57+HR63</f>
        <v>36394092</v>
      </c>
      <c r="HS65" s="59" t="n">
        <f aca="false">HS26+HS33+HS40+HS46+HS52+HS57+HS63</f>
        <v>36394092</v>
      </c>
      <c r="HT65" s="59" t="n">
        <f aca="false">HT26+HT33+HT40+HT46+HT52+HT57+HT63</f>
        <v>36439020</v>
      </c>
      <c r="HU65" s="59" t="n">
        <f aca="false">HU26+HU33+HU40+HU46+HU52+HU57+HU63</f>
        <v>36371628</v>
      </c>
      <c r="HV65" s="59" t="n">
        <f aca="false">HV26+HV33+HV40+HV46+HV52+HV57+HV63</f>
        <v>36433575</v>
      </c>
      <c r="HW65" s="59" t="n">
        <f aca="false">HW26+HW33+HW40+HW46+HW52+HW57+HW63</f>
        <v>36382950</v>
      </c>
      <c r="HX65" s="59" t="n">
        <f aca="false">HX26+HX33+HX40+HX46+HX52+HX57+HX63</f>
        <v>36607950</v>
      </c>
      <c r="HY65" s="59" t="n">
        <f aca="false">HY26+HY33+HY40+HY46+HY52+HY57+HY63</f>
        <v>36523575</v>
      </c>
      <c r="HZ65" s="59" t="n">
        <f aca="false">HZ26+HZ33+HZ40+HZ46+HZ52+HZ57+HZ63</f>
        <v>36394200</v>
      </c>
      <c r="IA65" s="59" t="n">
        <f aca="false">IA26+IA33+IA40+IA46+IA52+IA57+IA63</f>
        <v>36394200</v>
      </c>
      <c r="IB65" s="59" t="n">
        <f aca="false">IB26+IB33+IB40+IB46+IB52+IB57+IB63</f>
        <v>36686700</v>
      </c>
      <c r="IC65" s="59" t="n">
        <f aca="false">IC26+IC33+IC40+IC46+IC52+IC57+IC63</f>
        <v>36619200</v>
      </c>
      <c r="ID65" s="59" t="n">
        <f aca="false">ID26+ID33+ID40+ID46+ID52+ID57+ID63</f>
        <v>36326700</v>
      </c>
      <c r="IE65" s="59" t="n">
        <f aca="false">IE26+IE33+IE40+IE46+IE52+IE57+IE63</f>
        <v>36335700</v>
      </c>
      <c r="IF65" s="59" t="n">
        <f aca="false">IF26+IF33+IF40+IF46+IF52+IF57+IF63</f>
        <v>36335700</v>
      </c>
      <c r="IG65" s="59" t="n">
        <f aca="false">IG26+IG33+IG40+IG46+IG52+IG57+IG63</f>
        <v>36335700</v>
      </c>
      <c r="IH65" s="59" t="n">
        <f aca="false">IH26+IH33+IH40+IH46+IH52+IH57+IH63</f>
        <v>36439200</v>
      </c>
      <c r="II65" s="59" t="n">
        <f aca="false">II26+II33+II40+II46+II52+II57+II63</f>
        <v>36439200</v>
      </c>
      <c r="IJ65" s="59" t="n">
        <f aca="false">IJ26+IJ33+IJ40+IJ46+IJ52+IJ57+IJ63</f>
        <v>36439200</v>
      </c>
      <c r="IK65" s="59" t="n">
        <f aca="false">IK26+IK33+IK40+IK46+IK52+IK57+IK63</f>
        <v>36343575</v>
      </c>
      <c r="IL65" s="59" t="n">
        <f aca="false">IL26+IL33+IL40+IL46+IL52+IL57+IL63</f>
        <v>36343575</v>
      </c>
      <c r="IM65" s="59" t="n">
        <f aca="false">IM26+IM33+IM40+IM46+IM52+IM57+IM63</f>
        <v>36326700</v>
      </c>
      <c r="IN65" s="59" t="n">
        <f aca="false">IN26+IN33+IN40+IN46+IN52+IN57+IN63</f>
        <v>36326700</v>
      </c>
      <c r="IO65" s="59" t="n">
        <f aca="false">IO26+IO33+IO40+IO46+IO52+IO57+IO63</f>
        <v>36360450</v>
      </c>
      <c r="IP65" s="59" t="n">
        <f aca="false">IP26+IP33+IP40+IP46+IP52+IP57+IP63</f>
        <v>36326700</v>
      </c>
      <c r="IQ65" s="59" t="n">
        <f aca="false">IQ26+IQ33+IQ40+IQ46+IQ52+IQ57+IQ63</f>
        <v>36326700</v>
      </c>
      <c r="IR65" s="59" t="n">
        <f aca="false">IR26+IR33+IR40+IR46+IR52+IR57+IR63</f>
        <v>36326700</v>
      </c>
      <c r="IS65" s="59" t="n">
        <f aca="false">IS26+IS33+IS40+IS46+IS52+IS57+IS63</f>
        <v>36326700</v>
      </c>
      <c r="IT65" s="59" t="n">
        <f aca="false">IT26+IT33+IT40+IT46+IT52+IT57+IT63</f>
        <v>36326700</v>
      </c>
      <c r="IU65" s="59" t="n">
        <f aca="false">IU26+IU33+IU40+IU46+IU52+IU57+IU63</f>
        <v>36326700</v>
      </c>
      <c r="IV65" s="59" t="n">
        <f aca="false">IV26+IV33+IV40+IV46+IV52+IV57+IV63</f>
        <v>36326700</v>
      </c>
      <c r="IW65" s="59" t="n">
        <f aca="false">IW26+IW33+IW40+IW46+IW52+IW57+IW63</f>
        <v>36326700</v>
      </c>
      <c r="IX65" s="59" t="n">
        <f aca="false">IX26+IX33+IX40+IX46+IX52+IX57+IX63</f>
        <v>36326700</v>
      </c>
      <c r="IY65" s="59" t="n">
        <f aca="false">IY26+IY33+IY40+IY46+IY52+IY57+IY63</f>
        <v>36326700</v>
      </c>
      <c r="IZ65" s="59" t="n">
        <f aca="false">IZ26+IZ33+IZ40+IZ46+IZ52+IZ57+IZ63</f>
        <v>36326700</v>
      </c>
      <c r="JA65" s="59" t="n">
        <f aca="false">JA26+JA33+JA40+JA46+JA52+JA57+JA63</f>
        <v>36326700</v>
      </c>
    </row>
    <row r="66" customFormat="false" ht="15" hidden="false" customHeight="false" outlineLevel="0" collapsed="false">
      <c r="A66" s="4" t="s">
        <v>420</v>
      </c>
      <c r="B66" s="5"/>
      <c r="C66" s="5"/>
      <c r="D66" s="5"/>
      <c r="E66" s="5"/>
      <c r="F66" s="5"/>
      <c r="G66" s="5"/>
      <c r="H66" s="5"/>
    </row>
    <row r="67" customFormat="false" ht="15" hidden="false" customHeight="false" outlineLevel="0" collapsed="false">
      <c r="A67" s="13" t="s">
        <v>263</v>
      </c>
      <c r="B67" s="13" t="s">
        <v>264</v>
      </c>
      <c r="C67" s="13" t="s">
        <v>188</v>
      </c>
      <c r="D67" s="9" t="s">
        <v>36</v>
      </c>
      <c r="E67" s="19" t="n">
        <f aca="false">INDEX(Вводные!$D$13:$F$64,MATCH($A67,Вводные!$A$13:$A$64,0),MATCH(E$3,Вводные!$D$11:$F$11,0))*(1+IF(E$4=$A67,Вводные!$D$5*INDEX(Вводные!$G$13:$G$64,MATCH($A67,Вводные!$A$13:$A$64,0)),0))</f>
        <v>1</v>
      </c>
      <c r="F67" s="19" t="n">
        <f aca="false">INDEX(Вводные!$D$13:$F$64,MATCH($A67,Вводные!$A$13:$A$64,0),MATCH(F$3,Вводные!$D$11:$F$11,0))*(1+IF(F$4=$A67,Вводные!$D$5*INDEX(Вводные!$G$13:$G$64,MATCH($A67,Вводные!$A$13:$A$64,0)),0))</f>
        <v>3</v>
      </c>
      <c r="G67" s="19" t="n">
        <f aca="false">INDEX(Вводные!$D$13:$F$64,MATCH($A67,Вводные!$A$13:$A$64,0),MATCH(G$3,Вводные!$D$11:$F$11,0))*(1+IF(G$4=$A67,Вводные!$D$5*INDEX(Вводные!$G$13:$G$64,MATCH($A67,Вводные!$A$13:$A$64,0)),0))</f>
        <v>12</v>
      </c>
      <c r="H67" s="61"/>
      <c r="J67" s="19" t="n">
        <f aca="false">INDEX(Вводные!$D$13:$F$64,MATCH($A67,Вводные!$A$13:$A$64,0),MATCH(J$3,Вводные!$D$11:$F$11,0))*(1+IF(J$4=$A67,Вводные!$D$5*INDEX(Вводные!$G$13:$G$64,MATCH($A67,Вводные!$A$13:$A$64,0)),0))</f>
        <v>1</v>
      </c>
      <c r="K67" s="19" t="n">
        <f aca="false">INDEX(Вводные!$D$13:$F$64,MATCH($A67,Вводные!$A$13:$A$64,0),MATCH(K$3,Вводные!$D$11:$F$11,0))*(1+IF(K$4=$A67,Вводные!$D$5*INDEX(Вводные!$G$13:$G$64,MATCH($A67,Вводные!$A$13:$A$64,0)),0))</f>
        <v>1</v>
      </c>
      <c r="L67" s="19" t="n">
        <f aca="false">INDEX(Вводные!$D$13:$F$64,MATCH($A67,Вводные!$A$13:$A$64,0),MATCH(L$3,Вводные!$D$11:$F$11,0))*(1+IF(L$4=$A67,Вводные!$D$5*INDEX(Вводные!$G$13:$G$64,MATCH($A67,Вводные!$A$13:$A$64,0)),0))</f>
        <v>1</v>
      </c>
      <c r="M67" s="19" t="n">
        <f aca="false">INDEX(Вводные!$D$13:$F$64,MATCH($A67,Вводные!$A$13:$A$64,0),MATCH(M$3,Вводные!$D$11:$F$11,0))*(1+IF(M$4=$A67,Вводные!$D$5*INDEX(Вводные!$G$13:$G$64,MATCH($A67,Вводные!$A$13:$A$64,0)),0))</f>
        <v>1</v>
      </c>
      <c r="N67" s="19" t="n">
        <f aca="false">INDEX(Вводные!$D$13:$F$64,MATCH($A67,Вводные!$A$13:$A$64,0),MATCH(N$3,Вводные!$D$11:$F$11,0))*(1+IF(N$4=$A67,Вводные!$D$5*INDEX(Вводные!$G$13:$G$64,MATCH($A67,Вводные!$A$13:$A$64,0)),0))</f>
        <v>1</v>
      </c>
      <c r="O67" s="19" t="n">
        <f aca="false">INDEX(Вводные!$D$13:$F$64,MATCH($A67,Вводные!$A$13:$A$64,0),MATCH(O$3,Вводные!$D$11:$F$11,0))*(1+IF(O$4=$A67,Вводные!$D$5*INDEX(Вводные!$G$13:$G$64,MATCH($A67,Вводные!$A$13:$A$64,0)),0))</f>
        <v>1</v>
      </c>
      <c r="P67" s="19" t="n">
        <f aca="false">INDEX(Вводные!$D$13:$F$64,MATCH($A67,Вводные!$A$13:$A$64,0),MATCH(P$3,Вводные!$D$11:$F$11,0))*(1+IF(P$4=$A67,Вводные!$D$5*INDEX(Вводные!$G$13:$G$64,MATCH($A67,Вводные!$A$13:$A$64,0)),0))</f>
        <v>1</v>
      </c>
      <c r="Q67" s="19" t="n">
        <f aca="false">INDEX(Вводные!$D$13:$F$64,MATCH($A67,Вводные!$A$13:$A$64,0),MATCH(Q$3,Вводные!$D$11:$F$11,0))*(1+IF(Q$4=$A67,Вводные!$D$5*INDEX(Вводные!$G$13:$G$64,MATCH($A67,Вводные!$A$13:$A$64,0)),0))</f>
        <v>1</v>
      </c>
      <c r="R67" s="19" t="n">
        <f aca="false">INDEX(Вводные!$D$13:$F$64,MATCH($A67,Вводные!$A$13:$A$64,0),MATCH(R$3,Вводные!$D$11:$F$11,0))*(1+IF(R$4=$A67,Вводные!$D$5*INDEX(Вводные!$G$13:$G$64,MATCH($A67,Вводные!$A$13:$A$64,0)),0))</f>
        <v>1</v>
      </c>
      <c r="S67" s="19" t="n">
        <f aca="false">INDEX(Вводные!$D$13:$F$64,MATCH($A67,Вводные!$A$13:$A$64,0),MATCH(S$3,Вводные!$D$11:$F$11,0))*(1+IF(S$4=$A67,Вводные!$D$5*INDEX(Вводные!$G$13:$G$64,MATCH($A67,Вводные!$A$13:$A$64,0)),0))</f>
        <v>1</v>
      </c>
      <c r="T67" s="19" t="n">
        <f aca="false">INDEX(Вводные!$D$13:$F$64,MATCH($A67,Вводные!$A$13:$A$64,0),MATCH(T$3,Вводные!$D$11:$F$11,0))*(1+IF(T$4=$A67,Вводные!$D$5*INDEX(Вводные!$G$13:$G$64,MATCH($A67,Вводные!$A$13:$A$64,0)),0))</f>
        <v>1</v>
      </c>
      <c r="U67" s="19" t="n">
        <f aca="false">INDEX(Вводные!$D$13:$F$64,MATCH($A67,Вводные!$A$13:$A$64,0),MATCH(U$3,Вводные!$D$11:$F$11,0))*(1+IF(U$4=$A67,Вводные!$D$5*INDEX(Вводные!$G$13:$G$64,MATCH($A67,Вводные!$A$13:$A$64,0)),0))</f>
        <v>1</v>
      </c>
      <c r="V67" s="19" t="n">
        <f aca="false">INDEX(Вводные!$D$13:$F$64,MATCH($A67,Вводные!$A$13:$A$64,0),MATCH(V$3,Вводные!$D$11:$F$11,0))*(1+IF(V$4=$A67,Вводные!$D$5*INDEX(Вводные!$G$13:$G$64,MATCH($A67,Вводные!$A$13:$A$64,0)),0))</f>
        <v>1</v>
      </c>
      <c r="W67" s="19" t="n">
        <f aca="false">INDEX(Вводные!$D$13:$F$64,MATCH($A67,Вводные!$A$13:$A$64,0),MATCH(W$3,Вводные!$D$11:$F$11,0))*(1+IF(W$4=$A67,Вводные!$D$5*INDEX(Вводные!$G$13:$G$64,MATCH($A67,Вводные!$A$13:$A$64,0)),0))</f>
        <v>1</v>
      </c>
      <c r="X67" s="19" t="n">
        <f aca="false">INDEX(Вводные!$D$13:$F$64,MATCH($A67,Вводные!$A$13:$A$64,0),MATCH(X$3,Вводные!$D$11:$F$11,0))*(1+IF(X$4=$A67,Вводные!$D$5*INDEX(Вводные!$G$13:$G$64,MATCH($A67,Вводные!$A$13:$A$64,0)),0))</f>
        <v>1</v>
      </c>
      <c r="Y67" s="19" t="n">
        <f aca="false">INDEX(Вводные!$D$13:$F$64,MATCH($A67,Вводные!$A$13:$A$64,0),MATCH(Y$3,Вводные!$D$11:$F$11,0))*(1+IF(Y$4=$A67,Вводные!$D$5*INDEX(Вводные!$G$13:$G$64,MATCH($A67,Вводные!$A$13:$A$64,0)),0))</f>
        <v>1</v>
      </c>
      <c r="Z67" s="19" t="n">
        <f aca="false">INDEX(Вводные!$D$13:$F$64,MATCH($A67,Вводные!$A$13:$A$64,0),MATCH(Z$3,Вводные!$D$11:$F$11,0))*(1+IF(Z$4=$A67,Вводные!$D$5*INDEX(Вводные!$G$13:$G$64,MATCH($A67,Вводные!$A$13:$A$64,0)),0))</f>
        <v>1</v>
      </c>
      <c r="AA67" s="19" t="n">
        <f aca="false">INDEX(Вводные!$D$13:$F$64,MATCH($A67,Вводные!$A$13:$A$64,0),MATCH(AA$3,Вводные!$D$11:$F$11,0))*(1+IF(AA$4=$A67,Вводные!$D$5*INDEX(Вводные!$G$13:$G$64,MATCH($A67,Вводные!$A$13:$A$64,0)),0))</f>
        <v>1</v>
      </c>
      <c r="AB67" s="19" t="n">
        <f aca="false">INDEX(Вводные!$D$13:$F$64,MATCH($A67,Вводные!$A$13:$A$64,0),MATCH(AB$3,Вводные!$D$11:$F$11,0))*(1+IF(AB$4=$A67,Вводные!$D$5*INDEX(Вводные!$G$13:$G$64,MATCH($A67,Вводные!$A$13:$A$64,0)),0))</f>
        <v>1</v>
      </c>
      <c r="AC67" s="19" t="n">
        <f aca="false">INDEX(Вводные!$D$13:$F$64,MATCH($A67,Вводные!$A$13:$A$64,0),MATCH(AC$3,Вводные!$D$11:$F$11,0))*(1+IF(AC$4=$A67,Вводные!$D$5*INDEX(Вводные!$G$13:$G$64,MATCH($A67,Вводные!$A$13:$A$64,0)),0))</f>
        <v>1</v>
      </c>
      <c r="AD67" s="19" t="n">
        <f aca="false">INDEX(Вводные!$D$13:$F$64,MATCH($A67,Вводные!$A$13:$A$64,0),MATCH(AD$3,Вводные!$D$11:$F$11,0))*(1+IF(AD$4=$A67,Вводные!$D$5*INDEX(Вводные!$G$13:$G$64,MATCH($A67,Вводные!$A$13:$A$64,0)),0))</f>
        <v>1</v>
      </c>
      <c r="AE67" s="19" t="n">
        <f aca="false">INDEX(Вводные!$D$13:$F$64,MATCH($A67,Вводные!$A$13:$A$64,0),MATCH(AE$3,Вводные!$D$11:$F$11,0))*(1+IF(AE$4=$A67,Вводные!$D$5*INDEX(Вводные!$G$13:$G$64,MATCH($A67,Вводные!$A$13:$A$64,0)),0))</f>
        <v>1</v>
      </c>
      <c r="AF67" s="19" t="n">
        <f aca="false">INDEX(Вводные!$D$13:$F$64,MATCH($A67,Вводные!$A$13:$A$64,0),MATCH(AF$3,Вводные!$D$11:$F$11,0))*(1+IF(AF$4=$A67,Вводные!$D$5*INDEX(Вводные!$G$13:$G$64,MATCH($A67,Вводные!$A$13:$A$64,0)),0))</f>
        <v>1</v>
      </c>
      <c r="AG67" s="19" t="n">
        <f aca="false">INDEX(Вводные!$D$13:$F$64,MATCH($A67,Вводные!$A$13:$A$64,0),MATCH(AG$3,Вводные!$D$11:$F$11,0))*(1+IF(AG$4=$A67,Вводные!$D$5*INDEX(Вводные!$G$13:$G$64,MATCH($A67,Вводные!$A$13:$A$64,0)),0))</f>
        <v>1</v>
      </c>
      <c r="AH67" s="19" t="n">
        <f aca="false">INDEX(Вводные!$D$13:$F$64,MATCH($A67,Вводные!$A$13:$A$64,0),MATCH(AH$3,Вводные!$D$11:$F$11,0))*(1+IF(AH$4=$A67,Вводные!$D$5*INDEX(Вводные!$G$13:$G$64,MATCH($A67,Вводные!$A$13:$A$64,0)),0))</f>
        <v>1</v>
      </c>
      <c r="AI67" s="19" t="n">
        <f aca="false">INDEX(Вводные!$D$13:$F$64,MATCH($A67,Вводные!$A$13:$A$64,0),MATCH(AI$3,Вводные!$D$11:$F$11,0))*(1+IF(AI$4=$A67,Вводные!$D$5*INDEX(Вводные!$G$13:$G$64,MATCH($A67,Вводные!$A$13:$A$64,0)),0))</f>
        <v>1</v>
      </c>
      <c r="AJ67" s="19" t="n">
        <f aca="false">INDEX(Вводные!$D$13:$F$64,MATCH($A67,Вводные!$A$13:$A$64,0),MATCH(AJ$3,Вводные!$D$11:$F$11,0))*(1+IF(AJ$4=$A67,Вводные!$D$5*INDEX(Вводные!$G$13:$G$64,MATCH($A67,Вводные!$A$13:$A$64,0)),0))</f>
        <v>1</v>
      </c>
      <c r="AK67" s="19" t="n">
        <f aca="false">INDEX(Вводные!$D$13:$F$64,MATCH($A67,Вводные!$A$13:$A$64,0),MATCH(AK$3,Вводные!$D$11:$F$11,0))*(1+IF(AK$4=$A67,Вводные!$D$5*INDEX(Вводные!$G$13:$G$64,MATCH($A67,Вводные!$A$13:$A$64,0)),0))</f>
        <v>1</v>
      </c>
      <c r="AL67" s="19" t="n">
        <f aca="false">INDEX(Вводные!$D$13:$F$64,MATCH($A67,Вводные!$A$13:$A$64,0),MATCH(AL$3,Вводные!$D$11:$F$11,0))*(1+IF(AL$4=$A67,Вводные!$D$5*INDEX(Вводные!$G$13:$G$64,MATCH($A67,Вводные!$A$13:$A$64,0)),0))</f>
        <v>1</v>
      </c>
      <c r="AM67" s="19" t="n">
        <f aca="false">INDEX(Вводные!$D$13:$F$64,MATCH($A67,Вводные!$A$13:$A$64,0),MATCH(AM$3,Вводные!$D$11:$F$11,0))*(1+IF(AM$4=$A67,Вводные!$D$5*INDEX(Вводные!$G$13:$G$64,MATCH($A67,Вводные!$A$13:$A$64,0)),0))</f>
        <v>1</v>
      </c>
      <c r="AN67" s="19" t="n">
        <f aca="false">INDEX(Вводные!$D$13:$F$64,MATCH($A67,Вводные!$A$13:$A$64,0),MATCH(AN$3,Вводные!$D$11:$F$11,0))*(1+IF(AN$4=$A67,Вводные!$D$5*INDEX(Вводные!$G$13:$G$64,MATCH($A67,Вводные!$A$13:$A$64,0)),0))</f>
        <v>0.99</v>
      </c>
      <c r="AO67" s="19" t="n">
        <f aca="false">INDEX(Вводные!$D$13:$F$64,MATCH($A67,Вводные!$A$13:$A$64,0),MATCH(AO$3,Вводные!$D$11:$F$11,0))*(1+IF(AO$4=$A67,Вводные!$D$5*INDEX(Вводные!$G$13:$G$64,MATCH($A67,Вводные!$A$13:$A$64,0)),0))</f>
        <v>1</v>
      </c>
      <c r="AP67" s="19" t="n">
        <f aca="false">INDEX(Вводные!$D$13:$F$64,MATCH($A67,Вводные!$A$13:$A$64,0),MATCH(AP$3,Вводные!$D$11:$F$11,0))*(1+IF(AP$4=$A67,Вводные!$D$5*INDEX(Вводные!$G$13:$G$64,MATCH($A67,Вводные!$A$13:$A$64,0)),0))</f>
        <v>1</v>
      </c>
      <c r="AQ67" s="19" t="n">
        <f aca="false">INDEX(Вводные!$D$13:$F$64,MATCH($A67,Вводные!$A$13:$A$64,0),MATCH(AQ$3,Вводные!$D$11:$F$11,0))*(1+IF(AQ$4=$A67,Вводные!$D$5*INDEX(Вводные!$G$13:$G$64,MATCH($A67,Вводные!$A$13:$A$64,0)),0))</f>
        <v>1</v>
      </c>
      <c r="AR67" s="19" t="n">
        <f aca="false">INDEX(Вводные!$D$13:$F$64,MATCH($A67,Вводные!$A$13:$A$64,0),MATCH(AR$3,Вводные!$D$11:$F$11,0))*(1+IF(AR$4=$A67,Вводные!$D$5*INDEX(Вводные!$G$13:$G$64,MATCH($A67,Вводные!$A$13:$A$64,0)),0))</f>
        <v>1</v>
      </c>
      <c r="AS67" s="19" t="n">
        <f aca="false">INDEX(Вводные!$D$13:$F$64,MATCH($A67,Вводные!$A$13:$A$64,0),MATCH(AS$3,Вводные!$D$11:$F$11,0))*(1+IF(AS$4=$A67,Вводные!$D$5*INDEX(Вводные!$G$13:$G$64,MATCH($A67,Вводные!$A$13:$A$64,0)),0))</f>
        <v>1</v>
      </c>
      <c r="AT67" s="19" t="n">
        <f aca="false">INDEX(Вводные!$D$13:$F$64,MATCH($A67,Вводные!$A$13:$A$64,0),MATCH(AT$3,Вводные!$D$11:$F$11,0))*(1+IF(AT$4=$A67,Вводные!$D$5*INDEX(Вводные!$G$13:$G$64,MATCH($A67,Вводные!$A$13:$A$64,0)),0))</f>
        <v>1</v>
      </c>
      <c r="AU67" s="19" t="n">
        <f aca="false">INDEX(Вводные!$D$13:$F$64,MATCH($A67,Вводные!$A$13:$A$64,0),MATCH(AU$3,Вводные!$D$11:$F$11,0))*(1+IF(AU$4=$A67,Вводные!$D$5*INDEX(Вводные!$G$13:$G$64,MATCH($A67,Вводные!$A$13:$A$64,0)),0))</f>
        <v>1</v>
      </c>
      <c r="AV67" s="19" t="n">
        <f aca="false">INDEX(Вводные!$D$13:$F$64,MATCH($A67,Вводные!$A$13:$A$64,0),MATCH(AV$3,Вводные!$D$11:$F$11,0))*(1+IF(AV$4=$A67,Вводные!$D$5*INDEX(Вводные!$G$13:$G$64,MATCH($A67,Вводные!$A$13:$A$64,0)),0))</f>
        <v>1</v>
      </c>
      <c r="AW67" s="19" t="n">
        <f aca="false">INDEX(Вводные!$D$13:$F$64,MATCH($A67,Вводные!$A$13:$A$64,0),MATCH(AW$3,Вводные!$D$11:$F$11,0))*(1+IF(AW$4=$A67,Вводные!$D$5*INDEX(Вводные!$G$13:$G$64,MATCH($A67,Вводные!$A$13:$A$64,0)),0))</f>
        <v>1</v>
      </c>
      <c r="AX67" s="19" t="n">
        <f aca="false">INDEX(Вводные!$D$13:$F$64,MATCH($A67,Вводные!$A$13:$A$64,0),MATCH(AX$3,Вводные!$D$11:$F$11,0))*(1+IF(AX$4=$A67,Вводные!$D$5*INDEX(Вводные!$G$13:$G$64,MATCH($A67,Вводные!$A$13:$A$64,0)),0))</f>
        <v>1</v>
      </c>
      <c r="AY67" s="19" t="n">
        <f aca="false">INDEX(Вводные!$D$13:$F$64,MATCH($A67,Вводные!$A$13:$A$64,0),MATCH(AY$3,Вводные!$D$11:$F$11,0))*(1+IF(AY$4=$A67,Вводные!$D$5*INDEX(Вводные!$G$13:$G$64,MATCH($A67,Вводные!$A$13:$A$64,0)),0))</f>
        <v>1</v>
      </c>
      <c r="AZ67" s="19" t="n">
        <f aca="false">INDEX(Вводные!$D$13:$F$64,MATCH($A67,Вводные!$A$13:$A$64,0),MATCH(AZ$3,Вводные!$D$11:$F$11,0))*(1+IF(AZ$4=$A67,Вводные!$D$5*INDEX(Вводные!$G$13:$G$64,MATCH($A67,Вводные!$A$13:$A$64,0)),0))</f>
        <v>3</v>
      </c>
      <c r="BA67" s="19" t="n">
        <f aca="false">INDEX(Вводные!$D$13:$F$64,MATCH($A67,Вводные!$A$13:$A$64,0),MATCH(BA$3,Вводные!$D$11:$F$11,0))*(1+IF(BA$4=$A67,Вводные!$D$5*INDEX(Вводные!$G$13:$G$64,MATCH($A67,Вводные!$A$13:$A$64,0)),0))</f>
        <v>3</v>
      </c>
      <c r="BB67" s="19" t="n">
        <f aca="false">INDEX(Вводные!$D$13:$F$64,MATCH($A67,Вводные!$A$13:$A$64,0),MATCH(BB$3,Вводные!$D$11:$F$11,0))*(1+IF(BB$4=$A67,Вводные!$D$5*INDEX(Вводные!$G$13:$G$64,MATCH($A67,Вводные!$A$13:$A$64,0)),0))</f>
        <v>3</v>
      </c>
      <c r="BC67" s="19" t="n">
        <f aca="false">INDEX(Вводные!$D$13:$F$64,MATCH($A67,Вводные!$A$13:$A$64,0),MATCH(BC$3,Вводные!$D$11:$F$11,0))*(1+IF(BC$4=$A67,Вводные!$D$5*INDEX(Вводные!$G$13:$G$64,MATCH($A67,Вводные!$A$13:$A$64,0)),0))</f>
        <v>3</v>
      </c>
      <c r="BD67" s="19" t="n">
        <f aca="false">INDEX(Вводные!$D$13:$F$64,MATCH($A67,Вводные!$A$13:$A$64,0),MATCH(BD$3,Вводные!$D$11:$F$11,0))*(1+IF(BD$4=$A67,Вводные!$D$5*INDEX(Вводные!$G$13:$G$64,MATCH($A67,Вводные!$A$13:$A$64,0)),0))</f>
        <v>3</v>
      </c>
      <c r="BE67" s="19" t="n">
        <f aca="false">INDEX(Вводные!$D$13:$F$64,MATCH($A67,Вводные!$A$13:$A$64,0),MATCH(BE$3,Вводные!$D$11:$F$11,0))*(1+IF(BE$4=$A67,Вводные!$D$5*INDEX(Вводные!$G$13:$G$64,MATCH($A67,Вводные!$A$13:$A$64,0)),0))</f>
        <v>3</v>
      </c>
      <c r="BF67" s="19" t="n">
        <f aca="false">INDEX(Вводные!$D$13:$F$64,MATCH($A67,Вводные!$A$13:$A$64,0),MATCH(BF$3,Вводные!$D$11:$F$11,0))*(1+IF(BF$4=$A67,Вводные!$D$5*INDEX(Вводные!$G$13:$G$64,MATCH($A67,Вводные!$A$13:$A$64,0)),0))</f>
        <v>3</v>
      </c>
      <c r="BG67" s="19" t="n">
        <f aca="false">INDEX(Вводные!$D$13:$F$64,MATCH($A67,Вводные!$A$13:$A$64,0),MATCH(BG$3,Вводные!$D$11:$F$11,0))*(1+IF(BG$4=$A67,Вводные!$D$5*INDEX(Вводные!$G$13:$G$64,MATCH($A67,Вводные!$A$13:$A$64,0)),0))</f>
        <v>3</v>
      </c>
      <c r="BH67" s="19" t="n">
        <f aca="false">INDEX(Вводные!$D$13:$F$64,MATCH($A67,Вводные!$A$13:$A$64,0),MATCH(BH$3,Вводные!$D$11:$F$11,0))*(1+IF(BH$4=$A67,Вводные!$D$5*INDEX(Вводные!$G$13:$G$64,MATCH($A67,Вводные!$A$13:$A$64,0)),0))</f>
        <v>3</v>
      </c>
      <c r="BI67" s="19" t="n">
        <f aca="false">INDEX(Вводные!$D$13:$F$64,MATCH($A67,Вводные!$A$13:$A$64,0),MATCH(BI$3,Вводные!$D$11:$F$11,0))*(1+IF(BI$4=$A67,Вводные!$D$5*INDEX(Вводные!$G$13:$G$64,MATCH($A67,Вводные!$A$13:$A$64,0)),0))</f>
        <v>3</v>
      </c>
      <c r="BJ67" s="19" t="n">
        <f aca="false">INDEX(Вводные!$D$13:$F$64,MATCH($A67,Вводные!$A$13:$A$64,0),MATCH(BJ$3,Вводные!$D$11:$F$11,0))*(1+IF(BJ$4=$A67,Вводные!$D$5*INDEX(Вводные!$G$13:$G$64,MATCH($A67,Вводные!$A$13:$A$64,0)),0))</f>
        <v>3</v>
      </c>
      <c r="BK67" s="19" t="n">
        <f aca="false">INDEX(Вводные!$D$13:$F$64,MATCH($A67,Вводные!$A$13:$A$64,0),MATCH(BK$3,Вводные!$D$11:$F$11,0))*(1+IF(BK$4=$A67,Вводные!$D$5*INDEX(Вводные!$G$13:$G$64,MATCH($A67,Вводные!$A$13:$A$64,0)),0))</f>
        <v>3</v>
      </c>
      <c r="BL67" s="19" t="n">
        <f aca="false">INDEX(Вводные!$D$13:$F$64,MATCH($A67,Вводные!$A$13:$A$64,0),MATCH(BL$3,Вводные!$D$11:$F$11,0))*(1+IF(BL$4=$A67,Вводные!$D$5*INDEX(Вводные!$G$13:$G$64,MATCH($A67,Вводные!$A$13:$A$64,0)),0))</f>
        <v>3</v>
      </c>
      <c r="BM67" s="19" t="n">
        <f aca="false">INDEX(Вводные!$D$13:$F$64,MATCH($A67,Вводные!$A$13:$A$64,0),MATCH(BM$3,Вводные!$D$11:$F$11,0))*(1+IF(BM$4=$A67,Вводные!$D$5*INDEX(Вводные!$G$13:$G$64,MATCH($A67,Вводные!$A$13:$A$64,0)),0))</f>
        <v>3</v>
      </c>
      <c r="BN67" s="19" t="n">
        <f aca="false">INDEX(Вводные!$D$13:$F$64,MATCH($A67,Вводные!$A$13:$A$64,0),MATCH(BN$3,Вводные!$D$11:$F$11,0))*(1+IF(BN$4=$A67,Вводные!$D$5*INDEX(Вводные!$G$13:$G$64,MATCH($A67,Вводные!$A$13:$A$64,0)),0))</f>
        <v>3</v>
      </c>
      <c r="BO67" s="19" t="n">
        <f aca="false">INDEX(Вводные!$D$13:$F$64,MATCH($A67,Вводные!$A$13:$A$64,0),MATCH(BO$3,Вводные!$D$11:$F$11,0))*(1+IF(BO$4=$A67,Вводные!$D$5*INDEX(Вводные!$G$13:$G$64,MATCH($A67,Вводные!$A$13:$A$64,0)),0))</f>
        <v>3</v>
      </c>
      <c r="BP67" s="19" t="n">
        <f aca="false">INDEX(Вводные!$D$13:$F$64,MATCH($A67,Вводные!$A$13:$A$64,0),MATCH(BP$3,Вводные!$D$11:$F$11,0))*(1+IF(BP$4=$A67,Вводные!$D$5*INDEX(Вводные!$G$13:$G$64,MATCH($A67,Вводные!$A$13:$A$64,0)),0))</f>
        <v>3</v>
      </c>
      <c r="BQ67" s="19" t="n">
        <f aca="false">INDEX(Вводные!$D$13:$F$64,MATCH($A67,Вводные!$A$13:$A$64,0),MATCH(BQ$3,Вводные!$D$11:$F$11,0))*(1+IF(BQ$4=$A67,Вводные!$D$5*INDEX(Вводные!$G$13:$G$64,MATCH($A67,Вводные!$A$13:$A$64,0)),0))</f>
        <v>3</v>
      </c>
      <c r="BR67" s="19" t="n">
        <f aca="false">INDEX(Вводные!$D$13:$F$64,MATCH($A67,Вводные!$A$13:$A$64,0),MATCH(BR$3,Вводные!$D$11:$F$11,0))*(1+IF(BR$4=$A67,Вводные!$D$5*INDEX(Вводные!$G$13:$G$64,MATCH($A67,Вводные!$A$13:$A$64,0)),0))</f>
        <v>3</v>
      </c>
      <c r="BS67" s="19" t="n">
        <f aca="false">INDEX(Вводные!$D$13:$F$64,MATCH($A67,Вводные!$A$13:$A$64,0),MATCH(BS$3,Вводные!$D$11:$F$11,0))*(1+IF(BS$4=$A67,Вводные!$D$5*INDEX(Вводные!$G$13:$G$64,MATCH($A67,Вводные!$A$13:$A$64,0)),0))</f>
        <v>3</v>
      </c>
      <c r="BT67" s="19" t="n">
        <f aca="false">INDEX(Вводные!$D$13:$F$64,MATCH($A67,Вводные!$A$13:$A$64,0),MATCH(BT$3,Вводные!$D$11:$F$11,0))*(1+IF(BT$4=$A67,Вводные!$D$5*INDEX(Вводные!$G$13:$G$64,MATCH($A67,Вводные!$A$13:$A$64,0)),0))</f>
        <v>3</v>
      </c>
      <c r="BU67" s="19" t="n">
        <f aca="false">INDEX(Вводные!$D$13:$F$64,MATCH($A67,Вводные!$A$13:$A$64,0),MATCH(BU$3,Вводные!$D$11:$F$11,0))*(1+IF(BU$4=$A67,Вводные!$D$5*INDEX(Вводные!$G$13:$G$64,MATCH($A67,Вводные!$A$13:$A$64,0)),0))</f>
        <v>3</v>
      </c>
      <c r="BV67" s="19" t="n">
        <f aca="false">INDEX(Вводные!$D$13:$F$64,MATCH($A67,Вводные!$A$13:$A$64,0),MATCH(BV$3,Вводные!$D$11:$F$11,0))*(1+IF(BV$4=$A67,Вводные!$D$5*INDEX(Вводные!$G$13:$G$64,MATCH($A67,Вводные!$A$13:$A$64,0)),0))</f>
        <v>3</v>
      </c>
      <c r="BW67" s="19" t="n">
        <f aca="false">INDEX(Вводные!$D$13:$F$64,MATCH($A67,Вводные!$A$13:$A$64,0),MATCH(BW$3,Вводные!$D$11:$F$11,0))*(1+IF(BW$4=$A67,Вводные!$D$5*INDEX(Вводные!$G$13:$G$64,MATCH($A67,Вводные!$A$13:$A$64,0)),0))</f>
        <v>3</v>
      </c>
      <c r="BX67" s="19" t="n">
        <f aca="false">INDEX(Вводные!$D$13:$F$64,MATCH($A67,Вводные!$A$13:$A$64,0),MATCH(BX$3,Вводные!$D$11:$F$11,0))*(1+IF(BX$4=$A67,Вводные!$D$5*INDEX(Вводные!$G$13:$G$64,MATCH($A67,Вводные!$A$13:$A$64,0)),0))</f>
        <v>3</v>
      </c>
      <c r="BY67" s="19" t="n">
        <f aca="false">INDEX(Вводные!$D$13:$F$64,MATCH($A67,Вводные!$A$13:$A$64,0),MATCH(BY$3,Вводные!$D$11:$F$11,0))*(1+IF(BY$4=$A67,Вводные!$D$5*INDEX(Вводные!$G$13:$G$64,MATCH($A67,Вводные!$A$13:$A$64,0)),0))</f>
        <v>3</v>
      </c>
      <c r="BZ67" s="19" t="n">
        <f aca="false">INDEX(Вводные!$D$13:$F$64,MATCH($A67,Вводные!$A$13:$A$64,0),MATCH(BZ$3,Вводные!$D$11:$F$11,0))*(1+IF(BZ$4=$A67,Вводные!$D$5*INDEX(Вводные!$G$13:$G$64,MATCH($A67,Вводные!$A$13:$A$64,0)),0))</f>
        <v>3</v>
      </c>
      <c r="CA67" s="19" t="n">
        <f aca="false">INDEX(Вводные!$D$13:$F$64,MATCH($A67,Вводные!$A$13:$A$64,0),MATCH(CA$3,Вводные!$D$11:$F$11,0))*(1+IF(CA$4=$A67,Вводные!$D$5*INDEX(Вводные!$G$13:$G$64,MATCH($A67,Вводные!$A$13:$A$64,0)),0))</f>
        <v>3</v>
      </c>
      <c r="CB67" s="19" t="n">
        <f aca="false">INDEX(Вводные!$D$13:$F$64,MATCH($A67,Вводные!$A$13:$A$64,0),MATCH(CB$3,Вводные!$D$11:$F$11,0))*(1+IF(CB$4=$A67,Вводные!$D$5*INDEX(Вводные!$G$13:$G$64,MATCH($A67,Вводные!$A$13:$A$64,0)),0))</f>
        <v>3</v>
      </c>
      <c r="CC67" s="19" t="n">
        <f aca="false">INDEX(Вводные!$D$13:$F$64,MATCH($A67,Вводные!$A$13:$A$64,0),MATCH(CC$3,Вводные!$D$11:$F$11,0))*(1+IF(CC$4=$A67,Вводные!$D$5*INDEX(Вводные!$G$13:$G$64,MATCH($A67,Вводные!$A$13:$A$64,0)),0))</f>
        <v>3</v>
      </c>
      <c r="CD67" s="19" t="n">
        <f aca="false">INDEX(Вводные!$D$13:$F$64,MATCH($A67,Вводные!$A$13:$A$64,0),MATCH(CD$3,Вводные!$D$11:$F$11,0))*(1+IF(CD$4=$A67,Вводные!$D$5*INDEX(Вводные!$G$13:$G$64,MATCH($A67,Вводные!$A$13:$A$64,0)),0))</f>
        <v>2.97</v>
      </c>
      <c r="CE67" s="19" t="n">
        <f aca="false">INDEX(Вводные!$D$13:$F$64,MATCH($A67,Вводные!$A$13:$A$64,0),MATCH(CE$3,Вводные!$D$11:$F$11,0))*(1+IF(CE$4=$A67,Вводные!$D$5*INDEX(Вводные!$G$13:$G$64,MATCH($A67,Вводные!$A$13:$A$64,0)),0))</f>
        <v>3</v>
      </c>
      <c r="CF67" s="19" t="n">
        <f aca="false">INDEX(Вводные!$D$13:$F$64,MATCH($A67,Вводные!$A$13:$A$64,0),MATCH(CF$3,Вводные!$D$11:$F$11,0))*(1+IF(CF$4=$A67,Вводные!$D$5*INDEX(Вводные!$G$13:$G$64,MATCH($A67,Вводные!$A$13:$A$64,0)),0))</f>
        <v>3</v>
      </c>
      <c r="CG67" s="19" t="n">
        <f aca="false">INDEX(Вводные!$D$13:$F$64,MATCH($A67,Вводные!$A$13:$A$64,0),MATCH(CG$3,Вводные!$D$11:$F$11,0))*(1+IF(CG$4=$A67,Вводные!$D$5*INDEX(Вводные!$G$13:$G$64,MATCH($A67,Вводные!$A$13:$A$64,0)),0))</f>
        <v>3</v>
      </c>
      <c r="CH67" s="19" t="n">
        <f aca="false">INDEX(Вводные!$D$13:$F$64,MATCH($A67,Вводные!$A$13:$A$64,0),MATCH(CH$3,Вводные!$D$11:$F$11,0))*(1+IF(CH$4=$A67,Вводные!$D$5*INDEX(Вводные!$G$13:$G$64,MATCH($A67,Вводные!$A$13:$A$64,0)),0))</f>
        <v>3</v>
      </c>
      <c r="CI67" s="19" t="n">
        <f aca="false">INDEX(Вводные!$D$13:$F$64,MATCH($A67,Вводные!$A$13:$A$64,0),MATCH(CI$3,Вводные!$D$11:$F$11,0))*(1+IF(CI$4=$A67,Вводные!$D$5*INDEX(Вводные!$G$13:$G$64,MATCH($A67,Вводные!$A$13:$A$64,0)),0))</f>
        <v>3</v>
      </c>
      <c r="CJ67" s="19" t="n">
        <f aca="false">INDEX(Вводные!$D$13:$F$64,MATCH($A67,Вводные!$A$13:$A$64,0),MATCH(CJ$3,Вводные!$D$11:$F$11,0))*(1+IF(CJ$4=$A67,Вводные!$D$5*INDEX(Вводные!$G$13:$G$64,MATCH($A67,Вводные!$A$13:$A$64,0)),0))</f>
        <v>3</v>
      </c>
      <c r="CK67" s="19" t="n">
        <f aca="false">INDEX(Вводные!$D$13:$F$64,MATCH($A67,Вводные!$A$13:$A$64,0),MATCH(CK$3,Вводные!$D$11:$F$11,0))*(1+IF(CK$4=$A67,Вводные!$D$5*INDEX(Вводные!$G$13:$G$64,MATCH($A67,Вводные!$A$13:$A$64,0)),0))</f>
        <v>3</v>
      </c>
      <c r="CL67" s="19" t="n">
        <f aca="false">INDEX(Вводные!$D$13:$F$64,MATCH($A67,Вводные!$A$13:$A$64,0),MATCH(CL$3,Вводные!$D$11:$F$11,0))*(1+IF(CL$4=$A67,Вводные!$D$5*INDEX(Вводные!$G$13:$G$64,MATCH($A67,Вводные!$A$13:$A$64,0)),0))</f>
        <v>3</v>
      </c>
      <c r="CM67" s="19" t="n">
        <f aca="false">INDEX(Вводные!$D$13:$F$64,MATCH($A67,Вводные!$A$13:$A$64,0),MATCH(CM$3,Вводные!$D$11:$F$11,0))*(1+IF(CM$4=$A67,Вводные!$D$5*INDEX(Вводные!$G$13:$G$64,MATCH($A67,Вводные!$A$13:$A$64,0)),0))</f>
        <v>3</v>
      </c>
      <c r="CN67" s="19" t="n">
        <f aca="false">INDEX(Вводные!$D$13:$F$64,MATCH($A67,Вводные!$A$13:$A$64,0),MATCH(CN$3,Вводные!$D$11:$F$11,0))*(1+IF(CN$4=$A67,Вводные!$D$5*INDEX(Вводные!$G$13:$G$64,MATCH($A67,Вводные!$A$13:$A$64,0)),0))</f>
        <v>3</v>
      </c>
      <c r="CO67" s="19" t="n">
        <f aca="false">INDEX(Вводные!$D$13:$F$64,MATCH($A67,Вводные!$A$13:$A$64,0),MATCH(CO$3,Вводные!$D$11:$F$11,0))*(1+IF(CO$4=$A67,Вводные!$D$5*INDEX(Вводные!$G$13:$G$64,MATCH($A67,Вводные!$A$13:$A$64,0)),0))</f>
        <v>3</v>
      </c>
      <c r="CP67" s="19" t="n">
        <f aca="false">INDEX(Вводные!$D$13:$F$64,MATCH($A67,Вводные!$A$13:$A$64,0),MATCH(CP$3,Вводные!$D$11:$F$11,0))*(1+IF(CP$4=$A67,Вводные!$D$5*INDEX(Вводные!$G$13:$G$64,MATCH($A67,Вводные!$A$13:$A$64,0)),0))</f>
        <v>12</v>
      </c>
      <c r="CQ67" s="19" t="n">
        <f aca="false">INDEX(Вводные!$D$13:$F$64,MATCH($A67,Вводные!$A$13:$A$64,0),MATCH(CQ$3,Вводные!$D$11:$F$11,0))*(1+IF(CQ$4=$A67,Вводные!$D$5*INDEX(Вводные!$G$13:$G$64,MATCH($A67,Вводные!$A$13:$A$64,0)),0))</f>
        <v>12</v>
      </c>
      <c r="CR67" s="19" t="n">
        <f aca="false">INDEX(Вводные!$D$13:$F$64,MATCH($A67,Вводные!$A$13:$A$64,0),MATCH(CR$3,Вводные!$D$11:$F$11,0))*(1+IF(CR$4=$A67,Вводные!$D$5*INDEX(Вводные!$G$13:$G$64,MATCH($A67,Вводные!$A$13:$A$64,0)),0))</f>
        <v>12</v>
      </c>
      <c r="CS67" s="19" t="n">
        <f aca="false">INDEX(Вводные!$D$13:$F$64,MATCH($A67,Вводные!$A$13:$A$64,0),MATCH(CS$3,Вводные!$D$11:$F$11,0))*(1+IF(CS$4=$A67,Вводные!$D$5*INDEX(Вводные!$G$13:$G$64,MATCH($A67,Вводные!$A$13:$A$64,0)),0))</f>
        <v>12</v>
      </c>
      <c r="CT67" s="19" t="n">
        <f aca="false">INDEX(Вводные!$D$13:$F$64,MATCH($A67,Вводные!$A$13:$A$64,0),MATCH(CT$3,Вводные!$D$11:$F$11,0))*(1+IF(CT$4=$A67,Вводные!$D$5*INDEX(Вводные!$G$13:$G$64,MATCH($A67,Вводные!$A$13:$A$64,0)),0))</f>
        <v>12</v>
      </c>
      <c r="CU67" s="19" t="n">
        <f aca="false">INDEX(Вводные!$D$13:$F$64,MATCH($A67,Вводные!$A$13:$A$64,0),MATCH(CU$3,Вводные!$D$11:$F$11,0))*(1+IF(CU$4=$A67,Вводные!$D$5*INDEX(Вводные!$G$13:$G$64,MATCH($A67,Вводные!$A$13:$A$64,0)),0))</f>
        <v>12</v>
      </c>
      <c r="CV67" s="19" t="n">
        <f aca="false">INDEX(Вводные!$D$13:$F$64,MATCH($A67,Вводные!$A$13:$A$64,0),MATCH(CV$3,Вводные!$D$11:$F$11,0))*(1+IF(CV$4=$A67,Вводные!$D$5*INDEX(Вводные!$G$13:$G$64,MATCH($A67,Вводные!$A$13:$A$64,0)),0))</f>
        <v>12</v>
      </c>
      <c r="CW67" s="19" t="n">
        <f aca="false">INDEX(Вводные!$D$13:$F$64,MATCH($A67,Вводные!$A$13:$A$64,0),MATCH(CW$3,Вводные!$D$11:$F$11,0))*(1+IF(CW$4=$A67,Вводные!$D$5*INDEX(Вводные!$G$13:$G$64,MATCH($A67,Вводные!$A$13:$A$64,0)),0))</f>
        <v>12</v>
      </c>
      <c r="CX67" s="19" t="n">
        <f aca="false">INDEX(Вводные!$D$13:$F$64,MATCH($A67,Вводные!$A$13:$A$64,0),MATCH(CX$3,Вводные!$D$11:$F$11,0))*(1+IF(CX$4=$A67,Вводные!$D$5*INDEX(Вводные!$G$13:$G$64,MATCH($A67,Вводные!$A$13:$A$64,0)),0))</f>
        <v>12</v>
      </c>
      <c r="CY67" s="19" t="n">
        <f aca="false">INDEX(Вводные!$D$13:$F$64,MATCH($A67,Вводные!$A$13:$A$64,0),MATCH(CY$3,Вводные!$D$11:$F$11,0))*(1+IF(CY$4=$A67,Вводные!$D$5*INDEX(Вводные!$G$13:$G$64,MATCH($A67,Вводные!$A$13:$A$64,0)),0))</f>
        <v>12</v>
      </c>
      <c r="CZ67" s="19" t="n">
        <f aca="false">INDEX(Вводные!$D$13:$F$64,MATCH($A67,Вводные!$A$13:$A$64,0),MATCH(CZ$3,Вводные!$D$11:$F$11,0))*(1+IF(CZ$4=$A67,Вводные!$D$5*INDEX(Вводные!$G$13:$G$64,MATCH($A67,Вводные!$A$13:$A$64,0)),0))</f>
        <v>12</v>
      </c>
      <c r="DA67" s="19" t="n">
        <f aca="false">INDEX(Вводные!$D$13:$F$64,MATCH($A67,Вводные!$A$13:$A$64,0),MATCH(DA$3,Вводные!$D$11:$F$11,0))*(1+IF(DA$4=$A67,Вводные!$D$5*INDEX(Вводные!$G$13:$G$64,MATCH($A67,Вводные!$A$13:$A$64,0)),0))</f>
        <v>12</v>
      </c>
      <c r="DB67" s="19" t="n">
        <f aca="false">INDEX(Вводные!$D$13:$F$64,MATCH($A67,Вводные!$A$13:$A$64,0),MATCH(DB$3,Вводные!$D$11:$F$11,0))*(1+IF(DB$4=$A67,Вводные!$D$5*INDEX(Вводные!$G$13:$G$64,MATCH($A67,Вводные!$A$13:$A$64,0)),0))</f>
        <v>12</v>
      </c>
      <c r="DC67" s="19" t="n">
        <f aca="false">INDEX(Вводные!$D$13:$F$64,MATCH($A67,Вводные!$A$13:$A$64,0),MATCH(DC$3,Вводные!$D$11:$F$11,0))*(1+IF(DC$4=$A67,Вводные!$D$5*INDEX(Вводные!$G$13:$G$64,MATCH($A67,Вводные!$A$13:$A$64,0)),0))</f>
        <v>12</v>
      </c>
      <c r="DD67" s="19" t="n">
        <f aca="false">INDEX(Вводные!$D$13:$F$64,MATCH($A67,Вводные!$A$13:$A$64,0),MATCH(DD$3,Вводные!$D$11:$F$11,0))*(1+IF(DD$4=$A67,Вводные!$D$5*INDEX(Вводные!$G$13:$G$64,MATCH($A67,Вводные!$A$13:$A$64,0)),0))</f>
        <v>12</v>
      </c>
      <c r="DE67" s="19" t="n">
        <f aca="false">INDEX(Вводные!$D$13:$F$64,MATCH($A67,Вводные!$A$13:$A$64,0),MATCH(DE$3,Вводные!$D$11:$F$11,0))*(1+IF(DE$4=$A67,Вводные!$D$5*INDEX(Вводные!$G$13:$G$64,MATCH($A67,Вводные!$A$13:$A$64,0)),0))</f>
        <v>12</v>
      </c>
      <c r="DF67" s="19" t="n">
        <f aca="false">INDEX(Вводные!$D$13:$F$64,MATCH($A67,Вводные!$A$13:$A$64,0),MATCH(DF$3,Вводные!$D$11:$F$11,0))*(1+IF(DF$4=$A67,Вводные!$D$5*INDEX(Вводные!$G$13:$G$64,MATCH($A67,Вводные!$A$13:$A$64,0)),0))</f>
        <v>12</v>
      </c>
      <c r="DG67" s="19" t="n">
        <f aca="false">INDEX(Вводные!$D$13:$F$64,MATCH($A67,Вводные!$A$13:$A$64,0),MATCH(DG$3,Вводные!$D$11:$F$11,0))*(1+IF(DG$4=$A67,Вводные!$D$5*INDEX(Вводные!$G$13:$G$64,MATCH($A67,Вводные!$A$13:$A$64,0)),0))</f>
        <v>12</v>
      </c>
      <c r="DH67" s="19" t="n">
        <f aca="false">INDEX(Вводные!$D$13:$F$64,MATCH($A67,Вводные!$A$13:$A$64,0),MATCH(DH$3,Вводные!$D$11:$F$11,0))*(1+IF(DH$4=$A67,Вводные!$D$5*INDEX(Вводные!$G$13:$G$64,MATCH($A67,Вводные!$A$13:$A$64,0)),0))</f>
        <v>12</v>
      </c>
      <c r="DI67" s="19" t="n">
        <f aca="false">INDEX(Вводные!$D$13:$F$64,MATCH($A67,Вводные!$A$13:$A$64,0),MATCH(DI$3,Вводные!$D$11:$F$11,0))*(1+IF(DI$4=$A67,Вводные!$D$5*INDEX(Вводные!$G$13:$G$64,MATCH($A67,Вводные!$A$13:$A$64,0)),0))</f>
        <v>12</v>
      </c>
      <c r="DJ67" s="19" t="n">
        <f aca="false">INDEX(Вводные!$D$13:$F$64,MATCH($A67,Вводные!$A$13:$A$64,0),MATCH(DJ$3,Вводные!$D$11:$F$11,0))*(1+IF(DJ$4=$A67,Вводные!$D$5*INDEX(Вводные!$G$13:$G$64,MATCH($A67,Вводные!$A$13:$A$64,0)),0))</f>
        <v>12</v>
      </c>
      <c r="DK67" s="19" t="n">
        <f aca="false">INDEX(Вводные!$D$13:$F$64,MATCH($A67,Вводные!$A$13:$A$64,0),MATCH(DK$3,Вводные!$D$11:$F$11,0))*(1+IF(DK$4=$A67,Вводные!$D$5*INDEX(Вводные!$G$13:$G$64,MATCH($A67,Вводные!$A$13:$A$64,0)),0))</f>
        <v>12</v>
      </c>
      <c r="DL67" s="19" t="n">
        <f aca="false">INDEX(Вводные!$D$13:$F$64,MATCH($A67,Вводные!$A$13:$A$64,0),MATCH(DL$3,Вводные!$D$11:$F$11,0))*(1+IF(DL$4=$A67,Вводные!$D$5*INDEX(Вводные!$G$13:$G$64,MATCH($A67,Вводные!$A$13:$A$64,0)),0))</f>
        <v>12</v>
      </c>
      <c r="DM67" s="19" t="n">
        <f aca="false">INDEX(Вводные!$D$13:$F$64,MATCH($A67,Вводные!$A$13:$A$64,0),MATCH(DM$3,Вводные!$D$11:$F$11,0))*(1+IF(DM$4=$A67,Вводные!$D$5*INDEX(Вводные!$G$13:$G$64,MATCH($A67,Вводные!$A$13:$A$64,0)),0))</f>
        <v>12</v>
      </c>
      <c r="DN67" s="19" t="n">
        <f aca="false">INDEX(Вводные!$D$13:$F$64,MATCH($A67,Вводные!$A$13:$A$64,0),MATCH(DN$3,Вводные!$D$11:$F$11,0))*(1+IF(DN$4=$A67,Вводные!$D$5*INDEX(Вводные!$G$13:$G$64,MATCH($A67,Вводные!$A$13:$A$64,0)),0))</f>
        <v>12</v>
      </c>
      <c r="DO67" s="19" t="n">
        <f aca="false">INDEX(Вводные!$D$13:$F$64,MATCH($A67,Вводные!$A$13:$A$64,0),MATCH(DO$3,Вводные!$D$11:$F$11,0))*(1+IF(DO$4=$A67,Вводные!$D$5*INDEX(Вводные!$G$13:$G$64,MATCH($A67,Вводные!$A$13:$A$64,0)),0))</f>
        <v>12</v>
      </c>
      <c r="DP67" s="19" t="n">
        <f aca="false">INDEX(Вводные!$D$13:$F$64,MATCH($A67,Вводные!$A$13:$A$64,0),MATCH(DP$3,Вводные!$D$11:$F$11,0))*(1+IF(DP$4=$A67,Вводные!$D$5*INDEX(Вводные!$G$13:$G$64,MATCH($A67,Вводные!$A$13:$A$64,0)),0))</f>
        <v>12</v>
      </c>
      <c r="DQ67" s="19" t="n">
        <f aca="false">INDEX(Вводные!$D$13:$F$64,MATCH($A67,Вводные!$A$13:$A$64,0),MATCH(DQ$3,Вводные!$D$11:$F$11,0))*(1+IF(DQ$4=$A67,Вводные!$D$5*INDEX(Вводные!$G$13:$G$64,MATCH($A67,Вводные!$A$13:$A$64,0)),0))</f>
        <v>12</v>
      </c>
      <c r="DR67" s="19" t="n">
        <f aca="false">INDEX(Вводные!$D$13:$F$64,MATCH($A67,Вводные!$A$13:$A$64,0),MATCH(DR$3,Вводные!$D$11:$F$11,0))*(1+IF(DR$4=$A67,Вводные!$D$5*INDEX(Вводные!$G$13:$G$64,MATCH($A67,Вводные!$A$13:$A$64,0)),0))</f>
        <v>12</v>
      </c>
      <c r="DS67" s="19" t="n">
        <f aca="false">INDEX(Вводные!$D$13:$F$64,MATCH($A67,Вводные!$A$13:$A$64,0),MATCH(DS$3,Вводные!$D$11:$F$11,0))*(1+IF(DS$4=$A67,Вводные!$D$5*INDEX(Вводные!$G$13:$G$64,MATCH($A67,Вводные!$A$13:$A$64,0)),0))</f>
        <v>12</v>
      </c>
      <c r="DT67" s="19" t="n">
        <f aca="false">INDEX(Вводные!$D$13:$F$64,MATCH($A67,Вводные!$A$13:$A$64,0),MATCH(DT$3,Вводные!$D$11:$F$11,0))*(1+IF(DT$4=$A67,Вводные!$D$5*INDEX(Вводные!$G$13:$G$64,MATCH($A67,Вводные!$A$13:$A$64,0)),0))</f>
        <v>11.88</v>
      </c>
      <c r="DU67" s="19" t="n">
        <f aca="false">INDEX(Вводные!$D$13:$F$64,MATCH($A67,Вводные!$A$13:$A$64,0),MATCH(DU$3,Вводные!$D$11:$F$11,0))*(1+IF(DU$4=$A67,Вводные!$D$5*INDEX(Вводные!$G$13:$G$64,MATCH($A67,Вводные!$A$13:$A$64,0)),0))</f>
        <v>12</v>
      </c>
      <c r="DV67" s="19" t="n">
        <f aca="false">INDEX(Вводные!$D$13:$F$64,MATCH($A67,Вводные!$A$13:$A$64,0),MATCH(DV$3,Вводные!$D$11:$F$11,0))*(1+IF(DV$4=$A67,Вводные!$D$5*INDEX(Вводные!$G$13:$G$64,MATCH($A67,Вводные!$A$13:$A$64,0)),0))</f>
        <v>12</v>
      </c>
      <c r="DW67" s="19" t="n">
        <f aca="false">INDEX(Вводные!$D$13:$F$64,MATCH($A67,Вводные!$A$13:$A$64,0),MATCH(DW$3,Вводные!$D$11:$F$11,0))*(1+IF(DW$4=$A67,Вводные!$D$5*INDEX(Вводные!$G$13:$G$64,MATCH($A67,Вводные!$A$13:$A$64,0)),0))</f>
        <v>12</v>
      </c>
      <c r="DX67" s="19" t="n">
        <f aca="false">INDEX(Вводные!$D$13:$F$64,MATCH($A67,Вводные!$A$13:$A$64,0),MATCH(DX$3,Вводные!$D$11:$F$11,0))*(1+IF(DX$4=$A67,Вводные!$D$5*INDEX(Вводные!$G$13:$G$64,MATCH($A67,Вводные!$A$13:$A$64,0)),0))</f>
        <v>12</v>
      </c>
      <c r="DY67" s="19" t="n">
        <f aca="false">INDEX(Вводные!$D$13:$F$64,MATCH($A67,Вводные!$A$13:$A$64,0),MATCH(DY$3,Вводные!$D$11:$F$11,0))*(1+IF(DY$4=$A67,Вводные!$D$5*INDEX(Вводные!$G$13:$G$64,MATCH($A67,Вводные!$A$13:$A$64,0)),0))</f>
        <v>12</v>
      </c>
      <c r="DZ67" s="19" t="n">
        <f aca="false">INDEX(Вводные!$D$13:$F$64,MATCH($A67,Вводные!$A$13:$A$64,0),MATCH(DZ$3,Вводные!$D$11:$F$11,0))*(1+IF(DZ$4=$A67,Вводные!$D$5*INDEX(Вводные!$G$13:$G$64,MATCH($A67,Вводные!$A$13:$A$64,0)),0))</f>
        <v>12</v>
      </c>
      <c r="EA67" s="19" t="n">
        <f aca="false">INDEX(Вводные!$D$13:$F$64,MATCH($A67,Вводные!$A$13:$A$64,0),MATCH(EA$3,Вводные!$D$11:$F$11,0))*(1+IF(EA$4=$A67,Вводные!$D$5*INDEX(Вводные!$G$13:$G$64,MATCH($A67,Вводные!$A$13:$A$64,0)),0))</f>
        <v>12</v>
      </c>
      <c r="EB67" s="19" t="n">
        <f aca="false">INDEX(Вводные!$D$13:$F$64,MATCH($A67,Вводные!$A$13:$A$64,0),MATCH(EB$3,Вводные!$D$11:$F$11,0))*(1+IF(EB$4=$A67,Вводные!$D$5*INDEX(Вводные!$G$13:$G$64,MATCH($A67,Вводные!$A$13:$A$64,0)),0))</f>
        <v>12</v>
      </c>
      <c r="EC67" s="19" t="n">
        <f aca="false">INDEX(Вводные!$D$13:$F$64,MATCH($A67,Вводные!$A$13:$A$64,0),MATCH(EC$3,Вводные!$D$11:$F$11,0))*(1+IF(EC$4=$A67,Вводные!$D$5*INDEX(Вводные!$G$13:$G$64,MATCH($A67,Вводные!$A$13:$A$64,0)),0))</f>
        <v>12</v>
      </c>
      <c r="ED67" s="19" t="n">
        <f aca="false">INDEX(Вводные!$D$13:$F$64,MATCH($A67,Вводные!$A$13:$A$64,0),MATCH(ED$3,Вводные!$D$11:$F$11,0))*(1+IF(ED$4=$A67,Вводные!$D$5*INDEX(Вводные!$G$13:$G$64,MATCH($A67,Вводные!$A$13:$A$64,0)),0))</f>
        <v>12</v>
      </c>
      <c r="EE67" s="19" t="n">
        <f aca="false">INDEX(Вводные!$D$13:$F$64,MATCH($A67,Вводные!$A$13:$A$64,0),MATCH(EE$3,Вводные!$D$11:$F$11,0))*(1+IF(EE$4=$A67,Вводные!$D$5*INDEX(Вводные!$G$13:$G$64,MATCH($A67,Вводные!$A$13:$A$64,0)),0))</f>
        <v>12</v>
      </c>
      <c r="EF67" s="19" t="n">
        <f aca="false">INDEX(Вводные!$D$13:$F$64,MATCH($A67,Вводные!$A$13:$A$64,0),MATCH(EF$3,Вводные!$D$11:$F$11,0))*(1+IF(EF$4=$A67,Вводные!$D$5*INDEX(Вводные!$G$13:$G$64,MATCH($A67,Вводные!$A$13:$A$64,0)),0))</f>
        <v>1</v>
      </c>
      <c r="EG67" s="19" t="n">
        <f aca="false">INDEX(Вводные!$D$13:$F$64,MATCH($A67,Вводные!$A$13:$A$64,0),MATCH(EG$3,Вводные!$D$11:$F$11,0))*(1+IF(EG$4=$A67,Вводные!$D$5*INDEX(Вводные!$G$13:$G$64,MATCH($A67,Вводные!$A$13:$A$64,0)),0))</f>
        <v>1</v>
      </c>
      <c r="EH67" s="19" t="n">
        <f aca="false">INDEX(Вводные!$D$13:$F$64,MATCH($A67,Вводные!$A$13:$A$64,0),MATCH(EH$3,Вводные!$D$11:$F$11,0))*(1+IF(EH$4=$A67,Вводные!$D$5*INDEX(Вводные!$G$13:$G$64,MATCH($A67,Вводные!$A$13:$A$64,0)),0))</f>
        <v>1</v>
      </c>
      <c r="EI67" s="19" t="n">
        <f aca="false">INDEX(Вводные!$D$13:$F$64,MATCH($A67,Вводные!$A$13:$A$64,0),MATCH(EI$3,Вводные!$D$11:$F$11,0))*(1+IF(EI$4=$A67,Вводные!$D$5*INDEX(Вводные!$G$13:$G$64,MATCH($A67,Вводные!$A$13:$A$64,0)),0))</f>
        <v>1</v>
      </c>
      <c r="EJ67" s="19" t="n">
        <f aca="false">INDEX(Вводные!$D$13:$F$64,MATCH($A67,Вводные!$A$13:$A$64,0),MATCH(EJ$3,Вводные!$D$11:$F$11,0))*(1+IF(EJ$4=$A67,Вводные!$D$5*INDEX(Вводные!$G$13:$G$64,MATCH($A67,Вводные!$A$13:$A$64,0)),0))</f>
        <v>1</v>
      </c>
      <c r="EK67" s="19" t="n">
        <f aca="false">INDEX(Вводные!$D$13:$F$64,MATCH($A67,Вводные!$A$13:$A$64,0),MATCH(EK$3,Вводные!$D$11:$F$11,0))*(1+IF(EK$4=$A67,Вводные!$D$5*INDEX(Вводные!$G$13:$G$64,MATCH($A67,Вводные!$A$13:$A$64,0)),0))</f>
        <v>1</v>
      </c>
      <c r="EL67" s="19" t="n">
        <f aca="false">INDEX(Вводные!$D$13:$F$64,MATCH($A67,Вводные!$A$13:$A$64,0),MATCH(EL$3,Вводные!$D$11:$F$11,0))*(1+IF(EL$4=$A67,Вводные!$D$5*INDEX(Вводные!$G$13:$G$64,MATCH($A67,Вводные!$A$13:$A$64,0)),0))</f>
        <v>1</v>
      </c>
      <c r="EM67" s="19" t="n">
        <f aca="false">INDEX(Вводные!$D$13:$F$64,MATCH($A67,Вводные!$A$13:$A$64,0),MATCH(EM$3,Вводные!$D$11:$F$11,0))*(1+IF(EM$4=$A67,Вводные!$D$5*INDEX(Вводные!$G$13:$G$64,MATCH($A67,Вводные!$A$13:$A$64,0)),0))</f>
        <v>1</v>
      </c>
      <c r="EN67" s="19" t="n">
        <f aca="false">INDEX(Вводные!$D$13:$F$64,MATCH($A67,Вводные!$A$13:$A$64,0),MATCH(EN$3,Вводные!$D$11:$F$11,0))*(1+IF(EN$4=$A67,Вводные!$D$5*INDEX(Вводные!$G$13:$G$64,MATCH($A67,Вводные!$A$13:$A$64,0)),0))</f>
        <v>1</v>
      </c>
      <c r="EO67" s="19" t="n">
        <f aca="false">INDEX(Вводные!$D$13:$F$64,MATCH($A67,Вводные!$A$13:$A$64,0),MATCH(EO$3,Вводные!$D$11:$F$11,0))*(1+IF(EO$4=$A67,Вводные!$D$5*INDEX(Вводные!$G$13:$G$64,MATCH($A67,Вводные!$A$13:$A$64,0)),0))</f>
        <v>1</v>
      </c>
      <c r="EP67" s="19" t="n">
        <f aca="false">INDEX(Вводные!$D$13:$F$64,MATCH($A67,Вводные!$A$13:$A$64,0),MATCH(EP$3,Вводные!$D$11:$F$11,0))*(1+IF(EP$4=$A67,Вводные!$D$5*INDEX(Вводные!$G$13:$G$64,MATCH($A67,Вводные!$A$13:$A$64,0)),0))</f>
        <v>1</v>
      </c>
      <c r="EQ67" s="19" t="n">
        <f aca="false">INDEX(Вводные!$D$13:$F$64,MATCH($A67,Вводные!$A$13:$A$64,0),MATCH(EQ$3,Вводные!$D$11:$F$11,0))*(1+IF(EQ$4=$A67,Вводные!$D$5*INDEX(Вводные!$G$13:$G$64,MATCH($A67,Вводные!$A$13:$A$64,0)),0))</f>
        <v>1</v>
      </c>
      <c r="ER67" s="19" t="n">
        <f aca="false">INDEX(Вводные!$D$13:$F$64,MATCH($A67,Вводные!$A$13:$A$64,0),MATCH(ER$3,Вводные!$D$11:$F$11,0))*(1+IF(ER$4=$A67,Вводные!$D$5*INDEX(Вводные!$G$13:$G$64,MATCH($A67,Вводные!$A$13:$A$64,0)),0))</f>
        <v>1</v>
      </c>
      <c r="ES67" s="19" t="n">
        <f aca="false">INDEX(Вводные!$D$13:$F$64,MATCH($A67,Вводные!$A$13:$A$64,0),MATCH(ES$3,Вводные!$D$11:$F$11,0))*(1+IF(ES$4=$A67,Вводные!$D$5*INDEX(Вводные!$G$13:$G$64,MATCH($A67,Вводные!$A$13:$A$64,0)),0))</f>
        <v>1</v>
      </c>
      <c r="ET67" s="19" t="n">
        <f aca="false">INDEX(Вводные!$D$13:$F$64,MATCH($A67,Вводные!$A$13:$A$64,0),MATCH(ET$3,Вводные!$D$11:$F$11,0))*(1+IF(ET$4=$A67,Вводные!$D$5*INDEX(Вводные!$G$13:$G$64,MATCH($A67,Вводные!$A$13:$A$64,0)),0))</f>
        <v>1</v>
      </c>
      <c r="EU67" s="19" t="n">
        <f aca="false">INDEX(Вводные!$D$13:$F$64,MATCH($A67,Вводные!$A$13:$A$64,0),MATCH(EU$3,Вводные!$D$11:$F$11,0))*(1+IF(EU$4=$A67,Вводные!$D$5*INDEX(Вводные!$G$13:$G$64,MATCH($A67,Вводные!$A$13:$A$64,0)),0))</f>
        <v>1</v>
      </c>
      <c r="EV67" s="19" t="n">
        <f aca="false">INDEX(Вводные!$D$13:$F$64,MATCH($A67,Вводные!$A$13:$A$64,0),MATCH(EV$3,Вводные!$D$11:$F$11,0))*(1+IF(EV$4=$A67,Вводные!$D$5*INDEX(Вводные!$G$13:$G$64,MATCH($A67,Вводные!$A$13:$A$64,0)),0))</f>
        <v>1</v>
      </c>
      <c r="EW67" s="19" t="n">
        <f aca="false">INDEX(Вводные!$D$13:$F$64,MATCH($A67,Вводные!$A$13:$A$64,0),MATCH(EW$3,Вводные!$D$11:$F$11,0))*(1+IF(EW$4=$A67,Вводные!$D$5*INDEX(Вводные!$G$13:$G$64,MATCH($A67,Вводные!$A$13:$A$64,0)),0))</f>
        <v>1</v>
      </c>
      <c r="EX67" s="19" t="n">
        <f aca="false">INDEX(Вводные!$D$13:$F$64,MATCH($A67,Вводные!$A$13:$A$64,0),MATCH(EX$3,Вводные!$D$11:$F$11,0))*(1+IF(EX$4=$A67,Вводные!$D$5*INDEX(Вводные!$G$13:$G$64,MATCH($A67,Вводные!$A$13:$A$64,0)),0))</f>
        <v>1</v>
      </c>
      <c r="EY67" s="19" t="n">
        <f aca="false">INDEX(Вводные!$D$13:$F$64,MATCH($A67,Вводные!$A$13:$A$64,0),MATCH(EY$3,Вводные!$D$11:$F$11,0))*(1+IF(EY$4=$A67,Вводные!$D$5*INDEX(Вводные!$G$13:$G$64,MATCH($A67,Вводные!$A$13:$A$64,0)),0))</f>
        <v>1</v>
      </c>
      <c r="EZ67" s="19" t="n">
        <f aca="false">INDEX(Вводные!$D$13:$F$64,MATCH($A67,Вводные!$A$13:$A$64,0),MATCH(EZ$3,Вводные!$D$11:$F$11,0))*(1+IF(EZ$4=$A67,Вводные!$D$5*INDEX(Вводные!$G$13:$G$64,MATCH($A67,Вводные!$A$13:$A$64,0)),0))</f>
        <v>1</v>
      </c>
      <c r="FA67" s="19" t="n">
        <f aca="false">INDEX(Вводные!$D$13:$F$64,MATCH($A67,Вводные!$A$13:$A$64,0),MATCH(FA$3,Вводные!$D$11:$F$11,0))*(1+IF(FA$4=$A67,Вводные!$D$5*INDEX(Вводные!$G$13:$G$64,MATCH($A67,Вводные!$A$13:$A$64,0)),0))</f>
        <v>1</v>
      </c>
      <c r="FB67" s="19" t="n">
        <f aca="false">INDEX(Вводные!$D$13:$F$64,MATCH($A67,Вводные!$A$13:$A$64,0),MATCH(FB$3,Вводные!$D$11:$F$11,0))*(1+IF(FB$4=$A67,Вводные!$D$5*INDEX(Вводные!$G$13:$G$64,MATCH($A67,Вводные!$A$13:$A$64,0)),0))</f>
        <v>1</v>
      </c>
      <c r="FC67" s="19" t="n">
        <f aca="false">INDEX(Вводные!$D$13:$F$64,MATCH($A67,Вводные!$A$13:$A$64,0),MATCH(FC$3,Вводные!$D$11:$F$11,0))*(1+IF(FC$4=$A67,Вводные!$D$5*INDEX(Вводные!$G$13:$G$64,MATCH($A67,Вводные!$A$13:$A$64,0)),0))</f>
        <v>1</v>
      </c>
      <c r="FD67" s="19" t="n">
        <f aca="false">INDEX(Вводные!$D$13:$F$64,MATCH($A67,Вводные!$A$13:$A$64,0),MATCH(FD$3,Вводные!$D$11:$F$11,0))*(1+IF(FD$4=$A67,Вводные!$D$5*INDEX(Вводные!$G$13:$G$64,MATCH($A67,Вводные!$A$13:$A$64,0)),0))</f>
        <v>1</v>
      </c>
      <c r="FE67" s="19" t="n">
        <f aca="false">INDEX(Вводные!$D$13:$F$64,MATCH($A67,Вводные!$A$13:$A$64,0),MATCH(FE$3,Вводные!$D$11:$F$11,0))*(1+IF(FE$4=$A67,Вводные!$D$5*INDEX(Вводные!$G$13:$G$64,MATCH($A67,Вводные!$A$13:$A$64,0)),0))</f>
        <v>1</v>
      </c>
      <c r="FF67" s="19" t="n">
        <f aca="false">INDEX(Вводные!$D$13:$F$64,MATCH($A67,Вводные!$A$13:$A$64,0),MATCH(FF$3,Вводные!$D$11:$F$11,0))*(1+IF(FF$4=$A67,Вводные!$D$5*INDEX(Вводные!$G$13:$G$64,MATCH($A67,Вводные!$A$13:$A$64,0)),0))</f>
        <v>1</v>
      </c>
      <c r="FG67" s="19" t="n">
        <f aca="false">INDEX(Вводные!$D$13:$F$64,MATCH($A67,Вводные!$A$13:$A$64,0),MATCH(FG$3,Вводные!$D$11:$F$11,0))*(1+IF(FG$4=$A67,Вводные!$D$5*INDEX(Вводные!$G$13:$G$64,MATCH($A67,Вводные!$A$13:$A$64,0)),0))</f>
        <v>1</v>
      </c>
      <c r="FH67" s="19" t="n">
        <f aca="false">INDEX(Вводные!$D$13:$F$64,MATCH($A67,Вводные!$A$13:$A$64,0),MATCH(FH$3,Вводные!$D$11:$F$11,0))*(1+IF(FH$4=$A67,Вводные!$D$5*INDEX(Вводные!$G$13:$G$64,MATCH($A67,Вводные!$A$13:$A$64,0)),0))</f>
        <v>1</v>
      </c>
      <c r="FI67" s="19" t="n">
        <f aca="false">INDEX(Вводные!$D$13:$F$64,MATCH($A67,Вводные!$A$13:$A$64,0),MATCH(FI$3,Вводные!$D$11:$F$11,0))*(1+IF(FI$4=$A67,Вводные!$D$5*INDEX(Вводные!$G$13:$G$64,MATCH($A67,Вводные!$A$13:$A$64,0)),0))</f>
        <v>1</v>
      </c>
      <c r="FJ67" s="19" t="n">
        <f aca="false">INDEX(Вводные!$D$13:$F$64,MATCH($A67,Вводные!$A$13:$A$64,0),MATCH(FJ$3,Вводные!$D$11:$F$11,0))*(1+IF(FJ$4=$A67,Вводные!$D$5*INDEX(Вводные!$G$13:$G$64,MATCH($A67,Вводные!$A$13:$A$64,0)),0))</f>
        <v>0.99</v>
      </c>
      <c r="FK67" s="19" t="n">
        <f aca="false">INDEX(Вводные!$D$13:$F$64,MATCH($A67,Вводные!$A$13:$A$64,0),MATCH(FK$3,Вводные!$D$11:$F$11,0))*(1+IF(FK$4=$A67,Вводные!$D$5*INDEX(Вводные!$G$13:$G$64,MATCH($A67,Вводные!$A$13:$A$64,0)),0))</f>
        <v>1</v>
      </c>
      <c r="FL67" s="19" t="n">
        <f aca="false">INDEX(Вводные!$D$13:$F$64,MATCH($A67,Вводные!$A$13:$A$64,0),MATCH(FL$3,Вводные!$D$11:$F$11,0))*(1+IF(FL$4=$A67,Вводные!$D$5*INDEX(Вводные!$G$13:$G$64,MATCH($A67,Вводные!$A$13:$A$64,0)),0))</f>
        <v>1</v>
      </c>
      <c r="FM67" s="19" t="n">
        <f aca="false">INDEX(Вводные!$D$13:$F$64,MATCH($A67,Вводные!$A$13:$A$64,0),MATCH(FM$3,Вводные!$D$11:$F$11,0))*(1+IF(FM$4=$A67,Вводные!$D$5*INDEX(Вводные!$G$13:$G$64,MATCH($A67,Вводные!$A$13:$A$64,0)),0))</f>
        <v>1</v>
      </c>
      <c r="FN67" s="19" t="n">
        <f aca="false">INDEX(Вводные!$D$13:$F$64,MATCH($A67,Вводные!$A$13:$A$64,0),MATCH(FN$3,Вводные!$D$11:$F$11,0))*(1+IF(FN$4=$A67,Вводные!$D$5*INDEX(Вводные!$G$13:$G$64,MATCH($A67,Вводные!$A$13:$A$64,0)),0))</f>
        <v>1</v>
      </c>
      <c r="FO67" s="19" t="n">
        <f aca="false">INDEX(Вводные!$D$13:$F$64,MATCH($A67,Вводные!$A$13:$A$64,0),MATCH(FO$3,Вводные!$D$11:$F$11,0))*(1+IF(FO$4=$A67,Вводные!$D$5*INDEX(Вводные!$G$13:$G$64,MATCH($A67,Вводные!$A$13:$A$64,0)),0))</f>
        <v>1</v>
      </c>
      <c r="FP67" s="19" t="n">
        <f aca="false">INDEX(Вводные!$D$13:$F$64,MATCH($A67,Вводные!$A$13:$A$64,0),MATCH(FP$3,Вводные!$D$11:$F$11,0))*(1+IF(FP$4=$A67,Вводные!$D$5*INDEX(Вводные!$G$13:$G$64,MATCH($A67,Вводные!$A$13:$A$64,0)),0))</f>
        <v>1</v>
      </c>
      <c r="FQ67" s="19" t="n">
        <f aca="false">INDEX(Вводные!$D$13:$F$64,MATCH($A67,Вводные!$A$13:$A$64,0),MATCH(FQ$3,Вводные!$D$11:$F$11,0))*(1+IF(FQ$4=$A67,Вводные!$D$5*INDEX(Вводные!$G$13:$G$64,MATCH($A67,Вводные!$A$13:$A$64,0)),0))</f>
        <v>1</v>
      </c>
      <c r="FR67" s="19" t="n">
        <f aca="false">INDEX(Вводные!$D$13:$F$64,MATCH($A67,Вводные!$A$13:$A$64,0),MATCH(FR$3,Вводные!$D$11:$F$11,0))*(1+IF(FR$4=$A67,Вводные!$D$5*INDEX(Вводные!$G$13:$G$64,MATCH($A67,Вводные!$A$13:$A$64,0)),0))</f>
        <v>1</v>
      </c>
      <c r="FS67" s="19" t="n">
        <f aca="false">INDEX(Вводные!$D$13:$F$64,MATCH($A67,Вводные!$A$13:$A$64,0),MATCH(FS$3,Вводные!$D$11:$F$11,0))*(1+IF(FS$4=$A67,Вводные!$D$5*INDEX(Вводные!$G$13:$G$64,MATCH($A67,Вводные!$A$13:$A$64,0)),0))</f>
        <v>1</v>
      </c>
      <c r="FT67" s="19" t="n">
        <f aca="false">INDEX(Вводные!$D$13:$F$64,MATCH($A67,Вводные!$A$13:$A$64,0),MATCH(FT$3,Вводные!$D$11:$F$11,0))*(1+IF(FT$4=$A67,Вводные!$D$5*INDEX(Вводные!$G$13:$G$64,MATCH($A67,Вводные!$A$13:$A$64,0)),0))</f>
        <v>1</v>
      </c>
      <c r="FU67" s="19" t="n">
        <f aca="false">INDEX(Вводные!$D$13:$F$64,MATCH($A67,Вводные!$A$13:$A$64,0),MATCH(FU$3,Вводные!$D$11:$F$11,0))*(1+IF(FU$4=$A67,Вводные!$D$5*INDEX(Вводные!$G$13:$G$64,MATCH($A67,Вводные!$A$13:$A$64,0)),0))</f>
        <v>1</v>
      </c>
      <c r="FV67" s="19" t="n">
        <f aca="false">INDEX(Вводные!$D$13:$F$64,MATCH($A67,Вводные!$A$13:$A$64,0),MATCH(FV$3,Вводные!$D$11:$F$11,0))*(1+IF(FV$4=$A67,Вводные!$D$5*INDEX(Вводные!$G$13:$G$64,MATCH($A67,Вводные!$A$13:$A$64,0)),0))</f>
        <v>3</v>
      </c>
      <c r="FW67" s="19" t="n">
        <f aca="false">INDEX(Вводные!$D$13:$F$64,MATCH($A67,Вводные!$A$13:$A$64,0),MATCH(FW$3,Вводные!$D$11:$F$11,0))*(1+IF(FW$4=$A67,Вводные!$D$5*INDEX(Вводные!$G$13:$G$64,MATCH($A67,Вводные!$A$13:$A$64,0)),0))</f>
        <v>3</v>
      </c>
      <c r="FX67" s="19" t="n">
        <f aca="false">INDEX(Вводные!$D$13:$F$64,MATCH($A67,Вводные!$A$13:$A$64,0),MATCH(FX$3,Вводные!$D$11:$F$11,0))*(1+IF(FX$4=$A67,Вводные!$D$5*INDEX(Вводные!$G$13:$G$64,MATCH($A67,Вводные!$A$13:$A$64,0)),0))</f>
        <v>3</v>
      </c>
      <c r="FY67" s="19" t="n">
        <f aca="false">INDEX(Вводные!$D$13:$F$64,MATCH($A67,Вводные!$A$13:$A$64,0),MATCH(FY$3,Вводные!$D$11:$F$11,0))*(1+IF(FY$4=$A67,Вводные!$D$5*INDEX(Вводные!$G$13:$G$64,MATCH($A67,Вводные!$A$13:$A$64,0)),0))</f>
        <v>3</v>
      </c>
      <c r="FZ67" s="19" t="n">
        <f aca="false">INDEX(Вводные!$D$13:$F$64,MATCH($A67,Вводные!$A$13:$A$64,0),MATCH(FZ$3,Вводные!$D$11:$F$11,0))*(1+IF(FZ$4=$A67,Вводные!$D$5*INDEX(Вводные!$G$13:$G$64,MATCH($A67,Вводные!$A$13:$A$64,0)),0))</f>
        <v>3</v>
      </c>
      <c r="GA67" s="19" t="n">
        <f aca="false">INDEX(Вводные!$D$13:$F$64,MATCH($A67,Вводные!$A$13:$A$64,0),MATCH(GA$3,Вводные!$D$11:$F$11,0))*(1+IF(GA$4=$A67,Вводные!$D$5*INDEX(Вводные!$G$13:$G$64,MATCH($A67,Вводные!$A$13:$A$64,0)),0))</f>
        <v>3</v>
      </c>
      <c r="GB67" s="19" t="n">
        <f aca="false">INDEX(Вводные!$D$13:$F$64,MATCH($A67,Вводные!$A$13:$A$64,0),MATCH(GB$3,Вводные!$D$11:$F$11,0))*(1+IF(GB$4=$A67,Вводные!$D$5*INDEX(Вводные!$G$13:$G$64,MATCH($A67,Вводные!$A$13:$A$64,0)),0))</f>
        <v>3</v>
      </c>
      <c r="GC67" s="19" t="n">
        <f aca="false">INDEX(Вводные!$D$13:$F$64,MATCH($A67,Вводные!$A$13:$A$64,0),MATCH(GC$3,Вводные!$D$11:$F$11,0))*(1+IF(GC$4=$A67,Вводные!$D$5*INDEX(Вводные!$G$13:$G$64,MATCH($A67,Вводные!$A$13:$A$64,0)),0))</f>
        <v>3</v>
      </c>
      <c r="GD67" s="19" t="n">
        <f aca="false">INDEX(Вводные!$D$13:$F$64,MATCH($A67,Вводные!$A$13:$A$64,0),MATCH(GD$3,Вводные!$D$11:$F$11,0))*(1+IF(GD$4=$A67,Вводные!$D$5*INDEX(Вводные!$G$13:$G$64,MATCH($A67,Вводные!$A$13:$A$64,0)),0))</f>
        <v>3</v>
      </c>
      <c r="GE67" s="19" t="n">
        <f aca="false">INDEX(Вводные!$D$13:$F$64,MATCH($A67,Вводные!$A$13:$A$64,0),MATCH(GE$3,Вводные!$D$11:$F$11,0))*(1+IF(GE$4=$A67,Вводные!$D$5*INDEX(Вводные!$G$13:$G$64,MATCH($A67,Вводные!$A$13:$A$64,0)),0))</f>
        <v>3</v>
      </c>
      <c r="GF67" s="19" t="n">
        <f aca="false">INDEX(Вводные!$D$13:$F$64,MATCH($A67,Вводные!$A$13:$A$64,0),MATCH(GF$3,Вводные!$D$11:$F$11,0))*(1+IF(GF$4=$A67,Вводные!$D$5*INDEX(Вводные!$G$13:$G$64,MATCH($A67,Вводные!$A$13:$A$64,0)),0))</f>
        <v>3</v>
      </c>
      <c r="GG67" s="19" t="n">
        <f aca="false">INDEX(Вводные!$D$13:$F$64,MATCH($A67,Вводные!$A$13:$A$64,0),MATCH(GG$3,Вводные!$D$11:$F$11,0))*(1+IF(GG$4=$A67,Вводные!$D$5*INDEX(Вводные!$G$13:$G$64,MATCH($A67,Вводные!$A$13:$A$64,0)),0))</f>
        <v>3</v>
      </c>
      <c r="GH67" s="19" t="n">
        <f aca="false">INDEX(Вводные!$D$13:$F$64,MATCH($A67,Вводные!$A$13:$A$64,0),MATCH(GH$3,Вводные!$D$11:$F$11,0))*(1+IF(GH$4=$A67,Вводные!$D$5*INDEX(Вводные!$G$13:$G$64,MATCH($A67,Вводные!$A$13:$A$64,0)),0))</f>
        <v>3</v>
      </c>
      <c r="GI67" s="19" t="n">
        <f aca="false">INDEX(Вводные!$D$13:$F$64,MATCH($A67,Вводные!$A$13:$A$64,0),MATCH(GI$3,Вводные!$D$11:$F$11,0))*(1+IF(GI$4=$A67,Вводные!$D$5*INDEX(Вводные!$G$13:$G$64,MATCH($A67,Вводные!$A$13:$A$64,0)),0))</f>
        <v>3</v>
      </c>
      <c r="GJ67" s="19" t="n">
        <f aca="false">INDEX(Вводные!$D$13:$F$64,MATCH($A67,Вводные!$A$13:$A$64,0),MATCH(GJ$3,Вводные!$D$11:$F$11,0))*(1+IF(GJ$4=$A67,Вводные!$D$5*INDEX(Вводные!$G$13:$G$64,MATCH($A67,Вводные!$A$13:$A$64,0)),0))</f>
        <v>3</v>
      </c>
      <c r="GK67" s="19" t="n">
        <f aca="false">INDEX(Вводные!$D$13:$F$64,MATCH($A67,Вводные!$A$13:$A$64,0),MATCH(GK$3,Вводные!$D$11:$F$11,0))*(1+IF(GK$4=$A67,Вводные!$D$5*INDEX(Вводные!$G$13:$G$64,MATCH($A67,Вводные!$A$13:$A$64,0)),0))</f>
        <v>3</v>
      </c>
      <c r="GL67" s="19" t="n">
        <f aca="false">INDEX(Вводные!$D$13:$F$64,MATCH($A67,Вводные!$A$13:$A$64,0),MATCH(GL$3,Вводные!$D$11:$F$11,0))*(1+IF(GL$4=$A67,Вводные!$D$5*INDEX(Вводные!$G$13:$G$64,MATCH($A67,Вводные!$A$13:$A$64,0)),0))</f>
        <v>3</v>
      </c>
      <c r="GM67" s="19" t="n">
        <f aca="false">INDEX(Вводные!$D$13:$F$64,MATCH($A67,Вводные!$A$13:$A$64,0),MATCH(GM$3,Вводные!$D$11:$F$11,0))*(1+IF(GM$4=$A67,Вводные!$D$5*INDEX(Вводные!$G$13:$G$64,MATCH($A67,Вводные!$A$13:$A$64,0)),0))</f>
        <v>3</v>
      </c>
      <c r="GN67" s="19" t="n">
        <f aca="false">INDEX(Вводные!$D$13:$F$64,MATCH($A67,Вводные!$A$13:$A$64,0),MATCH(GN$3,Вводные!$D$11:$F$11,0))*(1+IF(GN$4=$A67,Вводные!$D$5*INDEX(Вводные!$G$13:$G$64,MATCH($A67,Вводные!$A$13:$A$64,0)),0))</f>
        <v>3</v>
      </c>
      <c r="GO67" s="19" t="n">
        <f aca="false">INDEX(Вводные!$D$13:$F$64,MATCH($A67,Вводные!$A$13:$A$64,0),MATCH(GO$3,Вводные!$D$11:$F$11,0))*(1+IF(GO$4=$A67,Вводные!$D$5*INDEX(Вводные!$G$13:$G$64,MATCH($A67,Вводные!$A$13:$A$64,0)),0))</f>
        <v>3</v>
      </c>
      <c r="GP67" s="19" t="n">
        <f aca="false">INDEX(Вводные!$D$13:$F$64,MATCH($A67,Вводные!$A$13:$A$64,0),MATCH(GP$3,Вводные!$D$11:$F$11,0))*(1+IF(GP$4=$A67,Вводные!$D$5*INDEX(Вводные!$G$13:$G$64,MATCH($A67,Вводные!$A$13:$A$64,0)),0))</f>
        <v>3</v>
      </c>
      <c r="GQ67" s="19" t="n">
        <f aca="false">INDEX(Вводные!$D$13:$F$64,MATCH($A67,Вводные!$A$13:$A$64,0),MATCH(GQ$3,Вводные!$D$11:$F$11,0))*(1+IF(GQ$4=$A67,Вводные!$D$5*INDEX(Вводные!$G$13:$G$64,MATCH($A67,Вводные!$A$13:$A$64,0)),0))</f>
        <v>3</v>
      </c>
      <c r="GR67" s="19" t="n">
        <f aca="false">INDEX(Вводные!$D$13:$F$64,MATCH($A67,Вводные!$A$13:$A$64,0),MATCH(GR$3,Вводные!$D$11:$F$11,0))*(1+IF(GR$4=$A67,Вводные!$D$5*INDEX(Вводные!$G$13:$G$64,MATCH($A67,Вводные!$A$13:$A$64,0)),0))</f>
        <v>3</v>
      </c>
      <c r="GS67" s="19" t="n">
        <f aca="false">INDEX(Вводные!$D$13:$F$64,MATCH($A67,Вводные!$A$13:$A$64,0),MATCH(GS$3,Вводные!$D$11:$F$11,0))*(1+IF(GS$4=$A67,Вводные!$D$5*INDEX(Вводные!$G$13:$G$64,MATCH($A67,Вводные!$A$13:$A$64,0)),0))</f>
        <v>3</v>
      </c>
      <c r="GT67" s="19" t="n">
        <f aca="false">INDEX(Вводные!$D$13:$F$64,MATCH($A67,Вводные!$A$13:$A$64,0),MATCH(GT$3,Вводные!$D$11:$F$11,0))*(1+IF(GT$4=$A67,Вводные!$D$5*INDEX(Вводные!$G$13:$G$64,MATCH($A67,Вводные!$A$13:$A$64,0)),0))</f>
        <v>3</v>
      </c>
      <c r="GU67" s="19" t="n">
        <f aca="false">INDEX(Вводные!$D$13:$F$64,MATCH($A67,Вводные!$A$13:$A$64,0),MATCH(GU$3,Вводные!$D$11:$F$11,0))*(1+IF(GU$4=$A67,Вводные!$D$5*INDEX(Вводные!$G$13:$G$64,MATCH($A67,Вводные!$A$13:$A$64,0)),0))</f>
        <v>3</v>
      </c>
      <c r="GV67" s="19" t="n">
        <f aca="false">INDEX(Вводные!$D$13:$F$64,MATCH($A67,Вводные!$A$13:$A$64,0),MATCH(GV$3,Вводные!$D$11:$F$11,0))*(1+IF(GV$4=$A67,Вводные!$D$5*INDEX(Вводные!$G$13:$G$64,MATCH($A67,Вводные!$A$13:$A$64,0)),0))</f>
        <v>3</v>
      </c>
      <c r="GW67" s="19" t="n">
        <f aca="false">INDEX(Вводные!$D$13:$F$64,MATCH($A67,Вводные!$A$13:$A$64,0),MATCH(GW$3,Вводные!$D$11:$F$11,0))*(1+IF(GW$4=$A67,Вводные!$D$5*INDEX(Вводные!$G$13:$G$64,MATCH($A67,Вводные!$A$13:$A$64,0)),0))</f>
        <v>3</v>
      </c>
      <c r="GX67" s="19" t="n">
        <f aca="false">INDEX(Вводные!$D$13:$F$64,MATCH($A67,Вводные!$A$13:$A$64,0),MATCH(GX$3,Вводные!$D$11:$F$11,0))*(1+IF(GX$4=$A67,Вводные!$D$5*INDEX(Вводные!$G$13:$G$64,MATCH($A67,Вводные!$A$13:$A$64,0)),0))</f>
        <v>3</v>
      </c>
      <c r="GY67" s="19" t="n">
        <f aca="false">INDEX(Вводные!$D$13:$F$64,MATCH($A67,Вводные!$A$13:$A$64,0),MATCH(GY$3,Вводные!$D$11:$F$11,0))*(1+IF(GY$4=$A67,Вводные!$D$5*INDEX(Вводные!$G$13:$G$64,MATCH($A67,Вводные!$A$13:$A$64,0)),0))</f>
        <v>3</v>
      </c>
      <c r="GZ67" s="19" t="n">
        <f aca="false">INDEX(Вводные!$D$13:$F$64,MATCH($A67,Вводные!$A$13:$A$64,0),MATCH(GZ$3,Вводные!$D$11:$F$11,0))*(1+IF(GZ$4=$A67,Вводные!$D$5*INDEX(Вводные!$G$13:$G$64,MATCH($A67,Вводные!$A$13:$A$64,0)),0))</f>
        <v>2.97</v>
      </c>
      <c r="HA67" s="19" t="n">
        <f aca="false">INDEX(Вводные!$D$13:$F$64,MATCH($A67,Вводные!$A$13:$A$64,0),MATCH(HA$3,Вводные!$D$11:$F$11,0))*(1+IF(HA$4=$A67,Вводные!$D$5*INDEX(Вводные!$G$13:$G$64,MATCH($A67,Вводные!$A$13:$A$64,0)),0))</f>
        <v>3</v>
      </c>
      <c r="HB67" s="19" t="n">
        <f aca="false">INDEX(Вводные!$D$13:$F$64,MATCH($A67,Вводные!$A$13:$A$64,0),MATCH(HB$3,Вводные!$D$11:$F$11,0))*(1+IF(HB$4=$A67,Вводные!$D$5*INDEX(Вводные!$G$13:$G$64,MATCH($A67,Вводные!$A$13:$A$64,0)),0))</f>
        <v>3</v>
      </c>
      <c r="HC67" s="19" t="n">
        <f aca="false">INDEX(Вводные!$D$13:$F$64,MATCH($A67,Вводные!$A$13:$A$64,0),MATCH(HC$3,Вводные!$D$11:$F$11,0))*(1+IF(HC$4=$A67,Вводные!$D$5*INDEX(Вводные!$G$13:$G$64,MATCH($A67,Вводные!$A$13:$A$64,0)),0))</f>
        <v>3</v>
      </c>
      <c r="HD67" s="19" t="n">
        <f aca="false">INDEX(Вводные!$D$13:$F$64,MATCH($A67,Вводные!$A$13:$A$64,0),MATCH(HD$3,Вводные!$D$11:$F$11,0))*(1+IF(HD$4=$A67,Вводные!$D$5*INDEX(Вводные!$G$13:$G$64,MATCH($A67,Вводные!$A$13:$A$64,0)),0))</f>
        <v>3</v>
      </c>
      <c r="HE67" s="19" t="n">
        <f aca="false">INDEX(Вводные!$D$13:$F$64,MATCH($A67,Вводные!$A$13:$A$64,0),MATCH(HE$3,Вводные!$D$11:$F$11,0))*(1+IF(HE$4=$A67,Вводные!$D$5*INDEX(Вводные!$G$13:$G$64,MATCH($A67,Вводные!$A$13:$A$64,0)),0))</f>
        <v>3</v>
      </c>
      <c r="HF67" s="19" t="n">
        <f aca="false">INDEX(Вводные!$D$13:$F$64,MATCH($A67,Вводные!$A$13:$A$64,0),MATCH(HF$3,Вводные!$D$11:$F$11,0))*(1+IF(HF$4=$A67,Вводные!$D$5*INDEX(Вводные!$G$13:$G$64,MATCH($A67,Вводные!$A$13:$A$64,0)),0))</f>
        <v>3</v>
      </c>
      <c r="HG67" s="19" t="n">
        <f aca="false">INDEX(Вводные!$D$13:$F$64,MATCH($A67,Вводные!$A$13:$A$64,0),MATCH(HG$3,Вводные!$D$11:$F$11,0))*(1+IF(HG$4=$A67,Вводные!$D$5*INDEX(Вводные!$G$13:$G$64,MATCH($A67,Вводные!$A$13:$A$64,0)),0))</f>
        <v>3</v>
      </c>
      <c r="HH67" s="19" t="n">
        <f aca="false">INDEX(Вводные!$D$13:$F$64,MATCH($A67,Вводные!$A$13:$A$64,0),MATCH(HH$3,Вводные!$D$11:$F$11,0))*(1+IF(HH$4=$A67,Вводные!$D$5*INDEX(Вводные!$G$13:$G$64,MATCH($A67,Вводные!$A$13:$A$64,0)),0))</f>
        <v>3</v>
      </c>
      <c r="HI67" s="19" t="n">
        <f aca="false">INDEX(Вводные!$D$13:$F$64,MATCH($A67,Вводные!$A$13:$A$64,0),MATCH(HI$3,Вводные!$D$11:$F$11,0))*(1+IF(HI$4=$A67,Вводные!$D$5*INDEX(Вводные!$G$13:$G$64,MATCH($A67,Вводные!$A$13:$A$64,0)),0))</f>
        <v>3</v>
      </c>
      <c r="HJ67" s="19" t="n">
        <f aca="false">INDEX(Вводные!$D$13:$F$64,MATCH($A67,Вводные!$A$13:$A$64,0),MATCH(HJ$3,Вводные!$D$11:$F$11,0))*(1+IF(HJ$4=$A67,Вводные!$D$5*INDEX(Вводные!$G$13:$G$64,MATCH($A67,Вводные!$A$13:$A$64,0)),0))</f>
        <v>3</v>
      </c>
      <c r="HK67" s="19" t="n">
        <f aca="false">INDEX(Вводные!$D$13:$F$64,MATCH($A67,Вводные!$A$13:$A$64,0),MATCH(HK$3,Вводные!$D$11:$F$11,0))*(1+IF(HK$4=$A67,Вводные!$D$5*INDEX(Вводные!$G$13:$G$64,MATCH($A67,Вводные!$A$13:$A$64,0)),0))</f>
        <v>3</v>
      </c>
      <c r="HL67" s="19" t="n">
        <f aca="false">INDEX(Вводные!$D$13:$F$64,MATCH($A67,Вводные!$A$13:$A$64,0),MATCH(HL$3,Вводные!$D$11:$F$11,0))*(1+IF(HL$4=$A67,Вводные!$D$5*INDEX(Вводные!$G$13:$G$64,MATCH($A67,Вводные!$A$13:$A$64,0)),0))</f>
        <v>12</v>
      </c>
      <c r="HM67" s="19" t="n">
        <f aca="false">INDEX(Вводные!$D$13:$F$64,MATCH($A67,Вводные!$A$13:$A$64,0),MATCH(HM$3,Вводные!$D$11:$F$11,0))*(1+IF(HM$4=$A67,Вводные!$D$5*INDEX(Вводные!$G$13:$G$64,MATCH($A67,Вводные!$A$13:$A$64,0)),0))</f>
        <v>12</v>
      </c>
      <c r="HN67" s="19" t="n">
        <f aca="false">INDEX(Вводные!$D$13:$F$64,MATCH($A67,Вводные!$A$13:$A$64,0),MATCH(HN$3,Вводные!$D$11:$F$11,0))*(1+IF(HN$4=$A67,Вводные!$D$5*INDEX(Вводные!$G$13:$G$64,MATCH($A67,Вводные!$A$13:$A$64,0)),0))</f>
        <v>12</v>
      </c>
      <c r="HO67" s="19" t="n">
        <f aca="false">INDEX(Вводные!$D$13:$F$64,MATCH($A67,Вводные!$A$13:$A$64,0),MATCH(HO$3,Вводные!$D$11:$F$11,0))*(1+IF(HO$4=$A67,Вводные!$D$5*INDEX(Вводные!$G$13:$G$64,MATCH($A67,Вводные!$A$13:$A$64,0)),0))</f>
        <v>12</v>
      </c>
      <c r="HP67" s="19" t="n">
        <f aca="false">INDEX(Вводные!$D$13:$F$64,MATCH($A67,Вводные!$A$13:$A$64,0),MATCH(HP$3,Вводные!$D$11:$F$11,0))*(1+IF(HP$4=$A67,Вводные!$D$5*INDEX(Вводные!$G$13:$G$64,MATCH($A67,Вводные!$A$13:$A$64,0)),0))</f>
        <v>12</v>
      </c>
      <c r="HQ67" s="19" t="n">
        <f aca="false">INDEX(Вводные!$D$13:$F$64,MATCH($A67,Вводные!$A$13:$A$64,0),MATCH(HQ$3,Вводные!$D$11:$F$11,0))*(1+IF(HQ$4=$A67,Вводные!$D$5*INDEX(Вводные!$G$13:$G$64,MATCH($A67,Вводные!$A$13:$A$64,0)),0))</f>
        <v>12</v>
      </c>
      <c r="HR67" s="19" t="n">
        <f aca="false">INDEX(Вводные!$D$13:$F$64,MATCH($A67,Вводные!$A$13:$A$64,0),MATCH(HR$3,Вводные!$D$11:$F$11,0))*(1+IF(HR$4=$A67,Вводные!$D$5*INDEX(Вводные!$G$13:$G$64,MATCH($A67,Вводные!$A$13:$A$64,0)),0))</f>
        <v>12</v>
      </c>
      <c r="HS67" s="19" t="n">
        <f aca="false">INDEX(Вводные!$D$13:$F$64,MATCH($A67,Вводные!$A$13:$A$64,0),MATCH(HS$3,Вводные!$D$11:$F$11,0))*(1+IF(HS$4=$A67,Вводные!$D$5*INDEX(Вводные!$G$13:$G$64,MATCH($A67,Вводные!$A$13:$A$64,0)),0))</f>
        <v>12</v>
      </c>
      <c r="HT67" s="19" t="n">
        <f aca="false">INDEX(Вводные!$D$13:$F$64,MATCH($A67,Вводные!$A$13:$A$64,0),MATCH(HT$3,Вводные!$D$11:$F$11,0))*(1+IF(HT$4=$A67,Вводные!$D$5*INDEX(Вводные!$G$13:$G$64,MATCH($A67,Вводные!$A$13:$A$64,0)),0))</f>
        <v>12</v>
      </c>
      <c r="HU67" s="19" t="n">
        <f aca="false">INDEX(Вводные!$D$13:$F$64,MATCH($A67,Вводные!$A$13:$A$64,0),MATCH(HU$3,Вводные!$D$11:$F$11,0))*(1+IF(HU$4=$A67,Вводные!$D$5*INDEX(Вводные!$G$13:$G$64,MATCH($A67,Вводные!$A$13:$A$64,0)),0))</f>
        <v>12</v>
      </c>
      <c r="HV67" s="19" t="n">
        <f aca="false">INDEX(Вводные!$D$13:$F$64,MATCH($A67,Вводные!$A$13:$A$64,0),MATCH(HV$3,Вводные!$D$11:$F$11,0))*(1+IF(HV$4=$A67,Вводные!$D$5*INDEX(Вводные!$G$13:$G$64,MATCH($A67,Вводные!$A$13:$A$64,0)),0))</f>
        <v>12</v>
      </c>
      <c r="HW67" s="19" t="n">
        <f aca="false">INDEX(Вводные!$D$13:$F$64,MATCH($A67,Вводные!$A$13:$A$64,0),MATCH(HW$3,Вводные!$D$11:$F$11,0))*(1+IF(HW$4=$A67,Вводные!$D$5*INDEX(Вводные!$G$13:$G$64,MATCH($A67,Вводные!$A$13:$A$64,0)),0))</f>
        <v>12</v>
      </c>
      <c r="HX67" s="19" t="n">
        <f aca="false">INDEX(Вводные!$D$13:$F$64,MATCH($A67,Вводные!$A$13:$A$64,0),MATCH(HX$3,Вводные!$D$11:$F$11,0))*(1+IF(HX$4=$A67,Вводные!$D$5*INDEX(Вводные!$G$13:$G$64,MATCH($A67,Вводные!$A$13:$A$64,0)),0))</f>
        <v>12</v>
      </c>
      <c r="HY67" s="19" t="n">
        <f aca="false">INDEX(Вводные!$D$13:$F$64,MATCH($A67,Вводные!$A$13:$A$64,0),MATCH(HY$3,Вводные!$D$11:$F$11,0))*(1+IF(HY$4=$A67,Вводные!$D$5*INDEX(Вводные!$G$13:$G$64,MATCH($A67,Вводные!$A$13:$A$64,0)),0))</f>
        <v>12</v>
      </c>
      <c r="HZ67" s="19" t="n">
        <f aca="false">INDEX(Вводные!$D$13:$F$64,MATCH($A67,Вводные!$A$13:$A$64,0),MATCH(HZ$3,Вводные!$D$11:$F$11,0))*(1+IF(HZ$4=$A67,Вводные!$D$5*INDEX(Вводные!$G$13:$G$64,MATCH($A67,Вводные!$A$13:$A$64,0)),0))</f>
        <v>12</v>
      </c>
      <c r="IA67" s="19" t="n">
        <f aca="false">INDEX(Вводные!$D$13:$F$64,MATCH($A67,Вводные!$A$13:$A$64,0),MATCH(IA$3,Вводные!$D$11:$F$11,0))*(1+IF(IA$4=$A67,Вводные!$D$5*INDEX(Вводные!$G$13:$G$64,MATCH($A67,Вводные!$A$13:$A$64,0)),0))</f>
        <v>12</v>
      </c>
      <c r="IB67" s="19" t="n">
        <f aca="false">INDEX(Вводные!$D$13:$F$64,MATCH($A67,Вводные!$A$13:$A$64,0),MATCH(IB$3,Вводные!$D$11:$F$11,0))*(1+IF(IB$4=$A67,Вводные!$D$5*INDEX(Вводные!$G$13:$G$64,MATCH($A67,Вводные!$A$13:$A$64,0)),0))</f>
        <v>12</v>
      </c>
      <c r="IC67" s="19" t="n">
        <f aca="false">INDEX(Вводные!$D$13:$F$64,MATCH($A67,Вводные!$A$13:$A$64,0),MATCH(IC$3,Вводные!$D$11:$F$11,0))*(1+IF(IC$4=$A67,Вводные!$D$5*INDEX(Вводные!$G$13:$G$64,MATCH($A67,Вводные!$A$13:$A$64,0)),0))</f>
        <v>12</v>
      </c>
      <c r="ID67" s="19" t="n">
        <f aca="false">INDEX(Вводные!$D$13:$F$64,MATCH($A67,Вводные!$A$13:$A$64,0),MATCH(ID$3,Вводные!$D$11:$F$11,0))*(1+IF(ID$4=$A67,Вводные!$D$5*INDEX(Вводные!$G$13:$G$64,MATCH($A67,Вводные!$A$13:$A$64,0)),0))</f>
        <v>12</v>
      </c>
      <c r="IE67" s="19" t="n">
        <f aca="false">INDEX(Вводные!$D$13:$F$64,MATCH($A67,Вводные!$A$13:$A$64,0),MATCH(IE$3,Вводные!$D$11:$F$11,0))*(1+IF(IE$4=$A67,Вводные!$D$5*INDEX(Вводные!$G$13:$G$64,MATCH($A67,Вводные!$A$13:$A$64,0)),0))</f>
        <v>12</v>
      </c>
      <c r="IF67" s="19" t="n">
        <f aca="false">INDEX(Вводные!$D$13:$F$64,MATCH($A67,Вводные!$A$13:$A$64,0),MATCH(IF$3,Вводные!$D$11:$F$11,0))*(1+IF(IF$4=$A67,Вводные!$D$5*INDEX(Вводные!$G$13:$G$64,MATCH($A67,Вводные!$A$13:$A$64,0)),0))</f>
        <v>12</v>
      </c>
      <c r="IG67" s="19" t="n">
        <f aca="false">INDEX(Вводные!$D$13:$F$64,MATCH($A67,Вводные!$A$13:$A$64,0),MATCH(IG$3,Вводные!$D$11:$F$11,0))*(1+IF(IG$4=$A67,Вводные!$D$5*INDEX(Вводные!$G$13:$G$64,MATCH($A67,Вводные!$A$13:$A$64,0)),0))</f>
        <v>12</v>
      </c>
      <c r="IH67" s="19" t="n">
        <f aca="false">INDEX(Вводные!$D$13:$F$64,MATCH($A67,Вводные!$A$13:$A$64,0),MATCH(IH$3,Вводные!$D$11:$F$11,0))*(1+IF(IH$4=$A67,Вводные!$D$5*INDEX(Вводные!$G$13:$G$64,MATCH($A67,Вводные!$A$13:$A$64,0)),0))</f>
        <v>12</v>
      </c>
      <c r="II67" s="19" t="n">
        <f aca="false">INDEX(Вводные!$D$13:$F$64,MATCH($A67,Вводные!$A$13:$A$64,0),MATCH(II$3,Вводные!$D$11:$F$11,0))*(1+IF(II$4=$A67,Вводные!$D$5*INDEX(Вводные!$G$13:$G$64,MATCH($A67,Вводные!$A$13:$A$64,0)),0))</f>
        <v>12</v>
      </c>
      <c r="IJ67" s="19" t="n">
        <f aca="false">INDEX(Вводные!$D$13:$F$64,MATCH($A67,Вводные!$A$13:$A$64,0),MATCH(IJ$3,Вводные!$D$11:$F$11,0))*(1+IF(IJ$4=$A67,Вводные!$D$5*INDEX(Вводные!$G$13:$G$64,MATCH($A67,Вводные!$A$13:$A$64,0)),0))</f>
        <v>12</v>
      </c>
      <c r="IK67" s="19" t="n">
        <f aca="false">INDEX(Вводные!$D$13:$F$64,MATCH($A67,Вводные!$A$13:$A$64,0),MATCH(IK$3,Вводные!$D$11:$F$11,0))*(1+IF(IK$4=$A67,Вводные!$D$5*INDEX(Вводные!$G$13:$G$64,MATCH($A67,Вводные!$A$13:$A$64,0)),0))</f>
        <v>12</v>
      </c>
      <c r="IL67" s="19" t="n">
        <f aca="false">INDEX(Вводные!$D$13:$F$64,MATCH($A67,Вводные!$A$13:$A$64,0),MATCH(IL$3,Вводные!$D$11:$F$11,0))*(1+IF(IL$4=$A67,Вводные!$D$5*INDEX(Вводные!$G$13:$G$64,MATCH($A67,Вводные!$A$13:$A$64,0)),0))</f>
        <v>12</v>
      </c>
      <c r="IM67" s="19" t="n">
        <f aca="false">INDEX(Вводные!$D$13:$F$64,MATCH($A67,Вводные!$A$13:$A$64,0),MATCH(IM$3,Вводные!$D$11:$F$11,0))*(1+IF(IM$4=$A67,Вводные!$D$5*INDEX(Вводные!$G$13:$G$64,MATCH($A67,Вводные!$A$13:$A$64,0)),0))</f>
        <v>12</v>
      </c>
      <c r="IN67" s="19" t="n">
        <f aca="false">INDEX(Вводные!$D$13:$F$64,MATCH($A67,Вводные!$A$13:$A$64,0),MATCH(IN$3,Вводные!$D$11:$F$11,0))*(1+IF(IN$4=$A67,Вводные!$D$5*INDEX(Вводные!$G$13:$G$64,MATCH($A67,Вводные!$A$13:$A$64,0)),0))</f>
        <v>12</v>
      </c>
      <c r="IO67" s="19" t="n">
        <f aca="false">INDEX(Вводные!$D$13:$F$64,MATCH($A67,Вводные!$A$13:$A$64,0),MATCH(IO$3,Вводные!$D$11:$F$11,0))*(1+IF(IO$4=$A67,Вводные!$D$5*INDEX(Вводные!$G$13:$G$64,MATCH($A67,Вводные!$A$13:$A$64,0)),0))</f>
        <v>12</v>
      </c>
      <c r="IP67" s="19" t="n">
        <f aca="false">INDEX(Вводные!$D$13:$F$64,MATCH($A67,Вводные!$A$13:$A$64,0),MATCH(IP$3,Вводные!$D$11:$F$11,0))*(1+IF(IP$4=$A67,Вводные!$D$5*INDEX(Вводные!$G$13:$G$64,MATCH($A67,Вводные!$A$13:$A$64,0)),0))</f>
        <v>11.88</v>
      </c>
      <c r="IQ67" s="19" t="n">
        <f aca="false">INDEX(Вводные!$D$13:$F$64,MATCH($A67,Вводные!$A$13:$A$64,0),MATCH(IQ$3,Вводные!$D$11:$F$11,0))*(1+IF(IQ$4=$A67,Вводные!$D$5*INDEX(Вводные!$G$13:$G$64,MATCH($A67,Вводные!$A$13:$A$64,0)),0))</f>
        <v>12</v>
      </c>
      <c r="IR67" s="19" t="n">
        <f aca="false">INDEX(Вводные!$D$13:$F$64,MATCH($A67,Вводные!$A$13:$A$64,0),MATCH(IR$3,Вводные!$D$11:$F$11,0))*(1+IF(IR$4=$A67,Вводные!$D$5*INDEX(Вводные!$G$13:$G$64,MATCH($A67,Вводные!$A$13:$A$64,0)),0))</f>
        <v>12</v>
      </c>
      <c r="IS67" s="19" t="n">
        <f aca="false">INDEX(Вводные!$D$13:$F$64,MATCH($A67,Вводные!$A$13:$A$64,0),MATCH(IS$3,Вводные!$D$11:$F$11,0))*(1+IF(IS$4=$A67,Вводные!$D$5*INDEX(Вводные!$G$13:$G$64,MATCH($A67,Вводные!$A$13:$A$64,0)),0))</f>
        <v>12</v>
      </c>
      <c r="IT67" s="19" t="n">
        <f aca="false">INDEX(Вводные!$D$13:$F$64,MATCH($A67,Вводные!$A$13:$A$64,0),MATCH(IT$3,Вводные!$D$11:$F$11,0))*(1+IF(IT$4=$A67,Вводные!$D$5*INDEX(Вводные!$G$13:$G$64,MATCH($A67,Вводные!$A$13:$A$64,0)),0))</f>
        <v>12</v>
      </c>
      <c r="IU67" s="19" t="n">
        <f aca="false">INDEX(Вводные!$D$13:$F$64,MATCH($A67,Вводные!$A$13:$A$64,0),MATCH(IU$3,Вводные!$D$11:$F$11,0))*(1+IF(IU$4=$A67,Вводные!$D$5*INDEX(Вводные!$G$13:$G$64,MATCH($A67,Вводные!$A$13:$A$64,0)),0))</f>
        <v>12</v>
      </c>
      <c r="IV67" s="19" t="n">
        <f aca="false">INDEX(Вводные!$D$13:$F$64,MATCH($A67,Вводные!$A$13:$A$64,0),MATCH(IV$3,Вводные!$D$11:$F$11,0))*(1+IF(IV$4=$A67,Вводные!$D$5*INDEX(Вводные!$G$13:$G$64,MATCH($A67,Вводные!$A$13:$A$64,0)),0))</f>
        <v>12</v>
      </c>
      <c r="IW67" s="19" t="n">
        <f aca="false">INDEX(Вводные!$D$13:$F$64,MATCH($A67,Вводные!$A$13:$A$64,0),MATCH(IW$3,Вводные!$D$11:$F$11,0))*(1+IF(IW$4=$A67,Вводные!$D$5*INDEX(Вводные!$G$13:$G$64,MATCH($A67,Вводные!$A$13:$A$64,0)),0))</f>
        <v>12</v>
      </c>
      <c r="IX67" s="19" t="n">
        <f aca="false">INDEX(Вводные!$D$13:$F$64,MATCH($A67,Вводные!$A$13:$A$64,0),MATCH(IX$3,Вводные!$D$11:$F$11,0))*(1+IF(IX$4=$A67,Вводные!$D$5*INDEX(Вводные!$G$13:$G$64,MATCH($A67,Вводные!$A$13:$A$64,0)),0))</f>
        <v>12</v>
      </c>
      <c r="IY67" s="19" t="n">
        <f aca="false">INDEX(Вводные!$D$13:$F$64,MATCH($A67,Вводные!$A$13:$A$64,0),MATCH(IY$3,Вводные!$D$11:$F$11,0))*(1+IF(IY$4=$A67,Вводные!$D$5*INDEX(Вводные!$G$13:$G$64,MATCH($A67,Вводные!$A$13:$A$64,0)),0))</f>
        <v>12</v>
      </c>
      <c r="IZ67" s="19" t="n">
        <f aca="false">INDEX(Вводные!$D$13:$F$64,MATCH($A67,Вводные!$A$13:$A$64,0),MATCH(IZ$3,Вводные!$D$11:$F$11,0))*(1+IF(IZ$4=$A67,Вводные!$D$5*INDEX(Вводные!$G$13:$G$64,MATCH($A67,Вводные!$A$13:$A$64,0)),0))</f>
        <v>12</v>
      </c>
      <c r="JA67" s="19" t="n">
        <f aca="false">INDEX(Вводные!$D$13:$F$64,MATCH($A67,Вводные!$A$13:$A$64,0),MATCH(JA$3,Вводные!$D$11:$F$11,0))*(1+IF(JA$4=$A67,Вводные!$D$5*INDEX(Вводные!$G$13:$G$64,MATCH($A67,Вводные!$A$13:$A$64,0)),0))</f>
        <v>12</v>
      </c>
    </row>
    <row r="68" customFormat="false" ht="15" hidden="false" customHeight="false" outlineLevel="0" collapsed="false">
      <c r="A68" s="13" t="s">
        <v>265</v>
      </c>
      <c r="B68" s="13" t="s">
        <v>266</v>
      </c>
      <c r="C68" s="13" t="s">
        <v>179</v>
      </c>
      <c r="D68" s="9" t="s">
        <v>36</v>
      </c>
      <c r="E68" s="14" t="n">
        <f aca="false">INDEX(Вводные!$D$13:$F$64,MATCH($A68,Вводные!$A$13:$A$64,0),MATCH(E$3,Вводные!$D$11:$F$11,0))*(1+IF(E$4=$A68,Вводные!$D$5*INDEX(Вводные!$G$13:$G$64,MATCH($A68,Вводные!$A$13:$A$64,0)),0))</f>
        <v>5</v>
      </c>
      <c r="F68" s="14" t="n">
        <f aca="false">INDEX(Вводные!$D$13:$F$64,MATCH($A68,Вводные!$A$13:$A$64,0),MATCH(F$3,Вводные!$D$11:$F$11,0))*(1+IF(F$4=$A68,Вводные!$D$5*INDEX(Вводные!$G$13:$G$64,MATCH($A68,Вводные!$A$13:$A$64,0)),0))</f>
        <v>15</v>
      </c>
      <c r="G68" s="14" t="n">
        <f aca="false">INDEX(Вводные!$D$13:$F$64,MATCH($A68,Вводные!$A$13:$A$64,0),MATCH(G$3,Вводные!$D$11:$F$11,0))*(1+IF(G$4=$A68,Вводные!$D$5*INDEX(Вводные!$G$13:$G$64,MATCH($A68,Вводные!$A$13:$A$64,0)),0))</f>
        <v>30</v>
      </c>
      <c r="H68" s="59"/>
      <c r="J68" s="14" t="n">
        <f aca="false">INDEX(Вводные!$D$13:$F$64,MATCH($A68,Вводные!$A$13:$A$64,0),MATCH(J$3,Вводные!$D$11:$F$11,0))*(1+IF(J$4=$A68,Вводные!$D$5*INDEX(Вводные!$G$13:$G$64,MATCH($A68,Вводные!$A$13:$A$64,0)),0))</f>
        <v>5</v>
      </c>
      <c r="K68" s="14" t="n">
        <f aca="false">INDEX(Вводные!$D$13:$F$64,MATCH($A68,Вводные!$A$13:$A$64,0),MATCH(K$3,Вводные!$D$11:$F$11,0))*(1+IF(K$4=$A68,Вводные!$D$5*INDEX(Вводные!$G$13:$G$64,MATCH($A68,Вводные!$A$13:$A$64,0)),0))</f>
        <v>5</v>
      </c>
      <c r="L68" s="14" t="n">
        <f aca="false">INDEX(Вводные!$D$13:$F$64,MATCH($A68,Вводные!$A$13:$A$64,0),MATCH(L$3,Вводные!$D$11:$F$11,0))*(1+IF(L$4=$A68,Вводные!$D$5*INDEX(Вводные!$G$13:$G$64,MATCH($A68,Вводные!$A$13:$A$64,0)),0))</f>
        <v>5</v>
      </c>
      <c r="M68" s="14" t="n">
        <f aca="false">INDEX(Вводные!$D$13:$F$64,MATCH($A68,Вводные!$A$13:$A$64,0),MATCH(M$3,Вводные!$D$11:$F$11,0))*(1+IF(M$4=$A68,Вводные!$D$5*INDEX(Вводные!$G$13:$G$64,MATCH($A68,Вводные!$A$13:$A$64,0)),0))</f>
        <v>5</v>
      </c>
      <c r="N68" s="14" t="n">
        <f aca="false">INDEX(Вводные!$D$13:$F$64,MATCH($A68,Вводные!$A$13:$A$64,0),MATCH(N$3,Вводные!$D$11:$F$11,0))*(1+IF(N$4=$A68,Вводные!$D$5*INDEX(Вводные!$G$13:$G$64,MATCH($A68,Вводные!$A$13:$A$64,0)),0))</f>
        <v>5</v>
      </c>
      <c r="O68" s="14" t="n">
        <f aca="false">INDEX(Вводные!$D$13:$F$64,MATCH($A68,Вводные!$A$13:$A$64,0),MATCH(O$3,Вводные!$D$11:$F$11,0))*(1+IF(O$4=$A68,Вводные!$D$5*INDEX(Вводные!$G$13:$G$64,MATCH($A68,Вводные!$A$13:$A$64,0)),0))</f>
        <v>5</v>
      </c>
      <c r="P68" s="14" t="n">
        <f aca="false">INDEX(Вводные!$D$13:$F$64,MATCH($A68,Вводные!$A$13:$A$64,0),MATCH(P$3,Вводные!$D$11:$F$11,0))*(1+IF(P$4=$A68,Вводные!$D$5*INDEX(Вводные!$G$13:$G$64,MATCH($A68,Вводные!$A$13:$A$64,0)),0))</f>
        <v>5</v>
      </c>
      <c r="Q68" s="14" t="n">
        <f aca="false">INDEX(Вводные!$D$13:$F$64,MATCH($A68,Вводные!$A$13:$A$64,0),MATCH(Q$3,Вводные!$D$11:$F$11,0))*(1+IF(Q$4=$A68,Вводные!$D$5*INDEX(Вводные!$G$13:$G$64,MATCH($A68,Вводные!$A$13:$A$64,0)),0))</f>
        <v>5</v>
      </c>
      <c r="R68" s="14" t="n">
        <f aca="false">INDEX(Вводные!$D$13:$F$64,MATCH($A68,Вводные!$A$13:$A$64,0),MATCH(R$3,Вводные!$D$11:$F$11,0))*(1+IF(R$4=$A68,Вводные!$D$5*INDEX(Вводные!$G$13:$G$64,MATCH($A68,Вводные!$A$13:$A$64,0)),0))</f>
        <v>5</v>
      </c>
      <c r="S68" s="14" t="n">
        <f aca="false">INDEX(Вводные!$D$13:$F$64,MATCH($A68,Вводные!$A$13:$A$64,0),MATCH(S$3,Вводные!$D$11:$F$11,0))*(1+IF(S$4=$A68,Вводные!$D$5*INDEX(Вводные!$G$13:$G$64,MATCH($A68,Вводные!$A$13:$A$64,0)),0))</f>
        <v>5</v>
      </c>
      <c r="T68" s="14" t="n">
        <f aca="false">INDEX(Вводные!$D$13:$F$64,MATCH($A68,Вводные!$A$13:$A$64,0),MATCH(T$3,Вводные!$D$11:$F$11,0))*(1+IF(T$4=$A68,Вводные!$D$5*INDEX(Вводные!$G$13:$G$64,MATCH($A68,Вводные!$A$13:$A$64,0)),0))</f>
        <v>5</v>
      </c>
      <c r="U68" s="14" t="n">
        <f aca="false">INDEX(Вводные!$D$13:$F$64,MATCH($A68,Вводные!$A$13:$A$64,0),MATCH(U$3,Вводные!$D$11:$F$11,0))*(1+IF(U$4=$A68,Вводные!$D$5*INDEX(Вводные!$G$13:$G$64,MATCH($A68,Вводные!$A$13:$A$64,0)),0))</f>
        <v>5</v>
      </c>
      <c r="V68" s="14" t="n">
        <f aca="false">INDEX(Вводные!$D$13:$F$64,MATCH($A68,Вводные!$A$13:$A$64,0),MATCH(V$3,Вводные!$D$11:$F$11,0))*(1+IF(V$4=$A68,Вводные!$D$5*INDEX(Вводные!$G$13:$G$64,MATCH($A68,Вводные!$A$13:$A$64,0)),0))</f>
        <v>5</v>
      </c>
      <c r="W68" s="14" t="n">
        <f aca="false">INDEX(Вводные!$D$13:$F$64,MATCH($A68,Вводные!$A$13:$A$64,0),MATCH(W$3,Вводные!$D$11:$F$11,0))*(1+IF(W$4=$A68,Вводные!$D$5*INDEX(Вводные!$G$13:$G$64,MATCH($A68,Вводные!$A$13:$A$64,0)),0))</f>
        <v>5</v>
      </c>
      <c r="X68" s="14" t="n">
        <f aca="false">INDEX(Вводные!$D$13:$F$64,MATCH($A68,Вводные!$A$13:$A$64,0),MATCH(X$3,Вводные!$D$11:$F$11,0))*(1+IF(X$4=$A68,Вводные!$D$5*INDEX(Вводные!$G$13:$G$64,MATCH($A68,Вводные!$A$13:$A$64,0)),0))</f>
        <v>5</v>
      </c>
      <c r="Y68" s="14" t="n">
        <f aca="false">INDEX(Вводные!$D$13:$F$64,MATCH($A68,Вводные!$A$13:$A$64,0),MATCH(Y$3,Вводные!$D$11:$F$11,0))*(1+IF(Y$4=$A68,Вводные!$D$5*INDEX(Вводные!$G$13:$G$64,MATCH($A68,Вводные!$A$13:$A$64,0)),0))</f>
        <v>5</v>
      </c>
      <c r="Z68" s="14" t="n">
        <f aca="false">INDEX(Вводные!$D$13:$F$64,MATCH($A68,Вводные!$A$13:$A$64,0),MATCH(Z$3,Вводные!$D$11:$F$11,0))*(1+IF(Z$4=$A68,Вводные!$D$5*INDEX(Вводные!$G$13:$G$64,MATCH($A68,Вводные!$A$13:$A$64,0)),0))</f>
        <v>5</v>
      </c>
      <c r="AA68" s="14" t="n">
        <f aca="false">INDEX(Вводные!$D$13:$F$64,MATCH($A68,Вводные!$A$13:$A$64,0),MATCH(AA$3,Вводные!$D$11:$F$11,0))*(1+IF(AA$4=$A68,Вводные!$D$5*INDEX(Вводные!$G$13:$G$64,MATCH($A68,Вводные!$A$13:$A$64,0)),0))</f>
        <v>5</v>
      </c>
      <c r="AB68" s="14" t="n">
        <f aca="false">INDEX(Вводные!$D$13:$F$64,MATCH($A68,Вводные!$A$13:$A$64,0),MATCH(AB$3,Вводные!$D$11:$F$11,0))*(1+IF(AB$4=$A68,Вводные!$D$5*INDEX(Вводные!$G$13:$G$64,MATCH($A68,Вводные!$A$13:$A$64,0)),0))</f>
        <v>5</v>
      </c>
      <c r="AC68" s="14" t="n">
        <f aca="false">INDEX(Вводные!$D$13:$F$64,MATCH($A68,Вводные!$A$13:$A$64,0),MATCH(AC$3,Вводные!$D$11:$F$11,0))*(1+IF(AC$4=$A68,Вводные!$D$5*INDEX(Вводные!$G$13:$G$64,MATCH($A68,Вводные!$A$13:$A$64,0)),0))</f>
        <v>5</v>
      </c>
      <c r="AD68" s="14" t="n">
        <f aca="false">INDEX(Вводные!$D$13:$F$64,MATCH($A68,Вводные!$A$13:$A$64,0),MATCH(AD$3,Вводные!$D$11:$F$11,0))*(1+IF(AD$4=$A68,Вводные!$D$5*INDEX(Вводные!$G$13:$G$64,MATCH($A68,Вводные!$A$13:$A$64,0)),0))</f>
        <v>5</v>
      </c>
      <c r="AE68" s="14" t="n">
        <f aca="false">INDEX(Вводные!$D$13:$F$64,MATCH($A68,Вводные!$A$13:$A$64,0),MATCH(AE$3,Вводные!$D$11:$F$11,0))*(1+IF(AE$4=$A68,Вводные!$D$5*INDEX(Вводные!$G$13:$G$64,MATCH($A68,Вводные!$A$13:$A$64,0)),0))</f>
        <v>5</v>
      </c>
      <c r="AF68" s="14" t="n">
        <f aca="false">INDEX(Вводные!$D$13:$F$64,MATCH($A68,Вводные!$A$13:$A$64,0),MATCH(AF$3,Вводные!$D$11:$F$11,0))*(1+IF(AF$4=$A68,Вводные!$D$5*INDEX(Вводные!$G$13:$G$64,MATCH($A68,Вводные!$A$13:$A$64,0)),0))</f>
        <v>5</v>
      </c>
      <c r="AG68" s="14" t="n">
        <f aca="false">INDEX(Вводные!$D$13:$F$64,MATCH($A68,Вводные!$A$13:$A$64,0),MATCH(AG$3,Вводные!$D$11:$F$11,0))*(1+IF(AG$4=$A68,Вводные!$D$5*INDEX(Вводные!$G$13:$G$64,MATCH($A68,Вводные!$A$13:$A$64,0)),0))</f>
        <v>5</v>
      </c>
      <c r="AH68" s="14" t="n">
        <f aca="false">INDEX(Вводные!$D$13:$F$64,MATCH($A68,Вводные!$A$13:$A$64,0),MATCH(AH$3,Вводные!$D$11:$F$11,0))*(1+IF(AH$4=$A68,Вводные!$D$5*INDEX(Вводные!$G$13:$G$64,MATCH($A68,Вводные!$A$13:$A$64,0)),0))</f>
        <v>5</v>
      </c>
      <c r="AI68" s="14" t="n">
        <f aca="false">INDEX(Вводные!$D$13:$F$64,MATCH($A68,Вводные!$A$13:$A$64,0),MATCH(AI$3,Вводные!$D$11:$F$11,0))*(1+IF(AI$4=$A68,Вводные!$D$5*INDEX(Вводные!$G$13:$G$64,MATCH($A68,Вводные!$A$13:$A$64,0)),0))</f>
        <v>5</v>
      </c>
      <c r="AJ68" s="14" t="n">
        <f aca="false">INDEX(Вводные!$D$13:$F$64,MATCH($A68,Вводные!$A$13:$A$64,0),MATCH(AJ$3,Вводные!$D$11:$F$11,0))*(1+IF(AJ$4=$A68,Вводные!$D$5*INDEX(Вводные!$G$13:$G$64,MATCH($A68,Вводные!$A$13:$A$64,0)),0))</f>
        <v>5</v>
      </c>
      <c r="AK68" s="14" t="n">
        <f aca="false">INDEX(Вводные!$D$13:$F$64,MATCH($A68,Вводные!$A$13:$A$64,0),MATCH(AK$3,Вводные!$D$11:$F$11,0))*(1+IF(AK$4=$A68,Вводные!$D$5*INDEX(Вводные!$G$13:$G$64,MATCH($A68,Вводные!$A$13:$A$64,0)),0))</f>
        <v>5</v>
      </c>
      <c r="AL68" s="14" t="n">
        <f aca="false">INDEX(Вводные!$D$13:$F$64,MATCH($A68,Вводные!$A$13:$A$64,0),MATCH(AL$3,Вводные!$D$11:$F$11,0))*(1+IF(AL$4=$A68,Вводные!$D$5*INDEX(Вводные!$G$13:$G$64,MATCH($A68,Вводные!$A$13:$A$64,0)),0))</f>
        <v>5</v>
      </c>
      <c r="AM68" s="14" t="n">
        <f aca="false">INDEX(Вводные!$D$13:$F$64,MATCH($A68,Вводные!$A$13:$A$64,0),MATCH(AM$3,Вводные!$D$11:$F$11,0))*(1+IF(AM$4=$A68,Вводные!$D$5*INDEX(Вводные!$G$13:$G$64,MATCH($A68,Вводные!$A$13:$A$64,0)),0))</f>
        <v>5</v>
      </c>
      <c r="AN68" s="14" t="n">
        <f aca="false">INDEX(Вводные!$D$13:$F$64,MATCH($A68,Вводные!$A$13:$A$64,0),MATCH(AN$3,Вводные!$D$11:$F$11,0))*(1+IF(AN$4=$A68,Вводные!$D$5*INDEX(Вводные!$G$13:$G$64,MATCH($A68,Вводные!$A$13:$A$64,0)),0))</f>
        <v>5</v>
      </c>
      <c r="AO68" s="14" t="n">
        <f aca="false">INDEX(Вводные!$D$13:$F$64,MATCH($A68,Вводные!$A$13:$A$64,0),MATCH(AO$3,Вводные!$D$11:$F$11,0))*(1+IF(AO$4=$A68,Вводные!$D$5*INDEX(Вводные!$G$13:$G$64,MATCH($A68,Вводные!$A$13:$A$64,0)),0))</f>
        <v>4.95</v>
      </c>
      <c r="AP68" s="14" t="n">
        <f aca="false">INDEX(Вводные!$D$13:$F$64,MATCH($A68,Вводные!$A$13:$A$64,0),MATCH(AP$3,Вводные!$D$11:$F$11,0))*(1+IF(AP$4=$A68,Вводные!$D$5*INDEX(Вводные!$G$13:$G$64,MATCH($A68,Вводные!$A$13:$A$64,0)),0))</f>
        <v>5</v>
      </c>
      <c r="AQ68" s="14" t="n">
        <f aca="false">INDEX(Вводные!$D$13:$F$64,MATCH($A68,Вводные!$A$13:$A$64,0),MATCH(AQ$3,Вводные!$D$11:$F$11,0))*(1+IF(AQ$4=$A68,Вводные!$D$5*INDEX(Вводные!$G$13:$G$64,MATCH($A68,Вводные!$A$13:$A$64,0)),0))</f>
        <v>5</v>
      </c>
      <c r="AR68" s="14" t="n">
        <f aca="false">INDEX(Вводные!$D$13:$F$64,MATCH($A68,Вводные!$A$13:$A$64,0),MATCH(AR$3,Вводные!$D$11:$F$11,0))*(1+IF(AR$4=$A68,Вводные!$D$5*INDEX(Вводные!$G$13:$G$64,MATCH($A68,Вводные!$A$13:$A$64,0)),0))</f>
        <v>5</v>
      </c>
      <c r="AS68" s="14" t="n">
        <f aca="false">INDEX(Вводные!$D$13:$F$64,MATCH($A68,Вводные!$A$13:$A$64,0),MATCH(AS$3,Вводные!$D$11:$F$11,0))*(1+IF(AS$4=$A68,Вводные!$D$5*INDEX(Вводные!$G$13:$G$64,MATCH($A68,Вводные!$A$13:$A$64,0)),0))</f>
        <v>5</v>
      </c>
      <c r="AT68" s="14" t="n">
        <f aca="false">INDEX(Вводные!$D$13:$F$64,MATCH($A68,Вводные!$A$13:$A$64,0),MATCH(AT$3,Вводные!$D$11:$F$11,0))*(1+IF(AT$4=$A68,Вводные!$D$5*INDEX(Вводные!$G$13:$G$64,MATCH($A68,Вводные!$A$13:$A$64,0)),0))</f>
        <v>5</v>
      </c>
      <c r="AU68" s="14" t="n">
        <f aca="false">INDEX(Вводные!$D$13:$F$64,MATCH($A68,Вводные!$A$13:$A$64,0),MATCH(AU$3,Вводные!$D$11:$F$11,0))*(1+IF(AU$4=$A68,Вводные!$D$5*INDEX(Вводные!$G$13:$G$64,MATCH($A68,Вводные!$A$13:$A$64,0)),0))</f>
        <v>5</v>
      </c>
      <c r="AV68" s="14" t="n">
        <f aca="false">INDEX(Вводные!$D$13:$F$64,MATCH($A68,Вводные!$A$13:$A$64,0),MATCH(AV$3,Вводные!$D$11:$F$11,0))*(1+IF(AV$4=$A68,Вводные!$D$5*INDEX(Вводные!$G$13:$G$64,MATCH($A68,Вводные!$A$13:$A$64,0)),0))</f>
        <v>5</v>
      </c>
      <c r="AW68" s="14" t="n">
        <f aca="false">INDEX(Вводные!$D$13:$F$64,MATCH($A68,Вводные!$A$13:$A$64,0),MATCH(AW$3,Вводные!$D$11:$F$11,0))*(1+IF(AW$4=$A68,Вводные!$D$5*INDEX(Вводные!$G$13:$G$64,MATCH($A68,Вводные!$A$13:$A$64,0)),0))</f>
        <v>5</v>
      </c>
      <c r="AX68" s="14" t="n">
        <f aca="false">INDEX(Вводные!$D$13:$F$64,MATCH($A68,Вводные!$A$13:$A$64,0),MATCH(AX$3,Вводные!$D$11:$F$11,0))*(1+IF(AX$4=$A68,Вводные!$D$5*INDEX(Вводные!$G$13:$G$64,MATCH($A68,Вводные!$A$13:$A$64,0)),0))</f>
        <v>5</v>
      </c>
      <c r="AY68" s="14" t="n">
        <f aca="false">INDEX(Вводные!$D$13:$F$64,MATCH($A68,Вводные!$A$13:$A$64,0),MATCH(AY$3,Вводные!$D$11:$F$11,0))*(1+IF(AY$4=$A68,Вводные!$D$5*INDEX(Вводные!$G$13:$G$64,MATCH($A68,Вводные!$A$13:$A$64,0)),0))</f>
        <v>5</v>
      </c>
      <c r="AZ68" s="14" t="n">
        <f aca="false">INDEX(Вводные!$D$13:$F$64,MATCH($A68,Вводные!$A$13:$A$64,0),MATCH(AZ$3,Вводные!$D$11:$F$11,0))*(1+IF(AZ$4=$A68,Вводные!$D$5*INDEX(Вводные!$G$13:$G$64,MATCH($A68,Вводные!$A$13:$A$64,0)),0))</f>
        <v>15</v>
      </c>
      <c r="BA68" s="14" t="n">
        <f aca="false">INDEX(Вводные!$D$13:$F$64,MATCH($A68,Вводные!$A$13:$A$64,0),MATCH(BA$3,Вводные!$D$11:$F$11,0))*(1+IF(BA$4=$A68,Вводные!$D$5*INDEX(Вводные!$G$13:$G$64,MATCH($A68,Вводные!$A$13:$A$64,0)),0))</f>
        <v>15</v>
      </c>
      <c r="BB68" s="14" t="n">
        <f aca="false">INDEX(Вводные!$D$13:$F$64,MATCH($A68,Вводные!$A$13:$A$64,0),MATCH(BB$3,Вводные!$D$11:$F$11,0))*(1+IF(BB$4=$A68,Вводные!$D$5*INDEX(Вводные!$G$13:$G$64,MATCH($A68,Вводные!$A$13:$A$64,0)),0))</f>
        <v>15</v>
      </c>
      <c r="BC68" s="14" t="n">
        <f aca="false">INDEX(Вводные!$D$13:$F$64,MATCH($A68,Вводные!$A$13:$A$64,0),MATCH(BC$3,Вводные!$D$11:$F$11,0))*(1+IF(BC$4=$A68,Вводные!$D$5*INDEX(Вводные!$G$13:$G$64,MATCH($A68,Вводные!$A$13:$A$64,0)),0))</f>
        <v>15</v>
      </c>
      <c r="BD68" s="14" t="n">
        <f aca="false">INDEX(Вводные!$D$13:$F$64,MATCH($A68,Вводные!$A$13:$A$64,0),MATCH(BD$3,Вводные!$D$11:$F$11,0))*(1+IF(BD$4=$A68,Вводные!$D$5*INDEX(Вводные!$G$13:$G$64,MATCH($A68,Вводные!$A$13:$A$64,0)),0))</f>
        <v>15</v>
      </c>
      <c r="BE68" s="14" t="n">
        <f aca="false">INDEX(Вводные!$D$13:$F$64,MATCH($A68,Вводные!$A$13:$A$64,0),MATCH(BE$3,Вводные!$D$11:$F$11,0))*(1+IF(BE$4=$A68,Вводные!$D$5*INDEX(Вводные!$G$13:$G$64,MATCH($A68,Вводные!$A$13:$A$64,0)),0))</f>
        <v>15</v>
      </c>
      <c r="BF68" s="14" t="n">
        <f aca="false">INDEX(Вводные!$D$13:$F$64,MATCH($A68,Вводные!$A$13:$A$64,0),MATCH(BF$3,Вводные!$D$11:$F$11,0))*(1+IF(BF$4=$A68,Вводные!$D$5*INDEX(Вводные!$G$13:$G$64,MATCH($A68,Вводные!$A$13:$A$64,0)),0))</f>
        <v>15</v>
      </c>
      <c r="BG68" s="14" t="n">
        <f aca="false">INDEX(Вводные!$D$13:$F$64,MATCH($A68,Вводные!$A$13:$A$64,0),MATCH(BG$3,Вводные!$D$11:$F$11,0))*(1+IF(BG$4=$A68,Вводные!$D$5*INDEX(Вводные!$G$13:$G$64,MATCH($A68,Вводные!$A$13:$A$64,0)),0))</f>
        <v>15</v>
      </c>
      <c r="BH68" s="14" t="n">
        <f aca="false">INDEX(Вводные!$D$13:$F$64,MATCH($A68,Вводные!$A$13:$A$64,0),MATCH(BH$3,Вводные!$D$11:$F$11,0))*(1+IF(BH$4=$A68,Вводные!$D$5*INDEX(Вводные!$G$13:$G$64,MATCH($A68,Вводные!$A$13:$A$64,0)),0))</f>
        <v>15</v>
      </c>
      <c r="BI68" s="14" t="n">
        <f aca="false">INDEX(Вводные!$D$13:$F$64,MATCH($A68,Вводные!$A$13:$A$64,0),MATCH(BI$3,Вводные!$D$11:$F$11,0))*(1+IF(BI$4=$A68,Вводные!$D$5*INDEX(Вводные!$G$13:$G$64,MATCH($A68,Вводные!$A$13:$A$64,0)),0))</f>
        <v>15</v>
      </c>
      <c r="BJ68" s="14" t="n">
        <f aca="false">INDEX(Вводные!$D$13:$F$64,MATCH($A68,Вводные!$A$13:$A$64,0),MATCH(BJ$3,Вводные!$D$11:$F$11,0))*(1+IF(BJ$4=$A68,Вводные!$D$5*INDEX(Вводные!$G$13:$G$64,MATCH($A68,Вводные!$A$13:$A$64,0)),0))</f>
        <v>15</v>
      </c>
      <c r="BK68" s="14" t="n">
        <f aca="false">INDEX(Вводные!$D$13:$F$64,MATCH($A68,Вводные!$A$13:$A$64,0),MATCH(BK$3,Вводные!$D$11:$F$11,0))*(1+IF(BK$4=$A68,Вводные!$D$5*INDEX(Вводные!$G$13:$G$64,MATCH($A68,Вводные!$A$13:$A$64,0)),0))</f>
        <v>15</v>
      </c>
      <c r="BL68" s="14" t="n">
        <f aca="false">INDEX(Вводные!$D$13:$F$64,MATCH($A68,Вводные!$A$13:$A$64,0),MATCH(BL$3,Вводные!$D$11:$F$11,0))*(1+IF(BL$4=$A68,Вводные!$D$5*INDEX(Вводные!$G$13:$G$64,MATCH($A68,Вводные!$A$13:$A$64,0)),0))</f>
        <v>15</v>
      </c>
      <c r="BM68" s="14" t="n">
        <f aca="false">INDEX(Вводные!$D$13:$F$64,MATCH($A68,Вводные!$A$13:$A$64,0),MATCH(BM$3,Вводные!$D$11:$F$11,0))*(1+IF(BM$4=$A68,Вводные!$D$5*INDEX(Вводные!$G$13:$G$64,MATCH($A68,Вводные!$A$13:$A$64,0)),0))</f>
        <v>15</v>
      </c>
      <c r="BN68" s="14" t="n">
        <f aca="false">INDEX(Вводные!$D$13:$F$64,MATCH($A68,Вводные!$A$13:$A$64,0),MATCH(BN$3,Вводные!$D$11:$F$11,0))*(1+IF(BN$4=$A68,Вводные!$D$5*INDEX(Вводные!$G$13:$G$64,MATCH($A68,Вводные!$A$13:$A$64,0)),0))</f>
        <v>15</v>
      </c>
      <c r="BO68" s="14" t="n">
        <f aca="false">INDEX(Вводные!$D$13:$F$64,MATCH($A68,Вводные!$A$13:$A$64,0),MATCH(BO$3,Вводные!$D$11:$F$11,0))*(1+IF(BO$4=$A68,Вводные!$D$5*INDEX(Вводные!$G$13:$G$64,MATCH($A68,Вводные!$A$13:$A$64,0)),0))</f>
        <v>15</v>
      </c>
      <c r="BP68" s="14" t="n">
        <f aca="false">INDEX(Вводные!$D$13:$F$64,MATCH($A68,Вводные!$A$13:$A$64,0),MATCH(BP$3,Вводные!$D$11:$F$11,0))*(1+IF(BP$4=$A68,Вводные!$D$5*INDEX(Вводные!$G$13:$G$64,MATCH($A68,Вводные!$A$13:$A$64,0)),0))</f>
        <v>15</v>
      </c>
      <c r="BQ68" s="14" t="n">
        <f aca="false">INDEX(Вводные!$D$13:$F$64,MATCH($A68,Вводные!$A$13:$A$64,0),MATCH(BQ$3,Вводные!$D$11:$F$11,0))*(1+IF(BQ$4=$A68,Вводные!$D$5*INDEX(Вводные!$G$13:$G$64,MATCH($A68,Вводные!$A$13:$A$64,0)),0))</f>
        <v>15</v>
      </c>
      <c r="BR68" s="14" t="n">
        <f aca="false">INDEX(Вводные!$D$13:$F$64,MATCH($A68,Вводные!$A$13:$A$64,0),MATCH(BR$3,Вводные!$D$11:$F$11,0))*(1+IF(BR$4=$A68,Вводные!$D$5*INDEX(Вводные!$G$13:$G$64,MATCH($A68,Вводные!$A$13:$A$64,0)),0))</f>
        <v>15</v>
      </c>
      <c r="BS68" s="14" t="n">
        <f aca="false">INDEX(Вводные!$D$13:$F$64,MATCH($A68,Вводные!$A$13:$A$64,0),MATCH(BS$3,Вводные!$D$11:$F$11,0))*(1+IF(BS$4=$A68,Вводные!$D$5*INDEX(Вводные!$G$13:$G$64,MATCH($A68,Вводные!$A$13:$A$64,0)),0))</f>
        <v>15</v>
      </c>
      <c r="BT68" s="14" t="n">
        <f aca="false">INDEX(Вводные!$D$13:$F$64,MATCH($A68,Вводные!$A$13:$A$64,0),MATCH(BT$3,Вводные!$D$11:$F$11,0))*(1+IF(BT$4=$A68,Вводные!$D$5*INDEX(Вводные!$G$13:$G$64,MATCH($A68,Вводные!$A$13:$A$64,0)),0))</f>
        <v>15</v>
      </c>
      <c r="BU68" s="14" t="n">
        <f aca="false">INDEX(Вводные!$D$13:$F$64,MATCH($A68,Вводные!$A$13:$A$64,0),MATCH(BU$3,Вводные!$D$11:$F$11,0))*(1+IF(BU$4=$A68,Вводные!$D$5*INDEX(Вводные!$G$13:$G$64,MATCH($A68,Вводные!$A$13:$A$64,0)),0))</f>
        <v>15</v>
      </c>
      <c r="BV68" s="14" t="n">
        <f aca="false">INDEX(Вводные!$D$13:$F$64,MATCH($A68,Вводные!$A$13:$A$64,0),MATCH(BV$3,Вводные!$D$11:$F$11,0))*(1+IF(BV$4=$A68,Вводные!$D$5*INDEX(Вводные!$G$13:$G$64,MATCH($A68,Вводные!$A$13:$A$64,0)),0))</f>
        <v>15</v>
      </c>
      <c r="BW68" s="14" t="n">
        <f aca="false">INDEX(Вводные!$D$13:$F$64,MATCH($A68,Вводные!$A$13:$A$64,0),MATCH(BW$3,Вводные!$D$11:$F$11,0))*(1+IF(BW$4=$A68,Вводные!$D$5*INDEX(Вводные!$G$13:$G$64,MATCH($A68,Вводные!$A$13:$A$64,0)),0))</f>
        <v>15</v>
      </c>
      <c r="BX68" s="14" t="n">
        <f aca="false">INDEX(Вводные!$D$13:$F$64,MATCH($A68,Вводные!$A$13:$A$64,0),MATCH(BX$3,Вводные!$D$11:$F$11,0))*(1+IF(BX$4=$A68,Вводные!$D$5*INDEX(Вводные!$G$13:$G$64,MATCH($A68,Вводные!$A$13:$A$64,0)),0))</f>
        <v>15</v>
      </c>
      <c r="BY68" s="14" t="n">
        <f aca="false">INDEX(Вводные!$D$13:$F$64,MATCH($A68,Вводные!$A$13:$A$64,0),MATCH(BY$3,Вводные!$D$11:$F$11,0))*(1+IF(BY$4=$A68,Вводные!$D$5*INDEX(Вводные!$G$13:$G$64,MATCH($A68,Вводные!$A$13:$A$64,0)),0))</f>
        <v>15</v>
      </c>
      <c r="BZ68" s="14" t="n">
        <f aca="false">INDEX(Вводные!$D$13:$F$64,MATCH($A68,Вводные!$A$13:$A$64,0),MATCH(BZ$3,Вводные!$D$11:$F$11,0))*(1+IF(BZ$4=$A68,Вводные!$D$5*INDEX(Вводные!$G$13:$G$64,MATCH($A68,Вводные!$A$13:$A$64,0)),0))</f>
        <v>15</v>
      </c>
      <c r="CA68" s="14" t="n">
        <f aca="false">INDEX(Вводные!$D$13:$F$64,MATCH($A68,Вводные!$A$13:$A$64,0),MATCH(CA$3,Вводные!$D$11:$F$11,0))*(1+IF(CA$4=$A68,Вводные!$D$5*INDEX(Вводные!$G$13:$G$64,MATCH($A68,Вводные!$A$13:$A$64,0)),0))</f>
        <v>15</v>
      </c>
      <c r="CB68" s="14" t="n">
        <f aca="false">INDEX(Вводные!$D$13:$F$64,MATCH($A68,Вводные!$A$13:$A$64,0),MATCH(CB$3,Вводные!$D$11:$F$11,0))*(1+IF(CB$4=$A68,Вводные!$D$5*INDEX(Вводные!$G$13:$G$64,MATCH($A68,Вводные!$A$13:$A$64,0)),0))</f>
        <v>15</v>
      </c>
      <c r="CC68" s="14" t="n">
        <f aca="false">INDEX(Вводные!$D$13:$F$64,MATCH($A68,Вводные!$A$13:$A$64,0),MATCH(CC$3,Вводные!$D$11:$F$11,0))*(1+IF(CC$4=$A68,Вводные!$D$5*INDEX(Вводные!$G$13:$G$64,MATCH($A68,Вводные!$A$13:$A$64,0)),0))</f>
        <v>15</v>
      </c>
      <c r="CD68" s="14" t="n">
        <f aca="false">INDEX(Вводные!$D$13:$F$64,MATCH($A68,Вводные!$A$13:$A$64,0),MATCH(CD$3,Вводные!$D$11:$F$11,0))*(1+IF(CD$4=$A68,Вводные!$D$5*INDEX(Вводные!$G$13:$G$64,MATCH($A68,Вводные!$A$13:$A$64,0)),0))</f>
        <v>15</v>
      </c>
      <c r="CE68" s="14" t="n">
        <f aca="false">INDEX(Вводные!$D$13:$F$64,MATCH($A68,Вводные!$A$13:$A$64,0),MATCH(CE$3,Вводные!$D$11:$F$11,0))*(1+IF(CE$4=$A68,Вводные!$D$5*INDEX(Вводные!$G$13:$G$64,MATCH($A68,Вводные!$A$13:$A$64,0)),0))</f>
        <v>14.85</v>
      </c>
      <c r="CF68" s="14" t="n">
        <f aca="false">INDEX(Вводные!$D$13:$F$64,MATCH($A68,Вводные!$A$13:$A$64,0),MATCH(CF$3,Вводные!$D$11:$F$11,0))*(1+IF(CF$4=$A68,Вводные!$D$5*INDEX(Вводные!$G$13:$G$64,MATCH($A68,Вводные!$A$13:$A$64,0)),0))</f>
        <v>15</v>
      </c>
      <c r="CG68" s="14" t="n">
        <f aca="false">INDEX(Вводные!$D$13:$F$64,MATCH($A68,Вводные!$A$13:$A$64,0),MATCH(CG$3,Вводные!$D$11:$F$11,0))*(1+IF(CG$4=$A68,Вводные!$D$5*INDEX(Вводные!$G$13:$G$64,MATCH($A68,Вводные!$A$13:$A$64,0)),0))</f>
        <v>15</v>
      </c>
      <c r="CH68" s="14" t="n">
        <f aca="false">INDEX(Вводные!$D$13:$F$64,MATCH($A68,Вводные!$A$13:$A$64,0),MATCH(CH$3,Вводные!$D$11:$F$11,0))*(1+IF(CH$4=$A68,Вводные!$D$5*INDEX(Вводные!$G$13:$G$64,MATCH($A68,Вводные!$A$13:$A$64,0)),0))</f>
        <v>15</v>
      </c>
      <c r="CI68" s="14" t="n">
        <f aca="false">INDEX(Вводные!$D$13:$F$64,MATCH($A68,Вводные!$A$13:$A$64,0),MATCH(CI$3,Вводные!$D$11:$F$11,0))*(1+IF(CI$4=$A68,Вводные!$D$5*INDEX(Вводные!$G$13:$G$64,MATCH($A68,Вводные!$A$13:$A$64,0)),0))</f>
        <v>15</v>
      </c>
      <c r="CJ68" s="14" t="n">
        <f aca="false">INDEX(Вводные!$D$13:$F$64,MATCH($A68,Вводные!$A$13:$A$64,0),MATCH(CJ$3,Вводные!$D$11:$F$11,0))*(1+IF(CJ$4=$A68,Вводные!$D$5*INDEX(Вводные!$G$13:$G$64,MATCH($A68,Вводные!$A$13:$A$64,0)),0))</f>
        <v>15</v>
      </c>
      <c r="CK68" s="14" t="n">
        <f aca="false">INDEX(Вводные!$D$13:$F$64,MATCH($A68,Вводные!$A$13:$A$64,0),MATCH(CK$3,Вводные!$D$11:$F$11,0))*(1+IF(CK$4=$A68,Вводные!$D$5*INDEX(Вводные!$G$13:$G$64,MATCH($A68,Вводные!$A$13:$A$64,0)),0))</f>
        <v>15</v>
      </c>
      <c r="CL68" s="14" t="n">
        <f aca="false">INDEX(Вводные!$D$13:$F$64,MATCH($A68,Вводные!$A$13:$A$64,0),MATCH(CL$3,Вводные!$D$11:$F$11,0))*(1+IF(CL$4=$A68,Вводные!$D$5*INDEX(Вводные!$G$13:$G$64,MATCH($A68,Вводные!$A$13:$A$64,0)),0))</f>
        <v>15</v>
      </c>
      <c r="CM68" s="14" t="n">
        <f aca="false">INDEX(Вводные!$D$13:$F$64,MATCH($A68,Вводные!$A$13:$A$64,0),MATCH(CM$3,Вводные!$D$11:$F$11,0))*(1+IF(CM$4=$A68,Вводные!$D$5*INDEX(Вводные!$G$13:$G$64,MATCH($A68,Вводные!$A$13:$A$64,0)),0))</f>
        <v>15</v>
      </c>
      <c r="CN68" s="14" t="n">
        <f aca="false">INDEX(Вводные!$D$13:$F$64,MATCH($A68,Вводные!$A$13:$A$64,0),MATCH(CN$3,Вводные!$D$11:$F$11,0))*(1+IF(CN$4=$A68,Вводные!$D$5*INDEX(Вводные!$G$13:$G$64,MATCH($A68,Вводные!$A$13:$A$64,0)),0))</f>
        <v>15</v>
      </c>
      <c r="CO68" s="14" t="n">
        <f aca="false">INDEX(Вводные!$D$13:$F$64,MATCH($A68,Вводные!$A$13:$A$64,0),MATCH(CO$3,Вводные!$D$11:$F$11,0))*(1+IF(CO$4=$A68,Вводные!$D$5*INDEX(Вводные!$G$13:$G$64,MATCH($A68,Вводные!$A$13:$A$64,0)),0))</f>
        <v>15</v>
      </c>
      <c r="CP68" s="14" t="n">
        <f aca="false">INDEX(Вводные!$D$13:$F$64,MATCH($A68,Вводные!$A$13:$A$64,0),MATCH(CP$3,Вводные!$D$11:$F$11,0))*(1+IF(CP$4=$A68,Вводные!$D$5*INDEX(Вводные!$G$13:$G$64,MATCH($A68,Вводные!$A$13:$A$64,0)),0))</f>
        <v>30</v>
      </c>
      <c r="CQ68" s="14" t="n">
        <f aca="false">INDEX(Вводные!$D$13:$F$64,MATCH($A68,Вводные!$A$13:$A$64,0),MATCH(CQ$3,Вводные!$D$11:$F$11,0))*(1+IF(CQ$4=$A68,Вводные!$D$5*INDEX(Вводные!$G$13:$G$64,MATCH($A68,Вводные!$A$13:$A$64,0)),0))</f>
        <v>30</v>
      </c>
      <c r="CR68" s="14" t="n">
        <f aca="false">INDEX(Вводные!$D$13:$F$64,MATCH($A68,Вводные!$A$13:$A$64,0),MATCH(CR$3,Вводные!$D$11:$F$11,0))*(1+IF(CR$4=$A68,Вводные!$D$5*INDEX(Вводные!$G$13:$G$64,MATCH($A68,Вводные!$A$13:$A$64,0)),0))</f>
        <v>30</v>
      </c>
      <c r="CS68" s="14" t="n">
        <f aca="false">INDEX(Вводные!$D$13:$F$64,MATCH($A68,Вводные!$A$13:$A$64,0),MATCH(CS$3,Вводные!$D$11:$F$11,0))*(1+IF(CS$4=$A68,Вводные!$D$5*INDEX(Вводные!$G$13:$G$64,MATCH($A68,Вводные!$A$13:$A$64,0)),0))</f>
        <v>30</v>
      </c>
      <c r="CT68" s="14" t="n">
        <f aca="false">INDEX(Вводные!$D$13:$F$64,MATCH($A68,Вводные!$A$13:$A$64,0),MATCH(CT$3,Вводные!$D$11:$F$11,0))*(1+IF(CT$4=$A68,Вводные!$D$5*INDEX(Вводные!$G$13:$G$64,MATCH($A68,Вводные!$A$13:$A$64,0)),0))</f>
        <v>30</v>
      </c>
      <c r="CU68" s="14" t="n">
        <f aca="false">INDEX(Вводные!$D$13:$F$64,MATCH($A68,Вводные!$A$13:$A$64,0),MATCH(CU$3,Вводные!$D$11:$F$11,0))*(1+IF(CU$4=$A68,Вводные!$D$5*INDEX(Вводные!$G$13:$G$64,MATCH($A68,Вводные!$A$13:$A$64,0)),0))</f>
        <v>30</v>
      </c>
      <c r="CV68" s="14" t="n">
        <f aca="false">INDEX(Вводные!$D$13:$F$64,MATCH($A68,Вводные!$A$13:$A$64,0),MATCH(CV$3,Вводные!$D$11:$F$11,0))*(1+IF(CV$4=$A68,Вводные!$D$5*INDEX(Вводные!$G$13:$G$64,MATCH($A68,Вводные!$A$13:$A$64,0)),0))</f>
        <v>30</v>
      </c>
      <c r="CW68" s="14" t="n">
        <f aca="false">INDEX(Вводные!$D$13:$F$64,MATCH($A68,Вводные!$A$13:$A$64,0),MATCH(CW$3,Вводные!$D$11:$F$11,0))*(1+IF(CW$4=$A68,Вводные!$D$5*INDEX(Вводные!$G$13:$G$64,MATCH($A68,Вводные!$A$13:$A$64,0)),0))</f>
        <v>30</v>
      </c>
      <c r="CX68" s="14" t="n">
        <f aca="false">INDEX(Вводные!$D$13:$F$64,MATCH($A68,Вводные!$A$13:$A$64,0),MATCH(CX$3,Вводные!$D$11:$F$11,0))*(1+IF(CX$4=$A68,Вводные!$D$5*INDEX(Вводные!$G$13:$G$64,MATCH($A68,Вводные!$A$13:$A$64,0)),0))</f>
        <v>30</v>
      </c>
      <c r="CY68" s="14" t="n">
        <f aca="false">INDEX(Вводные!$D$13:$F$64,MATCH($A68,Вводные!$A$13:$A$64,0),MATCH(CY$3,Вводные!$D$11:$F$11,0))*(1+IF(CY$4=$A68,Вводные!$D$5*INDEX(Вводные!$G$13:$G$64,MATCH($A68,Вводные!$A$13:$A$64,0)),0))</f>
        <v>30</v>
      </c>
      <c r="CZ68" s="14" t="n">
        <f aca="false">INDEX(Вводные!$D$13:$F$64,MATCH($A68,Вводные!$A$13:$A$64,0),MATCH(CZ$3,Вводные!$D$11:$F$11,0))*(1+IF(CZ$4=$A68,Вводные!$D$5*INDEX(Вводные!$G$13:$G$64,MATCH($A68,Вводные!$A$13:$A$64,0)),0))</f>
        <v>30</v>
      </c>
      <c r="DA68" s="14" t="n">
        <f aca="false">INDEX(Вводные!$D$13:$F$64,MATCH($A68,Вводные!$A$13:$A$64,0),MATCH(DA$3,Вводные!$D$11:$F$11,0))*(1+IF(DA$4=$A68,Вводные!$D$5*INDEX(Вводные!$G$13:$G$64,MATCH($A68,Вводные!$A$13:$A$64,0)),0))</f>
        <v>30</v>
      </c>
      <c r="DB68" s="14" t="n">
        <f aca="false">INDEX(Вводные!$D$13:$F$64,MATCH($A68,Вводные!$A$13:$A$64,0),MATCH(DB$3,Вводные!$D$11:$F$11,0))*(1+IF(DB$4=$A68,Вводные!$D$5*INDEX(Вводные!$G$13:$G$64,MATCH($A68,Вводные!$A$13:$A$64,0)),0))</f>
        <v>30</v>
      </c>
      <c r="DC68" s="14" t="n">
        <f aca="false">INDEX(Вводные!$D$13:$F$64,MATCH($A68,Вводные!$A$13:$A$64,0),MATCH(DC$3,Вводные!$D$11:$F$11,0))*(1+IF(DC$4=$A68,Вводные!$D$5*INDEX(Вводные!$G$13:$G$64,MATCH($A68,Вводные!$A$13:$A$64,0)),0))</f>
        <v>30</v>
      </c>
      <c r="DD68" s="14" t="n">
        <f aca="false">INDEX(Вводные!$D$13:$F$64,MATCH($A68,Вводные!$A$13:$A$64,0),MATCH(DD$3,Вводные!$D$11:$F$11,0))*(1+IF(DD$4=$A68,Вводные!$D$5*INDEX(Вводные!$G$13:$G$64,MATCH($A68,Вводные!$A$13:$A$64,0)),0))</f>
        <v>30</v>
      </c>
      <c r="DE68" s="14" t="n">
        <f aca="false">INDEX(Вводные!$D$13:$F$64,MATCH($A68,Вводные!$A$13:$A$64,0),MATCH(DE$3,Вводные!$D$11:$F$11,0))*(1+IF(DE$4=$A68,Вводные!$D$5*INDEX(Вводные!$G$13:$G$64,MATCH($A68,Вводные!$A$13:$A$64,0)),0))</f>
        <v>30</v>
      </c>
      <c r="DF68" s="14" t="n">
        <f aca="false">INDEX(Вводные!$D$13:$F$64,MATCH($A68,Вводные!$A$13:$A$64,0),MATCH(DF$3,Вводные!$D$11:$F$11,0))*(1+IF(DF$4=$A68,Вводные!$D$5*INDEX(Вводные!$G$13:$G$64,MATCH($A68,Вводные!$A$13:$A$64,0)),0))</f>
        <v>30</v>
      </c>
      <c r="DG68" s="14" t="n">
        <f aca="false">INDEX(Вводные!$D$13:$F$64,MATCH($A68,Вводные!$A$13:$A$64,0),MATCH(DG$3,Вводные!$D$11:$F$11,0))*(1+IF(DG$4=$A68,Вводные!$D$5*INDEX(Вводные!$G$13:$G$64,MATCH($A68,Вводные!$A$13:$A$64,0)),0))</f>
        <v>30</v>
      </c>
      <c r="DH68" s="14" t="n">
        <f aca="false">INDEX(Вводные!$D$13:$F$64,MATCH($A68,Вводные!$A$13:$A$64,0),MATCH(DH$3,Вводные!$D$11:$F$11,0))*(1+IF(DH$4=$A68,Вводные!$D$5*INDEX(Вводные!$G$13:$G$64,MATCH($A68,Вводные!$A$13:$A$64,0)),0))</f>
        <v>30</v>
      </c>
      <c r="DI68" s="14" t="n">
        <f aca="false">INDEX(Вводные!$D$13:$F$64,MATCH($A68,Вводные!$A$13:$A$64,0),MATCH(DI$3,Вводные!$D$11:$F$11,0))*(1+IF(DI$4=$A68,Вводные!$D$5*INDEX(Вводные!$G$13:$G$64,MATCH($A68,Вводные!$A$13:$A$64,0)),0))</f>
        <v>30</v>
      </c>
      <c r="DJ68" s="14" t="n">
        <f aca="false">INDEX(Вводные!$D$13:$F$64,MATCH($A68,Вводные!$A$13:$A$64,0),MATCH(DJ$3,Вводные!$D$11:$F$11,0))*(1+IF(DJ$4=$A68,Вводные!$D$5*INDEX(Вводные!$G$13:$G$64,MATCH($A68,Вводные!$A$13:$A$64,0)),0))</f>
        <v>30</v>
      </c>
      <c r="DK68" s="14" t="n">
        <f aca="false">INDEX(Вводные!$D$13:$F$64,MATCH($A68,Вводные!$A$13:$A$64,0),MATCH(DK$3,Вводные!$D$11:$F$11,0))*(1+IF(DK$4=$A68,Вводные!$D$5*INDEX(Вводные!$G$13:$G$64,MATCH($A68,Вводные!$A$13:$A$64,0)),0))</f>
        <v>30</v>
      </c>
      <c r="DL68" s="14" t="n">
        <f aca="false">INDEX(Вводные!$D$13:$F$64,MATCH($A68,Вводные!$A$13:$A$64,0),MATCH(DL$3,Вводные!$D$11:$F$11,0))*(1+IF(DL$4=$A68,Вводные!$D$5*INDEX(Вводные!$G$13:$G$64,MATCH($A68,Вводные!$A$13:$A$64,0)),0))</f>
        <v>30</v>
      </c>
      <c r="DM68" s="14" t="n">
        <f aca="false">INDEX(Вводные!$D$13:$F$64,MATCH($A68,Вводные!$A$13:$A$64,0),MATCH(DM$3,Вводные!$D$11:$F$11,0))*(1+IF(DM$4=$A68,Вводные!$D$5*INDEX(Вводные!$G$13:$G$64,MATCH($A68,Вводные!$A$13:$A$64,0)),0))</f>
        <v>30</v>
      </c>
      <c r="DN68" s="14" t="n">
        <f aca="false">INDEX(Вводные!$D$13:$F$64,MATCH($A68,Вводные!$A$13:$A$64,0),MATCH(DN$3,Вводные!$D$11:$F$11,0))*(1+IF(DN$4=$A68,Вводные!$D$5*INDEX(Вводные!$G$13:$G$64,MATCH($A68,Вводные!$A$13:$A$64,0)),0))</f>
        <v>30</v>
      </c>
      <c r="DO68" s="14" t="n">
        <f aca="false">INDEX(Вводные!$D$13:$F$64,MATCH($A68,Вводные!$A$13:$A$64,0),MATCH(DO$3,Вводные!$D$11:$F$11,0))*(1+IF(DO$4=$A68,Вводные!$D$5*INDEX(Вводные!$G$13:$G$64,MATCH($A68,Вводные!$A$13:$A$64,0)),0))</f>
        <v>30</v>
      </c>
      <c r="DP68" s="14" t="n">
        <f aca="false">INDEX(Вводные!$D$13:$F$64,MATCH($A68,Вводные!$A$13:$A$64,0),MATCH(DP$3,Вводные!$D$11:$F$11,0))*(1+IF(DP$4=$A68,Вводные!$D$5*INDEX(Вводные!$G$13:$G$64,MATCH($A68,Вводные!$A$13:$A$64,0)),0))</f>
        <v>30</v>
      </c>
      <c r="DQ68" s="14" t="n">
        <f aca="false">INDEX(Вводные!$D$13:$F$64,MATCH($A68,Вводные!$A$13:$A$64,0),MATCH(DQ$3,Вводные!$D$11:$F$11,0))*(1+IF(DQ$4=$A68,Вводные!$D$5*INDEX(Вводные!$G$13:$G$64,MATCH($A68,Вводные!$A$13:$A$64,0)),0))</f>
        <v>30</v>
      </c>
      <c r="DR68" s="14" t="n">
        <f aca="false">INDEX(Вводные!$D$13:$F$64,MATCH($A68,Вводные!$A$13:$A$64,0),MATCH(DR$3,Вводные!$D$11:$F$11,0))*(1+IF(DR$4=$A68,Вводные!$D$5*INDEX(Вводные!$G$13:$G$64,MATCH($A68,Вводные!$A$13:$A$64,0)),0))</f>
        <v>30</v>
      </c>
      <c r="DS68" s="14" t="n">
        <f aca="false">INDEX(Вводные!$D$13:$F$64,MATCH($A68,Вводные!$A$13:$A$64,0),MATCH(DS$3,Вводные!$D$11:$F$11,0))*(1+IF(DS$4=$A68,Вводные!$D$5*INDEX(Вводные!$G$13:$G$64,MATCH($A68,Вводные!$A$13:$A$64,0)),0))</f>
        <v>30</v>
      </c>
      <c r="DT68" s="14" t="n">
        <f aca="false">INDEX(Вводные!$D$13:$F$64,MATCH($A68,Вводные!$A$13:$A$64,0),MATCH(DT$3,Вводные!$D$11:$F$11,0))*(1+IF(DT$4=$A68,Вводные!$D$5*INDEX(Вводные!$G$13:$G$64,MATCH($A68,Вводные!$A$13:$A$64,0)),0))</f>
        <v>30</v>
      </c>
      <c r="DU68" s="14" t="n">
        <f aca="false">INDEX(Вводные!$D$13:$F$64,MATCH($A68,Вводные!$A$13:$A$64,0),MATCH(DU$3,Вводные!$D$11:$F$11,0))*(1+IF(DU$4=$A68,Вводные!$D$5*INDEX(Вводные!$G$13:$G$64,MATCH($A68,Вводные!$A$13:$A$64,0)),0))</f>
        <v>29.7</v>
      </c>
      <c r="DV68" s="14" t="n">
        <f aca="false">INDEX(Вводные!$D$13:$F$64,MATCH($A68,Вводные!$A$13:$A$64,0),MATCH(DV$3,Вводные!$D$11:$F$11,0))*(1+IF(DV$4=$A68,Вводные!$D$5*INDEX(Вводные!$G$13:$G$64,MATCH($A68,Вводные!$A$13:$A$64,0)),0))</f>
        <v>30</v>
      </c>
      <c r="DW68" s="14" t="n">
        <f aca="false">INDEX(Вводные!$D$13:$F$64,MATCH($A68,Вводные!$A$13:$A$64,0),MATCH(DW$3,Вводные!$D$11:$F$11,0))*(1+IF(DW$4=$A68,Вводные!$D$5*INDEX(Вводные!$G$13:$G$64,MATCH($A68,Вводные!$A$13:$A$64,0)),0))</f>
        <v>30</v>
      </c>
      <c r="DX68" s="14" t="n">
        <f aca="false">INDEX(Вводные!$D$13:$F$64,MATCH($A68,Вводные!$A$13:$A$64,0),MATCH(DX$3,Вводные!$D$11:$F$11,0))*(1+IF(DX$4=$A68,Вводные!$D$5*INDEX(Вводные!$G$13:$G$64,MATCH($A68,Вводные!$A$13:$A$64,0)),0))</f>
        <v>30</v>
      </c>
      <c r="DY68" s="14" t="n">
        <f aca="false">INDEX(Вводные!$D$13:$F$64,MATCH($A68,Вводные!$A$13:$A$64,0),MATCH(DY$3,Вводные!$D$11:$F$11,0))*(1+IF(DY$4=$A68,Вводные!$D$5*INDEX(Вводные!$G$13:$G$64,MATCH($A68,Вводные!$A$13:$A$64,0)),0))</f>
        <v>30</v>
      </c>
      <c r="DZ68" s="14" t="n">
        <f aca="false">INDEX(Вводные!$D$13:$F$64,MATCH($A68,Вводные!$A$13:$A$64,0),MATCH(DZ$3,Вводные!$D$11:$F$11,0))*(1+IF(DZ$4=$A68,Вводные!$D$5*INDEX(Вводные!$G$13:$G$64,MATCH($A68,Вводные!$A$13:$A$64,0)),0))</f>
        <v>30</v>
      </c>
      <c r="EA68" s="14" t="n">
        <f aca="false">INDEX(Вводные!$D$13:$F$64,MATCH($A68,Вводные!$A$13:$A$64,0),MATCH(EA$3,Вводные!$D$11:$F$11,0))*(1+IF(EA$4=$A68,Вводные!$D$5*INDEX(Вводные!$G$13:$G$64,MATCH($A68,Вводные!$A$13:$A$64,0)),0))</f>
        <v>30</v>
      </c>
      <c r="EB68" s="14" t="n">
        <f aca="false">INDEX(Вводные!$D$13:$F$64,MATCH($A68,Вводные!$A$13:$A$64,0),MATCH(EB$3,Вводные!$D$11:$F$11,0))*(1+IF(EB$4=$A68,Вводные!$D$5*INDEX(Вводные!$G$13:$G$64,MATCH($A68,Вводные!$A$13:$A$64,0)),0))</f>
        <v>30</v>
      </c>
      <c r="EC68" s="14" t="n">
        <f aca="false">INDEX(Вводные!$D$13:$F$64,MATCH($A68,Вводные!$A$13:$A$64,0),MATCH(EC$3,Вводные!$D$11:$F$11,0))*(1+IF(EC$4=$A68,Вводные!$D$5*INDEX(Вводные!$G$13:$G$64,MATCH($A68,Вводные!$A$13:$A$64,0)),0))</f>
        <v>30</v>
      </c>
      <c r="ED68" s="14" t="n">
        <f aca="false">INDEX(Вводные!$D$13:$F$64,MATCH($A68,Вводные!$A$13:$A$64,0),MATCH(ED$3,Вводные!$D$11:$F$11,0))*(1+IF(ED$4=$A68,Вводные!$D$5*INDEX(Вводные!$G$13:$G$64,MATCH($A68,Вводные!$A$13:$A$64,0)),0))</f>
        <v>30</v>
      </c>
      <c r="EE68" s="14" t="n">
        <f aca="false">INDEX(Вводные!$D$13:$F$64,MATCH($A68,Вводные!$A$13:$A$64,0),MATCH(EE$3,Вводные!$D$11:$F$11,0))*(1+IF(EE$4=$A68,Вводные!$D$5*INDEX(Вводные!$G$13:$G$64,MATCH($A68,Вводные!$A$13:$A$64,0)),0))</f>
        <v>30</v>
      </c>
      <c r="EF68" s="14" t="n">
        <f aca="false">INDEX(Вводные!$D$13:$F$64,MATCH($A68,Вводные!$A$13:$A$64,0),MATCH(EF$3,Вводные!$D$11:$F$11,0))*(1+IF(EF$4=$A68,Вводные!$D$5*INDEX(Вводные!$G$13:$G$64,MATCH($A68,Вводные!$A$13:$A$64,0)),0))</f>
        <v>5</v>
      </c>
      <c r="EG68" s="14" t="n">
        <f aca="false">INDEX(Вводные!$D$13:$F$64,MATCH($A68,Вводные!$A$13:$A$64,0),MATCH(EG$3,Вводные!$D$11:$F$11,0))*(1+IF(EG$4=$A68,Вводные!$D$5*INDEX(Вводные!$G$13:$G$64,MATCH($A68,Вводные!$A$13:$A$64,0)),0))</f>
        <v>5</v>
      </c>
      <c r="EH68" s="14" t="n">
        <f aca="false">INDEX(Вводные!$D$13:$F$64,MATCH($A68,Вводные!$A$13:$A$64,0),MATCH(EH$3,Вводные!$D$11:$F$11,0))*(1+IF(EH$4=$A68,Вводные!$D$5*INDEX(Вводные!$G$13:$G$64,MATCH($A68,Вводные!$A$13:$A$64,0)),0))</f>
        <v>5</v>
      </c>
      <c r="EI68" s="14" t="n">
        <f aca="false">INDEX(Вводные!$D$13:$F$64,MATCH($A68,Вводные!$A$13:$A$64,0),MATCH(EI$3,Вводные!$D$11:$F$11,0))*(1+IF(EI$4=$A68,Вводные!$D$5*INDEX(Вводные!$G$13:$G$64,MATCH($A68,Вводные!$A$13:$A$64,0)),0))</f>
        <v>5</v>
      </c>
      <c r="EJ68" s="14" t="n">
        <f aca="false">INDEX(Вводные!$D$13:$F$64,MATCH($A68,Вводные!$A$13:$A$64,0),MATCH(EJ$3,Вводные!$D$11:$F$11,0))*(1+IF(EJ$4=$A68,Вводные!$D$5*INDEX(Вводные!$G$13:$G$64,MATCH($A68,Вводные!$A$13:$A$64,0)),0))</f>
        <v>5</v>
      </c>
      <c r="EK68" s="14" t="n">
        <f aca="false">INDEX(Вводные!$D$13:$F$64,MATCH($A68,Вводные!$A$13:$A$64,0),MATCH(EK$3,Вводные!$D$11:$F$11,0))*(1+IF(EK$4=$A68,Вводные!$D$5*INDEX(Вводные!$G$13:$G$64,MATCH($A68,Вводные!$A$13:$A$64,0)),0))</f>
        <v>5</v>
      </c>
      <c r="EL68" s="14" t="n">
        <f aca="false">INDEX(Вводные!$D$13:$F$64,MATCH($A68,Вводные!$A$13:$A$64,0),MATCH(EL$3,Вводные!$D$11:$F$11,0))*(1+IF(EL$4=$A68,Вводные!$D$5*INDEX(Вводные!$G$13:$G$64,MATCH($A68,Вводные!$A$13:$A$64,0)),0))</f>
        <v>5</v>
      </c>
      <c r="EM68" s="14" t="n">
        <f aca="false">INDEX(Вводные!$D$13:$F$64,MATCH($A68,Вводные!$A$13:$A$64,0),MATCH(EM$3,Вводные!$D$11:$F$11,0))*(1+IF(EM$4=$A68,Вводные!$D$5*INDEX(Вводные!$G$13:$G$64,MATCH($A68,Вводные!$A$13:$A$64,0)),0))</f>
        <v>5</v>
      </c>
      <c r="EN68" s="14" t="n">
        <f aca="false">INDEX(Вводные!$D$13:$F$64,MATCH($A68,Вводные!$A$13:$A$64,0),MATCH(EN$3,Вводные!$D$11:$F$11,0))*(1+IF(EN$4=$A68,Вводные!$D$5*INDEX(Вводные!$G$13:$G$64,MATCH($A68,Вводные!$A$13:$A$64,0)),0))</f>
        <v>5</v>
      </c>
      <c r="EO68" s="14" t="n">
        <f aca="false">INDEX(Вводные!$D$13:$F$64,MATCH($A68,Вводные!$A$13:$A$64,0),MATCH(EO$3,Вводные!$D$11:$F$11,0))*(1+IF(EO$4=$A68,Вводные!$D$5*INDEX(Вводные!$G$13:$G$64,MATCH($A68,Вводные!$A$13:$A$64,0)),0))</f>
        <v>5</v>
      </c>
      <c r="EP68" s="14" t="n">
        <f aca="false">INDEX(Вводные!$D$13:$F$64,MATCH($A68,Вводные!$A$13:$A$64,0),MATCH(EP$3,Вводные!$D$11:$F$11,0))*(1+IF(EP$4=$A68,Вводные!$D$5*INDEX(Вводные!$G$13:$G$64,MATCH($A68,Вводные!$A$13:$A$64,0)),0))</f>
        <v>5</v>
      </c>
      <c r="EQ68" s="14" t="n">
        <f aca="false">INDEX(Вводные!$D$13:$F$64,MATCH($A68,Вводные!$A$13:$A$64,0),MATCH(EQ$3,Вводные!$D$11:$F$11,0))*(1+IF(EQ$4=$A68,Вводные!$D$5*INDEX(Вводные!$G$13:$G$64,MATCH($A68,Вводные!$A$13:$A$64,0)),0))</f>
        <v>5</v>
      </c>
      <c r="ER68" s="14" t="n">
        <f aca="false">INDEX(Вводные!$D$13:$F$64,MATCH($A68,Вводные!$A$13:$A$64,0),MATCH(ER$3,Вводные!$D$11:$F$11,0))*(1+IF(ER$4=$A68,Вводные!$D$5*INDEX(Вводные!$G$13:$G$64,MATCH($A68,Вводные!$A$13:$A$64,0)),0))</f>
        <v>5</v>
      </c>
      <c r="ES68" s="14" t="n">
        <f aca="false">INDEX(Вводные!$D$13:$F$64,MATCH($A68,Вводные!$A$13:$A$64,0),MATCH(ES$3,Вводные!$D$11:$F$11,0))*(1+IF(ES$4=$A68,Вводные!$D$5*INDEX(Вводные!$G$13:$G$64,MATCH($A68,Вводные!$A$13:$A$64,0)),0))</f>
        <v>5</v>
      </c>
      <c r="ET68" s="14" t="n">
        <f aca="false">INDEX(Вводные!$D$13:$F$64,MATCH($A68,Вводные!$A$13:$A$64,0),MATCH(ET$3,Вводные!$D$11:$F$11,0))*(1+IF(ET$4=$A68,Вводные!$D$5*INDEX(Вводные!$G$13:$G$64,MATCH($A68,Вводные!$A$13:$A$64,0)),0))</f>
        <v>5</v>
      </c>
      <c r="EU68" s="14" t="n">
        <f aca="false">INDEX(Вводные!$D$13:$F$64,MATCH($A68,Вводные!$A$13:$A$64,0),MATCH(EU$3,Вводные!$D$11:$F$11,0))*(1+IF(EU$4=$A68,Вводные!$D$5*INDEX(Вводные!$G$13:$G$64,MATCH($A68,Вводные!$A$13:$A$64,0)),0))</f>
        <v>5</v>
      </c>
      <c r="EV68" s="14" t="n">
        <f aca="false">INDEX(Вводные!$D$13:$F$64,MATCH($A68,Вводные!$A$13:$A$64,0),MATCH(EV$3,Вводные!$D$11:$F$11,0))*(1+IF(EV$4=$A68,Вводные!$D$5*INDEX(Вводные!$G$13:$G$64,MATCH($A68,Вводные!$A$13:$A$64,0)),0))</f>
        <v>5</v>
      </c>
      <c r="EW68" s="14" t="n">
        <f aca="false">INDEX(Вводные!$D$13:$F$64,MATCH($A68,Вводные!$A$13:$A$64,0),MATCH(EW$3,Вводные!$D$11:$F$11,0))*(1+IF(EW$4=$A68,Вводные!$D$5*INDEX(Вводные!$G$13:$G$64,MATCH($A68,Вводные!$A$13:$A$64,0)),0))</f>
        <v>5</v>
      </c>
      <c r="EX68" s="14" t="n">
        <f aca="false">INDEX(Вводные!$D$13:$F$64,MATCH($A68,Вводные!$A$13:$A$64,0),MATCH(EX$3,Вводные!$D$11:$F$11,0))*(1+IF(EX$4=$A68,Вводные!$D$5*INDEX(Вводные!$G$13:$G$64,MATCH($A68,Вводные!$A$13:$A$64,0)),0))</f>
        <v>5</v>
      </c>
      <c r="EY68" s="14" t="n">
        <f aca="false">INDEX(Вводные!$D$13:$F$64,MATCH($A68,Вводные!$A$13:$A$64,0),MATCH(EY$3,Вводные!$D$11:$F$11,0))*(1+IF(EY$4=$A68,Вводные!$D$5*INDEX(Вводные!$G$13:$G$64,MATCH($A68,Вводные!$A$13:$A$64,0)),0))</f>
        <v>5</v>
      </c>
      <c r="EZ68" s="14" t="n">
        <f aca="false">INDEX(Вводные!$D$13:$F$64,MATCH($A68,Вводные!$A$13:$A$64,0),MATCH(EZ$3,Вводные!$D$11:$F$11,0))*(1+IF(EZ$4=$A68,Вводные!$D$5*INDEX(Вводные!$G$13:$G$64,MATCH($A68,Вводные!$A$13:$A$64,0)),0))</f>
        <v>5</v>
      </c>
      <c r="FA68" s="14" t="n">
        <f aca="false">INDEX(Вводные!$D$13:$F$64,MATCH($A68,Вводные!$A$13:$A$64,0),MATCH(FA$3,Вводные!$D$11:$F$11,0))*(1+IF(FA$4=$A68,Вводные!$D$5*INDEX(Вводные!$G$13:$G$64,MATCH($A68,Вводные!$A$13:$A$64,0)),0))</f>
        <v>5</v>
      </c>
      <c r="FB68" s="14" t="n">
        <f aca="false">INDEX(Вводные!$D$13:$F$64,MATCH($A68,Вводные!$A$13:$A$64,0),MATCH(FB$3,Вводные!$D$11:$F$11,0))*(1+IF(FB$4=$A68,Вводные!$D$5*INDEX(Вводные!$G$13:$G$64,MATCH($A68,Вводные!$A$13:$A$64,0)),0))</f>
        <v>5</v>
      </c>
      <c r="FC68" s="14" t="n">
        <f aca="false">INDEX(Вводные!$D$13:$F$64,MATCH($A68,Вводные!$A$13:$A$64,0),MATCH(FC$3,Вводные!$D$11:$F$11,0))*(1+IF(FC$4=$A68,Вводные!$D$5*INDEX(Вводные!$G$13:$G$64,MATCH($A68,Вводные!$A$13:$A$64,0)),0))</f>
        <v>5</v>
      </c>
      <c r="FD68" s="14" t="n">
        <f aca="false">INDEX(Вводные!$D$13:$F$64,MATCH($A68,Вводные!$A$13:$A$64,0),MATCH(FD$3,Вводные!$D$11:$F$11,0))*(1+IF(FD$4=$A68,Вводные!$D$5*INDEX(Вводные!$G$13:$G$64,MATCH($A68,Вводные!$A$13:$A$64,0)),0))</f>
        <v>5</v>
      </c>
      <c r="FE68" s="14" t="n">
        <f aca="false">INDEX(Вводные!$D$13:$F$64,MATCH($A68,Вводные!$A$13:$A$64,0),MATCH(FE$3,Вводные!$D$11:$F$11,0))*(1+IF(FE$4=$A68,Вводные!$D$5*INDEX(Вводные!$G$13:$G$64,MATCH($A68,Вводные!$A$13:$A$64,0)),0))</f>
        <v>5</v>
      </c>
      <c r="FF68" s="14" t="n">
        <f aca="false">INDEX(Вводные!$D$13:$F$64,MATCH($A68,Вводные!$A$13:$A$64,0),MATCH(FF$3,Вводные!$D$11:$F$11,0))*(1+IF(FF$4=$A68,Вводные!$D$5*INDEX(Вводные!$G$13:$G$64,MATCH($A68,Вводные!$A$13:$A$64,0)),0))</f>
        <v>5</v>
      </c>
      <c r="FG68" s="14" t="n">
        <f aca="false">INDEX(Вводные!$D$13:$F$64,MATCH($A68,Вводные!$A$13:$A$64,0),MATCH(FG$3,Вводные!$D$11:$F$11,0))*(1+IF(FG$4=$A68,Вводные!$D$5*INDEX(Вводные!$G$13:$G$64,MATCH($A68,Вводные!$A$13:$A$64,0)),0))</f>
        <v>5</v>
      </c>
      <c r="FH68" s="14" t="n">
        <f aca="false">INDEX(Вводные!$D$13:$F$64,MATCH($A68,Вводные!$A$13:$A$64,0),MATCH(FH$3,Вводные!$D$11:$F$11,0))*(1+IF(FH$4=$A68,Вводные!$D$5*INDEX(Вводные!$G$13:$G$64,MATCH($A68,Вводные!$A$13:$A$64,0)),0))</f>
        <v>5</v>
      </c>
      <c r="FI68" s="14" t="n">
        <f aca="false">INDEX(Вводные!$D$13:$F$64,MATCH($A68,Вводные!$A$13:$A$64,0),MATCH(FI$3,Вводные!$D$11:$F$11,0))*(1+IF(FI$4=$A68,Вводные!$D$5*INDEX(Вводные!$G$13:$G$64,MATCH($A68,Вводные!$A$13:$A$64,0)),0))</f>
        <v>5</v>
      </c>
      <c r="FJ68" s="14" t="n">
        <f aca="false">INDEX(Вводные!$D$13:$F$64,MATCH($A68,Вводные!$A$13:$A$64,0),MATCH(FJ$3,Вводные!$D$11:$F$11,0))*(1+IF(FJ$4=$A68,Вводные!$D$5*INDEX(Вводные!$G$13:$G$64,MATCH($A68,Вводные!$A$13:$A$64,0)),0))</f>
        <v>5</v>
      </c>
      <c r="FK68" s="14" t="n">
        <f aca="false">INDEX(Вводные!$D$13:$F$64,MATCH($A68,Вводные!$A$13:$A$64,0),MATCH(FK$3,Вводные!$D$11:$F$11,0))*(1+IF(FK$4=$A68,Вводные!$D$5*INDEX(Вводные!$G$13:$G$64,MATCH($A68,Вводные!$A$13:$A$64,0)),0))</f>
        <v>4.95</v>
      </c>
      <c r="FL68" s="14" t="n">
        <f aca="false">INDEX(Вводные!$D$13:$F$64,MATCH($A68,Вводные!$A$13:$A$64,0),MATCH(FL$3,Вводные!$D$11:$F$11,0))*(1+IF(FL$4=$A68,Вводные!$D$5*INDEX(Вводные!$G$13:$G$64,MATCH($A68,Вводные!$A$13:$A$64,0)),0))</f>
        <v>5</v>
      </c>
      <c r="FM68" s="14" t="n">
        <f aca="false">INDEX(Вводные!$D$13:$F$64,MATCH($A68,Вводные!$A$13:$A$64,0),MATCH(FM$3,Вводные!$D$11:$F$11,0))*(1+IF(FM$4=$A68,Вводные!$D$5*INDEX(Вводные!$G$13:$G$64,MATCH($A68,Вводные!$A$13:$A$64,0)),0))</f>
        <v>5</v>
      </c>
      <c r="FN68" s="14" t="n">
        <f aca="false">INDEX(Вводные!$D$13:$F$64,MATCH($A68,Вводные!$A$13:$A$64,0),MATCH(FN$3,Вводные!$D$11:$F$11,0))*(1+IF(FN$4=$A68,Вводные!$D$5*INDEX(Вводные!$G$13:$G$64,MATCH($A68,Вводные!$A$13:$A$64,0)),0))</f>
        <v>5</v>
      </c>
      <c r="FO68" s="14" t="n">
        <f aca="false">INDEX(Вводные!$D$13:$F$64,MATCH($A68,Вводные!$A$13:$A$64,0),MATCH(FO$3,Вводные!$D$11:$F$11,0))*(1+IF(FO$4=$A68,Вводные!$D$5*INDEX(Вводные!$G$13:$G$64,MATCH($A68,Вводные!$A$13:$A$64,0)),0))</f>
        <v>5</v>
      </c>
      <c r="FP68" s="14" t="n">
        <f aca="false">INDEX(Вводные!$D$13:$F$64,MATCH($A68,Вводные!$A$13:$A$64,0),MATCH(FP$3,Вводные!$D$11:$F$11,0))*(1+IF(FP$4=$A68,Вводные!$D$5*INDEX(Вводные!$G$13:$G$64,MATCH($A68,Вводные!$A$13:$A$64,0)),0))</f>
        <v>5</v>
      </c>
      <c r="FQ68" s="14" t="n">
        <f aca="false">INDEX(Вводные!$D$13:$F$64,MATCH($A68,Вводные!$A$13:$A$64,0),MATCH(FQ$3,Вводные!$D$11:$F$11,0))*(1+IF(FQ$4=$A68,Вводные!$D$5*INDEX(Вводные!$G$13:$G$64,MATCH($A68,Вводные!$A$13:$A$64,0)),0))</f>
        <v>5</v>
      </c>
      <c r="FR68" s="14" t="n">
        <f aca="false">INDEX(Вводные!$D$13:$F$64,MATCH($A68,Вводные!$A$13:$A$64,0),MATCH(FR$3,Вводные!$D$11:$F$11,0))*(1+IF(FR$4=$A68,Вводные!$D$5*INDEX(Вводные!$G$13:$G$64,MATCH($A68,Вводные!$A$13:$A$64,0)),0))</f>
        <v>5</v>
      </c>
      <c r="FS68" s="14" t="n">
        <f aca="false">INDEX(Вводные!$D$13:$F$64,MATCH($A68,Вводные!$A$13:$A$64,0),MATCH(FS$3,Вводные!$D$11:$F$11,0))*(1+IF(FS$4=$A68,Вводные!$D$5*INDEX(Вводные!$G$13:$G$64,MATCH($A68,Вводные!$A$13:$A$64,0)),0))</f>
        <v>5</v>
      </c>
      <c r="FT68" s="14" t="n">
        <f aca="false">INDEX(Вводные!$D$13:$F$64,MATCH($A68,Вводные!$A$13:$A$64,0),MATCH(FT$3,Вводные!$D$11:$F$11,0))*(1+IF(FT$4=$A68,Вводные!$D$5*INDEX(Вводные!$G$13:$G$64,MATCH($A68,Вводные!$A$13:$A$64,0)),0))</f>
        <v>5</v>
      </c>
      <c r="FU68" s="14" t="n">
        <f aca="false">INDEX(Вводные!$D$13:$F$64,MATCH($A68,Вводные!$A$13:$A$64,0),MATCH(FU$3,Вводные!$D$11:$F$11,0))*(1+IF(FU$4=$A68,Вводные!$D$5*INDEX(Вводные!$G$13:$G$64,MATCH($A68,Вводные!$A$13:$A$64,0)),0))</f>
        <v>5</v>
      </c>
      <c r="FV68" s="14" t="n">
        <f aca="false">INDEX(Вводные!$D$13:$F$64,MATCH($A68,Вводные!$A$13:$A$64,0),MATCH(FV$3,Вводные!$D$11:$F$11,0))*(1+IF(FV$4=$A68,Вводные!$D$5*INDEX(Вводные!$G$13:$G$64,MATCH($A68,Вводные!$A$13:$A$64,0)),0))</f>
        <v>15</v>
      </c>
      <c r="FW68" s="14" t="n">
        <f aca="false">INDEX(Вводные!$D$13:$F$64,MATCH($A68,Вводные!$A$13:$A$64,0),MATCH(FW$3,Вводные!$D$11:$F$11,0))*(1+IF(FW$4=$A68,Вводные!$D$5*INDEX(Вводные!$G$13:$G$64,MATCH($A68,Вводные!$A$13:$A$64,0)),0))</f>
        <v>15</v>
      </c>
      <c r="FX68" s="14" t="n">
        <f aca="false">INDEX(Вводные!$D$13:$F$64,MATCH($A68,Вводные!$A$13:$A$64,0),MATCH(FX$3,Вводные!$D$11:$F$11,0))*(1+IF(FX$4=$A68,Вводные!$D$5*INDEX(Вводные!$G$13:$G$64,MATCH($A68,Вводные!$A$13:$A$64,0)),0))</f>
        <v>15</v>
      </c>
      <c r="FY68" s="14" t="n">
        <f aca="false">INDEX(Вводные!$D$13:$F$64,MATCH($A68,Вводные!$A$13:$A$64,0),MATCH(FY$3,Вводные!$D$11:$F$11,0))*(1+IF(FY$4=$A68,Вводные!$D$5*INDEX(Вводные!$G$13:$G$64,MATCH($A68,Вводные!$A$13:$A$64,0)),0))</f>
        <v>15</v>
      </c>
      <c r="FZ68" s="14" t="n">
        <f aca="false">INDEX(Вводные!$D$13:$F$64,MATCH($A68,Вводные!$A$13:$A$64,0),MATCH(FZ$3,Вводные!$D$11:$F$11,0))*(1+IF(FZ$4=$A68,Вводные!$D$5*INDEX(Вводные!$G$13:$G$64,MATCH($A68,Вводные!$A$13:$A$64,0)),0))</f>
        <v>15</v>
      </c>
      <c r="GA68" s="14" t="n">
        <f aca="false">INDEX(Вводные!$D$13:$F$64,MATCH($A68,Вводные!$A$13:$A$64,0),MATCH(GA$3,Вводные!$D$11:$F$11,0))*(1+IF(GA$4=$A68,Вводные!$D$5*INDEX(Вводные!$G$13:$G$64,MATCH($A68,Вводные!$A$13:$A$64,0)),0))</f>
        <v>15</v>
      </c>
      <c r="GB68" s="14" t="n">
        <f aca="false">INDEX(Вводные!$D$13:$F$64,MATCH($A68,Вводные!$A$13:$A$64,0),MATCH(GB$3,Вводные!$D$11:$F$11,0))*(1+IF(GB$4=$A68,Вводные!$D$5*INDEX(Вводные!$G$13:$G$64,MATCH($A68,Вводные!$A$13:$A$64,0)),0))</f>
        <v>15</v>
      </c>
      <c r="GC68" s="14" t="n">
        <f aca="false">INDEX(Вводные!$D$13:$F$64,MATCH($A68,Вводные!$A$13:$A$64,0),MATCH(GC$3,Вводные!$D$11:$F$11,0))*(1+IF(GC$4=$A68,Вводные!$D$5*INDEX(Вводные!$G$13:$G$64,MATCH($A68,Вводные!$A$13:$A$64,0)),0))</f>
        <v>15</v>
      </c>
      <c r="GD68" s="14" t="n">
        <f aca="false">INDEX(Вводные!$D$13:$F$64,MATCH($A68,Вводные!$A$13:$A$64,0),MATCH(GD$3,Вводные!$D$11:$F$11,0))*(1+IF(GD$4=$A68,Вводные!$D$5*INDEX(Вводные!$G$13:$G$64,MATCH($A68,Вводные!$A$13:$A$64,0)),0))</f>
        <v>15</v>
      </c>
      <c r="GE68" s="14" t="n">
        <f aca="false">INDEX(Вводные!$D$13:$F$64,MATCH($A68,Вводные!$A$13:$A$64,0),MATCH(GE$3,Вводные!$D$11:$F$11,0))*(1+IF(GE$4=$A68,Вводные!$D$5*INDEX(Вводные!$G$13:$G$64,MATCH($A68,Вводные!$A$13:$A$64,0)),0))</f>
        <v>15</v>
      </c>
      <c r="GF68" s="14" t="n">
        <f aca="false">INDEX(Вводные!$D$13:$F$64,MATCH($A68,Вводные!$A$13:$A$64,0),MATCH(GF$3,Вводные!$D$11:$F$11,0))*(1+IF(GF$4=$A68,Вводные!$D$5*INDEX(Вводные!$G$13:$G$64,MATCH($A68,Вводные!$A$13:$A$64,0)),0))</f>
        <v>15</v>
      </c>
      <c r="GG68" s="14" t="n">
        <f aca="false">INDEX(Вводные!$D$13:$F$64,MATCH($A68,Вводные!$A$13:$A$64,0),MATCH(GG$3,Вводные!$D$11:$F$11,0))*(1+IF(GG$4=$A68,Вводные!$D$5*INDEX(Вводные!$G$13:$G$64,MATCH($A68,Вводные!$A$13:$A$64,0)),0))</f>
        <v>15</v>
      </c>
      <c r="GH68" s="14" t="n">
        <f aca="false">INDEX(Вводные!$D$13:$F$64,MATCH($A68,Вводные!$A$13:$A$64,0),MATCH(GH$3,Вводные!$D$11:$F$11,0))*(1+IF(GH$4=$A68,Вводные!$D$5*INDEX(Вводные!$G$13:$G$64,MATCH($A68,Вводные!$A$13:$A$64,0)),0))</f>
        <v>15</v>
      </c>
      <c r="GI68" s="14" t="n">
        <f aca="false">INDEX(Вводные!$D$13:$F$64,MATCH($A68,Вводные!$A$13:$A$64,0),MATCH(GI$3,Вводные!$D$11:$F$11,0))*(1+IF(GI$4=$A68,Вводные!$D$5*INDEX(Вводные!$G$13:$G$64,MATCH($A68,Вводные!$A$13:$A$64,0)),0))</f>
        <v>15</v>
      </c>
      <c r="GJ68" s="14" t="n">
        <f aca="false">INDEX(Вводные!$D$13:$F$64,MATCH($A68,Вводные!$A$13:$A$64,0),MATCH(GJ$3,Вводные!$D$11:$F$11,0))*(1+IF(GJ$4=$A68,Вводные!$D$5*INDEX(Вводные!$G$13:$G$64,MATCH($A68,Вводные!$A$13:$A$64,0)),0))</f>
        <v>15</v>
      </c>
      <c r="GK68" s="14" t="n">
        <f aca="false">INDEX(Вводные!$D$13:$F$64,MATCH($A68,Вводные!$A$13:$A$64,0),MATCH(GK$3,Вводные!$D$11:$F$11,0))*(1+IF(GK$4=$A68,Вводные!$D$5*INDEX(Вводные!$G$13:$G$64,MATCH($A68,Вводные!$A$13:$A$64,0)),0))</f>
        <v>15</v>
      </c>
      <c r="GL68" s="14" t="n">
        <f aca="false">INDEX(Вводные!$D$13:$F$64,MATCH($A68,Вводные!$A$13:$A$64,0),MATCH(GL$3,Вводные!$D$11:$F$11,0))*(1+IF(GL$4=$A68,Вводные!$D$5*INDEX(Вводные!$G$13:$G$64,MATCH($A68,Вводные!$A$13:$A$64,0)),0))</f>
        <v>15</v>
      </c>
      <c r="GM68" s="14" t="n">
        <f aca="false">INDEX(Вводные!$D$13:$F$64,MATCH($A68,Вводные!$A$13:$A$64,0),MATCH(GM$3,Вводные!$D$11:$F$11,0))*(1+IF(GM$4=$A68,Вводные!$D$5*INDEX(Вводные!$G$13:$G$64,MATCH($A68,Вводные!$A$13:$A$64,0)),0))</f>
        <v>15</v>
      </c>
      <c r="GN68" s="14" t="n">
        <f aca="false">INDEX(Вводные!$D$13:$F$64,MATCH($A68,Вводные!$A$13:$A$64,0),MATCH(GN$3,Вводные!$D$11:$F$11,0))*(1+IF(GN$4=$A68,Вводные!$D$5*INDEX(Вводные!$G$13:$G$64,MATCH($A68,Вводные!$A$13:$A$64,0)),0))</f>
        <v>15</v>
      </c>
      <c r="GO68" s="14" t="n">
        <f aca="false">INDEX(Вводные!$D$13:$F$64,MATCH($A68,Вводные!$A$13:$A$64,0),MATCH(GO$3,Вводные!$D$11:$F$11,0))*(1+IF(GO$4=$A68,Вводные!$D$5*INDEX(Вводные!$G$13:$G$64,MATCH($A68,Вводные!$A$13:$A$64,0)),0))</f>
        <v>15</v>
      </c>
      <c r="GP68" s="14" t="n">
        <f aca="false">INDEX(Вводные!$D$13:$F$64,MATCH($A68,Вводные!$A$13:$A$64,0),MATCH(GP$3,Вводные!$D$11:$F$11,0))*(1+IF(GP$4=$A68,Вводные!$D$5*INDEX(Вводные!$G$13:$G$64,MATCH($A68,Вводные!$A$13:$A$64,0)),0))</f>
        <v>15</v>
      </c>
      <c r="GQ68" s="14" t="n">
        <f aca="false">INDEX(Вводные!$D$13:$F$64,MATCH($A68,Вводные!$A$13:$A$64,0),MATCH(GQ$3,Вводные!$D$11:$F$11,0))*(1+IF(GQ$4=$A68,Вводные!$D$5*INDEX(Вводные!$G$13:$G$64,MATCH($A68,Вводные!$A$13:$A$64,0)),0))</f>
        <v>15</v>
      </c>
      <c r="GR68" s="14" t="n">
        <f aca="false">INDEX(Вводные!$D$13:$F$64,MATCH($A68,Вводные!$A$13:$A$64,0),MATCH(GR$3,Вводные!$D$11:$F$11,0))*(1+IF(GR$4=$A68,Вводные!$D$5*INDEX(Вводные!$G$13:$G$64,MATCH($A68,Вводные!$A$13:$A$64,0)),0))</f>
        <v>15</v>
      </c>
      <c r="GS68" s="14" t="n">
        <f aca="false">INDEX(Вводные!$D$13:$F$64,MATCH($A68,Вводные!$A$13:$A$64,0),MATCH(GS$3,Вводные!$D$11:$F$11,0))*(1+IF(GS$4=$A68,Вводные!$D$5*INDEX(Вводные!$G$13:$G$64,MATCH($A68,Вводные!$A$13:$A$64,0)),0))</f>
        <v>15</v>
      </c>
      <c r="GT68" s="14" t="n">
        <f aca="false">INDEX(Вводные!$D$13:$F$64,MATCH($A68,Вводные!$A$13:$A$64,0),MATCH(GT$3,Вводные!$D$11:$F$11,0))*(1+IF(GT$4=$A68,Вводные!$D$5*INDEX(Вводные!$G$13:$G$64,MATCH($A68,Вводные!$A$13:$A$64,0)),0))</f>
        <v>15</v>
      </c>
      <c r="GU68" s="14" t="n">
        <f aca="false">INDEX(Вводные!$D$13:$F$64,MATCH($A68,Вводные!$A$13:$A$64,0),MATCH(GU$3,Вводные!$D$11:$F$11,0))*(1+IF(GU$4=$A68,Вводные!$D$5*INDEX(Вводные!$G$13:$G$64,MATCH($A68,Вводные!$A$13:$A$64,0)),0))</f>
        <v>15</v>
      </c>
      <c r="GV68" s="14" t="n">
        <f aca="false">INDEX(Вводные!$D$13:$F$64,MATCH($A68,Вводные!$A$13:$A$64,0),MATCH(GV$3,Вводные!$D$11:$F$11,0))*(1+IF(GV$4=$A68,Вводные!$D$5*INDEX(Вводные!$G$13:$G$64,MATCH($A68,Вводные!$A$13:$A$64,0)),0))</f>
        <v>15</v>
      </c>
      <c r="GW68" s="14" t="n">
        <f aca="false">INDEX(Вводные!$D$13:$F$64,MATCH($A68,Вводные!$A$13:$A$64,0),MATCH(GW$3,Вводные!$D$11:$F$11,0))*(1+IF(GW$4=$A68,Вводные!$D$5*INDEX(Вводные!$G$13:$G$64,MATCH($A68,Вводные!$A$13:$A$64,0)),0))</f>
        <v>15</v>
      </c>
      <c r="GX68" s="14" t="n">
        <f aca="false">INDEX(Вводные!$D$13:$F$64,MATCH($A68,Вводные!$A$13:$A$64,0),MATCH(GX$3,Вводные!$D$11:$F$11,0))*(1+IF(GX$4=$A68,Вводные!$D$5*INDEX(Вводные!$G$13:$G$64,MATCH($A68,Вводные!$A$13:$A$64,0)),0))</f>
        <v>15</v>
      </c>
      <c r="GY68" s="14" t="n">
        <f aca="false">INDEX(Вводные!$D$13:$F$64,MATCH($A68,Вводные!$A$13:$A$64,0),MATCH(GY$3,Вводные!$D$11:$F$11,0))*(1+IF(GY$4=$A68,Вводные!$D$5*INDEX(Вводные!$G$13:$G$64,MATCH($A68,Вводные!$A$13:$A$64,0)),0))</f>
        <v>15</v>
      </c>
      <c r="GZ68" s="14" t="n">
        <f aca="false">INDEX(Вводные!$D$13:$F$64,MATCH($A68,Вводные!$A$13:$A$64,0),MATCH(GZ$3,Вводные!$D$11:$F$11,0))*(1+IF(GZ$4=$A68,Вводные!$D$5*INDEX(Вводные!$G$13:$G$64,MATCH($A68,Вводные!$A$13:$A$64,0)),0))</f>
        <v>15</v>
      </c>
      <c r="HA68" s="14" t="n">
        <f aca="false">INDEX(Вводные!$D$13:$F$64,MATCH($A68,Вводные!$A$13:$A$64,0),MATCH(HA$3,Вводные!$D$11:$F$11,0))*(1+IF(HA$4=$A68,Вводные!$D$5*INDEX(Вводные!$G$13:$G$64,MATCH($A68,Вводные!$A$13:$A$64,0)),0))</f>
        <v>14.85</v>
      </c>
      <c r="HB68" s="14" t="n">
        <f aca="false">INDEX(Вводные!$D$13:$F$64,MATCH($A68,Вводные!$A$13:$A$64,0),MATCH(HB$3,Вводные!$D$11:$F$11,0))*(1+IF(HB$4=$A68,Вводные!$D$5*INDEX(Вводные!$G$13:$G$64,MATCH($A68,Вводные!$A$13:$A$64,0)),0))</f>
        <v>15</v>
      </c>
      <c r="HC68" s="14" t="n">
        <f aca="false">INDEX(Вводные!$D$13:$F$64,MATCH($A68,Вводные!$A$13:$A$64,0),MATCH(HC$3,Вводные!$D$11:$F$11,0))*(1+IF(HC$4=$A68,Вводные!$D$5*INDEX(Вводные!$G$13:$G$64,MATCH($A68,Вводные!$A$13:$A$64,0)),0))</f>
        <v>15</v>
      </c>
      <c r="HD68" s="14" t="n">
        <f aca="false">INDEX(Вводные!$D$13:$F$64,MATCH($A68,Вводные!$A$13:$A$64,0),MATCH(HD$3,Вводные!$D$11:$F$11,0))*(1+IF(HD$4=$A68,Вводные!$D$5*INDEX(Вводные!$G$13:$G$64,MATCH($A68,Вводные!$A$13:$A$64,0)),0))</f>
        <v>15</v>
      </c>
      <c r="HE68" s="14" t="n">
        <f aca="false">INDEX(Вводные!$D$13:$F$64,MATCH($A68,Вводные!$A$13:$A$64,0),MATCH(HE$3,Вводные!$D$11:$F$11,0))*(1+IF(HE$4=$A68,Вводные!$D$5*INDEX(Вводные!$G$13:$G$64,MATCH($A68,Вводные!$A$13:$A$64,0)),0))</f>
        <v>15</v>
      </c>
      <c r="HF68" s="14" t="n">
        <f aca="false">INDEX(Вводные!$D$13:$F$64,MATCH($A68,Вводные!$A$13:$A$64,0),MATCH(HF$3,Вводные!$D$11:$F$11,0))*(1+IF(HF$4=$A68,Вводные!$D$5*INDEX(Вводные!$G$13:$G$64,MATCH($A68,Вводные!$A$13:$A$64,0)),0))</f>
        <v>15</v>
      </c>
      <c r="HG68" s="14" t="n">
        <f aca="false">INDEX(Вводные!$D$13:$F$64,MATCH($A68,Вводные!$A$13:$A$64,0),MATCH(HG$3,Вводные!$D$11:$F$11,0))*(1+IF(HG$4=$A68,Вводные!$D$5*INDEX(Вводные!$G$13:$G$64,MATCH($A68,Вводные!$A$13:$A$64,0)),0))</f>
        <v>15</v>
      </c>
      <c r="HH68" s="14" t="n">
        <f aca="false">INDEX(Вводные!$D$13:$F$64,MATCH($A68,Вводные!$A$13:$A$64,0),MATCH(HH$3,Вводные!$D$11:$F$11,0))*(1+IF(HH$4=$A68,Вводные!$D$5*INDEX(Вводные!$G$13:$G$64,MATCH($A68,Вводные!$A$13:$A$64,0)),0))</f>
        <v>15</v>
      </c>
      <c r="HI68" s="14" t="n">
        <f aca="false">INDEX(Вводные!$D$13:$F$64,MATCH($A68,Вводные!$A$13:$A$64,0),MATCH(HI$3,Вводные!$D$11:$F$11,0))*(1+IF(HI$4=$A68,Вводные!$D$5*INDEX(Вводные!$G$13:$G$64,MATCH($A68,Вводные!$A$13:$A$64,0)),0))</f>
        <v>15</v>
      </c>
      <c r="HJ68" s="14" t="n">
        <f aca="false">INDEX(Вводные!$D$13:$F$64,MATCH($A68,Вводные!$A$13:$A$64,0),MATCH(HJ$3,Вводные!$D$11:$F$11,0))*(1+IF(HJ$4=$A68,Вводные!$D$5*INDEX(Вводные!$G$13:$G$64,MATCH($A68,Вводные!$A$13:$A$64,0)),0))</f>
        <v>15</v>
      </c>
      <c r="HK68" s="14" t="n">
        <f aca="false">INDEX(Вводные!$D$13:$F$64,MATCH($A68,Вводные!$A$13:$A$64,0),MATCH(HK$3,Вводные!$D$11:$F$11,0))*(1+IF(HK$4=$A68,Вводные!$D$5*INDEX(Вводные!$G$13:$G$64,MATCH($A68,Вводные!$A$13:$A$64,0)),0))</f>
        <v>15</v>
      </c>
      <c r="HL68" s="14" t="n">
        <f aca="false">INDEX(Вводные!$D$13:$F$64,MATCH($A68,Вводные!$A$13:$A$64,0),MATCH(HL$3,Вводные!$D$11:$F$11,0))*(1+IF(HL$4=$A68,Вводные!$D$5*INDEX(Вводные!$G$13:$G$64,MATCH($A68,Вводные!$A$13:$A$64,0)),0))</f>
        <v>30</v>
      </c>
      <c r="HM68" s="14" t="n">
        <f aca="false">INDEX(Вводные!$D$13:$F$64,MATCH($A68,Вводные!$A$13:$A$64,0),MATCH(HM$3,Вводные!$D$11:$F$11,0))*(1+IF(HM$4=$A68,Вводные!$D$5*INDEX(Вводные!$G$13:$G$64,MATCH($A68,Вводные!$A$13:$A$64,0)),0))</f>
        <v>30</v>
      </c>
      <c r="HN68" s="14" t="n">
        <f aca="false">INDEX(Вводные!$D$13:$F$64,MATCH($A68,Вводные!$A$13:$A$64,0),MATCH(HN$3,Вводные!$D$11:$F$11,0))*(1+IF(HN$4=$A68,Вводные!$D$5*INDEX(Вводные!$G$13:$G$64,MATCH($A68,Вводные!$A$13:$A$64,0)),0))</f>
        <v>30</v>
      </c>
      <c r="HO68" s="14" t="n">
        <f aca="false">INDEX(Вводные!$D$13:$F$64,MATCH($A68,Вводные!$A$13:$A$64,0),MATCH(HO$3,Вводные!$D$11:$F$11,0))*(1+IF(HO$4=$A68,Вводные!$D$5*INDEX(Вводные!$G$13:$G$64,MATCH($A68,Вводные!$A$13:$A$64,0)),0))</f>
        <v>30</v>
      </c>
      <c r="HP68" s="14" t="n">
        <f aca="false">INDEX(Вводные!$D$13:$F$64,MATCH($A68,Вводные!$A$13:$A$64,0),MATCH(HP$3,Вводные!$D$11:$F$11,0))*(1+IF(HP$4=$A68,Вводные!$D$5*INDEX(Вводные!$G$13:$G$64,MATCH($A68,Вводные!$A$13:$A$64,0)),0))</f>
        <v>30</v>
      </c>
      <c r="HQ68" s="14" t="n">
        <f aca="false">INDEX(Вводные!$D$13:$F$64,MATCH($A68,Вводные!$A$13:$A$64,0),MATCH(HQ$3,Вводные!$D$11:$F$11,0))*(1+IF(HQ$4=$A68,Вводные!$D$5*INDEX(Вводные!$G$13:$G$64,MATCH($A68,Вводные!$A$13:$A$64,0)),0))</f>
        <v>30</v>
      </c>
      <c r="HR68" s="14" t="n">
        <f aca="false">INDEX(Вводные!$D$13:$F$64,MATCH($A68,Вводные!$A$13:$A$64,0),MATCH(HR$3,Вводные!$D$11:$F$11,0))*(1+IF(HR$4=$A68,Вводные!$D$5*INDEX(Вводные!$G$13:$G$64,MATCH($A68,Вводные!$A$13:$A$64,0)),0))</f>
        <v>30</v>
      </c>
      <c r="HS68" s="14" t="n">
        <f aca="false">INDEX(Вводные!$D$13:$F$64,MATCH($A68,Вводные!$A$13:$A$64,0),MATCH(HS$3,Вводные!$D$11:$F$11,0))*(1+IF(HS$4=$A68,Вводные!$D$5*INDEX(Вводные!$G$13:$G$64,MATCH($A68,Вводные!$A$13:$A$64,0)),0))</f>
        <v>30</v>
      </c>
      <c r="HT68" s="14" t="n">
        <f aca="false">INDEX(Вводные!$D$13:$F$64,MATCH($A68,Вводные!$A$13:$A$64,0),MATCH(HT$3,Вводные!$D$11:$F$11,0))*(1+IF(HT$4=$A68,Вводные!$D$5*INDEX(Вводные!$G$13:$G$64,MATCH($A68,Вводные!$A$13:$A$64,0)),0))</f>
        <v>30</v>
      </c>
      <c r="HU68" s="14" t="n">
        <f aca="false">INDEX(Вводные!$D$13:$F$64,MATCH($A68,Вводные!$A$13:$A$64,0),MATCH(HU$3,Вводные!$D$11:$F$11,0))*(1+IF(HU$4=$A68,Вводные!$D$5*INDEX(Вводные!$G$13:$G$64,MATCH($A68,Вводные!$A$13:$A$64,0)),0))</f>
        <v>30</v>
      </c>
      <c r="HV68" s="14" t="n">
        <f aca="false">INDEX(Вводные!$D$13:$F$64,MATCH($A68,Вводные!$A$13:$A$64,0),MATCH(HV$3,Вводные!$D$11:$F$11,0))*(1+IF(HV$4=$A68,Вводные!$D$5*INDEX(Вводные!$G$13:$G$64,MATCH($A68,Вводные!$A$13:$A$64,0)),0))</f>
        <v>30</v>
      </c>
      <c r="HW68" s="14" t="n">
        <f aca="false">INDEX(Вводные!$D$13:$F$64,MATCH($A68,Вводные!$A$13:$A$64,0),MATCH(HW$3,Вводные!$D$11:$F$11,0))*(1+IF(HW$4=$A68,Вводные!$D$5*INDEX(Вводные!$G$13:$G$64,MATCH($A68,Вводные!$A$13:$A$64,0)),0))</f>
        <v>30</v>
      </c>
      <c r="HX68" s="14" t="n">
        <f aca="false">INDEX(Вводные!$D$13:$F$64,MATCH($A68,Вводные!$A$13:$A$64,0),MATCH(HX$3,Вводные!$D$11:$F$11,0))*(1+IF(HX$4=$A68,Вводные!$D$5*INDEX(Вводные!$G$13:$G$64,MATCH($A68,Вводные!$A$13:$A$64,0)),0))</f>
        <v>30</v>
      </c>
      <c r="HY68" s="14" t="n">
        <f aca="false">INDEX(Вводные!$D$13:$F$64,MATCH($A68,Вводные!$A$13:$A$64,0),MATCH(HY$3,Вводные!$D$11:$F$11,0))*(1+IF(HY$4=$A68,Вводные!$D$5*INDEX(Вводные!$G$13:$G$64,MATCH($A68,Вводные!$A$13:$A$64,0)),0))</f>
        <v>30</v>
      </c>
      <c r="HZ68" s="14" t="n">
        <f aca="false">INDEX(Вводные!$D$13:$F$64,MATCH($A68,Вводные!$A$13:$A$64,0),MATCH(HZ$3,Вводные!$D$11:$F$11,0))*(1+IF(HZ$4=$A68,Вводные!$D$5*INDEX(Вводные!$G$13:$G$64,MATCH($A68,Вводные!$A$13:$A$64,0)),0))</f>
        <v>30</v>
      </c>
      <c r="IA68" s="14" t="n">
        <f aca="false">INDEX(Вводные!$D$13:$F$64,MATCH($A68,Вводные!$A$13:$A$64,0),MATCH(IA$3,Вводные!$D$11:$F$11,0))*(1+IF(IA$4=$A68,Вводные!$D$5*INDEX(Вводные!$G$13:$G$64,MATCH($A68,Вводные!$A$13:$A$64,0)),0))</f>
        <v>30</v>
      </c>
      <c r="IB68" s="14" t="n">
        <f aca="false">INDEX(Вводные!$D$13:$F$64,MATCH($A68,Вводные!$A$13:$A$64,0),MATCH(IB$3,Вводные!$D$11:$F$11,0))*(1+IF(IB$4=$A68,Вводные!$D$5*INDEX(Вводные!$G$13:$G$64,MATCH($A68,Вводные!$A$13:$A$64,0)),0))</f>
        <v>30</v>
      </c>
      <c r="IC68" s="14" t="n">
        <f aca="false">INDEX(Вводные!$D$13:$F$64,MATCH($A68,Вводные!$A$13:$A$64,0),MATCH(IC$3,Вводные!$D$11:$F$11,0))*(1+IF(IC$4=$A68,Вводные!$D$5*INDEX(Вводные!$G$13:$G$64,MATCH($A68,Вводные!$A$13:$A$64,0)),0))</f>
        <v>30</v>
      </c>
      <c r="ID68" s="14" t="n">
        <f aca="false">INDEX(Вводные!$D$13:$F$64,MATCH($A68,Вводные!$A$13:$A$64,0),MATCH(ID$3,Вводные!$D$11:$F$11,0))*(1+IF(ID$4=$A68,Вводные!$D$5*INDEX(Вводные!$G$13:$G$64,MATCH($A68,Вводные!$A$13:$A$64,0)),0))</f>
        <v>30</v>
      </c>
      <c r="IE68" s="14" t="n">
        <f aca="false">INDEX(Вводные!$D$13:$F$64,MATCH($A68,Вводные!$A$13:$A$64,0),MATCH(IE$3,Вводные!$D$11:$F$11,0))*(1+IF(IE$4=$A68,Вводные!$D$5*INDEX(Вводные!$G$13:$G$64,MATCH($A68,Вводные!$A$13:$A$64,0)),0))</f>
        <v>30</v>
      </c>
      <c r="IF68" s="14" t="n">
        <f aca="false">INDEX(Вводные!$D$13:$F$64,MATCH($A68,Вводные!$A$13:$A$64,0),MATCH(IF$3,Вводные!$D$11:$F$11,0))*(1+IF(IF$4=$A68,Вводные!$D$5*INDEX(Вводные!$G$13:$G$64,MATCH($A68,Вводные!$A$13:$A$64,0)),0))</f>
        <v>30</v>
      </c>
      <c r="IG68" s="14" t="n">
        <f aca="false">INDEX(Вводные!$D$13:$F$64,MATCH($A68,Вводные!$A$13:$A$64,0),MATCH(IG$3,Вводные!$D$11:$F$11,0))*(1+IF(IG$4=$A68,Вводные!$D$5*INDEX(Вводные!$G$13:$G$64,MATCH($A68,Вводные!$A$13:$A$64,0)),0))</f>
        <v>30</v>
      </c>
      <c r="IH68" s="14" t="n">
        <f aca="false">INDEX(Вводные!$D$13:$F$64,MATCH($A68,Вводные!$A$13:$A$64,0),MATCH(IH$3,Вводные!$D$11:$F$11,0))*(1+IF(IH$4=$A68,Вводные!$D$5*INDEX(Вводные!$G$13:$G$64,MATCH($A68,Вводные!$A$13:$A$64,0)),0))</f>
        <v>30</v>
      </c>
      <c r="II68" s="14" t="n">
        <f aca="false">INDEX(Вводные!$D$13:$F$64,MATCH($A68,Вводные!$A$13:$A$64,0),MATCH(II$3,Вводные!$D$11:$F$11,0))*(1+IF(II$4=$A68,Вводные!$D$5*INDEX(Вводные!$G$13:$G$64,MATCH($A68,Вводные!$A$13:$A$64,0)),0))</f>
        <v>30</v>
      </c>
      <c r="IJ68" s="14" t="n">
        <f aca="false">INDEX(Вводные!$D$13:$F$64,MATCH($A68,Вводные!$A$13:$A$64,0),MATCH(IJ$3,Вводные!$D$11:$F$11,0))*(1+IF(IJ$4=$A68,Вводные!$D$5*INDEX(Вводные!$G$13:$G$64,MATCH($A68,Вводные!$A$13:$A$64,0)),0))</f>
        <v>30</v>
      </c>
      <c r="IK68" s="14" t="n">
        <f aca="false">INDEX(Вводные!$D$13:$F$64,MATCH($A68,Вводные!$A$13:$A$64,0),MATCH(IK$3,Вводные!$D$11:$F$11,0))*(1+IF(IK$4=$A68,Вводные!$D$5*INDEX(Вводные!$G$13:$G$64,MATCH($A68,Вводные!$A$13:$A$64,0)),0))</f>
        <v>30</v>
      </c>
      <c r="IL68" s="14" t="n">
        <f aca="false">INDEX(Вводные!$D$13:$F$64,MATCH($A68,Вводные!$A$13:$A$64,0),MATCH(IL$3,Вводные!$D$11:$F$11,0))*(1+IF(IL$4=$A68,Вводные!$D$5*INDEX(Вводные!$G$13:$G$64,MATCH($A68,Вводные!$A$13:$A$64,0)),0))</f>
        <v>30</v>
      </c>
      <c r="IM68" s="14" t="n">
        <f aca="false">INDEX(Вводные!$D$13:$F$64,MATCH($A68,Вводные!$A$13:$A$64,0),MATCH(IM$3,Вводные!$D$11:$F$11,0))*(1+IF(IM$4=$A68,Вводные!$D$5*INDEX(Вводные!$G$13:$G$64,MATCH($A68,Вводные!$A$13:$A$64,0)),0))</f>
        <v>30</v>
      </c>
      <c r="IN68" s="14" t="n">
        <f aca="false">INDEX(Вводные!$D$13:$F$64,MATCH($A68,Вводные!$A$13:$A$64,0),MATCH(IN$3,Вводные!$D$11:$F$11,0))*(1+IF(IN$4=$A68,Вводные!$D$5*INDEX(Вводные!$G$13:$G$64,MATCH($A68,Вводные!$A$13:$A$64,0)),0))</f>
        <v>30</v>
      </c>
      <c r="IO68" s="14" t="n">
        <f aca="false">INDEX(Вводные!$D$13:$F$64,MATCH($A68,Вводные!$A$13:$A$64,0),MATCH(IO$3,Вводные!$D$11:$F$11,0))*(1+IF(IO$4=$A68,Вводные!$D$5*INDEX(Вводные!$G$13:$G$64,MATCH($A68,Вводные!$A$13:$A$64,0)),0))</f>
        <v>30</v>
      </c>
      <c r="IP68" s="14" t="n">
        <f aca="false">INDEX(Вводные!$D$13:$F$64,MATCH($A68,Вводные!$A$13:$A$64,0),MATCH(IP$3,Вводные!$D$11:$F$11,0))*(1+IF(IP$4=$A68,Вводные!$D$5*INDEX(Вводные!$G$13:$G$64,MATCH($A68,Вводные!$A$13:$A$64,0)),0))</f>
        <v>30</v>
      </c>
      <c r="IQ68" s="14" t="n">
        <f aca="false">INDEX(Вводные!$D$13:$F$64,MATCH($A68,Вводные!$A$13:$A$64,0),MATCH(IQ$3,Вводные!$D$11:$F$11,0))*(1+IF(IQ$4=$A68,Вводные!$D$5*INDEX(Вводные!$G$13:$G$64,MATCH($A68,Вводные!$A$13:$A$64,0)),0))</f>
        <v>29.7</v>
      </c>
      <c r="IR68" s="14" t="n">
        <f aca="false">INDEX(Вводные!$D$13:$F$64,MATCH($A68,Вводные!$A$13:$A$64,0),MATCH(IR$3,Вводные!$D$11:$F$11,0))*(1+IF(IR$4=$A68,Вводные!$D$5*INDEX(Вводные!$G$13:$G$64,MATCH($A68,Вводные!$A$13:$A$64,0)),0))</f>
        <v>30</v>
      </c>
      <c r="IS68" s="14" t="n">
        <f aca="false">INDEX(Вводные!$D$13:$F$64,MATCH($A68,Вводные!$A$13:$A$64,0),MATCH(IS$3,Вводные!$D$11:$F$11,0))*(1+IF(IS$4=$A68,Вводные!$D$5*INDEX(Вводные!$G$13:$G$64,MATCH($A68,Вводные!$A$13:$A$64,0)),0))</f>
        <v>30</v>
      </c>
      <c r="IT68" s="14" t="n">
        <f aca="false">INDEX(Вводные!$D$13:$F$64,MATCH($A68,Вводные!$A$13:$A$64,0),MATCH(IT$3,Вводные!$D$11:$F$11,0))*(1+IF(IT$4=$A68,Вводные!$D$5*INDEX(Вводные!$G$13:$G$64,MATCH($A68,Вводные!$A$13:$A$64,0)),0))</f>
        <v>30</v>
      </c>
      <c r="IU68" s="14" t="n">
        <f aca="false">INDEX(Вводные!$D$13:$F$64,MATCH($A68,Вводные!$A$13:$A$64,0),MATCH(IU$3,Вводные!$D$11:$F$11,0))*(1+IF(IU$4=$A68,Вводные!$D$5*INDEX(Вводные!$G$13:$G$64,MATCH($A68,Вводные!$A$13:$A$64,0)),0))</f>
        <v>30</v>
      </c>
      <c r="IV68" s="14" t="n">
        <f aca="false">INDEX(Вводные!$D$13:$F$64,MATCH($A68,Вводные!$A$13:$A$64,0),MATCH(IV$3,Вводные!$D$11:$F$11,0))*(1+IF(IV$4=$A68,Вводные!$D$5*INDEX(Вводные!$G$13:$G$64,MATCH($A68,Вводные!$A$13:$A$64,0)),0))</f>
        <v>30</v>
      </c>
      <c r="IW68" s="14" t="n">
        <f aca="false">INDEX(Вводные!$D$13:$F$64,MATCH($A68,Вводные!$A$13:$A$64,0),MATCH(IW$3,Вводные!$D$11:$F$11,0))*(1+IF(IW$4=$A68,Вводные!$D$5*INDEX(Вводные!$G$13:$G$64,MATCH($A68,Вводные!$A$13:$A$64,0)),0))</f>
        <v>30</v>
      </c>
      <c r="IX68" s="14" t="n">
        <f aca="false">INDEX(Вводные!$D$13:$F$64,MATCH($A68,Вводные!$A$13:$A$64,0),MATCH(IX$3,Вводные!$D$11:$F$11,0))*(1+IF(IX$4=$A68,Вводные!$D$5*INDEX(Вводные!$G$13:$G$64,MATCH($A68,Вводные!$A$13:$A$64,0)),0))</f>
        <v>30</v>
      </c>
      <c r="IY68" s="14" t="n">
        <f aca="false">INDEX(Вводные!$D$13:$F$64,MATCH($A68,Вводные!$A$13:$A$64,0),MATCH(IY$3,Вводные!$D$11:$F$11,0))*(1+IF(IY$4=$A68,Вводные!$D$5*INDEX(Вводные!$G$13:$G$64,MATCH($A68,Вводные!$A$13:$A$64,0)),0))</f>
        <v>30</v>
      </c>
      <c r="IZ68" s="14" t="n">
        <f aca="false">INDEX(Вводные!$D$13:$F$64,MATCH($A68,Вводные!$A$13:$A$64,0),MATCH(IZ$3,Вводные!$D$11:$F$11,0))*(1+IF(IZ$4=$A68,Вводные!$D$5*INDEX(Вводные!$G$13:$G$64,MATCH($A68,Вводные!$A$13:$A$64,0)),0))</f>
        <v>30</v>
      </c>
      <c r="JA68" s="14" t="n">
        <f aca="false">INDEX(Вводные!$D$13:$F$64,MATCH($A68,Вводные!$A$13:$A$64,0),MATCH(JA$3,Вводные!$D$11:$F$11,0))*(1+IF(JA$4=$A68,Вводные!$D$5*INDEX(Вводные!$G$13:$G$64,MATCH($A68,Вводные!$A$13:$A$64,0)),0))</f>
        <v>30</v>
      </c>
    </row>
    <row r="69" customFormat="false" ht="15" hidden="false" customHeight="false" outlineLevel="0" collapsed="false">
      <c r="A69" s="2" t="s">
        <v>113</v>
      </c>
      <c r="B69" s="13" t="s">
        <v>114</v>
      </c>
      <c r="C69" s="13" t="s">
        <v>179</v>
      </c>
      <c r="D69" s="9" t="s">
        <v>262</v>
      </c>
      <c r="E69" s="59" t="n">
        <f aca="false">E16*E67*E68</f>
        <v>2535625</v>
      </c>
      <c r="F69" s="59" t="n">
        <f aca="false">F16*F67*F68</f>
        <v>679950</v>
      </c>
      <c r="G69" s="59" t="n">
        <f aca="false">G16*G67*G68</f>
        <v>144720</v>
      </c>
      <c r="H69" s="59" t="n">
        <f aca="false">SUM(E69:G69)</f>
        <v>3360295</v>
      </c>
      <c r="J69" s="59" t="n">
        <f aca="false">J16*J67*J68</f>
        <v>2535625</v>
      </c>
      <c r="K69" s="59" t="n">
        <f aca="false">K16*K67*K68</f>
        <v>2537481.25</v>
      </c>
      <c r="L69" s="59" t="n">
        <f aca="false">L16*L67*L68</f>
        <v>2537481.25</v>
      </c>
      <c r="M69" s="59" t="n">
        <f aca="false">M16*M67*M68</f>
        <v>2537481.25</v>
      </c>
      <c r="N69" s="59" t="n">
        <f aca="false">N16*N67*N68</f>
        <v>2537125</v>
      </c>
      <c r="O69" s="59" t="n">
        <f aca="false">O16*O67*O68</f>
        <v>2535625</v>
      </c>
      <c r="P69" s="59" t="n">
        <f aca="false">P16*P67*P68</f>
        <v>2535625</v>
      </c>
      <c r="Q69" s="59" t="n">
        <f aca="false">Q16*Q67*Q68</f>
        <v>2535625</v>
      </c>
      <c r="R69" s="59" t="n">
        <f aca="false">R16*R67*R68</f>
        <v>2535625</v>
      </c>
      <c r="S69" s="59" t="n">
        <f aca="false">S16*S67*S68</f>
        <v>2535625</v>
      </c>
      <c r="T69" s="59" t="n">
        <f aca="false">T16*T67*T68</f>
        <v>2535625</v>
      </c>
      <c r="U69" s="59" t="n">
        <f aca="false">U16*U67*U68</f>
        <v>2535625</v>
      </c>
      <c r="V69" s="59" t="n">
        <f aca="false">V16*V67*V68</f>
        <v>2535625</v>
      </c>
      <c r="W69" s="59" t="n">
        <f aca="false">W16*W67*W68</f>
        <v>2535625</v>
      </c>
      <c r="X69" s="59" t="n">
        <f aca="false">X16*X67*X68</f>
        <v>2535625</v>
      </c>
      <c r="Y69" s="59" t="n">
        <f aca="false">Y16*Y67*Y68</f>
        <v>2535625</v>
      </c>
      <c r="Z69" s="59" t="n">
        <f aca="false">Z16*Z67*Z68</f>
        <v>2535625</v>
      </c>
      <c r="AA69" s="59" t="n">
        <f aca="false">AA16*AA67*AA68</f>
        <v>2535625</v>
      </c>
      <c r="AB69" s="59" t="n">
        <f aca="false">AB16*AB67*AB68</f>
        <v>2535625</v>
      </c>
      <c r="AC69" s="59" t="n">
        <f aca="false">AC16*AC67*AC68</f>
        <v>2535625</v>
      </c>
      <c r="AD69" s="59" t="n">
        <f aca="false">AD16*AD67*AD68</f>
        <v>2535625</v>
      </c>
      <c r="AE69" s="59" t="n">
        <f aca="false">AE16*AE67*AE68</f>
        <v>2535625</v>
      </c>
      <c r="AF69" s="59" t="n">
        <f aca="false">AF16*AF67*AF68</f>
        <v>2535625</v>
      </c>
      <c r="AG69" s="59" t="n">
        <f aca="false">AG16*AG67*AG68</f>
        <v>2535625</v>
      </c>
      <c r="AH69" s="59" t="n">
        <f aca="false">AH16*AH67*AH68</f>
        <v>2535625</v>
      </c>
      <c r="AI69" s="59" t="n">
        <f aca="false">AI16*AI67*AI68</f>
        <v>2535625</v>
      </c>
      <c r="AJ69" s="59" t="n">
        <f aca="false">AJ16*AJ67*AJ68</f>
        <v>2535625</v>
      </c>
      <c r="AK69" s="59" t="n">
        <f aca="false">AK16*AK67*AK68</f>
        <v>2535625</v>
      </c>
      <c r="AL69" s="59" t="n">
        <f aca="false">AL16*AL67*AL68</f>
        <v>2535625</v>
      </c>
      <c r="AM69" s="59" t="n">
        <f aca="false">AM16*AM67*AM68</f>
        <v>2535625</v>
      </c>
      <c r="AN69" s="59" t="n">
        <f aca="false">AN16*AN67*AN68</f>
        <v>2510268.75</v>
      </c>
      <c r="AO69" s="59" t="n">
        <f aca="false">AO16*AO67*AO68</f>
        <v>2510268.75</v>
      </c>
      <c r="AP69" s="59" t="n">
        <f aca="false">AP16*AP67*AP68</f>
        <v>2535625</v>
      </c>
      <c r="AQ69" s="59" t="n">
        <f aca="false">AQ16*AQ67*AQ68</f>
        <v>2535625</v>
      </c>
      <c r="AR69" s="59" t="n">
        <f aca="false">AR16*AR67*AR68</f>
        <v>2535625</v>
      </c>
      <c r="AS69" s="59" t="n">
        <f aca="false">AS16*AS67*AS68</f>
        <v>2535625</v>
      </c>
      <c r="AT69" s="59" t="n">
        <f aca="false">AT16*AT67*AT68</f>
        <v>2535625</v>
      </c>
      <c r="AU69" s="59" t="n">
        <f aca="false">AU16*AU67*AU68</f>
        <v>2535625</v>
      </c>
      <c r="AV69" s="59" t="n">
        <f aca="false">AV16*AV67*AV68</f>
        <v>2535625</v>
      </c>
      <c r="AW69" s="59" t="n">
        <f aca="false">AW16*AW67*AW68</f>
        <v>2535625</v>
      </c>
      <c r="AX69" s="59" t="n">
        <f aca="false">AX16*AX67*AX68</f>
        <v>2535625</v>
      </c>
      <c r="AY69" s="59" t="n">
        <f aca="false">AY16*AY67*AY68</f>
        <v>2535625</v>
      </c>
      <c r="AZ69" s="59" t="n">
        <f aca="false">AZ16*AZ67*AZ68</f>
        <v>679950</v>
      </c>
      <c r="BA69" s="59" t="n">
        <f aca="false">BA16*BA67*BA68</f>
        <v>680202</v>
      </c>
      <c r="BB69" s="59" t="n">
        <f aca="false">BB16*BB67*BB68</f>
        <v>680202</v>
      </c>
      <c r="BC69" s="59" t="n">
        <f aca="false">BC16*BC67*BC68</f>
        <v>680202</v>
      </c>
      <c r="BD69" s="59" t="n">
        <f aca="false">BD16*BD67*BD68</f>
        <v>680152.5</v>
      </c>
      <c r="BE69" s="59" t="n">
        <f aca="false">BE16*BE67*BE68</f>
        <v>679950</v>
      </c>
      <c r="BF69" s="59" t="n">
        <f aca="false">BF16*BF67*BF68</f>
        <v>679950</v>
      </c>
      <c r="BG69" s="59" t="n">
        <f aca="false">BG16*BG67*BG68</f>
        <v>679950</v>
      </c>
      <c r="BH69" s="59" t="n">
        <f aca="false">BH16*BH67*BH68</f>
        <v>679950</v>
      </c>
      <c r="BI69" s="59" t="n">
        <f aca="false">BI16*BI67*BI68</f>
        <v>679950</v>
      </c>
      <c r="BJ69" s="59" t="n">
        <f aca="false">BJ16*BJ67*BJ68</f>
        <v>679950</v>
      </c>
      <c r="BK69" s="59" t="n">
        <f aca="false">BK16*BK67*BK68</f>
        <v>679950</v>
      </c>
      <c r="BL69" s="59" t="n">
        <f aca="false">BL16*BL67*BL68</f>
        <v>679950</v>
      </c>
      <c r="BM69" s="59" t="n">
        <f aca="false">BM16*BM67*BM68</f>
        <v>679950</v>
      </c>
      <c r="BN69" s="59" t="n">
        <f aca="false">BN16*BN67*BN68</f>
        <v>679950</v>
      </c>
      <c r="BO69" s="59" t="n">
        <f aca="false">BO16*BO67*BO68</f>
        <v>679950</v>
      </c>
      <c r="BP69" s="59" t="n">
        <f aca="false">BP16*BP67*BP68</f>
        <v>679950</v>
      </c>
      <c r="BQ69" s="59" t="n">
        <f aca="false">BQ16*BQ67*BQ68</f>
        <v>679950</v>
      </c>
      <c r="BR69" s="59" t="n">
        <f aca="false">BR16*BR67*BR68</f>
        <v>679950</v>
      </c>
      <c r="BS69" s="59" t="n">
        <f aca="false">BS16*BS67*BS68</f>
        <v>679950</v>
      </c>
      <c r="BT69" s="59" t="n">
        <f aca="false">BT16*BT67*BT68</f>
        <v>679950</v>
      </c>
      <c r="BU69" s="59" t="n">
        <f aca="false">BU16*BU67*BU68</f>
        <v>679950</v>
      </c>
      <c r="BV69" s="59" t="n">
        <f aca="false">BV16*BV67*BV68</f>
        <v>679950</v>
      </c>
      <c r="BW69" s="59" t="n">
        <f aca="false">BW16*BW67*BW68</f>
        <v>679950</v>
      </c>
      <c r="BX69" s="59" t="n">
        <f aca="false">BX16*BX67*BX68</f>
        <v>679950</v>
      </c>
      <c r="BY69" s="59" t="n">
        <f aca="false">BY16*BY67*BY68</f>
        <v>679950</v>
      </c>
      <c r="BZ69" s="59" t="n">
        <f aca="false">BZ16*BZ67*BZ68</f>
        <v>679950</v>
      </c>
      <c r="CA69" s="59" t="n">
        <f aca="false">CA16*CA67*CA68</f>
        <v>679950</v>
      </c>
      <c r="CB69" s="59" t="n">
        <f aca="false">CB16*CB67*CB68</f>
        <v>679950</v>
      </c>
      <c r="CC69" s="59" t="n">
        <f aca="false">CC16*CC67*CC68</f>
        <v>679950</v>
      </c>
      <c r="CD69" s="59" t="n">
        <f aca="false">CD16*CD67*CD68</f>
        <v>673150.5</v>
      </c>
      <c r="CE69" s="59" t="n">
        <f aca="false">CE16*CE67*CE68</f>
        <v>673150.5</v>
      </c>
      <c r="CF69" s="59" t="n">
        <f aca="false">CF16*CF67*CF68</f>
        <v>679950</v>
      </c>
      <c r="CG69" s="59" t="n">
        <f aca="false">CG16*CG67*CG68</f>
        <v>679950</v>
      </c>
      <c r="CH69" s="59" t="n">
        <f aca="false">CH16*CH67*CH68</f>
        <v>679950</v>
      </c>
      <c r="CI69" s="59" t="n">
        <f aca="false">CI16*CI67*CI68</f>
        <v>679950</v>
      </c>
      <c r="CJ69" s="59" t="n">
        <f aca="false">CJ16*CJ67*CJ68</f>
        <v>679950</v>
      </c>
      <c r="CK69" s="59" t="n">
        <f aca="false">CK16*CK67*CK68</f>
        <v>679950</v>
      </c>
      <c r="CL69" s="59" t="n">
        <f aca="false">CL16*CL67*CL68</f>
        <v>679950</v>
      </c>
      <c r="CM69" s="59" t="n">
        <f aca="false">CM16*CM67*CM68</f>
        <v>679950</v>
      </c>
      <c r="CN69" s="59" t="n">
        <f aca="false">CN16*CN67*CN68</f>
        <v>679950</v>
      </c>
      <c r="CO69" s="59" t="n">
        <f aca="false">CO16*CO67*CO68</f>
        <v>679950</v>
      </c>
      <c r="CP69" s="59" t="n">
        <f aca="false">CP16*CP67*CP68</f>
        <v>144720</v>
      </c>
      <c r="CQ69" s="59" t="n">
        <f aca="false">CQ16*CQ67*CQ68</f>
        <v>144784.8</v>
      </c>
      <c r="CR69" s="59" t="n">
        <f aca="false">CR16*CR67*CR68</f>
        <v>144784.8</v>
      </c>
      <c r="CS69" s="59" t="n">
        <f aca="false">CS16*CS67*CS68</f>
        <v>144784.8</v>
      </c>
      <c r="CT69" s="59" t="n">
        <f aca="false">CT16*CT67*CT68</f>
        <v>144777.6</v>
      </c>
      <c r="CU69" s="59" t="n">
        <f aca="false">CU16*CU67*CU68</f>
        <v>144720</v>
      </c>
      <c r="CV69" s="59" t="n">
        <f aca="false">CV16*CV67*CV68</f>
        <v>144720</v>
      </c>
      <c r="CW69" s="59" t="n">
        <f aca="false">CW16*CW67*CW68</f>
        <v>144720</v>
      </c>
      <c r="CX69" s="59" t="n">
        <f aca="false">CX16*CX67*CX68</f>
        <v>144720</v>
      </c>
      <c r="CY69" s="59" t="n">
        <f aca="false">CY16*CY67*CY68</f>
        <v>144720</v>
      </c>
      <c r="CZ69" s="59" t="n">
        <f aca="false">CZ16*CZ67*CZ68</f>
        <v>144720</v>
      </c>
      <c r="DA69" s="59" t="n">
        <f aca="false">DA16*DA67*DA68</f>
        <v>144720</v>
      </c>
      <c r="DB69" s="59" t="n">
        <f aca="false">DB16*DB67*DB68</f>
        <v>144720</v>
      </c>
      <c r="DC69" s="59" t="n">
        <f aca="false">DC16*DC67*DC68</f>
        <v>144720</v>
      </c>
      <c r="DD69" s="59" t="n">
        <f aca="false">DD16*DD67*DD68</f>
        <v>144720</v>
      </c>
      <c r="DE69" s="59" t="n">
        <f aca="false">DE16*DE67*DE68</f>
        <v>144720</v>
      </c>
      <c r="DF69" s="59" t="n">
        <f aca="false">DF16*DF67*DF68</f>
        <v>144720</v>
      </c>
      <c r="DG69" s="59" t="n">
        <f aca="false">DG16*DG67*DG68</f>
        <v>144720</v>
      </c>
      <c r="DH69" s="59" t="n">
        <f aca="false">DH16*DH67*DH68</f>
        <v>144720</v>
      </c>
      <c r="DI69" s="59" t="n">
        <f aca="false">DI16*DI67*DI68</f>
        <v>144720</v>
      </c>
      <c r="DJ69" s="59" t="n">
        <f aca="false">DJ16*DJ67*DJ68</f>
        <v>144720</v>
      </c>
      <c r="DK69" s="59" t="n">
        <f aca="false">DK16*DK67*DK68</f>
        <v>144720</v>
      </c>
      <c r="DL69" s="59" t="n">
        <f aca="false">DL16*DL67*DL68</f>
        <v>144720</v>
      </c>
      <c r="DM69" s="59" t="n">
        <f aca="false">DM16*DM67*DM68</f>
        <v>144720</v>
      </c>
      <c r="DN69" s="59" t="n">
        <f aca="false">DN16*DN67*DN68</f>
        <v>144720</v>
      </c>
      <c r="DO69" s="59" t="n">
        <f aca="false">DO16*DO67*DO68</f>
        <v>144720</v>
      </c>
      <c r="DP69" s="59" t="n">
        <f aca="false">DP16*DP67*DP68</f>
        <v>144720</v>
      </c>
      <c r="DQ69" s="59" t="n">
        <f aca="false">DQ16*DQ67*DQ68</f>
        <v>144720</v>
      </c>
      <c r="DR69" s="59" t="n">
        <f aca="false">DR16*DR67*DR68</f>
        <v>144720</v>
      </c>
      <c r="DS69" s="59" t="n">
        <f aca="false">DS16*DS67*DS68</f>
        <v>144720</v>
      </c>
      <c r="DT69" s="59" t="n">
        <f aca="false">DT16*DT67*DT68</f>
        <v>143272.8</v>
      </c>
      <c r="DU69" s="59" t="n">
        <f aca="false">DU16*DU67*DU68</f>
        <v>143272.8</v>
      </c>
      <c r="DV69" s="59" t="n">
        <f aca="false">DV16*DV67*DV68</f>
        <v>144720</v>
      </c>
      <c r="DW69" s="59" t="n">
        <f aca="false">DW16*DW67*DW68</f>
        <v>144720</v>
      </c>
      <c r="DX69" s="59" t="n">
        <f aca="false">DX16*DX67*DX68</f>
        <v>144720</v>
      </c>
      <c r="DY69" s="59" t="n">
        <f aca="false">DY16*DY67*DY68</f>
        <v>144720</v>
      </c>
      <c r="DZ69" s="59" t="n">
        <f aca="false">DZ16*DZ67*DZ68</f>
        <v>144720</v>
      </c>
      <c r="EA69" s="59" t="n">
        <f aca="false">EA16*EA67*EA68</f>
        <v>144720</v>
      </c>
      <c r="EB69" s="59" t="n">
        <f aca="false">EB16*EB67*EB68</f>
        <v>144720</v>
      </c>
      <c r="EC69" s="59" t="n">
        <f aca="false">EC16*EC67*EC68</f>
        <v>144720</v>
      </c>
      <c r="ED69" s="59" t="n">
        <f aca="false">ED16*ED67*ED68</f>
        <v>144720</v>
      </c>
      <c r="EE69" s="59" t="n">
        <f aca="false">EE16*EE67*EE68</f>
        <v>144720</v>
      </c>
      <c r="EF69" s="59" t="n">
        <f aca="false">EF16*EF67*EF68</f>
        <v>3093750</v>
      </c>
      <c r="EG69" s="59" t="n">
        <f aca="false">EG16*EG67*EG68</f>
        <v>3124687.5</v>
      </c>
      <c r="EH69" s="59" t="n">
        <f aca="false">EH16*EH67*EH68</f>
        <v>3124687.5</v>
      </c>
      <c r="EI69" s="59" t="n">
        <f aca="false">EI16*EI67*EI68</f>
        <v>3124687.5</v>
      </c>
      <c r="EJ69" s="59" t="n">
        <f aca="false">EJ16*EJ67*EJ68</f>
        <v>3125000</v>
      </c>
      <c r="EK69" s="59" t="n">
        <f aca="false">EK16*EK67*EK68</f>
        <v>3093750</v>
      </c>
      <c r="EL69" s="59" t="n">
        <f aca="false">EL16*EL67*EL68</f>
        <v>3093750</v>
      </c>
      <c r="EM69" s="59" t="n">
        <f aca="false">EM16*EM67*EM68</f>
        <v>3093750</v>
      </c>
      <c r="EN69" s="59" t="n">
        <f aca="false">EN16*EN67*EN68</f>
        <v>3093750</v>
      </c>
      <c r="EO69" s="59" t="n">
        <f aca="false">EO16*EO67*EO68</f>
        <v>3093750</v>
      </c>
      <c r="EP69" s="59" t="n">
        <f aca="false">EP16*EP67*EP68</f>
        <v>3093750</v>
      </c>
      <c r="EQ69" s="59" t="n">
        <f aca="false">EQ16*EQ67*EQ68</f>
        <v>3093750</v>
      </c>
      <c r="ER69" s="59" t="n">
        <f aca="false">ER16*ER67*ER68</f>
        <v>3093750</v>
      </c>
      <c r="ES69" s="59" t="n">
        <f aca="false">ES16*ES67*ES68</f>
        <v>3093750</v>
      </c>
      <c r="ET69" s="59" t="n">
        <f aca="false">ET16*ET67*ET68</f>
        <v>3093750</v>
      </c>
      <c r="EU69" s="59" t="n">
        <f aca="false">EU16*EU67*EU68</f>
        <v>3093750</v>
      </c>
      <c r="EV69" s="59" t="n">
        <f aca="false">EV16*EV67*EV68</f>
        <v>3093750</v>
      </c>
      <c r="EW69" s="59" t="n">
        <f aca="false">EW16*EW67*EW68</f>
        <v>3093750</v>
      </c>
      <c r="EX69" s="59" t="n">
        <f aca="false">EX16*EX67*EX68</f>
        <v>3093750</v>
      </c>
      <c r="EY69" s="59" t="n">
        <f aca="false">EY16*EY67*EY68</f>
        <v>3093750</v>
      </c>
      <c r="EZ69" s="59" t="n">
        <f aca="false">EZ16*EZ67*EZ68</f>
        <v>3093750</v>
      </c>
      <c r="FA69" s="59" t="n">
        <f aca="false">FA16*FA67*FA68</f>
        <v>3093750</v>
      </c>
      <c r="FB69" s="59" t="n">
        <f aca="false">FB16*FB67*FB68</f>
        <v>3093750</v>
      </c>
      <c r="FC69" s="59" t="n">
        <f aca="false">FC16*FC67*FC68</f>
        <v>3093750</v>
      </c>
      <c r="FD69" s="59" t="n">
        <f aca="false">FD16*FD67*FD68</f>
        <v>3093750</v>
      </c>
      <c r="FE69" s="59" t="n">
        <f aca="false">FE16*FE67*FE68</f>
        <v>3093750</v>
      </c>
      <c r="FF69" s="59" t="n">
        <f aca="false">FF16*FF67*FF68</f>
        <v>3093750</v>
      </c>
      <c r="FG69" s="59" t="n">
        <f aca="false">FG16*FG67*FG68</f>
        <v>3093750</v>
      </c>
      <c r="FH69" s="59" t="n">
        <f aca="false">FH16*FH67*FH68</f>
        <v>3093750</v>
      </c>
      <c r="FI69" s="59" t="n">
        <f aca="false">FI16*FI67*FI68</f>
        <v>3093750</v>
      </c>
      <c r="FJ69" s="59" t="n">
        <f aca="false">FJ16*FJ67*FJ68</f>
        <v>3062812.5</v>
      </c>
      <c r="FK69" s="59" t="n">
        <f aca="false">FK16*FK67*FK68</f>
        <v>3062812.5</v>
      </c>
      <c r="FL69" s="59" t="n">
        <f aca="false">FL16*FL67*FL68</f>
        <v>3093750</v>
      </c>
      <c r="FM69" s="59" t="n">
        <f aca="false">FM16*FM67*FM68</f>
        <v>3093750</v>
      </c>
      <c r="FN69" s="59" t="n">
        <f aca="false">FN16*FN67*FN68</f>
        <v>3093750</v>
      </c>
      <c r="FO69" s="59" t="n">
        <f aca="false">FO16*FO67*FO68</f>
        <v>3093750</v>
      </c>
      <c r="FP69" s="59" t="n">
        <f aca="false">FP16*FP67*FP68</f>
        <v>3093750</v>
      </c>
      <c r="FQ69" s="59" t="n">
        <f aca="false">FQ16*FQ67*FQ68</f>
        <v>3093750</v>
      </c>
      <c r="FR69" s="59" t="n">
        <f aca="false">FR16*FR67*FR68</f>
        <v>3093750</v>
      </c>
      <c r="FS69" s="59" t="n">
        <f aca="false">FS16*FS67*FS68</f>
        <v>3093750</v>
      </c>
      <c r="FT69" s="59" t="n">
        <f aca="false">FT16*FT67*FT68</f>
        <v>3093750</v>
      </c>
      <c r="FU69" s="59" t="n">
        <f aca="false">FU16*FU67*FU68</f>
        <v>3093750</v>
      </c>
      <c r="FV69" s="59" t="n">
        <f aca="false">FV16*FV67*FV68</f>
        <v>840000</v>
      </c>
      <c r="FW69" s="59" t="n">
        <f aca="false">FW16*FW67*FW68</f>
        <v>848400</v>
      </c>
      <c r="FX69" s="59" t="n">
        <f aca="false">FX16*FX67*FX68</f>
        <v>848400</v>
      </c>
      <c r="FY69" s="59" t="n">
        <f aca="false">FY16*FY67*FY68</f>
        <v>848400</v>
      </c>
      <c r="FZ69" s="59" t="n">
        <f aca="false">FZ16*FZ67*FZ68</f>
        <v>848484.848484849</v>
      </c>
      <c r="GA69" s="59" t="n">
        <f aca="false">GA16*GA67*GA68</f>
        <v>840000</v>
      </c>
      <c r="GB69" s="59" t="n">
        <f aca="false">GB16*GB67*GB68</f>
        <v>840000</v>
      </c>
      <c r="GC69" s="59" t="n">
        <f aca="false">GC16*GC67*GC68</f>
        <v>840000</v>
      </c>
      <c r="GD69" s="59" t="n">
        <f aca="false">GD16*GD67*GD68</f>
        <v>840000</v>
      </c>
      <c r="GE69" s="59" t="n">
        <f aca="false">GE16*GE67*GE68</f>
        <v>840000</v>
      </c>
      <c r="GF69" s="59" t="n">
        <f aca="false">GF16*GF67*GF68</f>
        <v>840000</v>
      </c>
      <c r="GG69" s="59" t="n">
        <f aca="false">GG16*GG67*GG68</f>
        <v>840000</v>
      </c>
      <c r="GH69" s="59" t="n">
        <f aca="false">GH16*GH67*GH68</f>
        <v>840000</v>
      </c>
      <c r="GI69" s="59" t="n">
        <f aca="false">GI16*GI67*GI68</f>
        <v>840000</v>
      </c>
      <c r="GJ69" s="59" t="n">
        <f aca="false">GJ16*GJ67*GJ68</f>
        <v>840000</v>
      </c>
      <c r="GK69" s="59" t="n">
        <f aca="false">GK16*GK67*GK68</f>
        <v>840000</v>
      </c>
      <c r="GL69" s="59" t="n">
        <f aca="false">GL16*GL67*GL68</f>
        <v>840000</v>
      </c>
      <c r="GM69" s="59" t="n">
        <f aca="false">GM16*GM67*GM68</f>
        <v>840000</v>
      </c>
      <c r="GN69" s="59" t="n">
        <f aca="false">GN16*GN67*GN68</f>
        <v>840000</v>
      </c>
      <c r="GO69" s="59" t="n">
        <f aca="false">GO16*GO67*GO68</f>
        <v>840000</v>
      </c>
      <c r="GP69" s="59" t="n">
        <f aca="false">GP16*GP67*GP68</f>
        <v>840000</v>
      </c>
      <c r="GQ69" s="59" t="n">
        <f aca="false">GQ16*GQ67*GQ68</f>
        <v>840000</v>
      </c>
      <c r="GR69" s="59" t="n">
        <f aca="false">GR16*GR67*GR68</f>
        <v>840000</v>
      </c>
      <c r="GS69" s="59" t="n">
        <f aca="false">GS16*GS67*GS68</f>
        <v>840000</v>
      </c>
      <c r="GT69" s="59" t="n">
        <f aca="false">GT16*GT67*GT68</f>
        <v>840000</v>
      </c>
      <c r="GU69" s="59" t="n">
        <f aca="false">GU16*GU67*GU68</f>
        <v>840000</v>
      </c>
      <c r="GV69" s="59" t="n">
        <f aca="false">GV16*GV67*GV68</f>
        <v>840000</v>
      </c>
      <c r="GW69" s="59" t="n">
        <f aca="false">GW16*GW67*GW68</f>
        <v>840000</v>
      </c>
      <c r="GX69" s="59" t="n">
        <f aca="false">GX16*GX67*GX68</f>
        <v>840000</v>
      </c>
      <c r="GY69" s="59" t="n">
        <f aca="false">GY16*GY67*GY68</f>
        <v>840000</v>
      </c>
      <c r="GZ69" s="59" t="n">
        <f aca="false">GZ16*GZ67*GZ68</f>
        <v>831600</v>
      </c>
      <c r="HA69" s="59" t="n">
        <f aca="false">HA16*HA67*HA68</f>
        <v>831600</v>
      </c>
      <c r="HB69" s="59" t="n">
        <f aca="false">HB16*HB67*HB68</f>
        <v>840000</v>
      </c>
      <c r="HC69" s="59" t="n">
        <f aca="false">HC16*HC67*HC68</f>
        <v>840000</v>
      </c>
      <c r="HD69" s="59" t="n">
        <f aca="false">HD16*HD67*HD68</f>
        <v>840000</v>
      </c>
      <c r="HE69" s="59" t="n">
        <f aca="false">HE16*HE67*HE68</f>
        <v>840000</v>
      </c>
      <c r="HF69" s="59" t="n">
        <f aca="false">HF16*HF67*HF68</f>
        <v>840000</v>
      </c>
      <c r="HG69" s="59" t="n">
        <f aca="false">HG16*HG67*HG68</f>
        <v>840000</v>
      </c>
      <c r="HH69" s="59" t="n">
        <f aca="false">HH16*HH67*HH68</f>
        <v>840000</v>
      </c>
      <c r="HI69" s="59" t="n">
        <f aca="false">HI16*HI67*HI68</f>
        <v>840000</v>
      </c>
      <c r="HJ69" s="59" t="n">
        <f aca="false">HJ16*HJ67*HJ68</f>
        <v>840000</v>
      </c>
      <c r="HK69" s="59" t="n">
        <f aca="false">HK16*HK67*HK68</f>
        <v>840000</v>
      </c>
      <c r="HL69" s="59" t="n">
        <f aca="false">HL16*HL67*HL68</f>
        <v>162000</v>
      </c>
      <c r="HM69" s="59" t="n">
        <f aca="false">HM16*HM67*HM68</f>
        <v>163620</v>
      </c>
      <c r="HN69" s="59" t="n">
        <f aca="false">HN16*HN67*HN68</f>
        <v>163620</v>
      </c>
      <c r="HO69" s="59" t="n">
        <f aca="false">HO16*HO67*HO68</f>
        <v>163620</v>
      </c>
      <c r="HP69" s="59" t="n">
        <f aca="false">HP16*HP67*HP68</f>
        <v>163636.363636364</v>
      </c>
      <c r="HQ69" s="59" t="n">
        <f aca="false">HQ16*HQ67*HQ68</f>
        <v>162000</v>
      </c>
      <c r="HR69" s="59" t="n">
        <f aca="false">HR16*HR67*HR68</f>
        <v>162000</v>
      </c>
      <c r="HS69" s="59" t="n">
        <f aca="false">HS16*HS67*HS68</f>
        <v>162000</v>
      </c>
      <c r="HT69" s="59" t="n">
        <f aca="false">HT16*HT67*HT68</f>
        <v>162000</v>
      </c>
      <c r="HU69" s="59" t="n">
        <f aca="false">HU16*HU67*HU68</f>
        <v>162000</v>
      </c>
      <c r="HV69" s="59" t="n">
        <f aca="false">HV16*HV67*HV68</f>
        <v>162000</v>
      </c>
      <c r="HW69" s="59" t="n">
        <f aca="false">HW16*HW67*HW68</f>
        <v>162000</v>
      </c>
      <c r="HX69" s="59" t="n">
        <f aca="false">HX16*HX67*HX68</f>
        <v>162000</v>
      </c>
      <c r="HY69" s="59" t="n">
        <f aca="false">HY16*HY67*HY68</f>
        <v>162000</v>
      </c>
      <c r="HZ69" s="59" t="n">
        <f aca="false">HZ16*HZ67*HZ68</f>
        <v>162000</v>
      </c>
      <c r="IA69" s="59" t="n">
        <f aca="false">IA16*IA67*IA68</f>
        <v>162000</v>
      </c>
      <c r="IB69" s="59" t="n">
        <f aca="false">IB16*IB67*IB68</f>
        <v>162000</v>
      </c>
      <c r="IC69" s="59" t="n">
        <f aca="false">IC16*IC67*IC68</f>
        <v>162000</v>
      </c>
      <c r="ID69" s="59" t="n">
        <f aca="false">ID16*ID67*ID68</f>
        <v>162000</v>
      </c>
      <c r="IE69" s="59" t="n">
        <f aca="false">IE16*IE67*IE68</f>
        <v>162000</v>
      </c>
      <c r="IF69" s="59" t="n">
        <f aca="false">IF16*IF67*IF68</f>
        <v>162000</v>
      </c>
      <c r="IG69" s="59" t="n">
        <f aca="false">IG16*IG67*IG68</f>
        <v>162000</v>
      </c>
      <c r="IH69" s="59" t="n">
        <f aca="false">IH16*IH67*IH68</f>
        <v>162000</v>
      </c>
      <c r="II69" s="59" t="n">
        <f aca="false">II16*II67*II68</f>
        <v>162000</v>
      </c>
      <c r="IJ69" s="59" t="n">
        <f aca="false">IJ16*IJ67*IJ68</f>
        <v>162000</v>
      </c>
      <c r="IK69" s="59" t="n">
        <f aca="false">IK16*IK67*IK68</f>
        <v>162000</v>
      </c>
      <c r="IL69" s="59" t="n">
        <f aca="false">IL16*IL67*IL68</f>
        <v>162000</v>
      </c>
      <c r="IM69" s="59" t="n">
        <f aca="false">IM16*IM67*IM68</f>
        <v>162000</v>
      </c>
      <c r="IN69" s="59" t="n">
        <f aca="false">IN16*IN67*IN68</f>
        <v>162000</v>
      </c>
      <c r="IO69" s="59" t="n">
        <f aca="false">IO16*IO67*IO68</f>
        <v>162000</v>
      </c>
      <c r="IP69" s="59" t="n">
        <f aca="false">IP16*IP67*IP68</f>
        <v>160380</v>
      </c>
      <c r="IQ69" s="59" t="n">
        <f aca="false">IQ16*IQ67*IQ68</f>
        <v>160380</v>
      </c>
      <c r="IR69" s="59" t="n">
        <f aca="false">IR16*IR67*IR68</f>
        <v>162000</v>
      </c>
      <c r="IS69" s="59" t="n">
        <f aca="false">IS16*IS67*IS68</f>
        <v>162000</v>
      </c>
      <c r="IT69" s="59" t="n">
        <f aca="false">IT16*IT67*IT68</f>
        <v>162000</v>
      </c>
      <c r="IU69" s="59" t="n">
        <f aca="false">IU16*IU67*IU68</f>
        <v>162000</v>
      </c>
      <c r="IV69" s="59" t="n">
        <f aca="false">IV16*IV67*IV68</f>
        <v>162000</v>
      </c>
      <c r="IW69" s="59" t="n">
        <f aca="false">IW16*IW67*IW68</f>
        <v>162000</v>
      </c>
      <c r="IX69" s="59" t="n">
        <f aca="false">IX16*IX67*IX68</f>
        <v>162000</v>
      </c>
      <c r="IY69" s="59" t="n">
        <f aca="false">IY16*IY67*IY68</f>
        <v>162000</v>
      </c>
      <c r="IZ69" s="59" t="n">
        <f aca="false">IZ16*IZ67*IZ68</f>
        <v>162000</v>
      </c>
      <c r="JA69" s="59" t="n">
        <f aca="false">JA16*JA67*JA68</f>
        <v>162000</v>
      </c>
    </row>
    <row r="70" customFormat="false" ht="15" hidden="false" customHeight="false" outlineLevel="0" collapsed="false">
      <c r="A70" s="13" t="s">
        <v>271</v>
      </c>
      <c r="B70" s="13" t="s">
        <v>272</v>
      </c>
      <c r="C70" s="13" t="s">
        <v>179</v>
      </c>
      <c r="D70" s="9" t="s">
        <v>36</v>
      </c>
      <c r="E70" s="14" t="n">
        <f aca="false">INDEX(Вводные!$D$13:$F$64,MATCH($A70,Вводные!$A$13:$A$64,0),MATCH(E$3,Вводные!$D$11:$F$11,0))*(1+IF(E$4=$A70,Вводные!$D$5*INDEX(Вводные!$G$13:$G$64,MATCH($A70,Вводные!$A$13:$A$64,0)),0))</f>
        <v>1.5</v>
      </c>
      <c r="F70" s="14" t="n">
        <f aca="false">INDEX(Вводные!$D$13:$F$64,MATCH($A70,Вводные!$A$13:$A$64,0),MATCH(F$3,Вводные!$D$11:$F$11,0))*(1+IF(F$4=$A70,Вводные!$D$5*INDEX(Вводные!$G$13:$G$64,MATCH($A70,Вводные!$A$13:$A$64,0)),0))</f>
        <v>3</v>
      </c>
      <c r="G70" s="14" t="n">
        <f aca="false">INDEX(Вводные!$D$13:$F$64,MATCH($A70,Вводные!$A$13:$A$64,0),MATCH(G$3,Вводные!$D$11:$F$11,0))*(1+IF(G$4=$A70,Вводные!$D$5*INDEX(Вводные!$G$13:$G$64,MATCH($A70,Вводные!$A$13:$A$64,0)),0))</f>
        <v>50</v>
      </c>
      <c r="H70" s="59"/>
      <c r="J70" s="14" t="n">
        <f aca="false">INDEX(Вводные!$D$13:$F$64,MATCH($A70,Вводные!$A$13:$A$64,0),MATCH(J$3,Вводные!$D$11:$F$11,0))*(1+IF(J$4=$A70,Вводные!$D$5*INDEX(Вводные!$G$13:$G$64,MATCH($A70,Вводные!$A$13:$A$64,0)),0))</f>
        <v>1.5</v>
      </c>
      <c r="K70" s="14" t="n">
        <f aca="false">INDEX(Вводные!$D$13:$F$64,MATCH($A70,Вводные!$A$13:$A$64,0),MATCH(K$3,Вводные!$D$11:$F$11,0))*(1+IF(K$4=$A70,Вводные!$D$5*INDEX(Вводные!$G$13:$G$64,MATCH($A70,Вводные!$A$13:$A$64,0)),0))</f>
        <v>1.5</v>
      </c>
      <c r="L70" s="14" t="n">
        <f aca="false">INDEX(Вводные!$D$13:$F$64,MATCH($A70,Вводные!$A$13:$A$64,0),MATCH(L$3,Вводные!$D$11:$F$11,0))*(1+IF(L$4=$A70,Вводные!$D$5*INDEX(Вводные!$G$13:$G$64,MATCH($A70,Вводные!$A$13:$A$64,0)),0))</f>
        <v>1.5</v>
      </c>
      <c r="M70" s="14" t="n">
        <f aca="false">INDEX(Вводные!$D$13:$F$64,MATCH($A70,Вводные!$A$13:$A$64,0),MATCH(M$3,Вводные!$D$11:$F$11,0))*(1+IF(M$4=$A70,Вводные!$D$5*INDEX(Вводные!$G$13:$G$64,MATCH($A70,Вводные!$A$13:$A$64,0)),0))</f>
        <v>1.5</v>
      </c>
      <c r="N70" s="14" t="n">
        <f aca="false">INDEX(Вводные!$D$13:$F$64,MATCH($A70,Вводные!$A$13:$A$64,0),MATCH(N$3,Вводные!$D$11:$F$11,0))*(1+IF(N$4=$A70,Вводные!$D$5*INDEX(Вводные!$G$13:$G$64,MATCH($A70,Вводные!$A$13:$A$64,0)),0))</f>
        <v>1.5</v>
      </c>
      <c r="O70" s="14" t="n">
        <f aca="false">INDEX(Вводные!$D$13:$F$64,MATCH($A70,Вводные!$A$13:$A$64,0),MATCH(O$3,Вводные!$D$11:$F$11,0))*(1+IF(O$4=$A70,Вводные!$D$5*INDEX(Вводные!$G$13:$G$64,MATCH($A70,Вводные!$A$13:$A$64,0)),0))</f>
        <v>1.5</v>
      </c>
      <c r="P70" s="14" t="n">
        <f aca="false">INDEX(Вводные!$D$13:$F$64,MATCH($A70,Вводные!$A$13:$A$64,0),MATCH(P$3,Вводные!$D$11:$F$11,0))*(1+IF(P$4=$A70,Вводные!$D$5*INDEX(Вводные!$G$13:$G$64,MATCH($A70,Вводные!$A$13:$A$64,0)),0))</f>
        <v>1.5</v>
      </c>
      <c r="Q70" s="14" t="n">
        <f aca="false">INDEX(Вводные!$D$13:$F$64,MATCH($A70,Вводные!$A$13:$A$64,0),MATCH(Q$3,Вводные!$D$11:$F$11,0))*(1+IF(Q$4=$A70,Вводные!$D$5*INDEX(Вводные!$G$13:$G$64,MATCH($A70,Вводные!$A$13:$A$64,0)),0))</f>
        <v>1.5</v>
      </c>
      <c r="R70" s="14" t="n">
        <f aca="false">INDEX(Вводные!$D$13:$F$64,MATCH($A70,Вводные!$A$13:$A$64,0),MATCH(R$3,Вводные!$D$11:$F$11,0))*(1+IF(R$4=$A70,Вводные!$D$5*INDEX(Вводные!$G$13:$G$64,MATCH($A70,Вводные!$A$13:$A$64,0)),0))</f>
        <v>1.5</v>
      </c>
      <c r="S70" s="14" t="n">
        <f aca="false">INDEX(Вводные!$D$13:$F$64,MATCH($A70,Вводные!$A$13:$A$64,0),MATCH(S$3,Вводные!$D$11:$F$11,0))*(1+IF(S$4=$A70,Вводные!$D$5*INDEX(Вводные!$G$13:$G$64,MATCH($A70,Вводные!$A$13:$A$64,0)),0))</f>
        <v>1.5</v>
      </c>
      <c r="T70" s="14" t="n">
        <f aca="false">INDEX(Вводные!$D$13:$F$64,MATCH($A70,Вводные!$A$13:$A$64,0),MATCH(T$3,Вводные!$D$11:$F$11,0))*(1+IF(T$4=$A70,Вводные!$D$5*INDEX(Вводные!$G$13:$G$64,MATCH($A70,Вводные!$A$13:$A$64,0)),0))</f>
        <v>1.5</v>
      </c>
      <c r="U70" s="14" t="n">
        <f aca="false">INDEX(Вводные!$D$13:$F$64,MATCH($A70,Вводные!$A$13:$A$64,0),MATCH(U$3,Вводные!$D$11:$F$11,0))*(1+IF(U$4=$A70,Вводные!$D$5*INDEX(Вводные!$G$13:$G$64,MATCH($A70,Вводные!$A$13:$A$64,0)),0))</f>
        <v>1.5</v>
      </c>
      <c r="V70" s="14" t="n">
        <f aca="false">INDEX(Вводные!$D$13:$F$64,MATCH($A70,Вводные!$A$13:$A$64,0),MATCH(V$3,Вводные!$D$11:$F$11,0))*(1+IF(V$4=$A70,Вводные!$D$5*INDEX(Вводные!$G$13:$G$64,MATCH($A70,Вводные!$A$13:$A$64,0)),0))</f>
        <v>1.5</v>
      </c>
      <c r="W70" s="14" t="n">
        <f aca="false">INDEX(Вводные!$D$13:$F$64,MATCH($A70,Вводные!$A$13:$A$64,0),MATCH(W$3,Вводные!$D$11:$F$11,0))*(1+IF(W$4=$A70,Вводные!$D$5*INDEX(Вводные!$G$13:$G$64,MATCH($A70,Вводные!$A$13:$A$64,0)),0))</f>
        <v>1.5</v>
      </c>
      <c r="X70" s="14" t="n">
        <f aca="false">INDEX(Вводные!$D$13:$F$64,MATCH($A70,Вводные!$A$13:$A$64,0),MATCH(X$3,Вводные!$D$11:$F$11,0))*(1+IF(X$4=$A70,Вводные!$D$5*INDEX(Вводные!$G$13:$G$64,MATCH($A70,Вводные!$A$13:$A$64,0)),0))</f>
        <v>1.5</v>
      </c>
      <c r="Y70" s="14" t="n">
        <f aca="false">INDEX(Вводные!$D$13:$F$64,MATCH($A70,Вводные!$A$13:$A$64,0),MATCH(Y$3,Вводные!$D$11:$F$11,0))*(1+IF(Y$4=$A70,Вводные!$D$5*INDEX(Вводные!$G$13:$G$64,MATCH($A70,Вводные!$A$13:$A$64,0)),0))</f>
        <v>1.5</v>
      </c>
      <c r="Z70" s="14" t="n">
        <f aca="false">INDEX(Вводные!$D$13:$F$64,MATCH($A70,Вводные!$A$13:$A$64,0),MATCH(Z$3,Вводные!$D$11:$F$11,0))*(1+IF(Z$4=$A70,Вводные!$D$5*INDEX(Вводные!$G$13:$G$64,MATCH($A70,Вводные!$A$13:$A$64,0)),0))</f>
        <v>1.5</v>
      </c>
      <c r="AA70" s="14" t="n">
        <f aca="false">INDEX(Вводные!$D$13:$F$64,MATCH($A70,Вводные!$A$13:$A$64,0),MATCH(AA$3,Вводные!$D$11:$F$11,0))*(1+IF(AA$4=$A70,Вводные!$D$5*INDEX(Вводные!$G$13:$G$64,MATCH($A70,Вводные!$A$13:$A$64,0)),0))</f>
        <v>1.5</v>
      </c>
      <c r="AB70" s="14" t="n">
        <f aca="false">INDEX(Вводные!$D$13:$F$64,MATCH($A70,Вводные!$A$13:$A$64,0),MATCH(AB$3,Вводные!$D$11:$F$11,0))*(1+IF(AB$4=$A70,Вводные!$D$5*INDEX(Вводные!$G$13:$G$64,MATCH($A70,Вводные!$A$13:$A$64,0)),0))</f>
        <v>1.5</v>
      </c>
      <c r="AC70" s="14" t="n">
        <f aca="false">INDEX(Вводные!$D$13:$F$64,MATCH($A70,Вводные!$A$13:$A$64,0),MATCH(AC$3,Вводные!$D$11:$F$11,0))*(1+IF(AC$4=$A70,Вводные!$D$5*INDEX(Вводные!$G$13:$G$64,MATCH($A70,Вводные!$A$13:$A$64,0)),0))</f>
        <v>1.5</v>
      </c>
      <c r="AD70" s="14" t="n">
        <f aca="false">INDEX(Вводные!$D$13:$F$64,MATCH($A70,Вводные!$A$13:$A$64,0),MATCH(AD$3,Вводные!$D$11:$F$11,0))*(1+IF(AD$4=$A70,Вводные!$D$5*INDEX(Вводные!$G$13:$G$64,MATCH($A70,Вводные!$A$13:$A$64,0)),0))</f>
        <v>1.5</v>
      </c>
      <c r="AE70" s="14" t="n">
        <f aca="false">INDEX(Вводные!$D$13:$F$64,MATCH($A70,Вводные!$A$13:$A$64,0),MATCH(AE$3,Вводные!$D$11:$F$11,0))*(1+IF(AE$4=$A70,Вводные!$D$5*INDEX(Вводные!$G$13:$G$64,MATCH($A70,Вводные!$A$13:$A$64,0)),0))</f>
        <v>1.5</v>
      </c>
      <c r="AF70" s="14" t="n">
        <f aca="false">INDEX(Вводные!$D$13:$F$64,MATCH($A70,Вводные!$A$13:$A$64,0),MATCH(AF$3,Вводные!$D$11:$F$11,0))*(1+IF(AF$4=$A70,Вводные!$D$5*INDEX(Вводные!$G$13:$G$64,MATCH($A70,Вводные!$A$13:$A$64,0)),0))</f>
        <v>1.5</v>
      </c>
      <c r="AG70" s="14" t="n">
        <f aca="false">INDEX(Вводные!$D$13:$F$64,MATCH($A70,Вводные!$A$13:$A$64,0),MATCH(AG$3,Вводные!$D$11:$F$11,0))*(1+IF(AG$4=$A70,Вводные!$D$5*INDEX(Вводные!$G$13:$G$64,MATCH($A70,Вводные!$A$13:$A$64,0)),0))</f>
        <v>1.5</v>
      </c>
      <c r="AH70" s="14" t="n">
        <f aca="false">INDEX(Вводные!$D$13:$F$64,MATCH($A70,Вводные!$A$13:$A$64,0),MATCH(AH$3,Вводные!$D$11:$F$11,0))*(1+IF(AH$4=$A70,Вводные!$D$5*INDEX(Вводные!$G$13:$G$64,MATCH($A70,Вводные!$A$13:$A$64,0)),0))</f>
        <v>1.5</v>
      </c>
      <c r="AI70" s="14" t="n">
        <f aca="false">INDEX(Вводные!$D$13:$F$64,MATCH($A70,Вводные!$A$13:$A$64,0),MATCH(AI$3,Вводные!$D$11:$F$11,0))*(1+IF(AI$4=$A70,Вводные!$D$5*INDEX(Вводные!$G$13:$G$64,MATCH($A70,Вводные!$A$13:$A$64,0)),0))</f>
        <v>1.5</v>
      </c>
      <c r="AJ70" s="14" t="n">
        <f aca="false">INDEX(Вводные!$D$13:$F$64,MATCH($A70,Вводные!$A$13:$A$64,0),MATCH(AJ$3,Вводные!$D$11:$F$11,0))*(1+IF(AJ$4=$A70,Вводные!$D$5*INDEX(Вводные!$G$13:$G$64,MATCH($A70,Вводные!$A$13:$A$64,0)),0))</f>
        <v>1.5</v>
      </c>
      <c r="AK70" s="14" t="n">
        <f aca="false">INDEX(Вводные!$D$13:$F$64,MATCH($A70,Вводные!$A$13:$A$64,0),MATCH(AK$3,Вводные!$D$11:$F$11,0))*(1+IF(AK$4=$A70,Вводные!$D$5*INDEX(Вводные!$G$13:$G$64,MATCH($A70,Вводные!$A$13:$A$64,0)),0))</f>
        <v>1.5</v>
      </c>
      <c r="AL70" s="14" t="n">
        <f aca="false">INDEX(Вводные!$D$13:$F$64,MATCH($A70,Вводные!$A$13:$A$64,0),MATCH(AL$3,Вводные!$D$11:$F$11,0))*(1+IF(AL$4=$A70,Вводные!$D$5*INDEX(Вводные!$G$13:$G$64,MATCH($A70,Вводные!$A$13:$A$64,0)),0))</f>
        <v>1.5</v>
      </c>
      <c r="AM70" s="14" t="n">
        <f aca="false">INDEX(Вводные!$D$13:$F$64,MATCH($A70,Вводные!$A$13:$A$64,0),MATCH(AM$3,Вводные!$D$11:$F$11,0))*(1+IF(AM$4=$A70,Вводные!$D$5*INDEX(Вводные!$G$13:$G$64,MATCH($A70,Вводные!$A$13:$A$64,0)),0))</f>
        <v>1.5</v>
      </c>
      <c r="AN70" s="14" t="n">
        <f aca="false">INDEX(Вводные!$D$13:$F$64,MATCH($A70,Вводные!$A$13:$A$64,0),MATCH(AN$3,Вводные!$D$11:$F$11,0))*(1+IF(AN$4=$A70,Вводные!$D$5*INDEX(Вводные!$G$13:$G$64,MATCH($A70,Вводные!$A$13:$A$64,0)),0))</f>
        <v>1.5</v>
      </c>
      <c r="AO70" s="14" t="n">
        <f aca="false">INDEX(Вводные!$D$13:$F$64,MATCH($A70,Вводные!$A$13:$A$64,0),MATCH(AO$3,Вводные!$D$11:$F$11,0))*(1+IF(AO$4=$A70,Вводные!$D$5*INDEX(Вводные!$G$13:$G$64,MATCH($A70,Вводные!$A$13:$A$64,0)),0))</f>
        <v>1.5</v>
      </c>
      <c r="AP70" s="14" t="n">
        <f aca="false">INDEX(Вводные!$D$13:$F$64,MATCH($A70,Вводные!$A$13:$A$64,0),MATCH(AP$3,Вводные!$D$11:$F$11,0))*(1+IF(AP$4=$A70,Вводные!$D$5*INDEX(Вводные!$G$13:$G$64,MATCH($A70,Вводные!$A$13:$A$64,0)),0))</f>
        <v>1.485</v>
      </c>
      <c r="AQ70" s="14" t="n">
        <f aca="false">INDEX(Вводные!$D$13:$F$64,MATCH($A70,Вводные!$A$13:$A$64,0),MATCH(AQ$3,Вводные!$D$11:$F$11,0))*(1+IF(AQ$4=$A70,Вводные!$D$5*INDEX(Вводные!$G$13:$G$64,MATCH($A70,Вводные!$A$13:$A$64,0)),0))</f>
        <v>1.5</v>
      </c>
      <c r="AR70" s="14" t="n">
        <f aca="false">INDEX(Вводные!$D$13:$F$64,MATCH($A70,Вводные!$A$13:$A$64,0),MATCH(AR$3,Вводные!$D$11:$F$11,0))*(1+IF(AR$4=$A70,Вводные!$D$5*INDEX(Вводные!$G$13:$G$64,MATCH($A70,Вводные!$A$13:$A$64,0)),0))</f>
        <v>1.5</v>
      </c>
      <c r="AS70" s="14" t="n">
        <f aca="false">INDEX(Вводные!$D$13:$F$64,MATCH($A70,Вводные!$A$13:$A$64,0),MATCH(AS$3,Вводные!$D$11:$F$11,0))*(1+IF(AS$4=$A70,Вводные!$D$5*INDEX(Вводные!$G$13:$G$64,MATCH($A70,Вводные!$A$13:$A$64,0)),0))</f>
        <v>1.5</v>
      </c>
      <c r="AT70" s="14" t="n">
        <f aca="false">INDEX(Вводные!$D$13:$F$64,MATCH($A70,Вводные!$A$13:$A$64,0),MATCH(AT$3,Вводные!$D$11:$F$11,0))*(1+IF(AT$4=$A70,Вводные!$D$5*INDEX(Вводные!$G$13:$G$64,MATCH($A70,Вводные!$A$13:$A$64,0)),0))</f>
        <v>1.5</v>
      </c>
      <c r="AU70" s="14" t="n">
        <f aca="false">INDEX(Вводные!$D$13:$F$64,MATCH($A70,Вводные!$A$13:$A$64,0),MATCH(AU$3,Вводные!$D$11:$F$11,0))*(1+IF(AU$4=$A70,Вводные!$D$5*INDEX(Вводные!$G$13:$G$64,MATCH($A70,Вводные!$A$13:$A$64,0)),0))</f>
        <v>1.5</v>
      </c>
      <c r="AV70" s="14" t="n">
        <f aca="false">INDEX(Вводные!$D$13:$F$64,MATCH($A70,Вводные!$A$13:$A$64,0),MATCH(AV$3,Вводные!$D$11:$F$11,0))*(1+IF(AV$4=$A70,Вводные!$D$5*INDEX(Вводные!$G$13:$G$64,MATCH($A70,Вводные!$A$13:$A$64,0)),0))</f>
        <v>1.5</v>
      </c>
      <c r="AW70" s="14" t="n">
        <f aca="false">INDEX(Вводные!$D$13:$F$64,MATCH($A70,Вводные!$A$13:$A$64,0),MATCH(AW$3,Вводные!$D$11:$F$11,0))*(1+IF(AW$4=$A70,Вводные!$D$5*INDEX(Вводные!$G$13:$G$64,MATCH($A70,Вводные!$A$13:$A$64,0)),0))</f>
        <v>1.5</v>
      </c>
      <c r="AX70" s="14" t="n">
        <f aca="false">INDEX(Вводные!$D$13:$F$64,MATCH($A70,Вводные!$A$13:$A$64,0),MATCH(AX$3,Вводные!$D$11:$F$11,0))*(1+IF(AX$4=$A70,Вводные!$D$5*INDEX(Вводные!$G$13:$G$64,MATCH($A70,Вводные!$A$13:$A$64,0)),0))</f>
        <v>1.5</v>
      </c>
      <c r="AY70" s="14" t="n">
        <f aca="false">INDEX(Вводные!$D$13:$F$64,MATCH($A70,Вводные!$A$13:$A$64,0),MATCH(AY$3,Вводные!$D$11:$F$11,0))*(1+IF(AY$4=$A70,Вводные!$D$5*INDEX(Вводные!$G$13:$G$64,MATCH($A70,Вводные!$A$13:$A$64,0)),0))</f>
        <v>1.5</v>
      </c>
      <c r="AZ70" s="14" t="n">
        <f aca="false">INDEX(Вводные!$D$13:$F$64,MATCH($A70,Вводные!$A$13:$A$64,0),MATCH(AZ$3,Вводные!$D$11:$F$11,0))*(1+IF(AZ$4=$A70,Вводные!$D$5*INDEX(Вводные!$G$13:$G$64,MATCH($A70,Вводные!$A$13:$A$64,0)),0))</f>
        <v>3</v>
      </c>
      <c r="BA70" s="14" t="n">
        <f aca="false">INDEX(Вводные!$D$13:$F$64,MATCH($A70,Вводные!$A$13:$A$64,0),MATCH(BA$3,Вводные!$D$11:$F$11,0))*(1+IF(BA$4=$A70,Вводные!$D$5*INDEX(Вводные!$G$13:$G$64,MATCH($A70,Вводные!$A$13:$A$64,0)),0))</f>
        <v>3</v>
      </c>
      <c r="BB70" s="14" t="n">
        <f aca="false">INDEX(Вводные!$D$13:$F$64,MATCH($A70,Вводные!$A$13:$A$64,0),MATCH(BB$3,Вводные!$D$11:$F$11,0))*(1+IF(BB$4=$A70,Вводные!$D$5*INDEX(Вводные!$G$13:$G$64,MATCH($A70,Вводные!$A$13:$A$64,0)),0))</f>
        <v>3</v>
      </c>
      <c r="BC70" s="14" t="n">
        <f aca="false">INDEX(Вводные!$D$13:$F$64,MATCH($A70,Вводные!$A$13:$A$64,0),MATCH(BC$3,Вводные!$D$11:$F$11,0))*(1+IF(BC$4=$A70,Вводные!$D$5*INDEX(Вводные!$G$13:$G$64,MATCH($A70,Вводные!$A$13:$A$64,0)),0))</f>
        <v>3</v>
      </c>
      <c r="BD70" s="14" t="n">
        <f aca="false">INDEX(Вводные!$D$13:$F$64,MATCH($A70,Вводные!$A$13:$A$64,0),MATCH(BD$3,Вводные!$D$11:$F$11,0))*(1+IF(BD$4=$A70,Вводные!$D$5*INDEX(Вводные!$G$13:$G$64,MATCH($A70,Вводные!$A$13:$A$64,0)),0))</f>
        <v>3</v>
      </c>
      <c r="BE70" s="14" t="n">
        <f aca="false">INDEX(Вводные!$D$13:$F$64,MATCH($A70,Вводные!$A$13:$A$64,0),MATCH(BE$3,Вводные!$D$11:$F$11,0))*(1+IF(BE$4=$A70,Вводные!$D$5*INDEX(Вводные!$G$13:$G$64,MATCH($A70,Вводные!$A$13:$A$64,0)),0))</f>
        <v>3</v>
      </c>
      <c r="BF70" s="14" t="n">
        <f aca="false">INDEX(Вводные!$D$13:$F$64,MATCH($A70,Вводные!$A$13:$A$64,0),MATCH(BF$3,Вводные!$D$11:$F$11,0))*(1+IF(BF$4=$A70,Вводные!$D$5*INDEX(Вводные!$G$13:$G$64,MATCH($A70,Вводные!$A$13:$A$64,0)),0))</f>
        <v>3</v>
      </c>
      <c r="BG70" s="14" t="n">
        <f aca="false">INDEX(Вводные!$D$13:$F$64,MATCH($A70,Вводные!$A$13:$A$64,0),MATCH(BG$3,Вводные!$D$11:$F$11,0))*(1+IF(BG$4=$A70,Вводные!$D$5*INDEX(Вводные!$G$13:$G$64,MATCH($A70,Вводные!$A$13:$A$64,0)),0))</f>
        <v>3</v>
      </c>
      <c r="BH70" s="14" t="n">
        <f aca="false">INDEX(Вводные!$D$13:$F$64,MATCH($A70,Вводные!$A$13:$A$64,0),MATCH(BH$3,Вводные!$D$11:$F$11,0))*(1+IF(BH$4=$A70,Вводные!$D$5*INDEX(Вводные!$G$13:$G$64,MATCH($A70,Вводные!$A$13:$A$64,0)),0))</f>
        <v>3</v>
      </c>
      <c r="BI70" s="14" t="n">
        <f aca="false">INDEX(Вводные!$D$13:$F$64,MATCH($A70,Вводные!$A$13:$A$64,0),MATCH(BI$3,Вводные!$D$11:$F$11,0))*(1+IF(BI$4=$A70,Вводные!$D$5*INDEX(Вводные!$G$13:$G$64,MATCH($A70,Вводные!$A$13:$A$64,0)),0))</f>
        <v>3</v>
      </c>
      <c r="BJ70" s="14" t="n">
        <f aca="false">INDEX(Вводные!$D$13:$F$64,MATCH($A70,Вводные!$A$13:$A$64,0),MATCH(BJ$3,Вводные!$D$11:$F$11,0))*(1+IF(BJ$4=$A70,Вводные!$D$5*INDEX(Вводные!$G$13:$G$64,MATCH($A70,Вводные!$A$13:$A$64,0)),0))</f>
        <v>3</v>
      </c>
      <c r="BK70" s="14" t="n">
        <f aca="false">INDEX(Вводные!$D$13:$F$64,MATCH($A70,Вводные!$A$13:$A$64,0),MATCH(BK$3,Вводные!$D$11:$F$11,0))*(1+IF(BK$4=$A70,Вводные!$D$5*INDEX(Вводные!$G$13:$G$64,MATCH($A70,Вводные!$A$13:$A$64,0)),0))</f>
        <v>3</v>
      </c>
      <c r="BL70" s="14" t="n">
        <f aca="false">INDEX(Вводные!$D$13:$F$64,MATCH($A70,Вводные!$A$13:$A$64,0),MATCH(BL$3,Вводные!$D$11:$F$11,0))*(1+IF(BL$4=$A70,Вводные!$D$5*INDEX(Вводные!$G$13:$G$64,MATCH($A70,Вводные!$A$13:$A$64,0)),0))</f>
        <v>3</v>
      </c>
      <c r="BM70" s="14" t="n">
        <f aca="false">INDEX(Вводные!$D$13:$F$64,MATCH($A70,Вводные!$A$13:$A$64,0),MATCH(BM$3,Вводные!$D$11:$F$11,0))*(1+IF(BM$4=$A70,Вводные!$D$5*INDEX(Вводные!$G$13:$G$64,MATCH($A70,Вводные!$A$13:$A$64,0)),0))</f>
        <v>3</v>
      </c>
      <c r="BN70" s="14" t="n">
        <f aca="false">INDEX(Вводные!$D$13:$F$64,MATCH($A70,Вводные!$A$13:$A$64,0),MATCH(BN$3,Вводные!$D$11:$F$11,0))*(1+IF(BN$4=$A70,Вводные!$D$5*INDEX(Вводные!$G$13:$G$64,MATCH($A70,Вводные!$A$13:$A$64,0)),0))</f>
        <v>3</v>
      </c>
      <c r="BO70" s="14" t="n">
        <f aca="false">INDEX(Вводные!$D$13:$F$64,MATCH($A70,Вводные!$A$13:$A$64,0),MATCH(BO$3,Вводные!$D$11:$F$11,0))*(1+IF(BO$4=$A70,Вводные!$D$5*INDEX(Вводные!$G$13:$G$64,MATCH($A70,Вводные!$A$13:$A$64,0)),0))</f>
        <v>3</v>
      </c>
      <c r="BP70" s="14" t="n">
        <f aca="false">INDEX(Вводные!$D$13:$F$64,MATCH($A70,Вводные!$A$13:$A$64,0),MATCH(BP$3,Вводные!$D$11:$F$11,0))*(1+IF(BP$4=$A70,Вводные!$D$5*INDEX(Вводные!$G$13:$G$64,MATCH($A70,Вводные!$A$13:$A$64,0)),0))</f>
        <v>3</v>
      </c>
      <c r="BQ70" s="14" t="n">
        <f aca="false">INDEX(Вводные!$D$13:$F$64,MATCH($A70,Вводные!$A$13:$A$64,0),MATCH(BQ$3,Вводные!$D$11:$F$11,0))*(1+IF(BQ$4=$A70,Вводные!$D$5*INDEX(Вводные!$G$13:$G$64,MATCH($A70,Вводные!$A$13:$A$64,0)),0))</f>
        <v>3</v>
      </c>
      <c r="BR70" s="14" t="n">
        <f aca="false">INDEX(Вводные!$D$13:$F$64,MATCH($A70,Вводные!$A$13:$A$64,0),MATCH(BR$3,Вводные!$D$11:$F$11,0))*(1+IF(BR$4=$A70,Вводные!$D$5*INDEX(Вводные!$G$13:$G$64,MATCH($A70,Вводные!$A$13:$A$64,0)),0))</f>
        <v>3</v>
      </c>
      <c r="BS70" s="14" t="n">
        <f aca="false">INDEX(Вводные!$D$13:$F$64,MATCH($A70,Вводные!$A$13:$A$64,0),MATCH(BS$3,Вводные!$D$11:$F$11,0))*(1+IF(BS$4=$A70,Вводные!$D$5*INDEX(Вводные!$G$13:$G$64,MATCH($A70,Вводные!$A$13:$A$64,0)),0))</f>
        <v>3</v>
      </c>
      <c r="BT70" s="14" t="n">
        <f aca="false">INDEX(Вводные!$D$13:$F$64,MATCH($A70,Вводные!$A$13:$A$64,0),MATCH(BT$3,Вводные!$D$11:$F$11,0))*(1+IF(BT$4=$A70,Вводные!$D$5*INDEX(Вводные!$G$13:$G$64,MATCH($A70,Вводные!$A$13:$A$64,0)),0))</f>
        <v>3</v>
      </c>
      <c r="BU70" s="14" t="n">
        <f aca="false">INDEX(Вводные!$D$13:$F$64,MATCH($A70,Вводные!$A$13:$A$64,0),MATCH(BU$3,Вводные!$D$11:$F$11,0))*(1+IF(BU$4=$A70,Вводные!$D$5*INDEX(Вводные!$G$13:$G$64,MATCH($A70,Вводные!$A$13:$A$64,0)),0))</f>
        <v>3</v>
      </c>
      <c r="BV70" s="14" t="n">
        <f aca="false">INDEX(Вводные!$D$13:$F$64,MATCH($A70,Вводные!$A$13:$A$64,0),MATCH(BV$3,Вводные!$D$11:$F$11,0))*(1+IF(BV$4=$A70,Вводные!$D$5*INDEX(Вводные!$G$13:$G$64,MATCH($A70,Вводные!$A$13:$A$64,0)),0))</f>
        <v>3</v>
      </c>
      <c r="BW70" s="14" t="n">
        <f aca="false">INDEX(Вводные!$D$13:$F$64,MATCH($A70,Вводные!$A$13:$A$64,0),MATCH(BW$3,Вводные!$D$11:$F$11,0))*(1+IF(BW$4=$A70,Вводные!$D$5*INDEX(Вводные!$G$13:$G$64,MATCH($A70,Вводные!$A$13:$A$64,0)),0))</f>
        <v>3</v>
      </c>
      <c r="BX70" s="14" t="n">
        <f aca="false">INDEX(Вводные!$D$13:$F$64,MATCH($A70,Вводные!$A$13:$A$64,0),MATCH(BX$3,Вводные!$D$11:$F$11,0))*(1+IF(BX$4=$A70,Вводные!$D$5*INDEX(Вводные!$G$13:$G$64,MATCH($A70,Вводные!$A$13:$A$64,0)),0))</f>
        <v>3</v>
      </c>
      <c r="BY70" s="14" t="n">
        <f aca="false">INDEX(Вводные!$D$13:$F$64,MATCH($A70,Вводные!$A$13:$A$64,0),MATCH(BY$3,Вводные!$D$11:$F$11,0))*(1+IF(BY$4=$A70,Вводные!$D$5*INDEX(Вводные!$G$13:$G$64,MATCH($A70,Вводные!$A$13:$A$64,0)),0))</f>
        <v>3</v>
      </c>
      <c r="BZ70" s="14" t="n">
        <f aca="false">INDEX(Вводные!$D$13:$F$64,MATCH($A70,Вводные!$A$13:$A$64,0),MATCH(BZ$3,Вводные!$D$11:$F$11,0))*(1+IF(BZ$4=$A70,Вводные!$D$5*INDEX(Вводные!$G$13:$G$64,MATCH($A70,Вводные!$A$13:$A$64,0)),0))</f>
        <v>3</v>
      </c>
      <c r="CA70" s="14" t="n">
        <f aca="false">INDEX(Вводные!$D$13:$F$64,MATCH($A70,Вводные!$A$13:$A$64,0),MATCH(CA$3,Вводные!$D$11:$F$11,0))*(1+IF(CA$4=$A70,Вводные!$D$5*INDEX(Вводные!$G$13:$G$64,MATCH($A70,Вводные!$A$13:$A$64,0)),0))</f>
        <v>3</v>
      </c>
      <c r="CB70" s="14" t="n">
        <f aca="false">INDEX(Вводные!$D$13:$F$64,MATCH($A70,Вводные!$A$13:$A$64,0),MATCH(CB$3,Вводные!$D$11:$F$11,0))*(1+IF(CB$4=$A70,Вводные!$D$5*INDEX(Вводные!$G$13:$G$64,MATCH($A70,Вводные!$A$13:$A$64,0)),0))</f>
        <v>3</v>
      </c>
      <c r="CC70" s="14" t="n">
        <f aca="false">INDEX(Вводные!$D$13:$F$64,MATCH($A70,Вводные!$A$13:$A$64,0),MATCH(CC$3,Вводные!$D$11:$F$11,0))*(1+IF(CC$4=$A70,Вводные!$D$5*INDEX(Вводные!$G$13:$G$64,MATCH($A70,Вводные!$A$13:$A$64,0)),0))</f>
        <v>3</v>
      </c>
      <c r="CD70" s="14" t="n">
        <f aca="false">INDEX(Вводные!$D$13:$F$64,MATCH($A70,Вводные!$A$13:$A$64,0),MATCH(CD$3,Вводные!$D$11:$F$11,0))*(1+IF(CD$4=$A70,Вводные!$D$5*INDEX(Вводные!$G$13:$G$64,MATCH($A70,Вводные!$A$13:$A$64,0)),0))</f>
        <v>3</v>
      </c>
      <c r="CE70" s="14" t="n">
        <f aca="false">INDEX(Вводные!$D$13:$F$64,MATCH($A70,Вводные!$A$13:$A$64,0),MATCH(CE$3,Вводные!$D$11:$F$11,0))*(1+IF(CE$4=$A70,Вводные!$D$5*INDEX(Вводные!$G$13:$G$64,MATCH($A70,Вводные!$A$13:$A$64,0)),0))</f>
        <v>3</v>
      </c>
      <c r="CF70" s="14" t="n">
        <f aca="false">INDEX(Вводные!$D$13:$F$64,MATCH($A70,Вводные!$A$13:$A$64,0),MATCH(CF$3,Вводные!$D$11:$F$11,0))*(1+IF(CF$4=$A70,Вводные!$D$5*INDEX(Вводные!$G$13:$G$64,MATCH($A70,Вводные!$A$13:$A$64,0)),0))</f>
        <v>2.97</v>
      </c>
      <c r="CG70" s="14" t="n">
        <f aca="false">INDEX(Вводные!$D$13:$F$64,MATCH($A70,Вводные!$A$13:$A$64,0),MATCH(CG$3,Вводные!$D$11:$F$11,0))*(1+IF(CG$4=$A70,Вводные!$D$5*INDEX(Вводные!$G$13:$G$64,MATCH($A70,Вводные!$A$13:$A$64,0)),0))</f>
        <v>3</v>
      </c>
      <c r="CH70" s="14" t="n">
        <f aca="false">INDEX(Вводные!$D$13:$F$64,MATCH($A70,Вводные!$A$13:$A$64,0),MATCH(CH$3,Вводные!$D$11:$F$11,0))*(1+IF(CH$4=$A70,Вводные!$D$5*INDEX(Вводные!$G$13:$G$64,MATCH($A70,Вводные!$A$13:$A$64,0)),0))</f>
        <v>3</v>
      </c>
      <c r="CI70" s="14" t="n">
        <f aca="false">INDEX(Вводные!$D$13:$F$64,MATCH($A70,Вводные!$A$13:$A$64,0),MATCH(CI$3,Вводные!$D$11:$F$11,0))*(1+IF(CI$4=$A70,Вводные!$D$5*INDEX(Вводные!$G$13:$G$64,MATCH($A70,Вводные!$A$13:$A$64,0)),0))</f>
        <v>3</v>
      </c>
      <c r="CJ70" s="14" t="n">
        <f aca="false">INDEX(Вводные!$D$13:$F$64,MATCH($A70,Вводные!$A$13:$A$64,0),MATCH(CJ$3,Вводные!$D$11:$F$11,0))*(1+IF(CJ$4=$A70,Вводные!$D$5*INDEX(Вводные!$G$13:$G$64,MATCH($A70,Вводные!$A$13:$A$64,0)),0))</f>
        <v>3</v>
      </c>
      <c r="CK70" s="14" t="n">
        <f aca="false">INDEX(Вводные!$D$13:$F$64,MATCH($A70,Вводные!$A$13:$A$64,0),MATCH(CK$3,Вводные!$D$11:$F$11,0))*(1+IF(CK$4=$A70,Вводные!$D$5*INDEX(Вводные!$G$13:$G$64,MATCH($A70,Вводные!$A$13:$A$64,0)),0))</f>
        <v>3</v>
      </c>
      <c r="CL70" s="14" t="n">
        <f aca="false">INDEX(Вводные!$D$13:$F$64,MATCH($A70,Вводные!$A$13:$A$64,0),MATCH(CL$3,Вводные!$D$11:$F$11,0))*(1+IF(CL$4=$A70,Вводные!$D$5*INDEX(Вводные!$G$13:$G$64,MATCH($A70,Вводные!$A$13:$A$64,0)),0))</f>
        <v>3</v>
      </c>
      <c r="CM70" s="14" t="n">
        <f aca="false">INDEX(Вводные!$D$13:$F$64,MATCH($A70,Вводные!$A$13:$A$64,0),MATCH(CM$3,Вводные!$D$11:$F$11,0))*(1+IF(CM$4=$A70,Вводные!$D$5*INDEX(Вводные!$G$13:$G$64,MATCH($A70,Вводные!$A$13:$A$64,0)),0))</f>
        <v>3</v>
      </c>
      <c r="CN70" s="14" t="n">
        <f aca="false">INDEX(Вводные!$D$13:$F$64,MATCH($A70,Вводные!$A$13:$A$64,0),MATCH(CN$3,Вводные!$D$11:$F$11,0))*(1+IF(CN$4=$A70,Вводные!$D$5*INDEX(Вводные!$G$13:$G$64,MATCH($A70,Вводные!$A$13:$A$64,0)),0))</f>
        <v>3</v>
      </c>
      <c r="CO70" s="14" t="n">
        <f aca="false">INDEX(Вводные!$D$13:$F$64,MATCH($A70,Вводные!$A$13:$A$64,0),MATCH(CO$3,Вводные!$D$11:$F$11,0))*(1+IF(CO$4=$A70,Вводные!$D$5*INDEX(Вводные!$G$13:$G$64,MATCH($A70,Вводные!$A$13:$A$64,0)),0))</f>
        <v>3</v>
      </c>
      <c r="CP70" s="14" t="n">
        <f aca="false">INDEX(Вводные!$D$13:$F$64,MATCH($A70,Вводные!$A$13:$A$64,0),MATCH(CP$3,Вводные!$D$11:$F$11,0))*(1+IF(CP$4=$A70,Вводные!$D$5*INDEX(Вводные!$G$13:$G$64,MATCH($A70,Вводные!$A$13:$A$64,0)),0))</f>
        <v>50</v>
      </c>
      <c r="CQ70" s="14" t="n">
        <f aca="false">INDEX(Вводные!$D$13:$F$64,MATCH($A70,Вводные!$A$13:$A$64,0),MATCH(CQ$3,Вводные!$D$11:$F$11,0))*(1+IF(CQ$4=$A70,Вводные!$D$5*INDEX(Вводные!$G$13:$G$64,MATCH($A70,Вводные!$A$13:$A$64,0)),0))</f>
        <v>50</v>
      </c>
      <c r="CR70" s="14" t="n">
        <f aca="false">INDEX(Вводные!$D$13:$F$64,MATCH($A70,Вводные!$A$13:$A$64,0),MATCH(CR$3,Вводные!$D$11:$F$11,0))*(1+IF(CR$4=$A70,Вводные!$D$5*INDEX(Вводные!$G$13:$G$64,MATCH($A70,Вводные!$A$13:$A$64,0)),0))</f>
        <v>50</v>
      </c>
      <c r="CS70" s="14" t="n">
        <f aca="false">INDEX(Вводные!$D$13:$F$64,MATCH($A70,Вводные!$A$13:$A$64,0),MATCH(CS$3,Вводные!$D$11:$F$11,0))*(1+IF(CS$4=$A70,Вводные!$D$5*INDEX(Вводные!$G$13:$G$64,MATCH($A70,Вводные!$A$13:$A$64,0)),0))</f>
        <v>50</v>
      </c>
      <c r="CT70" s="14" t="n">
        <f aca="false">INDEX(Вводные!$D$13:$F$64,MATCH($A70,Вводные!$A$13:$A$64,0),MATCH(CT$3,Вводные!$D$11:$F$11,0))*(1+IF(CT$4=$A70,Вводные!$D$5*INDEX(Вводные!$G$13:$G$64,MATCH($A70,Вводные!$A$13:$A$64,0)),0))</f>
        <v>50</v>
      </c>
      <c r="CU70" s="14" t="n">
        <f aca="false">INDEX(Вводные!$D$13:$F$64,MATCH($A70,Вводные!$A$13:$A$64,0),MATCH(CU$3,Вводные!$D$11:$F$11,0))*(1+IF(CU$4=$A70,Вводные!$D$5*INDEX(Вводные!$G$13:$G$64,MATCH($A70,Вводные!$A$13:$A$64,0)),0))</f>
        <v>50</v>
      </c>
      <c r="CV70" s="14" t="n">
        <f aca="false">INDEX(Вводные!$D$13:$F$64,MATCH($A70,Вводные!$A$13:$A$64,0),MATCH(CV$3,Вводные!$D$11:$F$11,0))*(1+IF(CV$4=$A70,Вводные!$D$5*INDEX(Вводные!$G$13:$G$64,MATCH($A70,Вводные!$A$13:$A$64,0)),0))</f>
        <v>50</v>
      </c>
      <c r="CW70" s="14" t="n">
        <f aca="false">INDEX(Вводные!$D$13:$F$64,MATCH($A70,Вводные!$A$13:$A$64,0),MATCH(CW$3,Вводные!$D$11:$F$11,0))*(1+IF(CW$4=$A70,Вводные!$D$5*INDEX(Вводные!$G$13:$G$64,MATCH($A70,Вводные!$A$13:$A$64,0)),0))</f>
        <v>50</v>
      </c>
      <c r="CX70" s="14" t="n">
        <f aca="false">INDEX(Вводные!$D$13:$F$64,MATCH($A70,Вводные!$A$13:$A$64,0),MATCH(CX$3,Вводные!$D$11:$F$11,0))*(1+IF(CX$4=$A70,Вводные!$D$5*INDEX(Вводные!$G$13:$G$64,MATCH($A70,Вводные!$A$13:$A$64,0)),0))</f>
        <v>50</v>
      </c>
      <c r="CY70" s="14" t="n">
        <f aca="false">INDEX(Вводные!$D$13:$F$64,MATCH($A70,Вводные!$A$13:$A$64,0),MATCH(CY$3,Вводные!$D$11:$F$11,0))*(1+IF(CY$4=$A70,Вводные!$D$5*INDEX(Вводные!$G$13:$G$64,MATCH($A70,Вводные!$A$13:$A$64,0)),0))</f>
        <v>50</v>
      </c>
      <c r="CZ70" s="14" t="n">
        <f aca="false">INDEX(Вводные!$D$13:$F$64,MATCH($A70,Вводные!$A$13:$A$64,0),MATCH(CZ$3,Вводные!$D$11:$F$11,0))*(1+IF(CZ$4=$A70,Вводные!$D$5*INDEX(Вводные!$G$13:$G$64,MATCH($A70,Вводные!$A$13:$A$64,0)),0))</f>
        <v>50</v>
      </c>
      <c r="DA70" s="14" t="n">
        <f aca="false">INDEX(Вводные!$D$13:$F$64,MATCH($A70,Вводные!$A$13:$A$64,0),MATCH(DA$3,Вводные!$D$11:$F$11,0))*(1+IF(DA$4=$A70,Вводные!$D$5*INDEX(Вводные!$G$13:$G$64,MATCH($A70,Вводные!$A$13:$A$64,0)),0))</f>
        <v>50</v>
      </c>
      <c r="DB70" s="14" t="n">
        <f aca="false">INDEX(Вводные!$D$13:$F$64,MATCH($A70,Вводные!$A$13:$A$64,0),MATCH(DB$3,Вводные!$D$11:$F$11,0))*(1+IF(DB$4=$A70,Вводные!$D$5*INDEX(Вводные!$G$13:$G$64,MATCH($A70,Вводные!$A$13:$A$64,0)),0))</f>
        <v>50</v>
      </c>
      <c r="DC70" s="14" t="n">
        <f aca="false">INDEX(Вводные!$D$13:$F$64,MATCH($A70,Вводные!$A$13:$A$64,0),MATCH(DC$3,Вводные!$D$11:$F$11,0))*(1+IF(DC$4=$A70,Вводные!$D$5*INDEX(Вводные!$G$13:$G$64,MATCH($A70,Вводные!$A$13:$A$64,0)),0))</f>
        <v>50</v>
      </c>
      <c r="DD70" s="14" t="n">
        <f aca="false">INDEX(Вводные!$D$13:$F$64,MATCH($A70,Вводные!$A$13:$A$64,0),MATCH(DD$3,Вводные!$D$11:$F$11,0))*(1+IF(DD$4=$A70,Вводные!$D$5*INDEX(Вводные!$G$13:$G$64,MATCH($A70,Вводные!$A$13:$A$64,0)),0))</f>
        <v>50</v>
      </c>
      <c r="DE70" s="14" t="n">
        <f aca="false">INDEX(Вводные!$D$13:$F$64,MATCH($A70,Вводные!$A$13:$A$64,0),MATCH(DE$3,Вводные!$D$11:$F$11,0))*(1+IF(DE$4=$A70,Вводные!$D$5*INDEX(Вводные!$G$13:$G$64,MATCH($A70,Вводные!$A$13:$A$64,0)),0))</f>
        <v>50</v>
      </c>
      <c r="DF70" s="14" t="n">
        <f aca="false">INDEX(Вводные!$D$13:$F$64,MATCH($A70,Вводные!$A$13:$A$64,0),MATCH(DF$3,Вводные!$D$11:$F$11,0))*(1+IF(DF$4=$A70,Вводные!$D$5*INDEX(Вводные!$G$13:$G$64,MATCH($A70,Вводные!$A$13:$A$64,0)),0))</f>
        <v>50</v>
      </c>
      <c r="DG70" s="14" t="n">
        <f aca="false">INDEX(Вводные!$D$13:$F$64,MATCH($A70,Вводные!$A$13:$A$64,0),MATCH(DG$3,Вводные!$D$11:$F$11,0))*(1+IF(DG$4=$A70,Вводные!$D$5*INDEX(Вводные!$G$13:$G$64,MATCH($A70,Вводные!$A$13:$A$64,0)),0))</f>
        <v>50</v>
      </c>
      <c r="DH70" s="14" t="n">
        <f aca="false">INDEX(Вводные!$D$13:$F$64,MATCH($A70,Вводные!$A$13:$A$64,0),MATCH(DH$3,Вводные!$D$11:$F$11,0))*(1+IF(DH$4=$A70,Вводные!$D$5*INDEX(Вводные!$G$13:$G$64,MATCH($A70,Вводные!$A$13:$A$64,0)),0))</f>
        <v>50</v>
      </c>
      <c r="DI70" s="14" t="n">
        <f aca="false">INDEX(Вводные!$D$13:$F$64,MATCH($A70,Вводные!$A$13:$A$64,0),MATCH(DI$3,Вводные!$D$11:$F$11,0))*(1+IF(DI$4=$A70,Вводные!$D$5*INDEX(Вводные!$G$13:$G$64,MATCH($A70,Вводные!$A$13:$A$64,0)),0))</f>
        <v>50</v>
      </c>
      <c r="DJ70" s="14" t="n">
        <f aca="false">INDEX(Вводные!$D$13:$F$64,MATCH($A70,Вводные!$A$13:$A$64,0),MATCH(DJ$3,Вводные!$D$11:$F$11,0))*(1+IF(DJ$4=$A70,Вводные!$D$5*INDEX(Вводные!$G$13:$G$64,MATCH($A70,Вводные!$A$13:$A$64,0)),0))</f>
        <v>50</v>
      </c>
      <c r="DK70" s="14" t="n">
        <f aca="false">INDEX(Вводные!$D$13:$F$64,MATCH($A70,Вводные!$A$13:$A$64,0),MATCH(DK$3,Вводные!$D$11:$F$11,0))*(1+IF(DK$4=$A70,Вводные!$D$5*INDEX(Вводные!$G$13:$G$64,MATCH($A70,Вводные!$A$13:$A$64,0)),0))</f>
        <v>50</v>
      </c>
      <c r="DL70" s="14" t="n">
        <f aca="false">INDEX(Вводные!$D$13:$F$64,MATCH($A70,Вводные!$A$13:$A$64,0),MATCH(DL$3,Вводные!$D$11:$F$11,0))*(1+IF(DL$4=$A70,Вводные!$D$5*INDEX(Вводные!$G$13:$G$64,MATCH($A70,Вводные!$A$13:$A$64,0)),0))</f>
        <v>50</v>
      </c>
      <c r="DM70" s="14" t="n">
        <f aca="false">INDEX(Вводные!$D$13:$F$64,MATCH($A70,Вводные!$A$13:$A$64,0),MATCH(DM$3,Вводные!$D$11:$F$11,0))*(1+IF(DM$4=$A70,Вводные!$D$5*INDEX(Вводные!$G$13:$G$64,MATCH($A70,Вводные!$A$13:$A$64,0)),0))</f>
        <v>50</v>
      </c>
      <c r="DN70" s="14" t="n">
        <f aca="false">INDEX(Вводные!$D$13:$F$64,MATCH($A70,Вводные!$A$13:$A$64,0),MATCH(DN$3,Вводные!$D$11:$F$11,0))*(1+IF(DN$4=$A70,Вводные!$D$5*INDEX(Вводные!$G$13:$G$64,MATCH($A70,Вводные!$A$13:$A$64,0)),0))</f>
        <v>50</v>
      </c>
      <c r="DO70" s="14" t="n">
        <f aca="false">INDEX(Вводные!$D$13:$F$64,MATCH($A70,Вводные!$A$13:$A$64,0),MATCH(DO$3,Вводные!$D$11:$F$11,0))*(1+IF(DO$4=$A70,Вводные!$D$5*INDEX(Вводные!$G$13:$G$64,MATCH($A70,Вводные!$A$13:$A$64,0)),0))</f>
        <v>50</v>
      </c>
      <c r="DP70" s="14" t="n">
        <f aca="false">INDEX(Вводные!$D$13:$F$64,MATCH($A70,Вводные!$A$13:$A$64,0),MATCH(DP$3,Вводные!$D$11:$F$11,0))*(1+IF(DP$4=$A70,Вводные!$D$5*INDEX(Вводные!$G$13:$G$64,MATCH($A70,Вводные!$A$13:$A$64,0)),0))</f>
        <v>50</v>
      </c>
      <c r="DQ70" s="14" t="n">
        <f aca="false">INDEX(Вводные!$D$13:$F$64,MATCH($A70,Вводные!$A$13:$A$64,0),MATCH(DQ$3,Вводные!$D$11:$F$11,0))*(1+IF(DQ$4=$A70,Вводные!$D$5*INDEX(Вводные!$G$13:$G$64,MATCH($A70,Вводные!$A$13:$A$64,0)),0))</f>
        <v>50</v>
      </c>
      <c r="DR70" s="14" t="n">
        <f aca="false">INDEX(Вводные!$D$13:$F$64,MATCH($A70,Вводные!$A$13:$A$64,0),MATCH(DR$3,Вводные!$D$11:$F$11,0))*(1+IF(DR$4=$A70,Вводные!$D$5*INDEX(Вводные!$G$13:$G$64,MATCH($A70,Вводные!$A$13:$A$64,0)),0))</f>
        <v>50</v>
      </c>
      <c r="DS70" s="14" t="n">
        <f aca="false">INDEX(Вводные!$D$13:$F$64,MATCH($A70,Вводные!$A$13:$A$64,0),MATCH(DS$3,Вводные!$D$11:$F$11,0))*(1+IF(DS$4=$A70,Вводные!$D$5*INDEX(Вводные!$G$13:$G$64,MATCH($A70,Вводные!$A$13:$A$64,0)),0))</f>
        <v>50</v>
      </c>
      <c r="DT70" s="14" t="n">
        <f aca="false">INDEX(Вводные!$D$13:$F$64,MATCH($A70,Вводные!$A$13:$A$64,0),MATCH(DT$3,Вводные!$D$11:$F$11,0))*(1+IF(DT$4=$A70,Вводные!$D$5*INDEX(Вводные!$G$13:$G$64,MATCH($A70,Вводные!$A$13:$A$64,0)),0))</f>
        <v>50</v>
      </c>
      <c r="DU70" s="14" t="n">
        <f aca="false">INDEX(Вводные!$D$13:$F$64,MATCH($A70,Вводные!$A$13:$A$64,0),MATCH(DU$3,Вводные!$D$11:$F$11,0))*(1+IF(DU$4=$A70,Вводные!$D$5*INDEX(Вводные!$G$13:$G$64,MATCH($A70,Вводные!$A$13:$A$64,0)),0))</f>
        <v>50</v>
      </c>
      <c r="DV70" s="14" t="n">
        <f aca="false">INDEX(Вводные!$D$13:$F$64,MATCH($A70,Вводные!$A$13:$A$64,0),MATCH(DV$3,Вводные!$D$11:$F$11,0))*(1+IF(DV$4=$A70,Вводные!$D$5*INDEX(Вводные!$G$13:$G$64,MATCH($A70,Вводные!$A$13:$A$64,0)),0))</f>
        <v>49.5</v>
      </c>
      <c r="DW70" s="14" t="n">
        <f aca="false">INDEX(Вводные!$D$13:$F$64,MATCH($A70,Вводные!$A$13:$A$64,0),MATCH(DW$3,Вводные!$D$11:$F$11,0))*(1+IF(DW$4=$A70,Вводные!$D$5*INDEX(Вводные!$G$13:$G$64,MATCH($A70,Вводные!$A$13:$A$64,0)),0))</f>
        <v>50</v>
      </c>
      <c r="DX70" s="14" t="n">
        <f aca="false">INDEX(Вводные!$D$13:$F$64,MATCH($A70,Вводные!$A$13:$A$64,0),MATCH(DX$3,Вводные!$D$11:$F$11,0))*(1+IF(DX$4=$A70,Вводные!$D$5*INDEX(Вводные!$G$13:$G$64,MATCH($A70,Вводные!$A$13:$A$64,0)),0))</f>
        <v>50</v>
      </c>
      <c r="DY70" s="14" t="n">
        <f aca="false">INDEX(Вводные!$D$13:$F$64,MATCH($A70,Вводные!$A$13:$A$64,0),MATCH(DY$3,Вводные!$D$11:$F$11,0))*(1+IF(DY$4=$A70,Вводные!$D$5*INDEX(Вводные!$G$13:$G$64,MATCH($A70,Вводные!$A$13:$A$64,0)),0))</f>
        <v>50</v>
      </c>
      <c r="DZ70" s="14" t="n">
        <f aca="false">INDEX(Вводные!$D$13:$F$64,MATCH($A70,Вводные!$A$13:$A$64,0),MATCH(DZ$3,Вводные!$D$11:$F$11,0))*(1+IF(DZ$4=$A70,Вводные!$D$5*INDEX(Вводные!$G$13:$G$64,MATCH($A70,Вводные!$A$13:$A$64,0)),0))</f>
        <v>50</v>
      </c>
      <c r="EA70" s="14" t="n">
        <f aca="false">INDEX(Вводные!$D$13:$F$64,MATCH($A70,Вводные!$A$13:$A$64,0),MATCH(EA$3,Вводные!$D$11:$F$11,0))*(1+IF(EA$4=$A70,Вводные!$D$5*INDEX(Вводные!$G$13:$G$64,MATCH($A70,Вводные!$A$13:$A$64,0)),0))</f>
        <v>50</v>
      </c>
      <c r="EB70" s="14" t="n">
        <f aca="false">INDEX(Вводные!$D$13:$F$64,MATCH($A70,Вводные!$A$13:$A$64,0),MATCH(EB$3,Вводные!$D$11:$F$11,0))*(1+IF(EB$4=$A70,Вводные!$D$5*INDEX(Вводные!$G$13:$G$64,MATCH($A70,Вводные!$A$13:$A$64,0)),0))</f>
        <v>50</v>
      </c>
      <c r="EC70" s="14" t="n">
        <f aca="false">INDEX(Вводные!$D$13:$F$64,MATCH($A70,Вводные!$A$13:$A$64,0),MATCH(EC$3,Вводные!$D$11:$F$11,0))*(1+IF(EC$4=$A70,Вводные!$D$5*INDEX(Вводные!$G$13:$G$64,MATCH($A70,Вводные!$A$13:$A$64,0)),0))</f>
        <v>50</v>
      </c>
      <c r="ED70" s="14" t="n">
        <f aca="false">INDEX(Вводные!$D$13:$F$64,MATCH($A70,Вводные!$A$13:$A$64,0),MATCH(ED$3,Вводные!$D$11:$F$11,0))*(1+IF(ED$4=$A70,Вводные!$D$5*INDEX(Вводные!$G$13:$G$64,MATCH($A70,Вводные!$A$13:$A$64,0)),0))</f>
        <v>50</v>
      </c>
      <c r="EE70" s="14" t="n">
        <f aca="false">INDEX(Вводные!$D$13:$F$64,MATCH($A70,Вводные!$A$13:$A$64,0),MATCH(EE$3,Вводные!$D$11:$F$11,0))*(1+IF(EE$4=$A70,Вводные!$D$5*INDEX(Вводные!$G$13:$G$64,MATCH($A70,Вводные!$A$13:$A$64,0)),0))</f>
        <v>50</v>
      </c>
      <c r="EF70" s="14" t="n">
        <f aca="false">INDEX(Вводные!$D$13:$F$64,MATCH($A70,Вводные!$A$13:$A$64,0),MATCH(EF$3,Вводные!$D$11:$F$11,0))*(1+IF(EF$4=$A70,Вводные!$D$5*INDEX(Вводные!$G$13:$G$64,MATCH($A70,Вводные!$A$13:$A$64,0)),0))</f>
        <v>1.5</v>
      </c>
      <c r="EG70" s="14" t="n">
        <f aca="false">INDEX(Вводные!$D$13:$F$64,MATCH($A70,Вводные!$A$13:$A$64,0),MATCH(EG$3,Вводные!$D$11:$F$11,0))*(1+IF(EG$4=$A70,Вводные!$D$5*INDEX(Вводные!$G$13:$G$64,MATCH($A70,Вводные!$A$13:$A$64,0)),0))</f>
        <v>1.5</v>
      </c>
      <c r="EH70" s="14" t="n">
        <f aca="false">INDEX(Вводные!$D$13:$F$64,MATCH($A70,Вводные!$A$13:$A$64,0),MATCH(EH$3,Вводные!$D$11:$F$11,0))*(1+IF(EH$4=$A70,Вводные!$D$5*INDEX(Вводные!$G$13:$G$64,MATCH($A70,Вводные!$A$13:$A$64,0)),0))</f>
        <v>1.5</v>
      </c>
      <c r="EI70" s="14" t="n">
        <f aca="false">INDEX(Вводные!$D$13:$F$64,MATCH($A70,Вводные!$A$13:$A$64,0),MATCH(EI$3,Вводные!$D$11:$F$11,0))*(1+IF(EI$4=$A70,Вводные!$D$5*INDEX(Вводные!$G$13:$G$64,MATCH($A70,Вводные!$A$13:$A$64,0)),0))</f>
        <v>1.5</v>
      </c>
      <c r="EJ70" s="14" t="n">
        <f aca="false">INDEX(Вводные!$D$13:$F$64,MATCH($A70,Вводные!$A$13:$A$64,0),MATCH(EJ$3,Вводные!$D$11:$F$11,0))*(1+IF(EJ$4=$A70,Вводные!$D$5*INDEX(Вводные!$G$13:$G$64,MATCH($A70,Вводные!$A$13:$A$64,0)),0))</f>
        <v>1.5</v>
      </c>
      <c r="EK70" s="14" t="n">
        <f aca="false">INDEX(Вводные!$D$13:$F$64,MATCH($A70,Вводные!$A$13:$A$64,0),MATCH(EK$3,Вводные!$D$11:$F$11,0))*(1+IF(EK$4=$A70,Вводные!$D$5*INDEX(Вводные!$G$13:$G$64,MATCH($A70,Вводные!$A$13:$A$64,0)),0))</f>
        <v>1.5</v>
      </c>
      <c r="EL70" s="14" t="n">
        <f aca="false">INDEX(Вводные!$D$13:$F$64,MATCH($A70,Вводные!$A$13:$A$64,0),MATCH(EL$3,Вводные!$D$11:$F$11,0))*(1+IF(EL$4=$A70,Вводные!$D$5*INDEX(Вводные!$G$13:$G$64,MATCH($A70,Вводные!$A$13:$A$64,0)),0))</f>
        <v>1.5</v>
      </c>
      <c r="EM70" s="14" t="n">
        <f aca="false">INDEX(Вводные!$D$13:$F$64,MATCH($A70,Вводные!$A$13:$A$64,0),MATCH(EM$3,Вводные!$D$11:$F$11,0))*(1+IF(EM$4=$A70,Вводные!$D$5*INDEX(Вводные!$G$13:$G$64,MATCH($A70,Вводные!$A$13:$A$64,0)),0))</f>
        <v>1.5</v>
      </c>
      <c r="EN70" s="14" t="n">
        <f aca="false">INDEX(Вводные!$D$13:$F$64,MATCH($A70,Вводные!$A$13:$A$64,0),MATCH(EN$3,Вводные!$D$11:$F$11,0))*(1+IF(EN$4=$A70,Вводные!$D$5*INDEX(Вводные!$G$13:$G$64,MATCH($A70,Вводные!$A$13:$A$64,0)),0))</f>
        <v>1.5</v>
      </c>
      <c r="EO70" s="14" t="n">
        <f aca="false">INDEX(Вводные!$D$13:$F$64,MATCH($A70,Вводные!$A$13:$A$64,0),MATCH(EO$3,Вводные!$D$11:$F$11,0))*(1+IF(EO$4=$A70,Вводные!$D$5*INDEX(Вводные!$G$13:$G$64,MATCH($A70,Вводные!$A$13:$A$64,0)),0))</f>
        <v>1.5</v>
      </c>
      <c r="EP70" s="14" t="n">
        <f aca="false">INDEX(Вводные!$D$13:$F$64,MATCH($A70,Вводные!$A$13:$A$64,0),MATCH(EP$3,Вводные!$D$11:$F$11,0))*(1+IF(EP$4=$A70,Вводные!$D$5*INDEX(Вводные!$G$13:$G$64,MATCH($A70,Вводные!$A$13:$A$64,0)),0))</f>
        <v>1.5</v>
      </c>
      <c r="EQ70" s="14" t="n">
        <f aca="false">INDEX(Вводные!$D$13:$F$64,MATCH($A70,Вводные!$A$13:$A$64,0),MATCH(EQ$3,Вводные!$D$11:$F$11,0))*(1+IF(EQ$4=$A70,Вводные!$D$5*INDEX(Вводные!$G$13:$G$64,MATCH($A70,Вводные!$A$13:$A$64,0)),0))</f>
        <v>1.5</v>
      </c>
      <c r="ER70" s="14" t="n">
        <f aca="false">INDEX(Вводные!$D$13:$F$64,MATCH($A70,Вводные!$A$13:$A$64,0),MATCH(ER$3,Вводные!$D$11:$F$11,0))*(1+IF(ER$4=$A70,Вводные!$D$5*INDEX(Вводные!$G$13:$G$64,MATCH($A70,Вводные!$A$13:$A$64,0)),0))</f>
        <v>1.5</v>
      </c>
      <c r="ES70" s="14" t="n">
        <f aca="false">INDEX(Вводные!$D$13:$F$64,MATCH($A70,Вводные!$A$13:$A$64,0),MATCH(ES$3,Вводные!$D$11:$F$11,0))*(1+IF(ES$4=$A70,Вводные!$D$5*INDEX(Вводные!$G$13:$G$64,MATCH($A70,Вводные!$A$13:$A$64,0)),0))</f>
        <v>1.5</v>
      </c>
      <c r="ET70" s="14" t="n">
        <f aca="false">INDEX(Вводные!$D$13:$F$64,MATCH($A70,Вводные!$A$13:$A$64,0),MATCH(ET$3,Вводные!$D$11:$F$11,0))*(1+IF(ET$4=$A70,Вводные!$D$5*INDEX(Вводные!$G$13:$G$64,MATCH($A70,Вводные!$A$13:$A$64,0)),0))</f>
        <v>1.5</v>
      </c>
      <c r="EU70" s="14" t="n">
        <f aca="false">INDEX(Вводные!$D$13:$F$64,MATCH($A70,Вводные!$A$13:$A$64,0),MATCH(EU$3,Вводные!$D$11:$F$11,0))*(1+IF(EU$4=$A70,Вводные!$D$5*INDEX(Вводные!$G$13:$G$64,MATCH($A70,Вводные!$A$13:$A$64,0)),0))</f>
        <v>1.5</v>
      </c>
      <c r="EV70" s="14" t="n">
        <f aca="false">INDEX(Вводные!$D$13:$F$64,MATCH($A70,Вводные!$A$13:$A$64,0),MATCH(EV$3,Вводные!$D$11:$F$11,0))*(1+IF(EV$4=$A70,Вводные!$D$5*INDEX(Вводные!$G$13:$G$64,MATCH($A70,Вводные!$A$13:$A$64,0)),0))</f>
        <v>1.5</v>
      </c>
      <c r="EW70" s="14" t="n">
        <f aca="false">INDEX(Вводные!$D$13:$F$64,MATCH($A70,Вводные!$A$13:$A$64,0),MATCH(EW$3,Вводные!$D$11:$F$11,0))*(1+IF(EW$4=$A70,Вводные!$D$5*INDEX(Вводные!$G$13:$G$64,MATCH($A70,Вводные!$A$13:$A$64,0)),0))</f>
        <v>1.5</v>
      </c>
      <c r="EX70" s="14" t="n">
        <f aca="false">INDEX(Вводные!$D$13:$F$64,MATCH($A70,Вводные!$A$13:$A$64,0),MATCH(EX$3,Вводные!$D$11:$F$11,0))*(1+IF(EX$4=$A70,Вводные!$D$5*INDEX(Вводные!$G$13:$G$64,MATCH($A70,Вводные!$A$13:$A$64,0)),0))</f>
        <v>1.5</v>
      </c>
      <c r="EY70" s="14" t="n">
        <f aca="false">INDEX(Вводные!$D$13:$F$64,MATCH($A70,Вводные!$A$13:$A$64,0),MATCH(EY$3,Вводные!$D$11:$F$11,0))*(1+IF(EY$4=$A70,Вводные!$D$5*INDEX(Вводные!$G$13:$G$64,MATCH($A70,Вводные!$A$13:$A$64,0)),0))</f>
        <v>1.5</v>
      </c>
      <c r="EZ70" s="14" t="n">
        <f aca="false">INDEX(Вводные!$D$13:$F$64,MATCH($A70,Вводные!$A$13:$A$64,0),MATCH(EZ$3,Вводные!$D$11:$F$11,0))*(1+IF(EZ$4=$A70,Вводные!$D$5*INDEX(Вводные!$G$13:$G$64,MATCH($A70,Вводные!$A$13:$A$64,0)),0))</f>
        <v>1.5</v>
      </c>
      <c r="FA70" s="14" t="n">
        <f aca="false">INDEX(Вводные!$D$13:$F$64,MATCH($A70,Вводные!$A$13:$A$64,0),MATCH(FA$3,Вводные!$D$11:$F$11,0))*(1+IF(FA$4=$A70,Вводные!$D$5*INDEX(Вводные!$G$13:$G$64,MATCH($A70,Вводные!$A$13:$A$64,0)),0))</f>
        <v>1.5</v>
      </c>
      <c r="FB70" s="14" t="n">
        <f aca="false">INDEX(Вводные!$D$13:$F$64,MATCH($A70,Вводные!$A$13:$A$64,0),MATCH(FB$3,Вводные!$D$11:$F$11,0))*(1+IF(FB$4=$A70,Вводные!$D$5*INDEX(Вводные!$G$13:$G$64,MATCH($A70,Вводные!$A$13:$A$64,0)),0))</f>
        <v>1.5</v>
      </c>
      <c r="FC70" s="14" t="n">
        <f aca="false">INDEX(Вводные!$D$13:$F$64,MATCH($A70,Вводные!$A$13:$A$64,0),MATCH(FC$3,Вводные!$D$11:$F$11,0))*(1+IF(FC$4=$A70,Вводные!$D$5*INDEX(Вводные!$G$13:$G$64,MATCH($A70,Вводные!$A$13:$A$64,0)),0))</f>
        <v>1.5</v>
      </c>
      <c r="FD70" s="14" t="n">
        <f aca="false">INDEX(Вводные!$D$13:$F$64,MATCH($A70,Вводные!$A$13:$A$64,0),MATCH(FD$3,Вводные!$D$11:$F$11,0))*(1+IF(FD$4=$A70,Вводные!$D$5*INDEX(Вводные!$G$13:$G$64,MATCH($A70,Вводные!$A$13:$A$64,0)),0))</f>
        <v>1.5</v>
      </c>
      <c r="FE70" s="14" t="n">
        <f aca="false">INDEX(Вводные!$D$13:$F$64,MATCH($A70,Вводные!$A$13:$A$64,0),MATCH(FE$3,Вводные!$D$11:$F$11,0))*(1+IF(FE$4=$A70,Вводные!$D$5*INDEX(Вводные!$G$13:$G$64,MATCH($A70,Вводные!$A$13:$A$64,0)),0))</f>
        <v>1.5</v>
      </c>
      <c r="FF70" s="14" t="n">
        <f aca="false">INDEX(Вводные!$D$13:$F$64,MATCH($A70,Вводные!$A$13:$A$64,0),MATCH(FF$3,Вводные!$D$11:$F$11,0))*(1+IF(FF$4=$A70,Вводные!$D$5*INDEX(Вводные!$G$13:$G$64,MATCH($A70,Вводные!$A$13:$A$64,0)),0))</f>
        <v>1.5</v>
      </c>
      <c r="FG70" s="14" t="n">
        <f aca="false">INDEX(Вводные!$D$13:$F$64,MATCH($A70,Вводные!$A$13:$A$64,0),MATCH(FG$3,Вводные!$D$11:$F$11,0))*(1+IF(FG$4=$A70,Вводные!$D$5*INDEX(Вводные!$G$13:$G$64,MATCH($A70,Вводные!$A$13:$A$64,0)),0))</f>
        <v>1.5</v>
      </c>
      <c r="FH70" s="14" t="n">
        <f aca="false">INDEX(Вводные!$D$13:$F$64,MATCH($A70,Вводные!$A$13:$A$64,0),MATCH(FH$3,Вводные!$D$11:$F$11,0))*(1+IF(FH$4=$A70,Вводные!$D$5*INDEX(Вводные!$G$13:$G$64,MATCH($A70,Вводные!$A$13:$A$64,0)),0))</f>
        <v>1.5</v>
      </c>
      <c r="FI70" s="14" t="n">
        <f aca="false">INDEX(Вводные!$D$13:$F$64,MATCH($A70,Вводные!$A$13:$A$64,0),MATCH(FI$3,Вводные!$D$11:$F$11,0))*(1+IF(FI$4=$A70,Вводные!$D$5*INDEX(Вводные!$G$13:$G$64,MATCH($A70,Вводные!$A$13:$A$64,0)),0))</f>
        <v>1.5</v>
      </c>
      <c r="FJ70" s="14" t="n">
        <f aca="false">INDEX(Вводные!$D$13:$F$64,MATCH($A70,Вводные!$A$13:$A$64,0),MATCH(FJ$3,Вводные!$D$11:$F$11,0))*(1+IF(FJ$4=$A70,Вводные!$D$5*INDEX(Вводные!$G$13:$G$64,MATCH($A70,Вводные!$A$13:$A$64,0)),0))</f>
        <v>1.5</v>
      </c>
      <c r="FK70" s="14" t="n">
        <f aca="false">INDEX(Вводные!$D$13:$F$64,MATCH($A70,Вводные!$A$13:$A$64,0),MATCH(FK$3,Вводные!$D$11:$F$11,0))*(1+IF(FK$4=$A70,Вводные!$D$5*INDEX(Вводные!$G$13:$G$64,MATCH($A70,Вводные!$A$13:$A$64,0)),0))</f>
        <v>1.5</v>
      </c>
      <c r="FL70" s="14" t="n">
        <f aca="false">INDEX(Вводные!$D$13:$F$64,MATCH($A70,Вводные!$A$13:$A$64,0),MATCH(FL$3,Вводные!$D$11:$F$11,0))*(1+IF(FL$4=$A70,Вводные!$D$5*INDEX(Вводные!$G$13:$G$64,MATCH($A70,Вводные!$A$13:$A$64,0)),0))</f>
        <v>1.485</v>
      </c>
      <c r="FM70" s="14" t="n">
        <f aca="false">INDEX(Вводные!$D$13:$F$64,MATCH($A70,Вводные!$A$13:$A$64,0),MATCH(FM$3,Вводные!$D$11:$F$11,0))*(1+IF(FM$4=$A70,Вводные!$D$5*INDEX(Вводные!$G$13:$G$64,MATCH($A70,Вводные!$A$13:$A$64,0)),0))</f>
        <v>1.5</v>
      </c>
      <c r="FN70" s="14" t="n">
        <f aca="false">INDEX(Вводные!$D$13:$F$64,MATCH($A70,Вводные!$A$13:$A$64,0),MATCH(FN$3,Вводные!$D$11:$F$11,0))*(1+IF(FN$4=$A70,Вводные!$D$5*INDEX(Вводные!$G$13:$G$64,MATCH($A70,Вводные!$A$13:$A$64,0)),0))</f>
        <v>1.5</v>
      </c>
      <c r="FO70" s="14" t="n">
        <f aca="false">INDEX(Вводные!$D$13:$F$64,MATCH($A70,Вводные!$A$13:$A$64,0),MATCH(FO$3,Вводные!$D$11:$F$11,0))*(1+IF(FO$4=$A70,Вводные!$D$5*INDEX(Вводные!$G$13:$G$64,MATCH($A70,Вводные!$A$13:$A$64,0)),0))</f>
        <v>1.5</v>
      </c>
      <c r="FP70" s="14" t="n">
        <f aca="false">INDEX(Вводные!$D$13:$F$64,MATCH($A70,Вводные!$A$13:$A$64,0),MATCH(FP$3,Вводные!$D$11:$F$11,0))*(1+IF(FP$4=$A70,Вводные!$D$5*INDEX(Вводные!$G$13:$G$64,MATCH($A70,Вводные!$A$13:$A$64,0)),0))</f>
        <v>1.5</v>
      </c>
      <c r="FQ70" s="14" t="n">
        <f aca="false">INDEX(Вводные!$D$13:$F$64,MATCH($A70,Вводные!$A$13:$A$64,0),MATCH(FQ$3,Вводные!$D$11:$F$11,0))*(1+IF(FQ$4=$A70,Вводные!$D$5*INDEX(Вводные!$G$13:$G$64,MATCH($A70,Вводные!$A$13:$A$64,0)),0))</f>
        <v>1.5</v>
      </c>
      <c r="FR70" s="14" t="n">
        <f aca="false">INDEX(Вводные!$D$13:$F$64,MATCH($A70,Вводные!$A$13:$A$64,0),MATCH(FR$3,Вводные!$D$11:$F$11,0))*(1+IF(FR$4=$A70,Вводные!$D$5*INDEX(Вводные!$G$13:$G$64,MATCH($A70,Вводные!$A$13:$A$64,0)),0))</f>
        <v>1.5</v>
      </c>
      <c r="FS70" s="14" t="n">
        <f aca="false">INDEX(Вводные!$D$13:$F$64,MATCH($A70,Вводные!$A$13:$A$64,0),MATCH(FS$3,Вводные!$D$11:$F$11,0))*(1+IF(FS$4=$A70,Вводные!$D$5*INDEX(Вводные!$G$13:$G$64,MATCH($A70,Вводные!$A$13:$A$64,0)),0))</f>
        <v>1.5</v>
      </c>
      <c r="FT70" s="14" t="n">
        <f aca="false">INDEX(Вводные!$D$13:$F$64,MATCH($A70,Вводные!$A$13:$A$64,0),MATCH(FT$3,Вводные!$D$11:$F$11,0))*(1+IF(FT$4=$A70,Вводные!$D$5*INDEX(Вводные!$G$13:$G$64,MATCH($A70,Вводные!$A$13:$A$64,0)),0))</f>
        <v>1.5</v>
      </c>
      <c r="FU70" s="14" t="n">
        <f aca="false">INDEX(Вводные!$D$13:$F$64,MATCH($A70,Вводные!$A$13:$A$64,0),MATCH(FU$3,Вводные!$D$11:$F$11,0))*(1+IF(FU$4=$A70,Вводные!$D$5*INDEX(Вводные!$G$13:$G$64,MATCH($A70,Вводные!$A$13:$A$64,0)),0))</f>
        <v>1.5</v>
      </c>
      <c r="FV70" s="14" t="n">
        <f aca="false">INDEX(Вводные!$D$13:$F$64,MATCH($A70,Вводные!$A$13:$A$64,0),MATCH(FV$3,Вводные!$D$11:$F$11,0))*(1+IF(FV$4=$A70,Вводные!$D$5*INDEX(Вводные!$G$13:$G$64,MATCH($A70,Вводные!$A$13:$A$64,0)),0))</f>
        <v>3</v>
      </c>
      <c r="FW70" s="14" t="n">
        <f aca="false">INDEX(Вводные!$D$13:$F$64,MATCH($A70,Вводные!$A$13:$A$64,0),MATCH(FW$3,Вводные!$D$11:$F$11,0))*(1+IF(FW$4=$A70,Вводные!$D$5*INDEX(Вводные!$G$13:$G$64,MATCH($A70,Вводные!$A$13:$A$64,0)),0))</f>
        <v>3</v>
      </c>
      <c r="FX70" s="14" t="n">
        <f aca="false">INDEX(Вводные!$D$13:$F$64,MATCH($A70,Вводные!$A$13:$A$64,0),MATCH(FX$3,Вводные!$D$11:$F$11,0))*(1+IF(FX$4=$A70,Вводные!$D$5*INDEX(Вводные!$G$13:$G$64,MATCH($A70,Вводные!$A$13:$A$64,0)),0))</f>
        <v>3</v>
      </c>
      <c r="FY70" s="14" t="n">
        <f aca="false">INDEX(Вводные!$D$13:$F$64,MATCH($A70,Вводные!$A$13:$A$64,0),MATCH(FY$3,Вводные!$D$11:$F$11,0))*(1+IF(FY$4=$A70,Вводные!$D$5*INDEX(Вводные!$G$13:$G$64,MATCH($A70,Вводные!$A$13:$A$64,0)),0))</f>
        <v>3</v>
      </c>
      <c r="FZ70" s="14" t="n">
        <f aca="false">INDEX(Вводные!$D$13:$F$64,MATCH($A70,Вводные!$A$13:$A$64,0),MATCH(FZ$3,Вводные!$D$11:$F$11,0))*(1+IF(FZ$4=$A70,Вводные!$D$5*INDEX(Вводные!$G$13:$G$64,MATCH($A70,Вводные!$A$13:$A$64,0)),0))</f>
        <v>3</v>
      </c>
      <c r="GA70" s="14" t="n">
        <f aca="false">INDEX(Вводные!$D$13:$F$64,MATCH($A70,Вводные!$A$13:$A$64,0),MATCH(GA$3,Вводные!$D$11:$F$11,0))*(1+IF(GA$4=$A70,Вводные!$D$5*INDEX(Вводные!$G$13:$G$64,MATCH($A70,Вводные!$A$13:$A$64,0)),0))</f>
        <v>3</v>
      </c>
      <c r="GB70" s="14" t="n">
        <f aca="false">INDEX(Вводные!$D$13:$F$64,MATCH($A70,Вводные!$A$13:$A$64,0),MATCH(GB$3,Вводные!$D$11:$F$11,0))*(1+IF(GB$4=$A70,Вводные!$D$5*INDEX(Вводные!$G$13:$G$64,MATCH($A70,Вводные!$A$13:$A$64,0)),0))</f>
        <v>3</v>
      </c>
      <c r="GC70" s="14" t="n">
        <f aca="false">INDEX(Вводные!$D$13:$F$64,MATCH($A70,Вводные!$A$13:$A$64,0),MATCH(GC$3,Вводные!$D$11:$F$11,0))*(1+IF(GC$4=$A70,Вводные!$D$5*INDEX(Вводные!$G$13:$G$64,MATCH($A70,Вводные!$A$13:$A$64,0)),0))</f>
        <v>3</v>
      </c>
      <c r="GD70" s="14" t="n">
        <f aca="false">INDEX(Вводные!$D$13:$F$64,MATCH($A70,Вводные!$A$13:$A$64,0),MATCH(GD$3,Вводные!$D$11:$F$11,0))*(1+IF(GD$4=$A70,Вводные!$D$5*INDEX(Вводные!$G$13:$G$64,MATCH($A70,Вводные!$A$13:$A$64,0)),0))</f>
        <v>3</v>
      </c>
      <c r="GE70" s="14" t="n">
        <f aca="false">INDEX(Вводные!$D$13:$F$64,MATCH($A70,Вводные!$A$13:$A$64,0),MATCH(GE$3,Вводные!$D$11:$F$11,0))*(1+IF(GE$4=$A70,Вводные!$D$5*INDEX(Вводные!$G$13:$G$64,MATCH($A70,Вводные!$A$13:$A$64,0)),0))</f>
        <v>3</v>
      </c>
      <c r="GF70" s="14" t="n">
        <f aca="false">INDEX(Вводные!$D$13:$F$64,MATCH($A70,Вводные!$A$13:$A$64,0),MATCH(GF$3,Вводные!$D$11:$F$11,0))*(1+IF(GF$4=$A70,Вводные!$D$5*INDEX(Вводные!$G$13:$G$64,MATCH($A70,Вводные!$A$13:$A$64,0)),0))</f>
        <v>3</v>
      </c>
      <c r="GG70" s="14" t="n">
        <f aca="false">INDEX(Вводные!$D$13:$F$64,MATCH($A70,Вводные!$A$13:$A$64,0),MATCH(GG$3,Вводные!$D$11:$F$11,0))*(1+IF(GG$4=$A70,Вводные!$D$5*INDEX(Вводные!$G$13:$G$64,MATCH($A70,Вводные!$A$13:$A$64,0)),0))</f>
        <v>3</v>
      </c>
      <c r="GH70" s="14" t="n">
        <f aca="false">INDEX(Вводные!$D$13:$F$64,MATCH($A70,Вводные!$A$13:$A$64,0),MATCH(GH$3,Вводные!$D$11:$F$11,0))*(1+IF(GH$4=$A70,Вводные!$D$5*INDEX(Вводные!$G$13:$G$64,MATCH($A70,Вводные!$A$13:$A$64,0)),0))</f>
        <v>3</v>
      </c>
      <c r="GI70" s="14" t="n">
        <f aca="false">INDEX(Вводные!$D$13:$F$64,MATCH($A70,Вводные!$A$13:$A$64,0),MATCH(GI$3,Вводные!$D$11:$F$11,0))*(1+IF(GI$4=$A70,Вводные!$D$5*INDEX(Вводные!$G$13:$G$64,MATCH($A70,Вводные!$A$13:$A$64,0)),0))</f>
        <v>3</v>
      </c>
      <c r="GJ70" s="14" t="n">
        <f aca="false">INDEX(Вводные!$D$13:$F$64,MATCH($A70,Вводные!$A$13:$A$64,0),MATCH(GJ$3,Вводные!$D$11:$F$11,0))*(1+IF(GJ$4=$A70,Вводные!$D$5*INDEX(Вводные!$G$13:$G$64,MATCH($A70,Вводные!$A$13:$A$64,0)),0))</f>
        <v>3</v>
      </c>
      <c r="GK70" s="14" t="n">
        <f aca="false">INDEX(Вводные!$D$13:$F$64,MATCH($A70,Вводные!$A$13:$A$64,0),MATCH(GK$3,Вводные!$D$11:$F$11,0))*(1+IF(GK$4=$A70,Вводные!$D$5*INDEX(Вводные!$G$13:$G$64,MATCH($A70,Вводные!$A$13:$A$64,0)),0))</f>
        <v>3</v>
      </c>
      <c r="GL70" s="14" t="n">
        <f aca="false">INDEX(Вводные!$D$13:$F$64,MATCH($A70,Вводные!$A$13:$A$64,0),MATCH(GL$3,Вводные!$D$11:$F$11,0))*(1+IF(GL$4=$A70,Вводные!$D$5*INDEX(Вводные!$G$13:$G$64,MATCH($A70,Вводные!$A$13:$A$64,0)),0))</f>
        <v>3</v>
      </c>
      <c r="GM70" s="14" t="n">
        <f aca="false">INDEX(Вводные!$D$13:$F$64,MATCH($A70,Вводные!$A$13:$A$64,0),MATCH(GM$3,Вводные!$D$11:$F$11,0))*(1+IF(GM$4=$A70,Вводные!$D$5*INDEX(Вводные!$G$13:$G$64,MATCH($A70,Вводные!$A$13:$A$64,0)),0))</f>
        <v>3</v>
      </c>
      <c r="GN70" s="14" t="n">
        <f aca="false">INDEX(Вводные!$D$13:$F$64,MATCH($A70,Вводные!$A$13:$A$64,0),MATCH(GN$3,Вводные!$D$11:$F$11,0))*(1+IF(GN$4=$A70,Вводные!$D$5*INDEX(Вводные!$G$13:$G$64,MATCH($A70,Вводные!$A$13:$A$64,0)),0))</f>
        <v>3</v>
      </c>
      <c r="GO70" s="14" t="n">
        <f aca="false">INDEX(Вводные!$D$13:$F$64,MATCH($A70,Вводные!$A$13:$A$64,0),MATCH(GO$3,Вводные!$D$11:$F$11,0))*(1+IF(GO$4=$A70,Вводные!$D$5*INDEX(Вводные!$G$13:$G$64,MATCH($A70,Вводные!$A$13:$A$64,0)),0))</f>
        <v>3</v>
      </c>
      <c r="GP70" s="14" t="n">
        <f aca="false">INDEX(Вводные!$D$13:$F$64,MATCH($A70,Вводные!$A$13:$A$64,0),MATCH(GP$3,Вводные!$D$11:$F$11,0))*(1+IF(GP$4=$A70,Вводные!$D$5*INDEX(Вводные!$G$13:$G$64,MATCH($A70,Вводные!$A$13:$A$64,0)),0))</f>
        <v>3</v>
      </c>
      <c r="GQ70" s="14" t="n">
        <f aca="false">INDEX(Вводные!$D$13:$F$64,MATCH($A70,Вводные!$A$13:$A$64,0),MATCH(GQ$3,Вводные!$D$11:$F$11,0))*(1+IF(GQ$4=$A70,Вводные!$D$5*INDEX(Вводные!$G$13:$G$64,MATCH($A70,Вводные!$A$13:$A$64,0)),0))</f>
        <v>3</v>
      </c>
      <c r="GR70" s="14" t="n">
        <f aca="false">INDEX(Вводные!$D$13:$F$64,MATCH($A70,Вводные!$A$13:$A$64,0),MATCH(GR$3,Вводные!$D$11:$F$11,0))*(1+IF(GR$4=$A70,Вводные!$D$5*INDEX(Вводные!$G$13:$G$64,MATCH($A70,Вводные!$A$13:$A$64,0)),0))</f>
        <v>3</v>
      </c>
      <c r="GS70" s="14" t="n">
        <f aca="false">INDEX(Вводные!$D$13:$F$64,MATCH($A70,Вводные!$A$13:$A$64,0),MATCH(GS$3,Вводные!$D$11:$F$11,0))*(1+IF(GS$4=$A70,Вводные!$D$5*INDEX(Вводные!$G$13:$G$64,MATCH($A70,Вводные!$A$13:$A$64,0)),0))</f>
        <v>3</v>
      </c>
      <c r="GT70" s="14" t="n">
        <f aca="false">INDEX(Вводные!$D$13:$F$64,MATCH($A70,Вводные!$A$13:$A$64,0),MATCH(GT$3,Вводные!$D$11:$F$11,0))*(1+IF(GT$4=$A70,Вводные!$D$5*INDEX(Вводные!$G$13:$G$64,MATCH($A70,Вводные!$A$13:$A$64,0)),0))</f>
        <v>3</v>
      </c>
      <c r="GU70" s="14" t="n">
        <f aca="false">INDEX(Вводные!$D$13:$F$64,MATCH($A70,Вводные!$A$13:$A$64,0),MATCH(GU$3,Вводные!$D$11:$F$11,0))*(1+IF(GU$4=$A70,Вводные!$D$5*INDEX(Вводные!$G$13:$G$64,MATCH($A70,Вводные!$A$13:$A$64,0)),0))</f>
        <v>3</v>
      </c>
      <c r="GV70" s="14" t="n">
        <f aca="false">INDEX(Вводные!$D$13:$F$64,MATCH($A70,Вводные!$A$13:$A$64,0),MATCH(GV$3,Вводные!$D$11:$F$11,0))*(1+IF(GV$4=$A70,Вводные!$D$5*INDEX(Вводные!$G$13:$G$64,MATCH($A70,Вводные!$A$13:$A$64,0)),0))</f>
        <v>3</v>
      </c>
      <c r="GW70" s="14" t="n">
        <f aca="false">INDEX(Вводные!$D$13:$F$64,MATCH($A70,Вводные!$A$13:$A$64,0),MATCH(GW$3,Вводные!$D$11:$F$11,0))*(1+IF(GW$4=$A70,Вводные!$D$5*INDEX(Вводные!$G$13:$G$64,MATCH($A70,Вводные!$A$13:$A$64,0)),0))</f>
        <v>3</v>
      </c>
      <c r="GX70" s="14" t="n">
        <f aca="false">INDEX(Вводные!$D$13:$F$64,MATCH($A70,Вводные!$A$13:$A$64,0),MATCH(GX$3,Вводные!$D$11:$F$11,0))*(1+IF(GX$4=$A70,Вводные!$D$5*INDEX(Вводные!$G$13:$G$64,MATCH($A70,Вводные!$A$13:$A$64,0)),0))</f>
        <v>3</v>
      </c>
      <c r="GY70" s="14" t="n">
        <f aca="false">INDEX(Вводные!$D$13:$F$64,MATCH($A70,Вводные!$A$13:$A$64,0),MATCH(GY$3,Вводные!$D$11:$F$11,0))*(1+IF(GY$4=$A70,Вводные!$D$5*INDEX(Вводные!$G$13:$G$64,MATCH($A70,Вводные!$A$13:$A$64,0)),0))</f>
        <v>3</v>
      </c>
      <c r="GZ70" s="14" t="n">
        <f aca="false">INDEX(Вводные!$D$13:$F$64,MATCH($A70,Вводные!$A$13:$A$64,0),MATCH(GZ$3,Вводные!$D$11:$F$11,0))*(1+IF(GZ$4=$A70,Вводные!$D$5*INDEX(Вводные!$G$13:$G$64,MATCH($A70,Вводные!$A$13:$A$64,0)),0))</f>
        <v>3</v>
      </c>
      <c r="HA70" s="14" t="n">
        <f aca="false">INDEX(Вводные!$D$13:$F$64,MATCH($A70,Вводные!$A$13:$A$64,0),MATCH(HA$3,Вводные!$D$11:$F$11,0))*(1+IF(HA$4=$A70,Вводные!$D$5*INDEX(Вводные!$G$13:$G$64,MATCH($A70,Вводные!$A$13:$A$64,0)),0))</f>
        <v>3</v>
      </c>
      <c r="HB70" s="14" t="n">
        <f aca="false">INDEX(Вводные!$D$13:$F$64,MATCH($A70,Вводные!$A$13:$A$64,0),MATCH(HB$3,Вводные!$D$11:$F$11,0))*(1+IF(HB$4=$A70,Вводные!$D$5*INDEX(Вводные!$G$13:$G$64,MATCH($A70,Вводные!$A$13:$A$64,0)),0))</f>
        <v>2.97</v>
      </c>
      <c r="HC70" s="14" t="n">
        <f aca="false">INDEX(Вводные!$D$13:$F$64,MATCH($A70,Вводные!$A$13:$A$64,0),MATCH(HC$3,Вводные!$D$11:$F$11,0))*(1+IF(HC$4=$A70,Вводные!$D$5*INDEX(Вводные!$G$13:$G$64,MATCH($A70,Вводные!$A$13:$A$64,0)),0))</f>
        <v>3</v>
      </c>
      <c r="HD70" s="14" t="n">
        <f aca="false">INDEX(Вводные!$D$13:$F$64,MATCH($A70,Вводные!$A$13:$A$64,0),MATCH(HD$3,Вводные!$D$11:$F$11,0))*(1+IF(HD$4=$A70,Вводные!$D$5*INDEX(Вводные!$G$13:$G$64,MATCH($A70,Вводные!$A$13:$A$64,0)),0))</f>
        <v>3</v>
      </c>
      <c r="HE70" s="14" t="n">
        <f aca="false">INDEX(Вводные!$D$13:$F$64,MATCH($A70,Вводные!$A$13:$A$64,0),MATCH(HE$3,Вводные!$D$11:$F$11,0))*(1+IF(HE$4=$A70,Вводные!$D$5*INDEX(Вводные!$G$13:$G$64,MATCH($A70,Вводные!$A$13:$A$64,0)),0))</f>
        <v>3</v>
      </c>
      <c r="HF70" s="14" t="n">
        <f aca="false">INDEX(Вводные!$D$13:$F$64,MATCH($A70,Вводные!$A$13:$A$64,0),MATCH(HF$3,Вводные!$D$11:$F$11,0))*(1+IF(HF$4=$A70,Вводные!$D$5*INDEX(Вводные!$G$13:$G$64,MATCH($A70,Вводные!$A$13:$A$64,0)),0))</f>
        <v>3</v>
      </c>
      <c r="HG70" s="14" t="n">
        <f aca="false">INDEX(Вводные!$D$13:$F$64,MATCH($A70,Вводные!$A$13:$A$64,0),MATCH(HG$3,Вводные!$D$11:$F$11,0))*(1+IF(HG$4=$A70,Вводные!$D$5*INDEX(Вводные!$G$13:$G$64,MATCH($A70,Вводные!$A$13:$A$64,0)),0))</f>
        <v>3</v>
      </c>
      <c r="HH70" s="14" t="n">
        <f aca="false">INDEX(Вводные!$D$13:$F$64,MATCH($A70,Вводные!$A$13:$A$64,0),MATCH(HH$3,Вводные!$D$11:$F$11,0))*(1+IF(HH$4=$A70,Вводные!$D$5*INDEX(Вводные!$G$13:$G$64,MATCH($A70,Вводные!$A$13:$A$64,0)),0))</f>
        <v>3</v>
      </c>
      <c r="HI70" s="14" t="n">
        <f aca="false">INDEX(Вводные!$D$13:$F$64,MATCH($A70,Вводные!$A$13:$A$64,0),MATCH(HI$3,Вводные!$D$11:$F$11,0))*(1+IF(HI$4=$A70,Вводные!$D$5*INDEX(Вводные!$G$13:$G$64,MATCH($A70,Вводные!$A$13:$A$64,0)),0))</f>
        <v>3</v>
      </c>
      <c r="HJ70" s="14" t="n">
        <f aca="false">INDEX(Вводные!$D$13:$F$64,MATCH($A70,Вводные!$A$13:$A$64,0),MATCH(HJ$3,Вводные!$D$11:$F$11,0))*(1+IF(HJ$4=$A70,Вводные!$D$5*INDEX(Вводные!$G$13:$G$64,MATCH($A70,Вводные!$A$13:$A$64,0)),0))</f>
        <v>3</v>
      </c>
      <c r="HK70" s="14" t="n">
        <f aca="false">INDEX(Вводные!$D$13:$F$64,MATCH($A70,Вводные!$A$13:$A$64,0),MATCH(HK$3,Вводные!$D$11:$F$11,0))*(1+IF(HK$4=$A70,Вводные!$D$5*INDEX(Вводные!$G$13:$G$64,MATCH($A70,Вводные!$A$13:$A$64,0)),0))</f>
        <v>3</v>
      </c>
      <c r="HL70" s="14" t="n">
        <f aca="false">INDEX(Вводные!$D$13:$F$64,MATCH($A70,Вводные!$A$13:$A$64,0),MATCH(HL$3,Вводные!$D$11:$F$11,0))*(1+IF(HL$4=$A70,Вводные!$D$5*INDEX(Вводные!$G$13:$G$64,MATCH($A70,Вводные!$A$13:$A$64,0)),0))</f>
        <v>50</v>
      </c>
      <c r="HM70" s="14" t="n">
        <f aca="false">INDEX(Вводные!$D$13:$F$64,MATCH($A70,Вводные!$A$13:$A$64,0),MATCH(HM$3,Вводные!$D$11:$F$11,0))*(1+IF(HM$4=$A70,Вводные!$D$5*INDEX(Вводные!$G$13:$G$64,MATCH($A70,Вводные!$A$13:$A$64,0)),0))</f>
        <v>50</v>
      </c>
      <c r="HN70" s="14" t="n">
        <f aca="false">INDEX(Вводные!$D$13:$F$64,MATCH($A70,Вводные!$A$13:$A$64,0),MATCH(HN$3,Вводные!$D$11:$F$11,0))*(1+IF(HN$4=$A70,Вводные!$D$5*INDEX(Вводные!$G$13:$G$64,MATCH($A70,Вводные!$A$13:$A$64,0)),0))</f>
        <v>50</v>
      </c>
      <c r="HO70" s="14" t="n">
        <f aca="false">INDEX(Вводные!$D$13:$F$64,MATCH($A70,Вводные!$A$13:$A$64,0),MATCH(HO$3,Вводные!$D$11:$F$11,0))*(1+IF(HO$4=$A70,Вводные!$D$5*INDEX(Вводные!$G$13:$G$64,MATCH($A70,Вводные!$A$13:$A$64,0)),0))</f>
        <v>50</v>
      </c>
      <c r="HP70" s="14" t="n">
        <f aca="false">INDEX(Вводные!$D$13:$F$64,MATCH($A70,Вводные!$A$13:$A$64,0),MATCH(HP$3,Вводные!$D$11:$F$11,0))*(1+IF(HP$4=$A70,Вводные!$D$5*INDEX(Вводные!$G$13:$G$64,MATCH($A70,Вводные!$A$13:$A$64,0)),0))</f>
        <v>50</v>
      </c>
      <c r="HQ70" s="14" t="n">
        <f aca="false">INDEX(Вводные!$D$13:$F$64,MATCH($A70,Вводные!$A$13:$A$64,0),MATCH(HQ$3,Вводные!$D$11:$F$11,0))*(1+IF(HQ$4=$A70,Вводные!$D$5*INDEX(Вводные!$G$13:$G$64,MATCH($A70,Вводные!$A$13:$A$64,0)),0))</f>
        <v>50</v>
      </c>
      <c r="HR70" s="14" t="n">
        <f aca="false">INDEX(Вводные!$D$13:$F$64,MATCH($A70,Вводные!$A$13:$A$64,0),MATCH(HR$3,Вводные!$D$11:$F$11,0))*(1+IF(HR$4=$A70,Вводные!$D$5*INDEX(Вводные!$G$13:$G$64,MATCH($A70,Вводные!$A$13:$A$64,0)),0))</f>
        <v>50</v>
      </c>
      <c r="HS70" s="14" t="n">
        <f aca="false">INDEX(Вводные!$D$13:$F$64,MATCH($A70,Вводные!$A$13:$A$64,0),MATCH(HS$3,Вводные!$D$11:$F$11,0))*(1+IF(HS$4=$A70,Вводные!$D$5*INDEX(Вводные!$G$13:$G$64,MATCH($A70,Вводные!$A$13:$A$64,0)),0))</f>
        <v>50</v>
      </c>
      <c r="HT70" s="14" t="n">
        <f aca="false">INDEX(Вводные!$D$13:$F$64,MATCH($A70,Вводные!$A$13:$A$64,0),MATCH(HT$3,Вводные!$D$11:$F$11,0))*(1+IF(HT$4=$A70,Вводные!$D$5*INDEX(Вводные!$G$13:$G$64,MATCH($A70,Вводные!$A$13:$A$64,0)),0))</f>
        <v>50</v>
      </c>
      <c r="HU70" s="14" t="n">
        <f aca="false">INDEX(Вводные!$D$13:$F$64,MATCH($A70,Вводные!$A$13:$A$64,0),MATCH(HU$3,Вводные!$D$11:$F$11,0))*(1+IF(HU$4=$A70,Вводные!$D$5*INDEX(Вводные!$G$13:$G$64,MATCH($A70,Вводные!$A$13:$A$64,0)),0))</f>
        <v>50</v>
      </c>
      <c r="HV70" s="14" t="n">
        <f aca="false">INDEX(Вводные!$D$13:$F$64,MATCH($A70,Вводные!$A$13:$A$64,0),MATCH(HV$3,Вводные!$D$11:$F$11,0))*(1+IF(HV$4=$A70,Вводные!$D$5*INDEX(Вводные!$G$13:$G$64,MATCH($A70,Вводные!$A$13:$A$64,0)),0))</f>
        <v>50</v>
      </c>
      <c r="HW70" s="14" t="n">
        <f aca="false">INDEX(Вводные!$D$13:$F$64,MATCH($A70,Вводные!$A$13:$A$64,0),MATCH(HW$3,Вводные!$D$11:$F$11,0))*(1+IF(HW$4=$A70,Вводные!$D$5*INDEX(Вводные!$G$13:$G$64,MATCH($A70,Вводные!$A$13:$A$64,0)),0))</f>
        <v>50</v>
      </c>
      <c r="HX70" s="14" t="n">
        <f aca="false">INDEX(Вводные!$D$13:$F$64,MATCH($A70,Вводные!$A$13:$A$64,0),MATCH(HX$3,Вводные!$D$11:$F$11,0))*(1+IF(HX$4=$A70,Вводные!$D$5*INDEX(Вводные!$G$13:$G$64,MATCH($A70,Вводные!$A$13:$A$64,0)),0))</f>
        <v>50</v>
      </c>
      <c r="HY70" s="14" t="n">
        <f aca="false">INDEX(Вводные!$D$13:$F$64,MATCH($A70,Вводные!$A$13:$A$64,0),MATCH(HY$3,Вводные!$D$11:$F$11,0))*(1+IF(HY$4=$A70,Вводные!$D$5*INDEX(Вводные!$G$13:$G$64,MATCH($A70,Вводные!$A$13:$A$64,0)),0))</f>
        <v>50</v>
      </c>
      <c r="HZ70" s="14" t="n">
        <f aca="false">INDEX(Вводные!$D$13:$F$64,MATCH($A70,Вводные!$A$13:$A$64,0),MATCH(HZ$3,Вводные!$D$11:$F$11,0))*(1+IF(HZ$4=$A70,Вводные!$D$5*INDEX(Вводные!$G$13:$G$64,MATCH($A70,Вводные!$A$13:$A$64,0)),0))</f>
        <v>50</v>
      </c>
      <c r="IA70" s="14" t="n">
        <f aca="false">INDEX(Вводные!$D$13:$F$64,MATCH($A70,Вводные!$A$13:$A$64,0),MATCH(IA$3,Вводные!$D$11:$F$11,0))*(1+IF(IA$4=$A70,Вводные!$D$5*INDEX(Вводные!$G$13:$G$64,MATCH($A70,Вводные!$A$13:$A$64,0)),0))</f>
        <v>50</v>
      </c>
      <c r="IB70" s="14" t="n">
        <f aca="false">INDEX(Вводные!$D$13:$F$64,MATCH($A70,Вводные!$A$13:$A$64,0),MATCH(IB$3,Вводные!$D$11:$F$11,0))*(1+IF(IB$4=$A70,Вводные!$D$5*INDEX(Вводные!$G$13:$G$64,MATCH($A70,Вводные!$A$13:$A$64,0)),0))</f>
        <v>50</v>
      </c>
      <c r="IC70" s="14" t="n">
        <f aca="false">INDEX(Вводные!$D$13:$F$64,MATCH($A70,Вводные!$A$13:$A$64,0),MATCH(IC$3,Вводные!$D$11:$F$11,0))*(1+IF(IC$4=$A70,Вводные!$D$5*INDEX(Вводные!$G$13:$G$64,MATCH($A70,Вводные!$A$13:$A$64,0)),0))</f>
        <v>50</v>
      </c>
      <c r="ID70" s="14" t="n">
        <f aca="false">INDEX(Вводные!$D$13:$F$64,MATCH($A70,Вводные!$A$13:$A$64,0),MATCH(ID$3,Вводные!$D$11:$F$11,0))*(1+IF(ID$4=$A70,Вводные!$D$5*INDEX(Вводные!$G$13:$G$64,MATCH($A70,Вводные!$A$13:$A$64,0)),0))</f>
        <v>50</v>
      </c>
      <c r="IE70" s="14" t="n">
        <f aca="false">INDEX(Вводные!$D$13:$F$64,MATCH($A70,Вводные!$A$13:$A$64,0),MATCH(IE$3,Вводные!$D$11:$F$11,0))*(1+IF(IE$4=$A70,Вводные!$D$5*INDEX(Вводные!$G$13:$G$64,MATCH($A70,Вводные!$A$13:$A$64,0)),0))</f>
        <v>50</v>
      </c>
      <c r="IF70" s="14" t="n">
        <f aca="false">INDEX(Вводные!$D$13:$F$64,MATCH($A70,Вводные!$A$13:$A$64,0),MATCH(IF$3,Вводные!$D$11:$F$11,0))*(1+IF(IF$4=$A70,Вводные!$D$5*INDEX(Вводные!$G$13:$G$64,MATCH($A70,Вводные!$A$13:$A$64,0)),0))</f>
        <v>50</v>
      </c>
      <c r="IG70" s="14" t="n">
        <f aca="false">INDEX(Вводные!$D$13:$F$64,MATCH($A70,Вводные!$A$13:$A$64,0),MATCH(IG$3,Вводные!$D$11:$F$11,0))*(1+IF(IG$4=$A70,Вводные!$D$5*INDEX(Вводные!$G$13:$G$64,MATCH($A70,Вводные!$A$13:$A$64,0)),0))</f>
        <v>50</v>
      </c>
      <c r="IH70" s="14" t="n">
        <f aca="false">INDEX(Вводные!$D$13:$F$64,MATCH($A70,Вводные!$A$13:$A$64,0),MATCH(IH$3,Вводные!$D$11:$F$11,0))*(1+IF(IH$4=$A70,Вводные!$D$5*INDEX(Вводные!$G$13:$G$64,MATCH($A70,Вводные!$A$13:$A$64,0)),0))</f>
        <v>50</v>
      </c>
      <c r="II70" s="14" t="n">
        <f aca="false">INDEX(Вводные!$D$13:$F$64,MATCH($A70,Вводные!$A$13:$A$64,0),MATCH(II$3,Вводные!$D$11:$F$11,0))*(1+IF(II$4=$A70,Вводные!$D$5*INDEX(Вводные!$G$13:$G$64,MATCH($A70,Вводные!$A$13:$A$64,0)),0))</f>
        <v>50</v>
      </c>
      <c r="IJ70" s="14" t="n">
        <f aca="false">INDEX(Вводные!$D$13:$F$64,MATCH($A70,Вводные!$A$13:$A$64,0),MATCH(IJ$3,Вводные!$D$11:$F$11,0))*(1+IF(IJ$4=$A70,Вводные!$D$5*INDEX(Вводные!$G$13:$G$64,MATCH($A70,Вводные!$A$13:$A$64,0)),0))</f>
        <v>50</v>
      </c>
      <c r="IK70" s="14" t="n">
        <f aca="false">INDEX(Вводные!$D$13:$F$64,MATCH($A70,Вводные!$A$13:$A$64,0),MATCH(IK$3,Вводные!$D$11:$F$11,0))*(1+IF(IK$4=$A70,Вводные!$D$5*INDEX(Вводные!$G$13:$G$64,MATCH($A70,Вводные!$A$13:$A$64,0)),0))</f>
        <v>50</v>
      </c>
      <c r="IL70" s="14" t="n">
        <f aca="false">INDEX(Вводные!$D$13:$F$64,MATCH($A70,Вводные!$A$13:$A$64,0),MATCH(IL$3,Вводные!$D$11:$F$11,0))*(1+IF(IL$4=$A70,Вводные!$D$5*INDEX(Вводные!$G$13:$G$64,MATCH($A70,Вводные!$A$13:$A$64,0)),0))</f>
        <v>50</v>
      </c>
      <c r="IM70" s="14" t="n">
        <f aca="false">INDEX(Вводные!$D$13:$F$64,MATCH($A70,Вводные!$A$13:$A$64,0),MATCH(IM$3,Вводные!$D$11:$F$11,0))*(1+IF(IM$4=$A70,Вводные!$D$5*INDEX(Вводные!$G$13:$G$64,MATCH($A70,Вводные!$A$13:$A$64,0)),0))</f>
        <v>50</v>
      </c>
      <c r="IN70" s="14" t="n">
        <f aca="false">INDEX(Вводные!$D$13:$F$64,MATCH($A70,Вводные!$A$13:$A$64,0),MATCH(IN$3,Вводные!$D$11:$F$11,0))*(1+IF(IN$4=$A70,Вводные!$D$5*INDEX(Вводные!$G$13:$G$64,MATCH($A70,Вводные!$A$13:$A$64,0)),0))</f>
        <v>50</v>
      </c>
      <c r="IO70" s="14" t="n">
        <f aca="false">INDEX(Вводные!$D$13:$F$64,MATCH($A70,Вводные!$A$13:$A$64,0),MATCH(IO$3,Вводные!$D$11:$F$11,0))*(1+IF(IO$4=$A70,Вводные!$D$5*INDEX(Вводные!$G$13:$G$64,MATCH($A70,Вводные!$A$13:$A$64,0)),0))</f>
        <v>50</v>
      </c>
      <c r="IP70" s="14" t="n">
        <f aca="false">INDEX(Вводные!$D$13:$F$64,MATCH($A70,Вводные!$A$13:$A$64,0),MATCH(IP$3,Вводные!$D$11:$F$11,0))*(1+IF(IP$4=$A70,Вводные!$D$5*INDEX(Вводные!$G$13:$G$64,MATCH($A70,Вводные!$A$13:$A$64,0)),0))</f>
        <v>50</v>
      </c>
      <c r="IQ70" s="14" t="n">
        <f aca="false">INDEX(Вводные!$D$13:$F$64,MATCH($A70,Вводные!$A$13:$A$64,0),MATCH(IQ$3,Вводные!$D$11:$F$11,0))*(1+IF(IQ$4=$A70,Вводные!$D$5*INDEX(Вводные!$G$13:$G$64,MATCH($A70,Вводные!$A$13:$A$64,0)),0))</f>
        <v>50</v>
      </c>
      <c r="IR70" s="14" t="n">
        <f aca="false">INDEX(Вводные!$D$13:$F$64,MATCH($A70,Вводные!$A$13:$A$64,0),MATCH(IR$3,Вводные!$D$11:$F$11,0))*(1+IF(IR$4=$A70,Вводные!$D$5*INDEX(Вводные!$G$13:$G$64,MATCH($A70,Вводные!$A$13:$A$64,0)),0))</f>
        <v>49.5</v>
      </c>
      <c r="IS70" s="14" t="n">
        <f aca="false">INDEX(Вводные!$D$13:$F$64,MATCH($A70,Вводные!$A$13:$A$64,0),MATCH(IS$3,Вводные!$D$11:$F$11,0))*(1+IF(IS$4=$A70,Вводные!$D$5*INDEX(Вводные!$G$13:$G$64,MATCH($A70,Вводные!$A$13:$A$64,0)),0))</f>
        <v>50</v>
      </c>
      <c r="IT70" s="14" t="n">
        <f aca="false">INDEX(Вводные!$D$13:$F$64,MATCH($A70,Вводные!$A$13:$A$64,0),MATCH(IT$3,Вводные!$D$11:$F$11,0))*(1+IF(IT$4=$A70,Вводные!$D$5*INDEX(Вводные!$G$13:$G$64,MATCH($A70,Вводные!$A$13:$A$64,0)),0))</f>
        <v>50</v>
      </c>
      <c r="IU70" s="14" t="n">
        <f aca="false">INDEX(Вводные!$D$13:$F$64,MATCH($A70,Вводные!$A$13:$A$64,0),MATCH(IU$3,Вводные!$D$11:$F$11,0))*(1+IF(IU$4=$A70,Вводные!$D$5*INDEX(Вводные!$G$13:$G$64,MATCH($A70,Вводные!$A$13:$A$64,0)),0))</f>
        <v>50</v>
      </c>
      <c r="IV70" s="14" t="n">
        <f aca="false">INDEX(Вводные!$D$13:$F$64,MATCH($A70,Вводные!$A$13:$A$64,0),MATCH(IV$3,Вводные!$D$11:$F$11,0))*(1+IF(IV$4=$A70,Вводные!$D$5*INDEX(Вводные!$G$13:$G$64,MATCH($A70,Вводные!$A$13:$A$64,0)),0))</f>
        <v>50</v>
      </c>
      <c r="IW70" s="14" t="n">
        <f aca="false">INDEX(Вводные!$D$13:$F$64,MATCH($A70,Вводные!$A$13:$A$64,0),MATCH(IW$3,Вводные!$D$11:$F$11,0))*(1+IF(IW$4=$A70,Вводные!$D$5*INDEX(Вводные!$G$13:$G$64,MATCH($A70,Вводные!$A$13:$A$64,0)),0))</f>
        <v>50</v>
      </c>
      <c r="IX70" s="14" t="n">
        <f aca="false">INDEX(Вводные!$D$13:$F$64,MATCH($A70,Вводные!$A$13:$A$64,0),MATCH(IX$3,Вводные!$D$11:$F$11,0))*(1+IF(IX$4=$A70,Вводные!$D$5*INDEX(Вводные!$G$13:$G$64,MATCH($A70,Вводные!$A$13:$A$64,0)),0))</f>
        <v>50</v>
      </c>
      <c r="IY70" s="14" t="n">
        <f aca="false">INDEX(Вводные!$D$13:$F$64,MATCH($A70,Вводные!$A$13:$A$64,0),MATCH(IY$3,Вводные!$D$11:$F$11,0))*(1+IF(IY$4=$A70,Вводные!$D$5*INDEX(Вводные!$G$13:$G$64,MATCH($A70,Вводные!$A$13:$A$64,0)),0))</f>
        <v>50</v>
      </c>
      <c r="IZ70" s="14" t="n">
        <f aca="false">INDEX(Вводные!$D$13:$F$64,MATCH($A70,Вводные!$A$13:$A$64,0),MATCH(IZ$3,Вводные!$D$11:$F$11,0))*(1+IF(IZ$4=$A70,Вводные!$D$5*INDEX(Вводные!$G$13:$G$64,MATCH($A70,Вводные!$A$13:$A$64,0)),0))</f>
        <v>50</v>
      </c>
      <c r="JA70" s="14" t="n">
        <f aca="false">INDEX(Вводные!$D$13:$F$64,MATCH($A70,Вводные!$A$13:$A$64,0),MATCH(JA$3,Вводные!$D$11:$F$11,0))*(1+IF(JA$4=$A70,Вводные!$D$5*INDEX(Вводные!$G$13:$G$64,MATCH($A70,Вводные!$A$13:$A$64,0)),0))</f>
        <v>50</v>
      </c>
    </row>
    <row r="71" customFormat="false" ht="15" hidden="false" customHeight="false" outlineLevel="0" collapsed="false">
      <c r="A71" s="13" t="s">
        <v>273</v>
      </c>
      <c r="B71" s="13" t="s">
        <v>274</v>
      </c>
      <c r="C71" s="13" t="s">
        <v>194</v>
      </c>
      <c r="D71" s="9" t="s">
        <v>36</v>
      </c>
      <c r="E71" s="32" t="n">
        <f aca="false">INDEX(Вводные!$D$13:$F$64,MATCH($A71,Вводные!$A$13:$A$64,0),MATCH(E$3,Вводные!$D$11:$F$11,0))*(1+IF(E$4=$A71,Вводные!$D$5*INDEX(Вводные!$G$13:$G$64,MATCH($A71,Вводные!$A$13:$A$64,0)),0))</f>
        <v>0.3</v>
      </c>
      <c r="F71" s="32" t="n">
        <f aca="false">INDEX(Вводные!$D$13:$F$64,MATCH($A71,Вводные!$A$13:$A$64,0),MATCH(F$3,Вводные!$D$11:$F$11,0))*(1+IF(F$4=$A71,Вводные!$D$5*INDEX(Вводные!$G$13:$G$64,MATCH($A71,Вводные!$A$13:$A$64,0)),0))</f>
        <v>0.6</v>
      </c>
      <c r="G71" s="32" t="n">
        <f aca="false">INDEX(Вводные!$D$13:$F$64,MATCH($A71,Вводные!$A$13:$A$64,0),MATCH(G$3,Вводные!$D$11:$F$11,0))*(1+IF(G$4=$A71,Вводные!$D$5*INDEX(Вводные!$G$13:$G$64,MATCH($A71,Вводные!$A$13:$A$64,0)),0))</f>
        <v>1</v>
      </c>
      <c r="H71" s="60"/>
      <c r="J71" s="32" t="n">
        <f aca="false">INDEX(Вводные!$D$13:$F$64,MATCH($A71,Вводные!$A$13:$A$64,0),MATCH(J$3,Вводные!$D$11:$F$11,0))*(1+IF(J$4=$A71,Вводные!$D$5*INDEX(Вводные!$G$13:$G$64,MATCH($A71,Вводные!$A$13:$A$64,0)),0))</f>
        <v>0.3</v>
      </c>
      <c r="K71" s="32" t="n">
        <f aca="false">INDEX(Вводные!$D$13:$F$64,MATCH($A71,Вводные!$A$13:$A$64,0),MATCH(K$3,Вводные!$D$11:$F$11,0))*(1+IF(K$4=$A71,Вводные!$D$5*INDEX(Вводные!$G$13:$G$64,MATCH($A71,Вводные!$A$13:$A$64,0)),0))</f>
        <v>0.3</v>
      </c>
      <c r="L71" s="32" t="n">
        <f aca="false">INDEX(Вводные!$D$13:$F$64,MATCH($A71,Вводные!$A$13:$A$64,0),MATCH(L$3,Вводные!$D$11:$F$11,0))*(1+IF(L$4=$A71,Вводные!$D$5*INDEX(Вводные!$G$13:$G$64,MATCH($A71,Вводные!$A$13:$A$64,0)),0))</f>
        <v>0.3</v>
      </c>
      <c r="M71" s="32" t="n">
        <f aca="false">INDEX(Вводные!$D$13:$F$64,MATCH($A71,Вводные!$A$13:$A$64,0),MATCH(M$3,Вводные!$D$11:$F$11,0))*(1+IF(M$4=$A71,Вводные!$D$5*INDEX(Вводные!$G$13:$G$64,MATCH($A71,Вводные!$A$13:$A$64,0)),0))</f>
        <v>0.3</v>
      </c>
      <c r="N71" s="32" t="n">
        <f aca="false">INDEX(Вводные!$D$13:$F$64,MATCH($A71,Вводные!$A$13:$A$64,0),MATCH(N$3,Вводные!$D$11:$F$11,0))*(1+IF(N$4=$A71,Вводные!$D$5*INDEX(Вводные!$G$13:$G$64,MATCH($A71,Вводные!$A$13:$A$64,0)),0))</f>
        <v>0.3</v>
      </c>
      <c r="O71" s="32" t="n">
        <f aca="false">INDEX(Вводные!$D$13:$F$64,MATCH($A71,Вводные!$A$13:$A$64,0),MATCH(O$3,Вводные!$D$11:$F$11,0))*(1+IF(O$4=$A71,Вводные!$D$5*INDEX(Вводные!$G$13:$G$64,MATCH($A71,Вводные!$A$13:$A$64,0)),0))</f>
        <v>0.3</v>
      </c>
      <c r="P71" s="32" t="n">
        <f aca="false">INDEX(Вводные!$D$13:$F$64,MATCH($A71,Вводные!$A$13:$A$64,0),MATCH(P$3,Вводные!$D$11:$F$11,0))*(1+IF(P$4=$A71,Вводные!$D$5*INDEX(Вводные!$G$13:$G$64,MATCH($A71,Вводные!$A$13:$A$64,0)),0))</f>
        <v>0.3</v>
      </c>
      <c r="Q71" s="32" t="n">
        <f aca="false">INDEX(Вводные!$D$13:$F$64,MATCH($A71,Вводные!$A$13:$A$64,0),MATCH(Q$3,Вводные!$D$11:$F$11,0))*(1+IF(Q$4=$A71,Вводные!$D$5*INDEX(Вводные!$G$13:$G$64,MATCH($A71,Вводные!$A$13:$A$64,0)),0))</f>
        <v>0.3</v>
      </c>
      <c r="R71" s="32" t="n">
        <f aca="false">INDEX(Вводные!$D$13:$F$64,MATCH($A71,Вводные!$A$13:$A$64,0),MATCH(R$3,Вводные!$D$11:$F$11,0))*(1+IF(R$4=$A71,Вводные!$D$5*INDEX(Вводные!$G$13:$G$64,MATCH($A71,Вводные!$A$13:$A$64,0)),0))</f>
        <v>0.3</v>
      </c>
      <c r="S71" s="32" t="n">
        <f aca="false">INDEX(Вводные!$D$13:$F$64,MATCH($A71,Вводные!$A$13:$A$64,0),MATCH(S$3,Вводные!$D$11:$F$11,0))*(1+IF(S$4=$A71,Вводные!$D$5*INDEX(Вводные!$G$13:$G$64,MATCH($A71,Вводные!$A$13:$A$64,0)),0))</f>
        <v>0.3</v>
      </c>
      <c r="T71" s="32" t="n">
        <f aca="false">INDEX(Вводные!$D$13:$F$64,MATCH($A71,Вводные!$A$13:$A$64,0),MATCH(T$3,Вводные!$D$11:$F$11,0))*(1+IF(T$4=$A71,Вводные!$D$5*INDEX(Вводные!$G$13:$G$64,MATCH($A71,Вводные!$A$13:$A$64,0)),0))</f>
        <v>0.3</v>
      </c>
      <c r="U71" s="32" t="n">
        <f aca="false">INDEX(Вводные!$D$13:$F$64,MATCH($A71,Вводные!$A$13:$A$64,0),MATCH(U$3,Вводные!$D$11:$F$11,0))*(1+IF(U$4=$A71,Вводные!$D$5*INDEX(Вводные!$G$13:$G$64,MATCH($A71,Вводные!$A$13:$A$64,0)),0))</f>
        <v>0.3</v>
      </c>
      <c r="V71" s="32" t="n">
        <f aca="false">INDEX(Вводные!$D$13:$F$64,MATCH($A71,Вводные!$A$13:$A$64,0),MATCH(V$3,Вводные!$D$11:$F$11,0))*(1+IF(V$4=$A71,Вводные!$D$5*INDEX(Вводные!$G$13:$G$64,MATCH($A71,Вводные!$A$13:$A$64,0)),0))</f>
        <v>0.3</v>
      </c>
      <c r="W71" s="32" t="n">
        <f aca="false">INDEX(Вводные!$D$13:$F$64,MATCH($A71,Вводные!$A$13:$A$64,0),MATCH(W$3,Вводные!$D$11:$F$11,0))*(1+IF(W$4=$A71,Вводные!$D$5*INDEX(Вводные!$G$13:$G$64,MATCH($A71,Вводные!$A$13:$A$64,0)),0))</f>
        <v>0.3</v>
      </c>
      <c r="X71" s="32" t="n">
        <f aca="false">INDEX(Вводные!$D$13:$F$64,MATCH($A71,Вводные!$A$13:$A$64,0),MATCH(X$3,Вводные!$D$11:$F$11,0))*(1+IF(X$4=$A71,Вводные!$D$5*INDEX(Вводные!$G$13:$G$64,MATCH($A71,Вводные!$A$13:$A$64,0)),0))</f>
        <v>0.3</v>
      </c>
      <c r="Y71" s="32" t="n">
        <f aca="false">INDEX(Вводные!$D$13:$F$64,MATCH($A71,Вводные!$A$13:$A$64,0),MATCH(Y$3,Вводные!$D$11:$F$11,0))*(1+IF(Y$4=$A71,Вводные!$D$5*INDEX(Вводные!$G$13:$G$64,MATCH($A71,Вводные!$A$13:$A$64,0)),0))</f>
        <v>0.3</v>
      </c>
      <c r="Z71" s="32" t="n">
        <f aca="false">INDEX(Вводные!$D$13:$F$64,MATCH($A71,Вводные!$A$13:$A$64,0),MATCH(Z$3,Вводные!$D$11:$F$11,0))*(1+IF(Z$4=$A71,Вводные!$D$5*INDEX(Вводные!$G$13:$G$64,MATCH($A71,Вводные!$A$13:$A$64,0)),0))</f>
        <v>0.3</v>
      </c>
      <c r="AA71" s="32" t="n">
        <f aca="false">INDEX(Вводные!$D$13:$F$64,MATCH($A71,Вводные!$A$13:$A$64,0),MATCH(AA$3,Вводные!$D$11:$F$11,0))*(1+IF(AA$4=$A71,Вводные!$D$5*INDEX(Вводные!$G$13:$G$64,MATCH($A71,Вводные!$A$13:$A$64,0)),0))</f>
        <v>0.3</v>
      </c>
      <c r="AB71" s="32" t="n">
        <f aca="false">INDEX(Вводные!$D$13:$F$64,MATCH($A71,Вводные!$A$13:$A$64,0),MATCH(AB$3,Вводные!$D$11:$F$11,0))*(1+IF(AB$4=$A71,Вводные!$D$5*INDEX(Вводные!$G$13:$G$64,MATCH($A71,Вводные!$A$13:$A$64,0)),0))</f>
        <v>0.3</v>
      </c>
      <c r="AC71" s="32" t="n">
        <f aca="false">INDEX(Вводные!$D$13:$F$64,MATCH($A71,Вводные!$A$13:$A$64,0),MATCH(AC$3,Вводные!$D$11:$F$11,0))*(1+IF(AC$4=$A71,Вводные!$D$5*INDEX(Вводные!$G$13:$G$64,MATCH($A71,Вводные!$A$13:$A$64,0)),0))</f>
        <v>0.3</v>
      </c>
      <c r="AD71" s="32" t="n">
        <f aca="false">INDEX(Вводные!$D$13:$F$64,MATCH($A71,Вводные!$A$13:$A$64,0),MATCH(AD$3,Вводные!$D$11:$F$11,0))*(1+IF(AD$4=$A71,Вводные!$D$5*INDEX(Вводные!$G$13:$G$64,MATCH($A71,Вводные!$A$13:$A$64,0)),0))</f>
        <v>0.3</v>
      </c>
      <c r="AE71" s="32" t="n">
        <f aca="false">INDEX(Вводные!$D$13:$F$64,MATCH($A71,Вводные!$A$13:$A$64,0),MATCH(AE$3,Вводные!$D$11:$F$11,0))*(1+IF(AE$4=$A71,Вводные!$D$5*INDEX(Вводные!$G$13:$G$64,MATCH($A71,Вводные!$A$13:$A$64,0)),0))</f>
        <v>0.3</v>
      </c>
      <c r="AF71" s="32" t="n">
        <f aca="false">INDEX(Вводные!$D$13:$F$64,MATCH($A71,Вводные!$A$13:$A$64,0),MATCH(AF$3,Вводные!$D$11:$F$11,0))*(1+IF(AF$4=$A71,Вводные!$D$5*INDEX(Вводные!$G$13:$G$64,MATCH($A71,Вводные!$A$13:$A$64,0)),0))</f>
        <v>0.3</v>
      </c>
      <c r="AG71" s="32" t="n">
        <f aca="false">INDEX(Вводные!$D$13:$F$64,MATCH($A71,Вводные!$A$13:$A$64,0),MATCH(AG$3,Вводные!$D$11:$F$11,0))*(1+IF(AG$4=$A71,Вводные!$D$5*INDEX(Вводные!$G$13:$G$64,MATCH($A71,Вводные!$A$13:$A$64,0)),0))</f>
        <v>0.3</v>
      </c>
      <c r="AH71" s="32" t="n">
        <f aca="false">INDEX(Вводные!$D$13:$F$64,MATCH($A71,Вводные!$A$13:$A$64,0),MATCH(AH$3,Вводные!$D$11:$F$11,0))*(1+IF(AH$4=$A71,Вводные!$D$5*INDEX(Вводные!$G$13:$G$64,MATCH($A71,Вводные!$A$13:$A$64,0)),0))</f>
        <v>0.3</v>
      </c>
      <c r="AI71" s="32" t="n">
        <f aca="false">INDEX(Вводные!$D$13:$F$64,MATCH($A71,Вводные!$A$13:$A$64,0),MATCH(AI$3,Вводные!$D$11:$F$11,0))*(1+IF(AI$4=$A71,Вводные!$D$5*INDEX(Вводные!$G$13:$G$64,MATCH($A71,Вводные!$A$13:$A$64,0)),0))</f>
        <v>0.3</v>
      </c>
      <c r="AJ71" s="32" t="n">
        <f aca="false">INDEX(Вводные!$D$13:$F$64,MATCH($A71,Вводные!$A$13:$A$64,0),MATCH(AJ$3,Вводные!$D$11:$F$11,0))*(1+IF(AJ$4=$A71,Вводные!$D$5*INDEX(Вводные!$G$13:$G$64,MATCH($A71,Вводные!$A$13:$A$64,0)),0))</f>
        <v>0.3</v>
      </c>
      <c r="AK71" s="32" t="n">
        <f aca="false">INDEX(Вводные!$D$13:$F$64,MATCH($A71,Вводные!$A$13:$A$64,0),MATCH(AK$3,Вводные!$D$11:$F$11,0))*(1+IF(AK$4=$A71,Вводные!$D$5*INDEX(Вводные!$G$13:$G$64,MATCH($A71,Вводные!$A$13:$A$64,0)),0))</f>
        <v>0.3</v>
      </c>
      <c r="AL71" s="32" t="n">
        <f aca="false">INDEX(Вводные!$D$13:$F$64,MATCH($A71,Вводные!$A$13:$A$64,0),MATCH(AL$3,Вводные!$D$11:$F$11,0))*(1+IF(AL$4=$A71,Вводные!$D$5*INDEX(Вводные!$G$13:$G$64,MATCH($A71,Вводные!$A$13:$A$64,0)),0))</f>
        <v>0.3</v>
      </c>
      <c r="AM71" s="32" t="n">
        <f aca="false">INDEX(Вводные!$D$13:$F$64,MATCH($A71,Вводные!$A$13:$A$64,0),MATCH(AM$3,Вводные!$D$11:$F$11,0))*(1+IF(AM$4=$A71,Вводные!$D$5*INDEX(Вводные!$G$13:$G$64,MATCH($A71,Вводные!$A$13:$A$64,0)),0))</f>
        <v>0.3</v>
      </c>
      <c r="AN71" s="32" t="n">
        <f aca="false">INDEX(Вводные!$D$13:$F$64,MATCH($A71,Вводные!$A$13:$A$64,0),MATCH(AN$3,Вводные!$D$11:$F$11,0))*(1+IF(AN$4=$A71,Вводные!$D$5*INDEX(Вводные!$G$13:$G$64,MATCH($A71,Вводные!$A$13:$A$64,0)),0))</f>
        <v>0.3</v>
      </c>
      <c r="AO71" s="32" t="n">
        <f aca="false">INDEX(Вводные!$D$13:$F$64,MATCH($A71,Вводные!$A$13:$A$64,0),MATCH(AO$3,Вводные!$D$11:$F$11,0))*(1+IF(AO$4=$A71,Вводные!$D$5*INDEX(Вводные!$G$13:$G$64,MATCH($A71,Вводные!$A$13:$A$64,0)),0))</f>
        <v>0.3</v>
      </c>
      <c r="AP71" s="32" t="n">
        <f aca="false">INDEX(Вводные!$D$13:$F$64,MATCH($A71,Вводные!$A$13:$A$64,0),MATCH(AP$3,Вводные!$D$11:$F$11,0))*(1+IF(AP$4=$A71,Вводные!$D$5*INDEX(Вводные!$G$13:$G$64,MATCH($A71,Вводные!$A$13:$A$64,0)),0))</f>
        <v>0.3</v>
      </c>
      <c r="AQ71" s="32" t="n">
        <f aca="false">INDEX(Вводные!$D$13:$F$64,MATCH($A71,Вводные!$A$13:$A$64,0),MATCH(AQ$3,Вводные!$D$11:$F$11,0))*(1+IF(AQ$4=$A71,Вводные!$D$5*INDEX(Вводные!$G$13:$G$64,MATCH($A71,Вводные!$A$13:$A$64,0)),0))</f>
        <v>0.297</v>
      </c>
      <c r="AR71" s="32" t="n">
        <f aca="false">INDEX(Вводные!$D$13:$F$64,MATCH($A71,Вводные!$A$13:$A$64,0),MATCH(AR$3,Вводные!$D$11:$F$11,0))*(1+IF(AR$4=$A71,Вводные!$D$5*INDEX(Вводные!$G$13:$G$64,MATCH($A71,Вводные!$A$13:$A$64,0)),0))</f>
        <v>0.3</v>
      </c>
      <c r="AS71" s="32" t="n">
        <f aca="false">INDEX(Вводные!$D$13:$F$64,MATCH($A71,Вводные!$A$13:$A$64,0),MATCH(AS$3,Вводные!$D$11:$F$11,0))*(1+IF(AS$4=$A71,Вводные!$D$5*INDEX(Вводные!$G$13:$G$64,MATCH($A71,Вводные!$A$13:$A$64,0)),0))</f>
        <v>0.3</v>
      </c>
      <c r="AT71" s="32" t="n">
        <f aca="false">INDEX(Вводные!$D$13:$F$64,MATCH($A71,Вводные!$A$13:$A$64,0),MATCH(AT$3,Вводные!$D$11:$F$11,0))*(1+IF(AT$4=$A71,Вводные!$D$5*INDEX(Вводные!$G$13:$G$64,MATCH($A71,Вводные!$A$13:$A$64,0)),0))</f>
        <v>0.3</v>
      </c>
      <c r="AU71" s="32" t="n">
        <f aca="false">INDEX(Вводные!$D$13:$F$64,MATCH($A71,Вводные!$A$13:$A$64,0),MATCH(AU$3,Вводные!$D$11:$F$11,0))*(1+IF(AU$4=$A71,Вводные!$D$5*INDEX(Вводные!$G$13:$G$64,MATCH($A71,Вводные!$A$13:$A$64,0)),0))</f>
        <v>0.3</v>
      </c>
      <c r="AV71" s="32" t="n">
        <f aca="false">INDEX(Вводные!$D$13:$F$64,MATCH($A71,Вводные!$A$13:$A$64,0),MATCH(AV$3,Вводные!$D$11:$F$11,0))*(1+IF(AV$4=$A71,Вводные!$D$5*INDEX(Вводные!$G$13:$G$64,MATCH($A71,Вводные!$A$13:$A$64,0)),0))</f>
        <v>0.3</v>
      </c>
      <c r="AW71" s="32" t="n">
        <f aca="false">INDEX(Вводные!$D$13:$F$64,MATCH($A71,Вводные!$A$13:$A$64,0),MATCH(AW$3,Вводные!$D$11:$F$11,0))*(1+IF(AW$4=$A71,Вводные!$D$5*INDEX(Вводные!$G$13:$G$64,MATCH($A71,Вводные!$A$13:$A$64,0)),0))</f>
        <v>0.3</v>
      </c>
      <c r="AX71" s="32" t="n">
        <f aca="false">INDEX(Вводные!$D$13:$F$64,MATCH($A71,Вводные!$A$13:$A$64,0),MATCH(AX$3,Вводные!$D$11:$F$11,0))*(1+IF(AX$4=$A71,Вводные!$D$5*INDEX(Вводные!$G$13:$G$64,MATCH($A71,Вводные!$A$13:$A$64,0)),0))</f>
        <v>0.3</v>
      </c>
      <c r="AY71" s="32" t="n">
        <f aca="false">INDEX(Вводные!$D$13:$F$64,MATCH($A71,Вводные!$A$13:$A$64,0),MATCH(AY$3,Вводные!$D$11:$F$11,0))*(1+IF(AY$4=$A71,Вводные!$D$5*INDEX(Вводные!$G$13:$G$64,MATCH($A71,Вводные!$A$13:$A$64,0)),0))</f>
        <v>0.3</v>
      </c>
      <c r="AZ71" s="32" t="n">
        <f aca="false">INDEX(Вводные!$D$13:$F$64,MATCH($A71,Вводные!$A$13:$A$64,0),MATCH(AZ$3,Вводные!$D$11:$F$11,0))*(1+IF(AZ$4=$A71,Вводные!$D$5*INDEX(Вводные!$G$13:$G$64,MATCH($A71,Вводные!$A$13:$A$64,0)),0))</f>
        <v>0.6</v>
      </c>
      <c r="BA71" s="32" t="n">
        <f aca="false">INDEX(Вводные!$D$13:$F$64,MATCH($A71,Вводные!$A$13:$A$64,0),MATCH(BA$3,Вводные!$D$11:$F$11,0))*(1+IF(BA$4=$A71,Вводные!$D$5*INDEX(Вводные!$G$13:$G$64,MATCH($A71,Вводные!$A$13:$A$64,0)),0))</f>
        <v>0.6</v>
      </c>
      <c r="BB71" s="32" t="n">
        <f aca="false">INDEX(Вводные!$D$13:$F$64,MATCH($A71,Вводные!$A$13:$A$64,0),MATCH(BB$3,Вводные!$D$11:$F$11,0))*(1+IF(BB$4=$A71,Вводные!$D$5*INDEX(Вводные!$G$13:$G$64,MATCH($A71,Вводные!$A$13:$A$64,0)),0))</f>
        <v>0.6</v>
      </c>
      <c r="BC71" s="32" t="n">
        <f aca="false">INDEX(Вводные!$D$13:$F$64,MATCH($A71,Вводные!$A$13:$A$64,0),MATCH(BC$3,Вводные!$D$11:$F$11,0))*(1+IF(BC$4=$A71,Вводные!$D$5*INDEX(Вводные!$G$13:$G$64,MATCH($A71,Вводные!$A$13:$A$64,0)),0))</f>
        <v>0.6</v>
      </c>
      <c r="BD71" s="32" t="n">
        <f aca="false">INDEX(Вводные!$D$13:$F$64,MATCH($A71,Вводные!$A$13:$A$64,0),MATCH(BD$3,Вводные!$D$11:$F$11,0))*(1+IF(BD$4=$A71,Вводные!$D$5*INDEX(Вводные!$G$13:$G$64,MATCH($A71,Вводные!$A$13:$A$64,0)),0))</f>
        <v>0.6</v>
      </c>
      <c r="BE71" s="32" t="n">
        <f aca="false">INDEX(Вводные!$D$13:$F$64,MATCH($A71,Вводные!$A$13:$A$64,0),MATCH(BE$3,Вводные!$D$11:$F$11,0))*(1+IF(BE$4=$A71,Вводные!$D$5*INDEX(Вводные!$G$13:$G$64,MATCH($A71,Вводные!$A$13:$A$64,0)),0))</f>
        <v>0.6</v>
      </c>
      <c r="BF71" s="32" t="n">
        <f aca="false">INDEX(Вводные!$D$13:$F$64,MATCH($A71,Вводные!$A$13:$A$64,0),MATCH(BF$3,Вводные!$D$11:$F$11,0))*(1+IF(BF$4=$A71,Вводные!$D$5*INDEX(Вводные!$G$13:$G$64,MATCH($A71,Вводные!$A$13:$A$64,0)),0))</f>
        <v>0.6</v>
      </c>
      <c r="BG71" s="32" t="n">
        <f aca="false">INDEX(Вводные!$D$13:$F$64,MATCH($A71,Вводные!$A$13:$A$64,0),MATCH(BG$3,Вводные!$D$11:$F$11,0))*(1+IF(BG$4=$A71,Вводные!$D$5*INDEX(Вводные!$G$13:$G$64,MATCH($A71,Вводные!$A$13:$A$64,0)),0))</f>
        <v>0.6</v>
      </c>
      <c r="BH71" s="32" t="n">
        <f aca="false">INDEX(Вводные!$D$13:$F$64,MATCH($A71,Вводные!$A$13:$A$64,0),MATCH(BH$3,Вводные!$D$11:$F$11,0))*(1+IF(BH$4=$A71,Вводные!$D$5*INDEX(Вводные!$G$13:$G$64,MATCH($A71,Вводные!$A$13:$A$64,0)),0))</f>
        <v>0.6</v>
      </c>
      <c r="BI71" s="32" t="n">
        <f aca="false">INDEX(Вводные!$D$13:$F$64,MATCH($A71,Вводные!$A$13:$A$64,0),MATCH(BI$3,Вводные!$D$11:$F$11,0))*(1+IF(BI$4=$A71,Вводные!$D$5*INDEX(Вводные!$G$13:$G$64,MATCH($A71,Вводные!$A$13:$A$64,0)),0))</f>
        <v>0.6</v>
      </c>
      <c r="BJ71" s="32" t="n">
        <f aca="false">INDEX(Вводные!$D$13:$F$64,MATCH($A71,Вводные!$A$13:$A$64,0),MATCH(BJ$3,Вводные!$D$11:$F$11,0))*(1+IF(BJ$4=$A71,Вводные!$D$5*INDEX(Вводные!$G$13:$G$64,MATCH($A71,Вводные!$A$13:$A$64,0)),0))</f>
        <v>0.6</v>
      </c>
      <c r="BK71" s="32" t="n">
        <f aca="false">INDEX(Вводные!$D$13:$F$64,MATCH($A71,Вводные!$A$13:$A$64,0),MATCH(BK$3,Вводные!$D$11:$F$11,0))*(1+IF(BK$4=$A71,Вводные!$D$5*INDEX(Вводные!$G$13:$G$64,MATCH($A71,Вводные!$A$13:$A$64,0)),0))</f>
        <v>0.6</v>
      </c>
      <c r="BL71" s="32" t="n">
        <f aca="false">INDEX(Вводные!$D$13:$F$64,MATCH($A71,Вводные!$A$13:$A$64,0),MATCH(BL$3,Вводные!$D$11:$F$11,0))*(1+IF(BL$4=$A71,Вводные!$D$5*INDEX(Вводные!$G$13:$G$64,MATCH($A71,Вводные!$A$13:$A$64,0)),0))</f>
        <v>0.6</v>
      </c>
      <c r="BM71" s="32" t="n">
        <f aca="false">INDEX(Вводные!$D$13:$F$64,MATCH($A71,Вводные!$A$13:$A$64,0),MATCH(BM$3,Вводные!$D$11:$F$11,0))*(1+IF(BM$4=$A71,Вводные!$D$5*INDEX(Вводные!$G$13:$G$64,MATCH($A71,Вводные!$A$13:$A$64,0)),0))</f>
        <v>0.6</v>
      </c>
      <c r="BN71" s="32" t="n">
        <f aca="false">INDEX(Вводные!$D$13:$F$64,MATCH($A71,Вводные!$A$13:$A$64,0),MATCH(BN$3,Вводные!$D$11:$F$11,0))*(1+IF(BN$4=$A71,Вводные!$D$5*INDEX(Вводные!$G$13:$G$64,MATCH($A71,Вводные!$A$13:$A$64,0)),0))</f>
        <v>0.6</v>
      </c>
      <c r="BO71" s="32" t="n">
        <f aca="false">INDEX(Вводные!$D$13:$F$64,MATCH($A71,Вводные!$A$13:$A$64,0),MATCH(BO$3,Вводные!$D$11:$F$11,0))*(1+IF(BO$4=$A71,Вводные!$D$5*INDEX(Вводные!$G$13:$G$64,MATCH($A71,Вводные!$A$13:$A$64,0)),0))</f>
        <v>0.6</v>
      </c>
      <c r="BP71" s="32" t="n">
        <f aca="false">INDEX(Вводные!$D$13:$F$64,MATCH($A71,Вводные!$A$13:$A$64,0),MATCH(BP$3,Вводные!$D$11:$F$11,0))*(1+IF(BP$4=$A71,Вводные!$D$5*INDEX(Вводные!$G$13:$G$64,MATCH($A71,Вводные!$A$13:$A$64,0)),0))</f>
        <v>0.6</v>
      </c>
      <c r="BQ71" s="32" t="n">
        <f aca="false">INDEX(Вводные!$D$13:$F$64,MATCH($A71,Вводные!$A$13:$A$64,0),MATCH(BQ$3,Вводные!$D$11:$F$11,0))*(1+IF(BQ$4=$A71,Вводные!$D$5*INDEX(Вводные!$G$13:$G$64,MATCH($A71,Вводные!$A$13:$A$64,0)),0))</f>
        <v>0.6</v>
      </c>
      <c r="BR71" s="32" t="n">
        <f aca="false">INDEX(Вводные!$D$13:$F$64,MATCH($A71,Вводные!$A$13:$A$64,0),MATCH(BR$3,Вводные!$D$11:$F$11,0))*(1+IF(BR$4=$A71,Вводные!$D$5*INDEX(Вводные!$G$13:$G$64,MATCH($A71,Вводные!$A$13:$A$64,0)),0))</f>
        <v>0.6</v>
      </c>
      <c r="BS71" s="32" t="n">
        <f aca="false">INDEX(Вводные!$D$13:$F$64,MATCH($A71,Вводные!$A$13:$A$64,0),MATCH(BS$3,Вводные!$D$11:$F$11,0))*(1+IF(BS$4=$A71,Вводные!$D$5*INDEX(Вводные!$G$13:$G$64,MATCH($A71,Вводные!$A$13:$A$64,0)),0))</f>
        <v>0.6</v>
      </c>
      <c r="BT71" s="32" t="n">
        <f aca="false">INDEX(Вводные!$D$13:$F$64,MATCH($A71,Вводные!$A$13:$A$64,0),MATCH(BT$3,Вводные!$D$11:$F$11,0))*(1+IF(BT$4=$A71,Вводные!$D$5*INDEX(Вводные!$G$13:$G$64,MATCH($A71,Вводные!$A$13:$A$64,0)),0))</f>
        <v>0.6</v>
      </c>
      <c r="BU71" s="32" t="n">
        <f aca="false">INDEX(Вводные!$D$13:$F$64,MATCH($A71,Вводные!$A$13:$A$64,0),MATCH(BU$3,Вводные!$D$11:$F$11,0))*(1+IF(BU$4=$A71,Вводные!$D$5*INDEX(Вводные!$G$13:$G$64,MATCH($A71,Вводные!$A$13:$A$64,0)),0))</f>
        <v>0.6</v>
      </c>
      <c r="BV71" s="32" t="n">
        <f aca="false">INDEX(Вводные!$D$13:$F$64,MATCH($A71,Вводные!$A$13:$A$64,0),MATCH(BV$3,Вводные!$D$11:$F$11,0))*(1+IF(BV$4=$A71,Вводные!$D$5*INDEX(Вводные!$G$13:$G$64,MATCH($A71,Вводные!$A$13:$A$64,0)),0))</f>
        <v>0.6</v>
      </c>
      <c r="BW71" s="32" t="n">
        <f aca="false">INDEX(Вводные!$D$13:$F$64,MATCH($A71,Вводные!$A$13:$A$64,0),MATCH(BW$3,Вводные!$D$11:$F$11,0))*(1+IF(BW$4=$A71,Вводные!$D$5*INDEX(Вводные!$G$13:$G$64,MATCH($A71,Вводные!$A$13:$A$64,0)),0))</f>
        <v>0.6</v>
      </c>
      <c r="BX71" s="32" t="n">
        <f aca="false">INDEX(Вводные!$D$13:$F$64,MATCH($A71,Вводные!$A$13:$A$64,0),MATCH(BX$3,Вводные!$D$11:$F$11,0))*(1+IF(BX$4=$A71,Вводные!$D$5*INDEX(Вводные!$G$13:$G$64,MATCH($A71,Вводные!$A$13:$A$64,0)),0))</f>
        <v>0.6</v>
      </c>
      <c r="BY71" s="32" t="n">
        <f aca="false">INDEX(Вводные!$D$13:$F$64,MATCH($A71,Вводные!$A$13:$A$64,0),MATCH(BY$3,Вводные!$D$11:$F$11,0))*(1+IF(BY$4=$A71,Вводные!$D$5*INDEX(Вводные!$G$13:$G$64,MATCH($A71,Вводные!$A$13:$A$64,0)),0))</f>
        <v>0.6</v>
      </c>
      <c r="BZ71" s="32" t="n">
        <f aca="false">INDEX(Вводные!$D$13:$F$64,MATCH($A71,Вводные!$A$13:$A$64,0),MATCH(BZ$3,Вводные!$D$11:$F$11,0))*(1+IF(BZ$4=$A71,Вводные!$D$5*INDEX(Вводные!$G$13:$G$64,MATCH($A71,Вводные!$A$13:$A$64,0)),0))</f>
        <v>0.6</v>
      </c>
      <c r="CA71" s="32" t="n">
        <f aca="false">INDEX(Вводные!$D$13:$F$64,MATCH($A71,Вводные!$A$13:$A$64,0),MATCH(CA$3,Вводные!$D$11:$F$11,0))*(1+IF(CA$4=$A71,Вводные!$D$5*INDEX(Вводные!$G$13:$G$64,MATCH($A71,Вводные!$A$13:$A$64,0)),0))</f>
        <v>0.6</v>
      </c>
      <c r="CB71" s="32" t="n">
        <f aca="false">INDEX(Вводные!$D$13:$F$64,MATCH($A71,Вводные!$A$13:$A$64,0),MATCH(CB$3,Вводные!$D$11:$F$11,0))*(1+IF(CB$4=$A71,Вводные!$D$5*INDEX(Вводные!$G$13:$G$64,MATCH($A71,Вводные!$A$13:$A$64,0)),0))</f>
        <v>0.6</v>
      </c>
      <c r="CC71" s="32" t="n">
        <f aca="false">INDEX(Вводные!$D$13:$F$64,MATCH($A71,Вводные!$A$13:$A$64,0),MATCH(CC$3,Вводные!$D$11:$F$11,0))*(1+IF(CC$4=$A71,Вводные!$D$5*INDEX(Вводные!$G$13:$G$64,MATCH($A71,Вводные!$A$13:$A$64,0)),0))</f>
        <v>0.6</v>
      </c>
      <c r="CD71" s="32" t="n">
        <f aca="false">INDEX(Вводные!$D$13:$F$64,MATCH($A71,Вводные!$A$13:$A$64,0),MATCH(CD$3,Вводные!$D$11:$F$11,0))*(1+IF(CD$4=$A71,Вводные!$D$5*INDEX(Вводные!$G$13:$G$64,MATCH($A71,Вводные!$A$13:$A$64,0)),0))</f>
        <v>0.6</v>
      </c>
      <c r="CE71" s="32" t="n">
        <f aca="false">INDEX(Вводные!$D$13:$F$64,MATCH($A71,Вводные!$A$13:$A$64,0),MATCH(CE$3,Вводные!$D$11:$F$11,0))*(1+IF(CE$4=$A71,Вводные!$D$5*INDEX(Вводные!$G$13:$G$64,MATCH($A71,Вводные!$A$13:$A$64,0)),0))</f>
        <v>0.6</v>
      </c>
      <c r="CF71" s="32" t="n">
        <f aca="false">INDEX(Вводные!$D$13:$F$64,MATCH($A71,Вводные!$A$13:$A$64,0),MATCH(CF$3,Вводные!$D$11:$F$11,0))*(1+IF(CF$4=$A71,Вводные!$D$5*INDEX(Вводные!$G$13:$G$64,MATCH($A71,Вводные!$A$13:$A$64,0)),0))</f>
        <v>0.6</v>
      </c>
      <c r="CG71" s="32" t="n">
        <f aca="false">INDEX(Вводные!$D$13:$F$64,MATCH($A71,Вводные!$A$13:$A$64,0),MATCH(CG$3,Вводные!$D$11:$F$11,0))*(1+IF(CG$4=$A71,Вводные!$D$5*INDEX(Вводные!$G$13:$G$64,MATCH($A71,Вводные!$A$13:$A$64,0)),0))</f>
        <v>0.594</v>
      </c>
      <c r="CH71" s="32" t="n">
        <f aca="false">INDEX(Вводные!$D$13:$F$64,MATCH($A71,Вводные!$A$13:$A$64,0),MATCH(CH$3,Вводные!$D$11:$F$11,0))*(1+IF(CH$4=$A71,Вводные!$D$5*INDEX(Вводные!$G$13:$G$64,MATCH($A71,Вводные!$A$13:$A$64,0)),0))</f>
        <v>0.6</v>
      </c>
      <c r="CI71" s="32" t="n">
        <f aca="false">INDEX(Вводные!$D$13:$F$64,MATCH($A71,Вводные!$A$13:$A$64,0),MATCH(CI$3,Вводные!$D$11:$F$11,0))*(1+IF(CI$4=$A71,Вводные!$D$5*INDEX(Вводные!$G$13:$G$64,MATCH($A71,Вводные!$A$13:$A$64,0)),0))</f>
        <v>0.6</v>
      </c>
      <c r="CJ71" s="32" t="n">
        <f aca="false">INDEX(Вводные!$D$13:$F$64,MATCH($A71,Вводные!$A$13:$A$64,0),MATCH(CJ$3,Вводные!$D$11:$F$11,0))*(1+IF(CJ$4=$A71,Вводные!$D$5*INDEX(Вводные!$G$13:$G$64,MATCH($A71,Вводные!$A$13:$A$64,0)),0))</f>
        <v>0.6</v>
      </c>
      <c r="CK71" s="32" t="n">
        <f aca="false">INDEX(Вводные!$D$13:$F$64,MATCH($A71,Вводные!$A$13:$A$64,0),MATCH(CK$3,Вводные!$D$11:$F$11,0))*(1+IF(CK$4=$A71,Вводные!$D$5*INDEX(Вводные!$G$13:$G$64,MATCH($A71,Вводные!$A$13:$A$64,0)),0))</f>
        <v>0.6</v>
      </c>
      <c r="CL71" s="32" t="n">
        <f aca="false">INDEX(Вводные!$D$13:$F$64,MATCH($A71,Вводные!$A$13:$A$64,0),MATCH(CL$3,Вводные!$D$11:$F$11,0))*(1+IF(CL$4=$A71,Вводные!$D$5*INDEX(Вводные!$G$13:$G$64,MATCH($A71,Вводные!$A$13:$A$64,0)),0))</f>
        <v>0.6</v>
      </c>
      <c r="CM71" s="32" t="n">
        <f aca="false">INDEX(Вводные!$D$13:$F$64,MATCH($A71,Вводные!$A$13:$A$64,0),MATCH(CM$3,Вводные!$D$11:$F$11,0))*(1+IF(CM$4=$A71,Вводные!$D$5*INDEX(Вводные!$G$13:$G$64,MATCH($A71,Вводные!$A$13:$A$64,0)),0))</f>
        <v>0.6</v>
      </c>
      <c r="CN71" s="32" t="n">
        <f aca="false">INDEX(Вводные!$D$13:$F$64,MATCH($A71,Вводные!$A$13:$A$64,0),MATCH(CN$3,Вводные!$D$11:$F$11,0))*(1+IF(CN$4=$A71,Вводные!$D$5*INDEX(Вводные!$G$13:$G$64,MATCH($A71,Вводные!$A$13:$A$64,0)),0))</f>
        <v>0.6</v>
      </c>
      <c r="CO71" s="32" t="n">
        <f aca="false">INDEX(Вводные!$D$13:$F$64,MATCH($A71,Вводные!$A$13:$A$64,0),MATCH(CO$3,Вводные!$D$11:$F$11,0))*(1+IF(CO$4=$A71,Вводные!$D$5*INDEX(Вводные!$G$13:$G$64,MATCH($A71,Вводные!$A$13:$A$64,0)),0))</f>
        <v>0.6</v>
      </c>
      <c r="CP71" s="32" t="n">
        <f aca="false">INDEX(Вводные!$D$13:$F$64,MATCH($A71,Вводные!$A$13:$A$64,0),MATCH(CP$3,Вводные!$D$11:$F$11,0))*(1+IF(CP$4=$A71,Вводные!$D$5*INDEX(Вводные!$G$13:$G$64,MATCH($A71,Вводные!$A$13:$A$64,0)),0))</f>
        <v>1</v>
      </c>
      <c r="CQ71" s="32" t="n">
        <f aca="false">INDEX(Вводные!$D$13:$F$64,MATCH($A71,Вводные!$A$13:$A$64,0),MATCH(CQ$3,Вводные!$D$11:$F$11,0))*(1+IF(CQ$4=$A71,Вводные!$D$5*INDEX(Вводные!$G$13:$G$64,MATCH($A71,Вводные!$A$13:$A$64,0)),0))</f>
        <v>1</v>
      </c>
      <c r="CR71" s="32" t="n">
        <f aca="false">INDEX(Вводные!$D$13:$F$64,MATCH($A71,Вводные!$A$13:$A$64,0),MATCH(CR$3,Вводные!$D$11:$F$11,0))*(1+IF(CR$4=$A71,Вводные!$D$5*INDEX(Вводные!$G$13:$G$64,MATCH($A71,Вводные!$A$13:$A$64,0)),0))</f>
        <v>1</v>
      </c>
      <c r="CS71" s="32" t="n">
        <f aca="false">INDEX(Вводные!$D$13:$F$64,MATCH($A71,Вводные!$A$13:$A$64,0),MATCH(CS$3,Вводные!$D$11:$F$11,0))*(1+IF(CS$4=$A71,Вводные!$D$5*INDEX(Вводные!$G$13:$G$64,MATCH($A71,Вводные!$A$13:$A$64,0)),0))</f>
        <v>1</v>
      </c>
      <c r="CT71" s="32" t="n">
        <f aca="false">INDEX(Вводные!$D$13:$F$64,MATCH($A71,Вводные!$A$13:$A$64,0),MATCH(CT$3,Вводные!$D$11:$F$11,0))*(1+IF(CT$4=$A71,Вводные!$D$5*INDEX(Вводные!$G$13:$G$64,MATCH($A71,Вводные!$A$13:$A$64,0)),0))</f>
        <v>1</v>
      </c>
      <c r="CU71" s="32" t="n">
        <f aca="false">INDEX(Вводные!$D$13:$F$64,MATCH($A71,Вводные!$A$13:$A$64,0),MATCH(CU$3,Вводные!$D$11:$F$11,0))*(1+IF(CU$4=$A71,Вводные!$D$5*INDEX(Вводные!$G$13:$G$64,MATCH($A71,Вводные!$A$13:$A$64,0)),0))</f>
        <v>1</v>
      </c>
      <c r="CV71" s="32" t="n">
        <f aca="false">INDEX(Вводные!$D$13:$F$64,MATCH($A71,Вводные!$A$13:$A$64,0),MATCH(CV$3,Вводные!$D$11:$F$11,0))*(1+IF(CV$4=$A71,Вводные!$D$5*INDEX(Вводные!$G$13:$G$64,MATCH($A71,Вводные!$A$13:$A$64,0)),0))</f>
        <v>1</v>
      </c>
      <c r="CW71" s="32" t="n">
        <f aca="false">INDEX(Вводные!$D$13:$F$64,MATCH($A71,Вводные!$A$13:$A$64,0),MATCH(CW$3,Вводные!$D$11:$F$11,0))*(1+IF(CW$4=$A71,Вводные!$D$5*INDEX(Вводные!$G$13:$G$64,MATCH($A71,Вводные!$A$13:$A$64,0)),0))</f>
        <v>1</v>
      </c>
      <c r="CX71" s="32" t="n">
        <f aca="false">INDEX(Вводные!$D$13:$F$64,MATCH($A71,Вводные!$A$13:$A$64,0),MATCH(CX$3,Вводные!$D$11:$F$11,0))*(1+IF(CX$4=$A71,Вводные!$D$5*INDEX(Вводные!$G$13:$G$64,MATCH($A71,Вводные!$A$13:$A$64,0)),0))</f>
        <v>1</v>
      </c>
      <c r="CY71" s="32" t="n">
        <f aca="false">INDEX(Вводные!$D$13:$F$64,MATCH($A71,Вводные!$A$13:$A$64,0),MATCH(CY$3,Вводные!$D$11:$F$11,0))*(1+IF(CY$4=$A71,Вводные!$D$5*INDEX(Вводные!$G$13:$G$64,MATCH($A71,Вводные!$A$13:$A$64,0)),0))</f>
        <v>1</v>
      </c>
      <c r="CZ71" s="32" t="n">
        <f aca="false">INDEX(Вводные!$D$13:$F$64,MATCH($A71,Вводные!$A$13:$A$64,0),MATCH(CZ$3,Вводные!$D$11:$F$11,0))*(1+IF(CZ$4=$A71,Вводные!$D$5*INDEX(Вводные!$G$13:$G$64,MATCH($A71,Вводные!$A$13:$A$64,0)),0))</f>
        <v>1</v>
      </c>
      <c r="DA71" s="32" t="n">
        <f aca="false">INDEX(Вводные!$D$13:$F$64,MATCH($A71,Вводные!$A$13:$A$64,0),MATCH(DA$3,Вводные!$D$11:$F$11,0))*(1+IF(DA$4=$A71,Вводные!$D$5*INDEX(Вводные!$G$13:$G$64,MATCH($A71,Вводные!$A$13:$A$64,0)),0))</f>
        <v>1</v>
      </c>
      <c r="DB71" s="32" t="n">
        <f aca="false">INDEX(Вводные!$D$13:$F$64,MATCH($A71,Вводные!$A$13:$A$64,0),MATCH(DB$3,Вводные!$D$11:$F$11,0))*(1+IF(DB$4=$A71,Вводные!$D$5*INDEX(Вводные!$G$13:$G$64,MATCH($A71,Вводные!$A$13:$A$64,0)),0))</f>
        <v>1</v>
      </c>
      <c r="DC71" s="32" t="n">
        <f aca="false">INDEX(Вводные!$D$13:$F$64,MATCH($A71,Вводные!$A$13:$A$64,0),MATCH(DC$3,Вводные!$D$11:$F$11,0))*(1+IF(DC$4=$A71,Вводные!$D$5*INDEX(Вводные!$G$13:$G$64,MATCH($A71,Вводные!$A$13:$A$64,0)),0))</f>
        <v>1</v>
      </c>
      <c r="DD71" s="32" t="n">
        <f aca="false">INDEX(Вводные!$D$13:$F$64,MATCH($A71,Вводные!$A$13:$A$64,0),MATCH(DD$3,Вводные!$D$11:$F$11,0))*(1+IF(DD$4=$A71,Вводные!$D$5*INDEX(Вводные!$G$13:$G$64,MATCH($A71,Вводные!$A$13:$A$64,0)),0))</f>
        <v>1</v>
      </c>
      <c r="DE71" s="32" t="n">
        <f aca="false">INDEX(Вводные!$D$13:$F$64,MATCH($A71,Вводные!$A$13:$A$64,0),MATCH(DE$3,Вводные!$D$11:$F$11,0))*(1+IF(DE$4=$A71,Вводные!$D$5*INDEX(Вводные!$G$13:$G$64,MATCH($A71,Вводные!$A$13:$A$64,0)),0))</f>
        <v>1</v>
      </c>
      <c r="DF71" s="32" t="n">
        <f aca="false">INDEX(Вводные!$D$13:$F$64,MATCH($A71,Вводные!$A$13:$A$64,0),MATCH(DF$3,Вводные!$D$11:$F$11,0))*(1+IF(DF$4=$A71,Вводные!$D$5*INDEX(Вводные!$G$13:$G$64,MATCH($A71,Вводные!$A$13:$A$64,0)),0))</f>
        <v>1</v>
      </c>
      <c r="DG71" s="32" t="n">
        <f aca="false">INDEX(Вводные!$D$13:$F$64,MATCH($A71,Вводные!$A$13:$A$64,0),MATCH(DG$3,Вводные!$D$11:$F$11,0))*(1+IF(DG$4=$A71,Вводные!$D$5*INDEX(Вводные!$G$13:$G$64,MATCH($A71,Вводные!$A$13:$A$64,0)),0))</f>
        <v>1</v>
      </c>
      <c r="DH71" s="32" t="n">
        <f aca="false">INDEX(Вводные!$D$13:$F$64,MATCH($A71,Вводные!$A$13:$A$64,0),MATCH(DH$3,Вводные!$D$11:$F$11,0))*(1+IF(DH$4=$A71,Вводные!$D$5*INDEX(Вводные!$G$13:$G$64,MATCH($A71,Вводные!$A$13:$A$64,0)),0))</f>
        <v>1</v>
      </c>
      <c r="DI71" s="32" t="n">
        <f aca="false">INDEX(Вводные!$D$13:$F$64,MATCH($A71,Вводные!$A$13:$A$64,0),MATCH(DI$3,Вводные!$D$11:$F$11,0))*(1+IF(DI$4=$A71,Вводные!$D$5*INDEX(Вводные!$G$13:$G$64,MATCH($A71,Вводные!$A$13:$A$64,0)),0))</f>
        <v>1</v>
      </c>
      <c r="DJ71" s="32" t="n">
        <f aca="false">INDEX(Вводные!$D$13:$F$64,MATCH($A71,Вводные!$A$13:$A$64,0),MATCH(DJ$3,Вводные!$D$11:$F$11,0))*(1+IF(DJ$4=$A71,Вводные!$D$5*INDEX(Вводные!$G$13:$G$64,MATCH($A71,Вводные!$A$13:$A$64,0)),0))</f>
        <v>1</v>
      </c>
      <c r="DK71" s="32" t="n">
        <f aca="false">INDEX(Вводные!$D$13:$F$64,MATCH($A71,Вводные!$A$13:$A$64,0),MATCH(DK$3,Вводные!$D$11:$F$11,0))*(1+IF(DK$4=$A71,Вводные!$D$5*INDEX(Вводные!$G$13:$G$64,MATCH($A71,Вводные!$A$13:$A$64,0)),0))</f>
        <v>1</v>
      </c>
      <c r="DL71" s="32" t="n">
        <f aca="false">INDEX(Вводные!$D$13:$F$64,MATCH($A71,Вводные!$A$13:$A$64,0),MATCH(DL$3,Вводные!$D$11:$F$11,0))*(1+IF(DL$4=$A71,Вводные!$D$5*INDEX(Вводные!$G$13:$G$64,MATCH($A71,Вводные!$A$13:$A$64,0)),0))</f>
        <v>1</v>
      </c>
      <c r="DM71" s="32" t="n">
        <f aca="false">INDEX(Вводные!$D$13:$F$64,MATCH($A71,Вводные!$A$13:$A$64,0),MATCH(DM$3,Вводные!$D$11:$F$11,0))*(1+IF(DM$4=$A71,Вводные!$D$5*INDEX(Вводные!$G$13:$G$64,MATCH($A71,Вводные!$A$13:$A$64,0)),0))</f>
        <v>1</v>
      </c>
      <c r="DN71" s="32" t="n">
        <f aca="false">INDEX(Вводные!$D$13:$F$64,MATCH($A71,Вводные!$A$13:$A$64,0),MATCH(DN$3,Вводные!$D$11:$F$11,0))*(1+IF(DN$4=$A71,Вводные!$D$5*INDEX(Вводные!$G$13:$G$64,MATCH($A71,Вводные!$A$13:$A$64,0)),0))</f>
        <v>1</v>
      </c>
      <c r="DO71" s="32" t="n">
        <f aca="false">INDEX(Вводные!$D$13:$F$64,MATCH($A71,Вводные!$A$13:$A$64,0),MATCH(DO$3,Вводные!$D$11:$F$11,0))*(1+IF(DO$4=$A71,Вводные!$D$5*INDEX(Вводные!$G$13:$G$64,MATCH($A71,Вводные!$A$13:$A$64,0)),0))</f>
        <v>1</v>
      </c>
      <c r="DP71" s="32" t="n">
        <f aca="false">INDEX(Вводные!$D$13:$F$64,MATCH($A71,Вводные!$A$13:$A$64,0),MATCH(DP$3,Вводные!$D$11:$F$11,0))*(1+IF(DP$4=$A71,Вводные!$D$5*INDEX(Вводные!$G$13:$G$64,MATCH($A71,Вводные!$A$13:$A$64,0)),0))</f>
        <v>1</v>
      </c>
      <c r="DQ71" s="32" t="n">
        <f aca="false">INDEX(Вводные!$D$13:$F$64,MATCH($A71,Вводные!$A$13:$A$64,0),MATCH(DQ$3,Вводные!$D$11:$F$11,0))*(1+IF(DQ$4=$A71,Вводные!$D$5*INDEX(Вводные!$G$13:$G$64,MATCH($A71,Вводные!$A$13:$A$64,0)),0))</f>
        <v>1</v>
      </c>
      <c r="DR71" s="32" t="n">
        <f aca="false">INDEX(Вводные!$D$13:$F$64,MATCH($A71,Вводные!$A$13:$A$64,0),MATCH(DR$3,Вводные!$D$11:$F$11,0))*(1+IF(DR$4=$A71,Вводные!$D$5*INDEX(Вводные!$G$13:$G$64,MATCH($A71,Вводные!$A$13:$A$64,0)),0))</f>
        <v>1</v>
      </c>
      <c r="DS71" s="32" t="n">
        <f aca="false">INDEX(Вводные!$D$13:$F$64,MATCH($A71,Вводные!$A$13:$A$64,0),MATCH(DS$3,Вводные!$D$11:$F$11,0))*(1+IF(DS$4=$A71,Вводные!$D$5*INDEX(Вводные!$G$13:$G$64,MATCH($A71,Вводные!$A$13:$A$64,0)),0))</f>
        <v>1</v>
      </c>
      <c r="DT71" s="32" t="n">
        <f aca="false">INDEX(Вводные!$D$13:$F$64,MATCH($A71,Вводные!$A$13:$A$64,0),MATCH(DT$3,Вводные!$D$11:$F$11,0))*(1+IF(DT$4=$A71,Вводные!$D$5*INDEX(Вводные!$G$13:$G$64,MATCH($A71,Вводные!$A$13:$A$64,0)),0))</f>
        <v>1</v>
      </c>
      <c r="DU71" s="32" t="n">
        <f aca="false">INDEX(Вводные!$D$13:$F$64,MATCH($A71,Вводные!$A$13:$A$64,0),MATCH(DU$3,Вводные!$D$11:$F$11,0))*(1+IF(DU$4=$A71,Вводные!$D$5*INDEX(Вводные!$G$13:$G$64,MATCH($A71,Вводные!$A$13:$A$64,0)),0))</f>
        <v>1</v>
      </c>
      <c r="DV71" s="32" t="n">
        <f aca="false">INDEX(Вводные!$D$13:$F$64,MATCH($A71,Вводные!$A$13:$A$64,0),MATCH(DV$3,Вводные!$D$11:$F$11,0))*(1+IF(DV$4=$A71,Вводные!$D$5*INDEX(Вводные!$G$13:$G$64,MATCH($A71,Вводные!$A$13:$A$64,0)),0))</f>
        <v>1</v>
      </c>
      <c r="DW71" s="32" t="n">
        <f aca="false">INDEX(Вводные!$D$13:$F$64,MATCH($A71,Вводные!$A$13:$A$64,0),MATCH(DW$3,Вводные!$D$11:$F$11,0))*(1+IF(DW$4=$A71,Вводные!$D$5*INDEX(Вводные!$G$13:$G$64,MATCH($A71,Вводные!$A$13:$A$64,0)),0))</f>
        <v>0.99</v>
      </c>
      <c r="DX71" s="32" t="n">
        <f aca="false">INDEX(Вводные!$D$13:$F$64,MATCH($A71,Вводные!$A$13:$A$64,0),MATCH(DX$3,Вводные!$D$11:$F$11,0))*(1+IF(DX$4=$A71,Вводные!$D$5*INDEX(Вводные!$G$13:$G$64,MATCH($A71,Вводные!$A$13:$A$64,0)),0))</f>
        <v>1</v>
      </c>
      <c r="DY71" s="32" t="n">
        <f aca="false">INDEX(Вводные!$D$13:$F$64,MATCH($A71,Вводные!$A$13:$A$64,0),MATCH(DY$3,Вводные!$D$11:$F$11,0))*(1+IF(DY$4=$A71,Вводные!$D$5*INDEX(Вводные!$G$13:$G$64,MATCH($A71,Вводные!$A$13:$A$64,0)),0))</f>
        <v>1</v>
      </c>
      <c r="DZ71" s="32" t="n">
        <f aca="false">INDEX(Вводные!$D$13:$F$64,MATCH($A71,Вводные!$A$13:$A$64,0),MATCH(DZ$3,Вводные!$D$11:$F$11,0))*(1+IF(DZ$4=$A71,Вводные!$D$5*INDEX(Вводные!$G$13:$G$64,MATCH($A71,Вводные!$A$13:$A$64,0)),0))</f>
        <v>1</v>
      </c>
      <c r="EA71" s="32" t="n">
        <f aca="false">INDEX(Вводные!$D$13:$F$64,MATCH($A71,Вводные!$A$13:$A$64,0),MATCH(EA$3,Вводные!$D$11:$F$11,0))*(1+IF(EA$4=$A71,Вводные!$D$5*INDEX(Вводные!$G$13:$G$64,MATCH($A71,Вводные!$A$13:$A$64,0)),0))</f>
        <v>1</v>
      </c>
      <c r="EB71" s="32" t="n">
        <f aca="false">INDEX(Вводные!$D$13:$F$64,MATCH($A71,Вводные!$A$13:$A$64,0),MATCH(EB$3,Вводные!$D$11:$F$11,0))*(1+IF(EB$4=$A71,Вводные!$D$5*INDEX(Вводные!$G$13:$G$64,MATCH($A71,Вводные!$A$13:$A$64,0)),0))</f>
        <v>1</v>
      </c>
      <c r="EC71" s="32" t="n">
        <f aca="false">INDEX(Вводные!$D$13:$F$64,MATCH($A71,Вводные!$A$13:$A$64,0),MATCH(EC$3,Вводные!$D$11:$F$11,0))*(1+IF(EC$4=$A71,Вводные!$D$5*INDEX(Вводные!$G$13:$G$64,MATCH($A71,Вводные!$A$13:$A$64,0)),0))</f>
        <v>1</v>
      </c>
      <c r="ED71" s="32" t="n">
        <f aca="false">INDEX(Вводные!$D$13:$F$64,MATCH($A71,Вводные!$A$13:$A$64,0),MATCH(ED$3,Вводные!$D$11:$F$11,0))*(1+IF(ED$4=$A71,Вводные!$D$5*INDEX(Вводные!$G$13:$G$64,MATCH($A71,Вводные!$A$13:$A$64,0)),0))</f>
        <v>1</v>
      </c>
      <c r="EE71" s="32" t="n">
        <f aca="false">INDEX(Вводные!$D$13:$F$64,MATCH($A71,Вводные!$A$13:$A$64,0),MATCH(EE$3,Вводные!$D$11:$F$11,0))*(1+IF(EE$4=$A71,Вводные!$D$5*INDEX(Вводные!$G$13:$G$64,MATCH($A71,Вводные!$A$13:$A$64,0)),0))</f>
        <v>1</v>
      </c>
      <c r="EF71" s="32" t="n">
        <f aca="false">INDEX(Вводные!$D$13:$F$64,MATCH($A71,Вводные!$A$13:$A$64,0),MATCH(EF$3,Вводные!$D$11:$F$11,0))*(1+IF(EF$4=$A71,Вводные!$D$5*INDEX(Вводные!$G$13:$G$64,MATCH($A71,Вводные!$A$13:$A$64,0)),0))</f>
        <v>0.3</v>
      </c>
      <c r="EG71" s="32" t="n">
        <f aca="false">INDEX(Вводные!$D$13:$F$64,MATCH($A71,Вводные!$A$13:$A$64,0),MATCH(EG$3,Вводные!$D$11:$F$11,0))*(1+IF(EG$4=$A71,Вводные!$D$5*INDEX(Вводные!$G$13:$G$64,MATCH($A71,Вводные!$A$13:$A$64,0)),0))</f>
        <v>0.3</v>
      </c>
      <c r="EH71" s="32" t="n">
        <f aca="false">INDEX(Вводные!$D$13:$F$64,MATCH($A71,Вводные!$A$13:$A$64,0),MATCH(EH$3,Вводные!$D$11:$F$11,0))*(1+IF(EH$4=$A71,Вводные!$D$5*INDEX(Вводные!$G$13:$G$64,MATCH($A71,Вводные!$A$13:$A$64,0)),0))</f>
        <v>0.3</v>
      </c>
      <c r="EI71" s="32" t="n">
        <f aca="false">INDEX(Вводные!$D$13:$F$64,MATCH($A71,Вводные!$A$13:$A$64,0),MATCH(EI$3,Вводные!$D$11:$F$11,0))*(1+IF(EI$4=$A71,Вводные!$D$5*INDEX(Вводные!$G$13:$G$64,MATCH($A71,Вводные!$A$13:$A$64,0)),0))</f>
        <v>0.3</v>
      </c>
      <c r="EJ71" s="32" t="n">
        <f aca="false">INDEX(Вводные!$D$13:$F$64,MATCH($A71,Вводные!$A$13:$A$64,0),MATCH(EJ$3,Вводные!$D$11:$F$11,0))*(1+IF(EJ$4=$A71,Вводные!$D$5*INDEX(Вводные!$G$13:$G$64,MATCH($A71,Вводные!$A$13:$A$64,0)),0))</f>
        <v>0.3</v>
      </c>
      <c r="EK71" s="32" t="n">
        <f aca="false">INDEX(Вводные!$D$13:$F$64,MATCH($A71,Вводные!$A$13:$A$64,0),MATCH(EK$3,Вводные!$D$11:$F$11,0))*(1+IF(EK$4=$A71,Вводные!$D$5*INDEX(Вводные!$G$13:$G$64,MATCH($A71,Вводные!$A$13:$A$64,0)),0))</f>
        <v>0.3</v>
      </c>
      <c r="EL71" s="32" t="n">
        <f aca="false">INDEX(Вводные!$D$13:$F$64,MATCH($A71,Вводные!$A$13:$A$64,0),MATCH(EL$3,Вводные!$D$11:$F$11,0))*(1+IF(EL$4=$A71,Вводные!$D$5*INDEX(Вводные!$G$13:$G$64,MATCH($A71,Вводные!$A$13:$A$64,0)),0))</f>
        <v>0.3</v>
      </c>
      <c r="EM71" s="32" t="n">
        <f aca="false">INDEX(Вводные!$D$13:$F$64,MATCH($A71,Вводные!$A$13:$A$64,0),MATCH(EM$3,Вводные!$D$11:$F$11,0))*(1+IF(EM$4=$A71,Вводные!$D$5*INDEX(Вводные!$G$13:$G$64,MATCH($A71,Вводные!$A$13:$A$64,0)),0))</f>
        <v>0.3</v>
      </c>
      <c r="EN71" s="32" t="n">
        <f aca="false">INDEX(Вводные!$D$13:$F$64,MATCH($A71,Вводные!$A$13:$A$64,0),MATCH(EN$3,Вводные!$D$11:$F$11,0))*(1+IF(EN$4=$A71,Вводные!$D$5*INDEX(Вводные!$G$13:$G$64,MATCH($A71,Вводные!$A$13:$A$64,0)),0))</f>
        <v>0.3</v>
      </c>
      <c r="EO71" s="32" t="n">
        <f aca="false">INDEX(Вводные!$D$13:$F$64,MATCH($A71,Вводные!$A$13:$A$64,0),MATCH(EO$3,Вводные!$D$11:$F$11,0))*(1+IF(EO$4=$A71,Вводные!$D$5*INDEX(Вводные!$G$13:$G$64,MATCH($A71,Вводные!$A$13:$A$64,0)),0))</f>
        <v>0.3</v>
      </c>
      <c r="EP71" s="32" t="n">
        <f aca="false">INDEX(Вводные!$D$13:$F$64,MATCH($A71,Вводные!$A$13:$A$64,0),MATCH(EP$3,Вводные!$D$11:$F$11,0))*(1+IF(EP$4=$A71,Вводные!$D$5*INDEX(Вводные!$G$13:$G$64,MATCH($A71,Вводные!$A$13:$A$64,0)),0))</f>
        <v>0.3</v>
      </c>
      <c r="EQ71" s="32" t="n">
        <f aca="false">INDEX(Вводные!$D$13:$F$64,MATCH($A71,Вводные!$A$13:$A$64,0),MATCH(EQ$3,Вводные!$D$11:$F$11,0))*(1+IF(EQ$4=$A71,Вводные!$D$5*INDEX(Вводные!$G$13:$G$64,MATCH($A71,Вводные!$A$13:$A$64,0)),0))</f>
        <v>0.3</v>
      </c>
      <c r="ER71" s="32" t="n">
        <f aca="false">INDEX(Вводные!$D$13:$F$64,MATCH($A71,Вводные!$A$13:$A$64,0),MATCH(ER$3,Вводные!$D$11:$F$11,0))*(1+IF(ER$4=$A71,Вводные!$D$5*INDEX(Вводные!$G$13:$G$64,MATCH($A71,Вводные!$A$13:$A$64,0)),0))</f>
        <v>0.3</v>
      </c>
      <c r="ES71" s="32" t="n">
        <f aca="false">INDEX(Вводные!$D$13:$F$64,MATCH($A71,Вводные!$A$13:$A$64,0),MATCH(ES$3,Вводные!$D$11:$F$11,0))*(1+IF(ES$4=$A71,Вводные!$D$5*INDEX(Вводные!$G$13:$G$64,MATCH($A71,Вводные!$A$13:$A$64,0)),0))</f>
        <v>0.3</v>
      </c>
      <c r="ET71" s="32" t="n">
        <f aca="false">INDEX(Вводные!$D$13:$F$64,MATCH($A71,Вводные!$A$13:$A$64,0),MATCH(ET$3,Вводные!$D$11:$F$11,0))*(1+IF(ET$4=$A71,Вводные!$D$5*INDEX(Вводные!$G$13:$G$64,MATCH($A71,Вводные!$A$13:$A$64,0)),0))</f>
        <v>0.3</v>
      </c>
      <c r="EU71" s="32" t="n">
        <f aca="false">INDEX(Вводные!$D$13:$F$64,MATCH($A71,Вводные!$A$13:$A$64,0),MATCH(EU$3,Вводные!$D$11:$F$11,0))*(1+IF(EU$4=$A71,Вводные!$D$5*INDEX(Вводные!$G$13:$G$64,MATCH($A71,Вводные!$A$13:$A$64,0)),0))</f>
        <v>0.3</v>
      </c>
      <c r="EV71" s="32" t="n">
        <f aca="false">INDEX(Вводные!$D$13:$F$64,MATCH($A71,Вводные!$A$13:$A$64,0),MATCH(EV$3,Вводные!$D$11:$F$11,0))*(1+IF(EV$4=$A71,Вводные!$D$5*INDEX(Вводные!$G$13:$G$64,MATCH($A71,Вводные!$A$13:$A$64,0)),0))</f>
        <v>0.3</v>
      </c>
      <c r="EW71" s="32" t="n">
        <f aca="false">INDEX(Вводные!$D$13:$F$64,MATCH($A71,Вводные!$A$13:$A$64,0),MATCH(EW$3,Вводные!$D$11:$F$11,0))*(1+IF(EW$4=$A71,Вводные!$D$5*INDEX(Вводные!$G$13:$G$64,MATCH($A71,Вводные!$A$13:$A$64,0)),0))</f>
        <v>0.3</v>
      </c>
      <c r="EX71" s="32" t="n">
        <f aca="false">INDEX(Вводные!$D$13:$F$64,MATCH($A71,Вводные!$A$13:$A$64,0),MATCH(EX$3,Вводные!$D$11:$F$11,0))*(1+IF(EX$4=$A71,Вводные!$D$5*INDEX(Вводные!$G$13:$G$64,MATCH($A71,Вводные!$A$13:$A$64,0)),0))</f>
        <v>0.3</v>
      </c>
      <c r="EY71" s="32" t="n">
        <f aca="false">INDEX(Вводные!$D$13:$F$64,MATCH($A71,Вводные!$A$13:$A$64,0),MATCH(EY$3,Вводные!$D$11:$F$11,0))*(1+IF(EY$4=$A71,Вводные!$D$5*INDEX(Вводные!$G$13:$G$64,MATCH($A71,Вводные!$A$13:$A$64,0)),0))</f>
        <v>0.3</v>
      </c>
      <c r="EZ71" s="32" t="n">
        <f aca="false">INDEX(Вводные!$D$13:$F$64,MATCH($A71,Вводные!$A$13:$A$64,0),MATCH(EZ$3,Вводные!$D$11:$F$11,0))*(1+IF(EZ$4=$A71,Вводные!$D$5*INDEX(Вводные!$G$13:$G$64,MATCH($A71,Вводные!$A$13:$A$64,0)),0))</f>
        <v>0.3</v>
      </c>
      <c r="FA71" s="32" t="n">
        <f aca="false">INDEX(Вводные!$D$13:$F$64,MATCH($A71,Вводные!$A$13:$A$64,0),MATCH(FA$3,Вводные!$D$11:$F$11,0))*(1+IF(FA$4=$A71,Вводные!$D$5*INDEX(Вводные!$G$13:$G$64,MATCH($A71,Вводные!$A$13:$A$64,0)),0))</f>
        <v>0.3</v>
      </c>
      <c r="FB71" s="32" t="n">
        <f aca="false">INDEX(Вводные!$D$13:$F$64,MATCH($A71,Вводные!$A$13:$A$64,0),MATCH(FB$3,Вводные!$D$11:$F$11,0))*(1+IF(FB$4=$A71,Вводные!$D$5*INDEX(Вводные!$G$13:$G$64,MATCH($A71,Вводные!$A$13:$A$64,0)),0))</f>
        <v>0.3</v>
      </c>
      <c r="FC71" s="32" t="n">
        <f aca="false">INDEX(Вводные!$D$13:$F$64,MATCH($A71,Вводные!$A$13:$A$64,0),MATCH(FC$3,Вводные!$D$11:$F$11,0))*(1+IF(FC$4=$A71,Вводные!$D$5*INDEX(Вводные!$G$13:$G$64,MATCH($A71,Вводные!$A$13:$A$64,0)),0))</f>
        <v>0.3</v>
      </c>
      <c r="FD71" s="32" t="n">
        <f aca="false">INDEX(Вводные!$D$13:$F$64,MATCH($A71,Вводные!$A$13:$A$64,0),MATCH(FD$3,Вводные!$D$11:$F$11,0))*(1+IF(FD$4=$A71,Вводные!$D$5*INDEX(Вводные!$G$13:$G$64,MATCH($A71,Вводные!$A$13:$A$64,0)),0))</f>
        <v>0.3</v>
      </c>
      <c r="FE71" s="32" t="n">
        <f aca="false">INDEX(Вводные!$D$13:$F$64,MATCH($A71,Вводные!$A$13:$A$64,0),MATCH(FE$3,Вводные!$D$11:$F$11,0))*(1+IF(FE$4=$A71,Вводные!$D$5*INDEX(Вводные!$G$13:$G$64,MATCH($A71,Вводные!$A$13:$A$64,0)),0))</f>
        <v>0.3</v>
      </c>
      <c r="FF71" s="32" t="n">
        <f aca="false">INDEX(Вводные!$D$13:$F$64,MATCH($A71,Вводные!$A$13:$A$64,0),MATCH(FF$3,Вводные!$D$11:$F$11,0))*(1+IF(FF$4=$A71,Вводные!$D$5*INDEX(Вводные!$G$13:$G$64,MATCH($A71,Вводные!$A$13:$A$64,0)),0))</f>
        <v>0.3</v>
      </c>
      <c r="FG71" s="32" t="n">
        <f aca="false">INDEX(Вводные!$D$13:$F$64,MATCH($A71,Вводные!$A$13:$A$64,0),MATCH(FG$3,Вводные!$D$11:$F$11,0))*(1+IF(FG$4=$A71,Вводные!$D$5*INDEX(Вводные!$G$13:$G$64,MATCH($A71,Вводные!$A$13:$A$64,0)),0))</f>
        <v>0.3</v>
      </c>
      <c r="FH71" s="32" t="n">
        <f aca="false">INDEX(Вводные!$D$13:$F$64,MATCH($A71,Вводные!$A$13:$A$64,0),MATCH(FH$3,Вводные!$D$11:$F$11,0))*(1+IF(FH$4=$A71,Вводные!$D$5*INDEX(Вводные!$G$13:$G$64,MATCH($A71,Вводные!$A$13:$A$64,0)),0))</f>
        <v>0.3</v>
      </c>
      <c r="FI71" s="32" t="n">
        <f aca="false">INDEX(Вводные!$D$13:$F$64,MATCH($A71,Вводные!$A$13:$A$64,0),MATCH(FI$3,Вводные!$D$11:$F$11,0))*(1+IF(FI$4=$A71,Вводные!$D$5*INDEX(Вводные!$G$13:$G$64,MATCH($A71,Вводные!$A$13:$A$64,0)),0))</f>
        <v>0.3</v>
      </c>
      <c r="FJ71" s="32" t="n">
        <f aca="false">INDEX(Вводные!$D$13:$F$64,MATCH($A71,Вводные!$A$13:$A$64,0),MATCH(FJ$3,Вводные!$D$11:$F$11,0))*(1+IF(FJ$4=$A71,Вводные!$D$5*INDEX(Вводные!$G$13:$G$64,MATCH($A71,Вводные!$A$13:$A$64,0)),0))</f>
        <v>0.3</v>
      </c>
      <c r="FK71" s="32" t="n">
        <f aca="false">INDEX(Вводные!$D$13:$F$64,MATCH($A71,Вводные!$A$13:$A$64,0),MATCH(FK$3,Вводные!$D$11:$F$11,0))*(1+IF(FK$4=$A71,Вводные!$D$5*INDEX(Вводные!$G$13:$G$64,MATCH($A71,Вводные!$A$13:$A$64,0)),0))</f>
        <v>0.3</v>
      </c>
      <c r="FL71" s="32" t="n">
        <f aca="false">INDEX(Вводные!$D$13:$F$64,MATCH($A71,Вводные!$A$13:$A$64,0),MATCH(FL$3,Вводные!$D$11:$F$11,0))*(1+IF(FL$4=$A71,Вводные!$D$5*INDEX(Вводные!$G$13:$G$64,MATCH($A71,Вводные!$A$13:$A$64,0)),0))</f>
        <v>0.3</v>
      </c>
      <c r="FM71" s="32" t="n">
        <f aca="false">INDEX(Вводные!$D$13:$F$64,MATCH($A71,Вводные!$A$13:$A$64,0),MATCH(FM$3,Вводные!$D$11:$F$11,0))*(1+IF(FM$4=$A71,Вводные!$D$5*INDEX(Вводные!$G$13:$G$64,MATCH($A71,Вводные!$A$13:$A$64,0)),0))</f>
        <v>0.297</v>
      </c>
      <c r="FN71" s="32" t="n">
        <f aca="false">INDEX(Вводные!$D$13:$F$64,MATCH($A71,Вводные!$A$13:$A$64,0),MATCH(FN$3,Вводные!$D$11:$F$11,0))*(1+IF(FN$4=$A71,Вводные!$D$5*INDEX(Вводные!$G$13:$G$64,MATCH($A71,Вводные!$A$13:$A$64,0)),0))</f>
        <v>0.3</v>
      </c>
      <c r="FO71" s="32" t="n">
        <f aca="false">INDEX(Вводные!$D$13:$F$64,MATCH($A71,Вводные!$A$13:$A$64,0),MATCH(FO$3,Вводные!$D$11:$F$11,0))*(1+IF(FO$4=$A71,Вводные!$D$5*INDEX(Вводные!$G$13:$G$64,MATCH($A71,Вводные!$A$13:$A$64,0)),0))</f>
        <v>0.3</v>
      </c>
      <c r="FP71" s="32" t="n">
        <f aca="false">INDEX(Вводные!$D$13:$F$64,MATCH($A71,Вводные!$A$13:$A$64,0),MATCH(FP$3,Вводные!$D$11:$F$11,0))*(1+IF(FP$4=$A71,Вводные!$D$5*INDEX(Вводные!$G$13:$G$64,MATCH($A71,Вводные!$A$13:$A$64,0)),0))</f>
        <v>0.3</v>
      </c>
      <c r="FQ71" s="32" t="n">
        <f aca="false">INDEX(Вводные!$D$13:$F$64,MATCH($A71,Вводные!$A$13:$A$64,0),MATCH(FQ$3,Вводные!$D$11:$F$11,0))*(1+IF(FQ$4=$A71,Вводные!$D$5*INDEX(Вводные!$G$13:$G$64,MATCH($A71,Вводные!$A$13:$A$64,0)),0))</f>
        <v>0.3</v>
      </c>
      <c r="FR71" s="32" t="n">
        <f aca="false">INDEX(Вводные!$D$13:$F$64,MATCH($A71,Вводные!$A$13:$A$64,0),MATCH(FR$3,Вводные!$D$11:$F$11,0))*(1+IF(FR$4=$A71,Вводные!$D$5*INDEX(Вводные!$G$13:$G$64,MATCH($A71,Вводные!$A$13:$A$64,0)),0))</f>
        <v>0.3</v>
      </c>
      <c r="FS71" s="32" t="n">
        <f aca="false">INDEX(Вводные!$D$13:$F$64,MATCH($A71,Вводные!$A$13:$A$64,0),MATCH(FS$3,Вводные!$D$11:$F$11,0))*(1+IF(FS$4=$A71,Вводные!$D$5*INDEX(Вводные!$G$13:$G$64,MATCH($A71,Вводные!$A$13:$A$64,0)),0))</f>
        <v>0.3</v>
      </c>
      <c r="FT71" s="32" t="n">
        <f aca="false">INDEX(Вводные!$D$13:$F$64,MATCH($A71,Вводные!$A$13:$A$64,0),MATCH(FT$3,Вводные!$D$11:$F$11,0))*(1+IF(FT$4=$A71,Вводные!$D$5*INDEX(Вводные!$G$13:$G$64,MATCH($A71,Вводные!$A$13:$A$64,0)),0))</f>
        <v>0.3</v>
      </c>
      <c r="FU71" s="32" t="n">
        <f aca="false">INDEX(Вводные!$D$13:$F$64,MATCH($A71,Вводные!$A$13:$A$64,0),MATCH(FU$3,Вводные!$D$11:$F$11,0))*(1+IF(FU$4=$A71,Вводные!$D$5*INDEX(Вводные!$G$13:$G$64,MATCH($A71,Вводные!$A$13:$A$64,0)),0))</f>
        <v>0.3</v>
      </c>
      <c r="FV71" s="32" t="n">
        <f aca="false">INDEX(Вводные!$D$13:$F$64,MATCH($A71,Вводные!$A$13:$A$64,0),MATCH(FV$3,Вводные!$D$11:$F$11,0))*(1+IF(FV$4=$A71,Вводные!$D$5*INDEX(Вводные!$G$13:$G$64,MATCH($A71,Вводные!$A$13:$A$64,0)),0))</f>
        <v>0.6</v>
      </c>
      <c r="FW71" s="32" t="n">
        <f aca="false">INDEX(Вводные!$D$13:$F$64,MATCH($A71,Вводные!$A$13:$A$64,0),MATCH(FW$3,Вводные!$D$11:$F$11,0))*(1+IF(FW$4=$A71,Вводные!$D$5*INDEX(Вводные!$G$13:$G$64,MATCH($A71,Вводные!$A$13:$A$64,0)),0))</f>
        <v>0.6</v>
      </c>
      <c r="FX71" s="32" t="n">
        <f aca="false">INDEX(Вводные!$D$13:$F$64,MATCH($A71,Вводные!$A$13:$A$64,0),MATCH(FX$3,Вводные!$D$11:$F$11,0))*(1+IF(FX$4=$A71,Вводные!$D$5*INDEX(Вводные!$G$13:$G$64,MATCH($A71,Вводные!$A$13:$A$64,0)),0))</f>
        <v>0.6</v>
      </c>
      <c r="FY71" s="32" t="n">
        <f aca="false">INDEX(Вводные!$D$13:$F$64,MATCH($A71,Вводные!$A$13:$A$64,0),MATCH(FY$3,Вводные!$D$11:$F$11,0))*(1+IF(FY$4=$A71,Вводные!$D$5*INDEX(Вводные!$G$13:$G$64,MATCH($A71,Вводные!$A$13:$A$64,0)),0))</f>
        <v>0.6</v>
      </c>
      <c r="FZ71" s="32" t="n">
        <f aca="false">INDEX(Вводные!$D$13:$F$64,MATCH($A71,Вводные!$A$13:$A$64,0),MATCH(FZ$3,Вводные!$D$11:$F$11,0))*(1+IF(FZ$4=$A71,Вводные!$D$5*INDEX(Вводные!$G$13:$G$64,MATCH($A71,Вводные!$A$13:$A$64,0)),0))</f>
        <v>0.6</v>
      </c>
      <c r="GA71" s="32" t="n">
        <f aca="false">INDEX(Вводные!$D$13:$F$64,MATCH($A71,Вводные!$A$13:$A$64,0),MATCH(GA$3,Вводные!$D$11:$F$11,0))*(1+IF(GA$4=$A71,Вводные!$D$5*INDEX(Вводные!$G$13:$G$64,MATCH($A71,Вводные!$A$13:$A$64,0)),0))</f>
        <v>0.6</v>
      </c>
      <c r="GB71" s="32" t="n">
        <f aca="false">INDEX(Вводные!$D$13:$F$64,MATCH($A71,Вводные!$A$13:$A$64,0),MATCH(GB$3,Вводные!$D$11:$F$11,0))*(1+IF(GB$4=$A71,Вводные!$D$5*INDEX(Вводные!$G$13:$G$64,MATCH($A71,Вводные!$A$13:$A$64,0)),0))</f>
        <v>0.6</v>
      </c>
      <c r="GC71" s="32" t="n">
        <f aca="false">INDEX(Вводные!$D$13:$F$64,MATCH($A71,Вводные!$A$13:$A$64,0),MATCH(GC$3,Вводные!$D$11:$F$11,0))*(1+IF(GC$4=$A71,Вводные!$D$5*INDEX(Вводные!$G$13:$G$64,MATCH($A71,Вводные!$A$13:$A$64,0)),0))</f>
        <v>0.6</v>
      </c>
      <c r="GD71" s="32" t="n">
        <f aca="false">INDEX(Вводные!$D$13:$F$64,MATCH($A71,Вводные!$A$13:$A$64,0),MATCH(GD$3,Вводные!$D$11:$F$11,0))*(1+IF(GD$4=$A71,Вводные!$D$5*INDEX(Вводные!$G$13:$G$64,MATCH($A71,Вводные!$A$13:$A$64,0)),0))</f>
        <v>0.6</v>
      </c>
      <c r="GE71" s="32" t="n">
        <f aca="false">INDEX(Вводные!$D$13:$F$64,MATCH($A71,Вводные!$A$13:$A$64,0),MATCH(GE$3,Вводные!$D$11:$F$11,0))*(1+IF(GE$4=$A71,Вводные!$D$5*INDEX(Вводные!$G$13:$G$64,MATCH($A71,Вводные!$A$13:$A$64,0)),0))</f>
        <v>0.6</v>
      </c>
      <c r="GF71" s="32" t="n">
        <f aca="false">INDEX(Вводные!$D$13:$F$64,MATCH($A71,Вводные!$A$13:$A$64,0),MATCH(GF$3,Вводные!$D$11:$F$11,0))*(1+IF(GF$4=$A71,Вводные!$D$5*INDEX(Вводные!$G$13:$G$64,MATCH($A71,Вводные!$A$13:$A$64,0)),0))</f>
        <v>0.6</v>
      </c>
      <c r="GG71" s="32" t="n">
        <f aca="false">INDEX(Вводные!$D$13:$F$64,MATCH($A71,Вводные!$A$13:$A$64,0),MATCH(GG$3,Вводные!$D$11:$F$11,0))*(1+IF(GG$4=$A71,Вводные!$D$5*INDEX(Вводные!$G$13:$G$64,MATCH($A71,Вводные!$A$13:$A$64,0)),0))</f>
        <v>0.6</v>
      </c>
      <c r="GH71" s="32" t="n">
        <f aca="false">INDEX(Вводные!$D$13:$F$64,MATCH($A71,Вводные!$A$13:$A$64,0),MATCH(GH$3,Вводные!$D$11:$F$11,0))*(1+IF(GH$4=$A71,Вводные!$D$5*INDEX(Вводные!$G$13:$G$64,MATCH($A71,Вводные!$A$13:$A$64,0)),0))</f>
        <v>0.6</v>
      </c>
      <c r="GI71" s="32" t="n">
        <f aca="false">INDEX(Вводные!$D$13:$F$64,MATCH($A71,Вводные!$A$13:$A$64,0),MATCH(GI$3,Вводные!$D$11:$F$11,0))*(1+IF(GI$4=$A71,Вводные!$D$5*INDEX(Вводные!$G$13:$G$64,MATCH($A71,Вводные!$A$13:$A$64,0)),0))</f>
        <v>0.6</v>
      </c>
      <c r="GJ71" s="32" t="n">
        <f aca="false">INDEX(Вводные!$D$13:$F$64,MATCH($A71,Вводные!$A$13:$A$64,0),MATCH(GJ$3,Вводные!$D$11:$F$11,0))*(1+IF(GJ$4=$A71,Вводные!$D$5*INDEX(Вводные!$G$13:$G$64,MATCH($A71,Вводные!$A$13:$A$64,0)),0))</f>
        <v>0.6</v>
      </c>
      <c r="GK71" s="32" t="n">
        <f aca="false">INDEX(Вводные!$D$13:$F$64,MATCH($A71,Вводные!$A$13:$A$64,0),MATCH(GK$3,Вводные!$D$11:$F$11,0))*(1+IF(GK$4=$A71,Вводные!$D$5*INDEX(Вводные!$G$13:$G$64,MATCH($A71,Вводные!$A$13:$A$64,0)),0))</f>
        <v>0.6</v>
      </c>
      <c r="GL71" s="32" t="n">
        <f aca="false">INDEX(Вводные!$D$13:$F$64,MATCH($A71,Вводные!$A$13:$A$64,0),MATCH(GL$3,Вводные!$D$11:$F$11,0))*(1+IF(GL$4=$A71,Вводные!$D$5*INDEX(Вводные!$G$13:$G$64,MATCH($A71,Вводные!$A$13:$A$64,0)),0))</f>
        <v>0.6</v>
      </c>
      <c r="GM71" s="32" t="n">
        <f aca="false">INDEX(Вводные!$D$13:$F$64,MATCH($A71,Вводные!$A$13:$A$64,0),MATCH(GM$3,Вводные!$D$11:$F$11,0))*(1+IF(GM$4=$A71,Вводные!$D$5*INDEX(Вводные!$G$13:$G$64,MATCH($A71,Вводные!$A$13:$A$64,0)),0))</f>
        <v>0.6</v>
      </c>
      <c r="GN71" s="32" t="n">
        <f aca="false">INDEX(Вводные!$D$13:$F$64,MATCH($A71,Вводные!$A$13:$A$64,0),MATCH(GN$3,Вводные!$D$11:$F$11,0))*(1+IF(GN$4=$A71,Вводные!$D$5*INDEX(Вводные!$G$13:$G$64,MATCH($A71,Вводные!$A$13:$A$64,0)),0))</f>
        <v>0.6</v>
      </c>
      <c r="GO71" s="32" t="n">
        <f aca="false">INDEX(Вводные!$D$13:$F$64,MATCH($A71,Вводные!$A$13:$A$64,0),MATCH(GO$3,Вводные!$D$11:$F$11,0))*(1+IF(GO$4=$A71,Вводные!$D$5*INDEX(Вводные!$G$13:$G$64,MATCH($A71,Вводные!$A$13:$A$64,0)),0))</f>
        <v>0.6</v>
      </c>
      <c r="GP71" s="32" t="n">
        <f aca="false">INDEX(Вводные!$D$13:$F$64,MATCH($A71,Вводные!$A$13:$A$64,0),MATCH(GP$3,Вводные!$D$11:$F$11,0))*(1+IF(GP$4=$A71,Вводные!$D$5*INDEX(Вводные!$G$13:$G$64,MATCH($A71,Вводные!$A$13:$A$64,0)),0))</f>
        <v>0.6</v>
      </c>
      <c r="GQ71" s="32" t="n">
        <f aca="false">INDEX(Вводные!$D$13:$F$64,MATCH($A71,Вводные!$A$13:$A$64,0),MATCH(GQ$3,Вводные!$D$11:$F$11,0))*(1+IF(GQ$4=$A71,Вводные!$D$5*INDEX(Вводные!$G$13:$G$64,MATCH($A71,Вводные!$A$13:$A$64,0)),0))</f>
        <v>0.6</v>
      </c>
      <c r="GR71" s="32" t="n">
        <f aca="false">INDEX(Вводные!$D$13:$F$64,MATCH($A71,Вводные!$A$13:$A$64,0),MATCH(GR$3,Вводные!$D$11:$F$11,0))*(1+IF(GR$4=$A71,Вводные!$D$5*INDEX(Вводные!$G$13:$G$64,MATCH($A71,Вводные!$A$13:$A$64,0)),0))</f>
        <v>0.6</v>
      </c>
      <c r="GS71" s="32" t="n">
        <f aca="false">INDEX(Вводные!$D$13:$F$64,MATCH($A71,Вводные!$A$13:$A$64,0),MATCH(GS$3,Вводные!$D$11:$F$11,0))*(1+IF(GS$4=$A71,Вводные!$D$5*INDEX(Вводные!$G$13:$G$64,MATCH($A71,Вводные!$A$13:$A$64,0)),0))</f>
        <v>0.6</v>
      </c>
      <c r="GT71" s="32" t="n">
        <f aca="false">INDEX(Вводные!$D$13:$F$64,MATCH($A71,Вводные!$A$13:$A$64,0),MATCH(GT$3,Вводные!$D$11:$F$11,0))*(1+IF(GT$4=$A71,Вводные!$D$5*INDEX(Вводные!$G$13:$G$64,MATCH($A71,Вводные!$A$13:$A$64,0)),0))</f>
        <v>0.6</v>
      </c>
      <c r="GU71" s="32" t="n">
        <f aca="false">INDEX(Вводные!$D$13:$F$64,MATCH($A71,Вводные!$A$13:$A$64,0),MATCH(GU$3,Вводные!$D$11:$F$11,0))*(1+IF(GU$4=$A71,Вводные!$D$5*INDEX(Вводные!$G$13:$G$64,MATCH($A71,Вводные!$A$13:$A$64,0)),0))</f>
        <v>0.6</v>
      </c>
      <c r="GV71" s="32" t="n">
        <f aca="false">INDEX(Вводные!$D$13:$F$64,MATCH($A71,Вводные!$A$13:$A$64,0),MATCH(GV$3,Вводные!$D$11:$F$11,0))*(1+IF(GV$4=$A71,Вводные!$D$5*INDEX(Вводные!$G$13:$G$64,MATCH($A71,Вводные!$A$13:$A$64,0)),0))</f>
        <v>0.6</v>
      </c>
      <c r="GW71" s="32" t="n">
        <f aca="false">INDEX(Вводные!$D$13:$F$64,MATCH($A71,Вводные!$A$13:$A$64,0),MATCH(GW$3,Вводные!$D$11:$F$11,0))*(1+IF(GW$4=$A71,Вводные!$D$5*INDEX(Вводные!$G$13:$G$64,MATCH($A71,Вводные!$A$13:$A$64,0)),0))</f>
        <v>0.6</v>
      </c>
      <c r="GX71" s="32" t="n">
        <f aca="false">INDEX(Вводные!$D$13:$F$64,MATCH($A71,Вводные!$A$13:$A$64,0),MATCH(GX$3,Вводные!$D$11:$F$11,0))*(1+IF(GX$4=$A71,Вводные!$D$5*INDEX(Вводные!$G$13:$G$64,MATCH($A71,Вводные!$A$13:$A$64,0)),0))</f>
        <v>0.6</v>
      </c>
      <c r="GY71" s="32" t="n">
        <f aca="false">INDEX(Вводные!$D$13:$F$64,MATCH($A71,Вводные!$A$13:$A$64,0),MATCH(GY$3,Вводные!$D$11:$F$11,0))*(1+IF(GY$4=$A71,Вводные!$D$5*INDEX(Вводные!$G$13:$G$64,MATCH($A71,Вводные!$A$13:$A$64,0)),0))</f>
        <v>0.6</v>
      </c>
      <c r="GZ71" s="32" t="n">
        <f aca="false">INDEX(Вводные!$D$13:$F$64,MATCH($A71,Вводные!$A$13:$A$64,0),MATCH(GZ$3,Вводные!$D$11:$F$11,0))*(1+IF(GZ$4=$A71,Вводные!$D$5*INDEX(Вводные!$G$13:$G$64,MATCH($A71,Вводные!$A$13:$A$64,0)),0))</f>
        <v>0.6</v>
      </c>
      <c r="HA71" s="32" t="n">
        <f aca="false">INDEX(Вводные!$D$13:$F$64,MATCH($A71,Вводные!$A$13:$A$64,0),MATCH(HA$3,Вводные!$D$11:$F$11,0))*(1+IF(HA$4=$A71,Вводные!$D$5*INDEX(Вводные!$G$13:$G$64,MATCH($A71,Вводные!$A$13:$A$64,0)),0))</f>
        <v>0.6</v>
      </c>
      <c r="HB71" s="32" t="n">
        <f aca="false">INDEX(Вводные!$D$13:$F$64,MATCH($A71,Вводные!$A$13:$A$64,0),MATCH(HB$3,Вводные!$D$11:$F$11,0))*(1+IF(HB$4=$A71,Вводные!$D$5*INDEX(Вводные!$G$13:$G$64,MATCH($A71,Вводные!$A$13:$A$64,0)),0))</f>
        <v>0.6</v>
      </c>
      <c r="HC71" s="32" t="n">
        <f aca="false">INDEX(Вводные!$D$13:$F$64,MATCH($A71,Вводные!$A$13:$A$64,0),MATCH(HC$3,Вводные!$D$11:$F$11,0))*(1+IF(HC$4=$A71,Вводные!$D$5*INDEX(Вводные!$G$13:$G$64,MATCH($A71,Вводные!$A$13:$A$64,0)),0))</f>
        <v>0.594</v>
      </c>
      <c r="HD71" s="32" t="n">
        <f aca="false">INDEX(Вводные!$D$13:$F$64,MATCH($A71,Вводные!$A$13:$A$64,0),MATCH(HD$3,Вводные!$D$11:$F$11,0))*(1+IF(HD$4=$A71,Вводные!$D$5*INDEX(Вводные!$G$13:$G$64,MATCH($A71,Вводные!$A$13:$A$64,0)),0))</f>
        <v>0.6</v>
      </c>
      <c r="HE71" s="32" t="n">
        <f aca="false">INDEX(Вводные!$D$13:$F$64,MATCH($A71,Вводные!$A$13:$A$64,0),MATCH(HE$3,Вводные!$D$11:$F$11,0))*(1+IF(HE$4=$A71,Вводные!$D$5*INDEX(Вводные!$G$13:$G$64,MATCH($A71,Вводные!$A$13:$A$64,0)),0))</f>
        <v>0.6</v>
      </c>
      <c r="HF71" s="32" t="n">
        <f aca="false">INDEX(Вводные!$D$13:$F$64,MATCH($A71,Вводные!$A$13:$A$64,0),MATCH(HF$3,Вводные!$D$11:$F$11,0))*(1+IF(HF$4=$A71,Вводные!$D$5*INDEX(Вводные!$G$13:$G$64,MATCH($A71,Вводные!$A$13:$A$64,0)),0))</f>
        <v>0.6</v>
      </c>
      <c r="HG71" s="32" t="n">
        <f aca="false">INDEX(Вводные!$D$13:$F$64,MATCH($A71,Вводные!$A$13:$A$64,0),MATCH(HG$3,Вводные!$D$11:$F$11,0))*(1+IF(HG$4=$A71,Вводные!$D$5*INDEX(Вводные!$G$13:$G$64,MATCH($A71,Вводные!$A$13:$A$64,0)),0))</f>
        <v>0.6</v>
      </c>
      <c r="HH71" s="32" t="n">
        <f aca="false">INDEX(Вводные!$D$13:$F$64,MATCH($A71,Вводные!$A$13:$A$64,0),MATCH(HH$3,Вводные!$D$11:$F$11,0))*(1+IF(HH$4=$A71,Вводные!$D$5*INDEX(Вводные!$G$13:$G$64,MATCH($A71,Вводные!$A$13:$A$64,0)),0))</f>
        <v>0.6</v>
      </c>
      <c r="HI71" s="32" t="n">
        <f aca="false">INDEX(Вводные!$D$13:$F$64,MATCH($A71,Вводные!$A$13:$A$64,0),MATCH(HI$3,Вводные!$D$11:$F$11,0))*(1+IF(HI$4=$A71,Вводные!$D$5*INDEX(Вводные!$G$13:$G$64,MATCH($A71,Вводные!$A$13:$A$64,0)),0))</f>
        <v>0.6</v>
      </c>
      <c r="HJ71" s="32" t="n">
        <f aca="false">INDEX(Вводные!$D$13:$F$64,MATCH($A71,Вводные!$A$13:$A$64,0),MATCH(HJ$3,Вводные!$D$11:$F$11,0))*(1+IF(HJ$4=$A71,Вводные!$D$5*INDEX(Вводные!$G$13:$G$64,MATCH($A71,Вводные!$A$13:$A$64,0)),0))</f>
        <v>0.6</v>
      </c>
      <c r="HK71" s="32" t="n">
        <f aca="false">INDEX(Вводные!$D$13:$F$64,MATCH($A71,Вводные!$A$13:$A$64,0),MATCH(HK$3,Вводные!$D$11:$F$11,0))*(1+IF(HK$4=$A71,Вводные!$D$5*INDEX(Вводные!$G$13:$G$64,MATCH($A71,Вводные!$A$13:$A$64,0)),0))</f>
        <v>0.6</v>
      </c>
      <c r="HL71" s="32" t="n">
        <f aca="false">INDEX(Вводные!$D$13:$F$64,MATCH($A71,Вводные!$A$13:$A$64,0),MATCH(HL$3,Вводные!$D$11:$F$11,0))*(1+IF(HL$4=$A71,Вводные!$D$5*INDEX(Вводные!$G$13:$G$64,MATCH($A71,Вводные!$A$13:$A$64,0)),0))</f>
        <v>1</v>
      </c>
      <c r="HM71" s="32" t="n">
        <f aca="false">INDEX(Вводные!$D$13:$F$64,MATCH($A71,Вводные!$A$13:$A$64,0),MATCH(HM$3,Вводные!$D$11:$F$11,0))*(1+IF(HM$4=$A71,Вводные!$D$5*INDEX(Вводные!$G$13:$G$64,MATCH($A71,Вводные!$A$13:$A$64,0)),0))</f>
        <v>1</v>
      </c>
      <c r="HN71" s="32" t="n">
        <f aca="false">INDEX(Вводные!$D$13:$F$64,MATCH($A71,Вводные!$A$13:$A$64,0),MATCH(HN$3,Вводные!$D$11:$F$11,0))*(1+IF(HN$4=$A71,Вводные!$D$5*INDEX(Вводные!$G$13:$G$64,MATCH($A71,Вводные!$A$13:$A$64,0)),0))</f>
        <v>1</v>
      </c>
      <c r="HO71" s="32" t="n">
        <f aca="false">INDEX(Вводные!$D$13:$F$64,MATCH($A71,Вводные!$A$13:$A$64,0),MATCH(HO$3,Вводные!$D$11:$F$11,0))*(1+IF(HO$4=$A71,Вводные!$D$5*INDEX(Вводные!$G$13:$G$64,MATCH($A71,Вводные!$A$13:$A$64,0)),0))</f>
        <v>1</v>
      </c>
      <c r="HP71" s="32" t="n">
        <f aca="false">INDEX(Вводные!$D$13:$F$64,MATCH($A71,Вводные!$A$13:$A$64,0),MATCH(HP$3,Вводные!$D$11:$F$11,0))*(1+IF(HP$4=$A71,Вводные!$D$5*INDEX(Вводные!$G$13:$G$64,MATCH($A71,Вводные!$A$13:$A$64,0)),0))</f>
        <v>1</v>
      </c>
      <c r="HQ71" s="32" t="n">
        <f aca="false">INDEX(Вводные!$D$13:$F$64,MATCH($A71,Вводные!$A$13:$A$64,0),MATCH(HQ$3,Вводные!$D$11:$F$11,0))*(1+IF(HQ$4=$A71,Вводные!$D$5*INDEX(Вводные!$G$13:$G$64,MATCH($A71,Вводные!$A$13:$A$64,0)),0))</f>
        <v>1</v>
      </c>
      <c r="HR71" s="32" t="n">
        <f aca="false">INDEX(Вводные!$D$13:$F$64,MATCH($A71,Вводные!$A$13:$A$64,0),MATCH(HR$3,Вводные!$D$11:$F$11,0))*(1+IF(HR$4=$A71,Вводные!$D$5*INDEX(Вводные!$G$13:$G$64,MATCH($A71,Вводные!$A$13:$A$64,0)),0))</f>
        <v>1</v>
      </c>
      <c r="HS71" s="32" t="n">
        <f aca="false">INDEX(Вводные!$D$13:$F$64,MATCH($A71,Вводные!$A$13:$A$64,0),MATCH(HS$3,Вводные!$D$11:$F$11,0))*(1+IF(HS$4=$A71,Вводные!$D$5*INDEX(Вводные!$G$13:$G$64,MATCH($A71,Вводные!$A$13:$A$64,0)),0))</f>
        <v>1</v>
      </c>
      <c r="HT71" s="32" t="n">
        <f aca="false">INDEX(Вводные!$D$13:$F$64,MATCH($A71,Вводные!$A$13:$A$64,0),MATCH(HT$3,Вводные!$D$11:$F$11,0))*(1+IF(HT$4=$A71,Вводные!$D$5*INDEX(Вводные!$G$13:$G$64,MATCH($A71,Вводные!$A$13:$A$64,0)),0))</f>
        <v>1</v>
      </c>
      <c r="HU71" s="32" t="n">
        <f aca="false">INDEX(Вводные!$D$13:$F$64,MATCH($A71,Вводные!$A$13:$A$64,0),MATCH(HU$3,Вводные!$D$11:$F$11,0))*(1+IF(HU$4=$A71,Вводные!$D$5*INDEX(Вводные!$G$13:$G$64,MATCH($A71,Вводные!$A$13:$A$64,0)),0))</f>
        <v>1</v>
      </c>
      <c r="HV71" s="32" t="n">
        <f aca="false">INDEX(Вводные!$D$13:$F$64,MATCH($A71,Вводные!$A$13:$A$64,0),MATCH(HV$3,Вводные!$D$11:$F$11,0))*(1+IF(HV$4=$A71,Вводные!$D$5*INDEX(Вводные!$G$13:$G$64,MATCH($A71,Вводные!$A$13:$A$64,0)),0))</f>
        <v>1</v>
      </c>
      <c r="HW71" s="32" t="n">
        <f aca="false">INDEX(Вводные!$D$13:$F$64,MATCH($A71,Вводные!$A$13:$A$64,0),MATCH(HW$3,Вводные!$D$11:$F$11,0))*(1+IF(HW$4=$A71,Вводные!$D$5*INDEX(Вводные!$G$13:$G$64,MATCH($A71,Вводные!$A$13:$A$64,0)),0))</f>
        <v>1</v>
      </c>
      <c r="HX71" s="32" t="n">
        <f aca="false">INDEX(Вводные!$D$13:$F$64,MATCH($A71,Вводные!$A$13:$A$64,0),MATCH(HX$3,Вводные!$D$11:$F$11,0))*(1+IF(HX$4=$A71,Вводные!$D$5*INDEX(Вводные!$G$13:$G$64,MATCH($A71,Вводные!$A$13:$A$64,0)),0))</f>
        <v>1</v>
      </c>
      <c r="HY71" s="32" t="n">
        <f aca="false">INDEX(Вводные!$D$13:$F$64,MATCH($A71,Вводные!$A$13:$A$64,0),MATCH(HY$3,Вводные!$D$11:$F$11,0))*(1+IF(HY$4=$A71,Вводные!$D$5*INDEX(Вводные!$G$13:$G$64,MATCH($A71,Вводные!$A$13:$A$64,0)),0))</f>
        <v>1</v>
      </c>
      <c r="HZ71" s="32" t="n">
        <f aca="false">INDEX(Вводные!$D$13:$F$64,MATCH($A71,Вводные!$A$13:$A$64,0),MATCH(HZ$3,Вводные!$D$11:$F$11,0))*(1+IF(HZ$4=$A71,Вводные!$D$5*INDEX(Вводные!$G$13:$G$64,MATCH($A71,Вводные!$A$13:$A$64,0)),0))</f>
        <v>1</v>
      </c>
      <c r="IA71" s="32" t="n">
        <f aca="false">INDEX(Вводные!$D$13:$F$64,MATCH($A71,Вводные!$A$13:$A$64,0),MATCH(IA$3,Вводные!$D$11:$F$11,0))*(1+IF(IA$4=$A71,Вводные!$D$5*INDEX(Вводные!$G$13:$G$64,MATCH($A71,Вводные!$A$13:$A$64,0)),0))</f>
        <v>1</v>
      </c>
      <c r="IB71" s="32" t="n">
        <f aca="false">INDEX(Вводные!$D$13:$F$64,MATCH($A71,Вводные!$A$13:$A$64,0),MATCH(IB$3,Вводные!$D$11:$F$11,0))*(1+IF(IB$4=$A71,Вводные!$D$5*INDEX(Вводные!$G$13:$G$64,MATCH($A71,Вводные!$A$13:$A$64,0)),0))</f>
        <v>1</v>
      </c>
      <c r="IC71" s="32" t="n">
        <f aca="false">INDEX(Вводные!$D$13:$F$64,MATCH($A71,Вводные!$A$13:$A$64,0),MATCH(IC$3,Вводные!$D$11:$F$11,0))*(1+IF(IC$4=$A71,Вводные!$D$5*INDEX(Вводные!$G$13:$G$64,MATCH($A71,Вводные!$A$13:$A$64,0)),0))</f>
        <v>1</v>
      </c>
      <c r="ID71" s="32" t="n">
        <f aca="false">INDEX(Вводные!$D$13:$F$64,MATCH($A71,Вводные!$A$13:$A$64,0),MATCH(ID$3,Вводные!$D$11:$F$11,0))*(1+IF(ID$4=$A71,Вводные!$D$5*INDEX(Вводные!$G$13:$G$64,MATCH($A71,Вводные!$A$13:$A$64,0)),0))</f>
        <v>1</v>
      </c>
      <c r="IE71" s="32" t="n">
        <f aca="false">INDEX(Вводные!$D$13:$F$64,MATCH($A71,Вводные!$A$13:$A$64,0),MATCH(IE$3,Вводные!$D$11:$F$11,0))*(1+IF(IE$4=$A71,Вводные!$D$5*INDEX(Вводные!$G$13:$G$64,MATCH($A71,Вводные!$A$13:$A$64,0)),0))</f>
        <v>1</v>
      </c>
      <c r="IF71" s="32" t="n">
        <f aca="false">INDEX(Вводные!$D$13:$F$64,MATCH($A71,Вводные!$A$13:$A$64,0),MATCH(IF$3,Вводные!$D$11:$F$11,0))*(1+IF(IF$4=$A71,Вводные!$D$5*INDEX(Вводные!$G$13:$G$64,MATCH($A71,Вводные!$A$13:$A$64,0)),0))</f>
        <v>1</v>
      </c>
      <c r="IG71" s="32" t="n">
        <f aca="false">INDEX(Вводные!$D$13:$F$64,MATCH($A71,Вводные!$A$13:$A$64,0),MATCH(IG$3,Вводные!$D$11:$F$11,0))*(1+IF(IG$4=$A71,Вводные!$D$5*INDEX(Вводные!$G$13:$G$64,MATCH($A71,Вводные!$A$13:$A$64,0)),0))</f>
        <v>1</v>
      </c>
      <c r="IH71" s="32" t="n">
        <f aca="false">INDEX(Вводные!$D$13:$F$64,MATCH($A71,Вводные!$A$13:$A$64,0),MATCH(IH$3,Вводные!$D$11:$F$11,0))*(1+IF(IH$4=$A71,Вводные!$D$5*INDEX(Вводные!$G$13:$G$64,MATCH($A71,Вводные!$A$13:$A$64,0)),0))</f>
        <v>1</v>
      </c>
      <c r="II71" s="32" t="n">
        <f aca="false">INDEX(Вводные!$D$13:$F$64,MATCH($A71,Вводные!$A$13:$A$64,0),MATCH(II$3,Вводные!$D$11:$F$11,0))*(1+IF(II$4=$A71,Вводные!$D$5*INDEX(Вводные!$G$13:$G$64,MATCH($A71,Вводные!$A$13:$A$64,0)),0))</f>
        <v>1</v>
      </c>
      <c r="IJ71" s="32" t="n">
        <f aca="false">INDEX(Вводные!$D$13:$F$64,MATCH($A71,Вводные!$A$13:$A$64,0),MATCH(IJ$3,Вводные!$D$11:$F$11,0))*(1+IF(IJ$4=$A71,Вводные!$D$5*INDEX(Вводные!$G$13:$G$64,MATCH($A71,Вводные!$A$13:$A$64,0)),0))</f>
        <v>1</v>
      </c>
      <c r="IK71" s="32" t="n">
        <f aca="false">INDEX(Вводные!$D$13:$F$64,MATCH($A71,Вводные!$A$13:$A$64,0),MATCH(IK$3,Вводные!$D$11:$F$11,0))*(1+IF(IK$4=$A71,Вводные!$D$5*INDEX(Вводные!$G$13:$G$64,MATCH($A71,Вводные!$A$13:$A$64,0)),0))</f>
        <v>1</v>
      </c>
      <c r="IL71" s="32" t="n">
        <f aca="false">INDEX(Вводные!$D$13:$F$64,MATCH($A71,Вводные!$A$13:$A$64,0),MATCH(IL$3,Вводные!$D$11:$F$11,0))*(1+IF(IL$4=$A71,Вводные!$D$5*INDEX(Вводные!$G$13:$G$64,MATCH($A71,Вводные!$A$13:$A$64,0)),0))</f>
        <v>1</v>
      </c>
      <c r="IM71" s="32" t="n">
        <f aca="false">INDEX(Вводные!$D$13:$F$64,MATCH($A71,Вводные!$A$13:$A$64,0),MATCH(IM$3,Вводные!$D$11:$F$11,0))*(1+IF(IM$4=$A71,Вводные!$D$5*INDEX(Вводные!$G$13:$G$64,MATCH($A71,Вводные!$A$13:$A$64,0)),0))</f>
        <v>1</v>
      </c>
      <c r="IN71" s="32" t="n">
        <f aca="false">INDEX(Вводные!$D$13:$F$64,MATCH($A71,Вводные!$A$13:$A$64,0),MATCH(IN$3,Вводные!$D$11:$F$11,0))*(1+IF(IN$4=$A71,Вводные!$D$5*INDEX(Вводные!$G$13:$G$64,MATCH($A71,Вводные!$A$13:$A$64,0)),0))</f>
        <v>1</v>
      </c>
      <c r="IO71" s="32" t="n">
        <f aca="false">INDEX(Вводные!$D$13:$F$64,MATCH($A71,Вводные!$A$13:$A$64,0),MATCH(IO$3,Вводные!$D$11:$F$11,0))*(1+IF(IO$4=$A71,Вводные!$D$5*INDEX(Вводные!$G$13:$G$64,MATCH($A71,Вводные!$A$13:$A$64,0)),0))</f>
        <v>1</v>
      </c>
      <c r="IP71" s="32" t="n">
        <f aca="false">INDEX(Вводные!$D$13:$F$64,MATCH($A71,Вводные!$A$13:$A$64,0),MATCH(IP$3,Вводные!$D$11:$F$11,0))*(1+IF(IP$4=$A71,Вводные!$D$5*INDEX(Вводные!$G$13:$G$64,MATCH($A71,Вводные!$A$13:$A$64,0)),0))</f>
        <v>1</v>
      </c>
      <c r="IQ71" s="32" t="n">
        <f aca="false">INDEX(Вводные!$D$13:$F$64,MATCH($A71,Вводные!$A$13:$A$64,0),MATCH(IQ$3,Вводные!$D$11:$F$11,0))*(1+IF(IQ$4=$A71,Вводные!$D$5*INDEX(Вводные!$G$13:$G$64,MATCH($A71,Вводные!$A$13:$A$64,0)),0))</f>
        <v>1</v>
      </c>
      <c r="IR71" s="32" t="n">
        <f aca="false">INDEX(Вводные!$D$13:$F$64,MATCH($A71,Вводные!$A$13:$A$64,0),MATCH(IR$3,Вводные!$D$11:$F$11,0))*(1+IF(IR$4=$A71,Вводные!$D$5*INDEX(Вводные!$G$13:$G$64,MATCH($A71,Вводные!$A$13:$A$64,0)),0))</f>
        <v>1</v>
      </c>
      <c r="IS71" s="32" t="n">
        <f aca="false">INDEX(Вводные!$D$13:$F$64,MATCH($A71,Вводные!$A$13:$A$64,0),MATCH(IS$3,Вводные!$D$11:$F$11,0))*(1+IF(IS$4=$A71,Вводные!$D$5*INDEX(Вводные!$G$13:$G$64,MATCH($A71,Вводные!$A$13:$A$64,0)),0))</f>
        <v>0.99</v>
      </c>
      <c r="IT71" s="32" t="n">
        <f aca="false">INDEX(Вводные!$D$13:$F$64,MATCH($A71,Вводные!$A$13:$A$64,0),MATCH(IT$3,Вводные!$D$11:$F$11,0))*(1+IF(IT$4=$A71,Вводные!$D$5*INDEX(Вводные!$G$13:$G$64,MATCH($A71,Вводные!$A$13:$A$64,0)),0))</f>
        <v>1</v>
      </c>
      <c r="IU71" s="32" t="n">
        <f aca="false">INDEX(Вводные!$D$13:$F$64,MATCH($A71,Вводные!$A$13:$A$64,0),MATCH(IU$3,Вводные!$D$11:$F$11,0))*(1+IF(IU$4=$A71,Вводные!$D$5*INDEX(Вводные!$G$13:$G$64,MATCH($A71,Вводные!$A$13:$A$64,0)),0))</f>
        <v>1</v>
      </c>
      <c r="IV71" s="32" t="n">
        <f aca="false">INDEX(Вводные!$D$13:$F$64,MATCH($A71,Вводные!$A$13:$A$64,0),MATCH(IV$3,Вводные!$D$11:$F$11,0))*(1+IF(IV$4=$A71,Вводные!$D$5*INDEX(Вводные!$G$13:$G$64,MATCH($A71,Вводные!$A$13:$A$64,0)),0))</f>
        <v>1</v>
      </c>
      <c r="IW71" s="32" t="n">
        <f aca="false">INDEX(Вводные!$D$13:$F$64,MATCH($A71,Вводные!$A$13:$A$64,0),MATCH(IW$3,Вводные!$D$11:$F$11,0))*(1+IF(IW$4=$A71,Вводные!$D$5*INDEX(Вводные!$G$13:$G$64,MATCH($A71,Вводные!$A$13:$A$64,0)),0))</f>
        <v>1</v>
      </c>
      <c r="IX71" s="32" t="n">
        <f aca="false">INDEX(Вводные!$D$13:$F$64,MATCH($A71,Вводные!$A$13:$A$64,0),MATCH(IX$3,Вводные!$D$11:$F$11,0))*(1+IF(IX$4=$A71,Вводные!$D$5*INDEX(Вводные!$G$13:$G$64,MATCH($A71,Вводные!$A$13:$A$64,0)),0))</f>
        <v>1</v>
      </c>
      <c r="IY71" s="32" t="n">
        <f aca="false">INDEX(Вводные!$D$13:$F$64,MATCH($A71,Вводные!$A$13:$A$64,0),MATCH(IY$3,Вводные!$D$11:$F$11,0))*(1+IF(IY$4=$A71,Вводные!$D$5*INDEX(Вводные!$G$13:$G$64,MATCH($A71,Вводные!$A$13:$A$64,0)),0))</f>
        <v>1</v>
      </c>
      <c r="IZ71" s="32" t="n">
        <f aca="false">INDEX(Вводные!$D$13:$F$64,MATCH($A71,Вводные!$A$13:$A$64,0),MATCH(IZ$3,Вводные!$D$11:$F$11,0))*(1+IF(IZ$4=$A71,Вводные!$D$5*INDEX(Вводные!$G$13:$G$64,MATCH($A71,Вводные!$A$13:$A$64,0)),0))</f>
        <v>1</v>
      </c>
      <c r="JA71" s="32" t="n">
        <f aca="false">INDEX(Вводные!$D$13:$F$64,MATCH($A71,Вводные!$A$13:$A$64,0),MATCH(JA$3,Вводные!$D$11:$F$11,0))*(1+IF(JA$4=$A71,Вводные!$D$5*INDEX(Вводные!$G$13:$G$64,MATCH($A71,Вводные!$A$13:$A$64,0)),0))</f>
        <v>1</v>
      </c>
    </row>
    <row r="72" customFormat="false" ht="15" hidden="false" customHeight="false" outlineLevel="0" collapsed="false">
      <c r="A72" s="13" t="s">
        <v>275</v>
      </c>
      <c r="B72" s="13" t="s">
        <v>276</v>
      </c>
      <c r="C72" s="13" t="s">
        <v>179</v>
      </c>
      <c r="D72" s="9" t="s">
        <v>36</v>
      </c>
      <c r="E72" s="14" t="n">
        <f aca="false">INDEX(Вводные!$D$13:$F$64,MATCH($A72,Вводные!$A$13:$A$64,0),MATCH(E$3,Вводные!$D$11:$F$11,0))*(1+IF(E$4=$A72,Вводные!$D$5*INDEX(Вводные!$G$13:$G$64,MATCH($A72,Вводные!$A$13:$A$64,0)),0))</f>
        <v>8</v>
      </c>
      <c r="F72" s="14" t="n">
        <f aca="false">INDEX(Вводные!$D$13:$F$64,MATCH($A72,Вводные!$A$13:$A$64,0),MATCH(F$3,Вводные!$D$11:$F$11,0))*(1+IF(F$4=$A72,Вводные!$D$5*INDEX(Вводные!$G$13:$G$64,MATCH($A72,Вводные!$A$13:$A$64,0)),0))</f>
        <v>40</v>
      </c>
      <c r="G72" s="14" t="n">
        <f aca="false">INDEX(Вводные!$D$13:$F$64,MATCH($A72,Вводные!$A$13:$A$64,0),MATCH(G$3,Вводные!$D$11:$F$11,0))*(1+IF(G$4=$A72,Вводные!$D$5*INDEX(Вводные!$G$13:$G$64,MATCH($A72,Вводные!$A$13:$A$64,0)),0))</f>
        <v>1500</v>
      </c>
      <c r="H72" s="59"/>
      <c r="J72" s="14" t="n">
        <f aca="false">INDEX(Вводные!$D$13:$F$64,MATCH($A72,Вводные!$A$13:$A$64,0),MATCH(J$3,Вводные!$D$11:$F$11,0))*(1+IF(J$4=$A72,Вводные!$D$5*INDEX(Вводные!$G$13:$G$64,MATCH($A72,Вводные!$A$13:$A$64,0)),0))</f>
        <v>8</v>
      </c>
      <c r="K72" s="14" t="n">
        <f aca="false">INDEX(Вводные!$D$13:$F$64,MATCH($A72,Вводные!$A$13:$A$64,0),MATCH(K$3,Вводные!$D$11:$F$11,0))*(1+IF(K$4=$A72,Вводные!$D$5*INDEX(Вводные!$G$13:$G$64,MATCH($A72,Вводные!$A$13:$A$64,0)),0))</f>
        <v>8</v>
      </c>
      <c r="L72" s="14" t="n">
        <f aca="false">INDEX(Вводные!$D$13:$F$64,MATCH($A72,Вводные!$A$13:$A$64,0),MATCH(L$3,Вводные!$D$11:$F$11,0))*(1+IF(L$4=$A72,Вводные!$D$5*INDEX(Вводные!$G$13:$G$64,MATCH($A72,Вводные!$A$13:$A$64,0)),0))</f>
        <v>8</v>
      </c>
      <c r="M72" s="14" t="n">
        <f aca="false">INDEX(Вводные!$D$13:$F$64,MATCH($A72,Вводные!$A$13:$A$64,0),MATCH(M$3,Вводные!$D$11:$F$11,0))*(1+IF(M$4=$A72,Вводные!$D$5*INDEX(Вводные!$G$13:$G$64,MATCH($A72,Вводные!$A$13:$A$64,0)),0))</f>
        <v>8</v>
      </c>
      <c r="N72" s="14" t="n">
        <f aca="false">INDEX(Вводные!$D$13:$F$64,MATCH($A72,Вводные!$A$13:$A$64,0),MATCH(N$3,Вводные!$D$11:$F$11,0))*(1+IF(N$4=$A72,Вводные!$D$5*INDEX(Вводные!$G$13:$G$64,MATCH($A72,Вводные!$A$13:$A$64,0)),0))</f>
        <v>8</v>
      </c>
      <c r="O72" s="14" t="n">
        <f aca="false">INDEX(Вводные!$D$13:$F$64,MATCH($A72,Вводные!$A$13:$A$64,0),MATCH(O$3,Вводные!$D$11:$F$11,0))*(1+IF(O$4=$A72,Вводные!$D$5*INDEX(Вводные!$G$13:$G$64,MATCH($A72,Вводные!$A$13:$A$64,0)),0))</f>
        <v>8</v>
      </c>
      <c r="P72" s="14" t="n">
        <f aca="false">INDEX(Вводные!$D$13:$F$64,MATCH($A72,Вводные!$A$13:$A$64,0),MATCH(P$3,Вводные!$D$11:$F$11,0))*(1+IF(P$4=$A72,Вводные!$D$5*INDEX(Вводные!$G$13:$G$64,MATCH($A72,Вводные!$A$13:$A$64,0)),0))</f>
        <v>8</v>
      </c>
      <c r="Q72" s="14" t="n">
        <f aca="false">INDEX(Вводные!$D$13:$F$64,MATCH($A72,Вводные!$A$13:$A$64,0),MATCH(Q$3,Вводные!$D$11:$F$11,0))*(1+IF(Q$4=$A72,Вводные!$D$5*INDEX(Вводные!$G$13:$G$64,MATCH($A72,Вводные!$A$13:$A$64,0)),0))</f>
        <v>8</v>
      </c>
      <c r="R72" s="14" t="n">
        <f aca="false">INDEX(Вводные!$D$13:$F$64,MATCH($A72,Вводные!$A$13:$A$64,0),MATCH(R$3,Вводные!$D$11:$F$11,0))*(1+IF(R$4=$A72,Вводные!$D$5*INDEX(Вводные!$G$13:$G$64,MATCH($A72,Вводные!$A$13:$A$64,0)),0))</f>
        <v>8</v>
      </c>
      <c r="S72" s="14" t="n">
        <f aca="false">INDEX(Вводные!$D$13:$F$64,MATCH($A72,Вводные!$A$13:$A$64,0),MATCH(S$3,Вводные!$D$11:$F$11,0))*(1+IF(S$4=$A72,Вводные!$D$5*INDEX(Вводные!$G$13:$G$64,MATCH($A72,Вводные!$A$13:$A$64,0)),0))</f>
        <v>8</v>
      </c>
      <c r="T72" s="14" t="n">
        <f aca="false">INDEX(Вводные!$D$13:$F$64,MATCH($A72,Вводные!$A$13:$A$64,0),MATCH(T$3,Вводные!$D$11:$F$11,0))*(1+IF(T$4=$A72,Вводные!$D$5*INDEX(Вводные!$G$13:$G$64,MATCH($A72,Вводные!$A$13:$A$64,0)),0))</f>
        <v>8</v>
      </c>
      <c r="U72" s="14" t="n">
        <f aca="false">INDEX(Вводные!$D$13:$F$64,MATCH($A72,Вводные!$A$13:$A$64,0),MATCH(U$3,Вводные!$D$11:$F$11,0))*(1+IF(U$4=$A72,Вводные!$D$5*INDEX(Вводные!$G$13:$G$64,MATCH($A72,Вводные!$A$13:$A$64,0)),0))</f>
        <v>8</v>
      </c>
      <c r="V72" s="14" t="n">
        <f aca="false">INDEX(Вводные!$D$13:$F$64,MATCH($A72,Вводные!$A$13:$A$64,0),MATCH(V$3,Вводные!$D$11:$F$11,0))*(1+IF(V$4=$A72,Вводные!$D$5*INDEX(Вводные!$G$13:$G$64,MATCH($A72,Вводные!$A$13:$A$64,0)),0))</f>
        <v>8</v>
      </c>
      <c r="W72" s="14" t="n">
        <f aca="false">INDEX(Вводные!$D$13:$F$64,MATCH($A72,Вводные!$A$13:$A$64,0),MATCH(W$3,Вводные!$D$11:$F$11,0))*(1+IF(W$4=$A72,Вводные!$D$5*INDEX(Вводные!$G$13:$G$64,MATCH($A72,Вводные!$A$13:$A$64,0)),0))</f>
        <v>8</v>
      </c>
      <c r="X72" s="14" t="n">
        <f aca="false">INDEX(Вводные!$D$13:$F$64,MATCH($A72,Вводные!$A$13:$A$64,0),MATCH(X$3,Вводные!$D$11:$F$11,0))*(1+IF(X$4=$A72,Вводные!$D$5*INDEX(Вводные!$G$13:$G$64,MATCH($A72,Вводные!$A$13:$A$64,0)),0))</f>
        <v>8</v>
      </c>
      <c r="Y72" s="14" t="n">
        <f aca="false">INDEX(Вводные!$D$13:$F$64,MATCH($A72,Вводные!$A$13:$A$64,0),MATCH(Y$3,Вводные!$D$11:$F$11,0))*(1+IF(Y$4=$A72,Вводные!$D$5*INDEX(Вводные!$G$13:$G$64,MATCH($A72,Вводные!$A$13:$A$64,0)),0))</f>
        <v>8</v>
      </c>
      <c r="Z72" s="14" t="n">
        <f aca="false">INDEX(Вводные!$D$13:$F$64,MATCH($A72,Вводные!$A$13:$A$64,0),MATCH(Z$3,Вводные!$D$11:$F$11,0))*(1+IF(Z$4=$A72,Вводные!$D$5*INDEX(Вводные!$G$13:$G$64,MATCH($A72,Вводные!$A$13:$A$64,0)),0))</f>
        <v>8</v>
      </c>
      <c r="AA72" s="14" t="n">
        <f aca="false">INDEX(Вводные!$D$13:$F$64,MATCH($A72,Вводные!$A$13:$A$64,0),MATCH(AA$3,Вводные!$D$11:$F$11,0))*(1+IF(AA$4=$A72,Вводные!$D$5*INDEX(Вводные!$G$13:$G$64,MATCH($A72,Вводные!$A$13:$A$64,0)),0))</f>
        <v>8</v>
      </c>
      <c r="AB72" s="14" t="n">
        <f aca="false">INDEX(Вводные!$D$13:$F$64,MATCH($A72,Вводные!$A$13:$A$64,0),MATCH(AB$3,Вводные!$D$11:$F$11,0))*(1+IF(AB$4=$A72,Вводные!$D$5*INDEX(Вводные!$G$13:$G$64,MATCH($A72,Вводные!$A$13:$A$64,0)),0))</f>
        <v>8</v>
      </c>
      <c r="AC72" s="14" t="n">
        <f aca="false">INDEX(Вводные!$D$13:$F$64,MATCH($A72,Вводные!$A$13:$A$64,0),MATCH(AC$3,Вводные!$D$11:$F$11,0))*(1+IF(AC$4=$A72,Вводные!$D$5*INDEX(Вводные!$G$13:$G$64,MATCH($A72,Вводные!$A$13:$A$64,0)),0))</f>
        <v>8</v>
      </c>
      <c r="AD72" s="14" t="n">
        <f aca="false">INDEX(Вводные!$D$13:$F$64,MATCH($A72,Вводные!$A$13:$A$64,0),MATCH(AD$3,Вводные!$D$11:$F$11,0))*(1+IF(AD$4=$A72,Вводные!$D$5*INDEX(Вводные!$G$13:$G$64,MATCH($A72,Вводные!$A$13:$A$64,0)),0))</f>
        <v>8</v>
      </c>
      <c r="AE72" s="14" t="n">
        <f aca="false">INDEX(Вводные!$D$13:$F$64,MATCH($A72,Вводные!$A$13:$A$64,0),MATCH(AE$3,Вводные!$D$11:$F$11,0))*(1+IF(AE$4=$A72,Вводные!$D$5*INDEX(Вводные!$G$13:$G$64,MATCH($A72,Вводные!$A$13:$A$64,0)),0))</f>
        <v>8</v>
      </c>
      <c r="AF72" s="14" t="n">
        <f aca="false">INDEX(Вводные!$D$13:$F$64,MATCH($A72,Вводные!$A$13:$A$64,0),MATCH(AF$3,Вводные!$D$11:$F$11,0))*(1+IF(AF$4=$A72,Вводные!$D$5*INDEX(Вводные!$G$13:$G$64,MATCH($A72,Вводные!$A$13:$A$64,0)),0))</f>
        <v>8</v>
      </c>
      <c r="AG72" s="14" t="n">
        <f aca="false">INDEX(Вводные!$D$13:$F$64,MATCH($A72,Вводные!$A$13:$A$64,0),MATCH(AG$3,Вводные!$D$11:$F$11,0))*(1+IF(AG$4=$A72,Вводные!$D$5*INDEX(Вводные!$G$13:$G$64,MATCH($A72,Вводные!$A$13:$A$64,0)),0))</f>
        <v>8</v>
      </c>
      <c r="AH72" s="14" t="n">
        <f aca="false">INDEX(Вводные!$D$13:$F$64,MATCH($A72,Вводные!$A$13:$A$64,0),MATCH(AH$3,Вводные!$D$11:$F$11,0))*(1+IF(AH$4=$A72,Вводные!$D$5*INDEX(Вводные!$G$13:$G$64,MATCH($A72,Вводные!$A$13:$A$64,0)),0))</f>
        <v>8</v>
      </c>
      <c r="AI72" s="14" t="n">
        <f aca="false">INDEX(Вводные!$D$13:$F$64,MATCH($A72,Вводные!$A$13:$A$64,0),MATCH(AI$3,Вводные!$D$11:$F$11,0))*(1+IF(AI$4=$A72,Вводные!$D$5*INDEX(Вводные!$G$13:$G$64,MATCH($A72,Вводные!$A$13:$A$64,0)),0))</f>
        <v>8</v>
      </c>
      <c r="AJ72" s="14" t="n">
        <f aca="false">INDEX(Вводные!$D$13:$F$64,MATCH($A72,Вводные!$A$13:$A$64,0),MATCH(AJ$3,Вводные!$D$11:$F$11,0))*(1+IF(AJ$4=$A72,Вводные!$D$5*INDEX(Вводные!$G$13:$G$64,MATCH($A72,Вводные!$A$13:$A$64,0)),0))</f>
        <v>8</v>
      </c>
      <c r="AK72" s="14" t="n">
        <f aca="false">INDEX(Вводные!$D$13:$F$64,MATCH($A72,Вводные!$A$13:$A$64,0),MATCH(AK$3,Вводные!$D$11:$F$11,0))*(1+IF(AK$4=$A72,Вводные!$D$5*INDEX(Вводные!$G$13:$G$64,MATCH($A72,Вводные!$A$13:$A$64,0)),0))</f>
        <v>8</v>
      </c>
      <c r="AL72" s="14" t="n">
        <f aca="false">INDEX(Вводные!$D$13:$F$64,MATCH($A72,Вводные!$A$13:$A$64,0),MATCH(AL$3,Вводные!$D$11:$F$11,0))*(1+IF(AL$4=$A72,Вводные!$D$5*INDEX(Вводные!$G$13:$G$64,MATCH($A72,Вводные!$A$13:$A$64,0)),0))</f>
        <v>8</v>
      </c>
      <c r="AM72" s="14" t="n">
        <f aca="false">INDEX(Вводные!$D$13:$F$64,MATCH($A72,Вводные!$A$13:$A$64,0),MATCH(AM$3,Вводные!$D$11:$F$11,0))*(1+IF(AM$4=$A72,Вводные!$D$5*INDEX(Вводные!$G$13:$G$64,MATCH($A72,Вводные!$A$13:$A$64,0)),0))</f>
        <v>8</v>
      </c>
      <c r="AN72" s="14" t="n">
        <f aca="false">INDEX(Вводные!$D$13:$F$64,MATCH($A72,Вводные!$A$13:$A$64,0),MATCH(AN$3,Вводные!$D$11:$F$11,0))*(1+IF(AN$4=$A72,Вводные!$D$5*INDEX(Вводные!$G$13:$G$64,MATCH($A72,Вводные!$A$13:$A$64,0)),0))</f>
        <v>8</v>
      </c>
      <c r="AO72" s="14" t="n">
        <f aca="false">INDEX(Вводные!$D$13:$F$64,MATCH($A72,Вводные!$A$13:$A$64,0),MATCH(AO$3,Вводные!$D$11:$F$11,0))*(1+IF(AO$4=$A72,Вводные!$D$5*INDEX(Вводные!$G$13:$G$64,MATCH($A72,Вводные!$A$13:$A$64,0)),0))</f>
        <v>8</v>
      </c>
      <c r="AP72" s="14" t="n">
        <f aca="false">INDEX(Вводные!$D$13:$F$64,MATCH($A72,Вводные!$A$13:$A$64,0),MATCH(AP$3,Вводные!$D$11:$F$11,0))*(1+IF(AP$4=$A72,Вводные!$D$5*INDEX(Вводные!$G$13:$G$64,MATCH($A72,Вводные!$A$13:$A$64,0)),0))</f>
        <v>8</v>
      </c>
      <c r="AQ72" s="14" t="n">
        <f aca="false">INDEX(Вводные!$D$13:$F$64,MATCH($A72,Вводные!$A$13:$A$64,0),MATCH(AQ$3,Вводные!$D$11:$F$11,0))*(1+IF(AQ$4=$A72,Вводные!$D$5*INDEX(Вводные!$G$13:$G$64,MATCH($A72,Вводные!$A$13:$A$64,0)),0))</f>
        <v>8</v>
      </c>
      <c r="AR72" s="14" t="n">
        <f aca="false">INDEX(Вводные!$D$13:$F$64,MATCH($A72,Вводные!$A$13:$A$64,0),MATCH(AR$3,Вводные!$D$11:$F$11,0))*(1+IF(AR$4=$A72,Вводные!$D$5*INDEX(Вводные!$G$13:$G$64,MATCH($A72,Вводные!$A$13:$A$64,0)),0))</f>
        <v>7.92</v>
      </c>
      <c r="AS72" s="14" t="n">
        <f aca="false">INDEX(Вводные!$D$13:$F$64,MATCH($A72,Вводные!$A$13:$A$64,0),MATCH(AS$3,Вводные!$D$11:$F$11,0))*(1+IF(AS$4=$A72,Вводные!$D$5*INDEX(Вводные!$G$13:$G$64,MATCH($A72,Вводные!$A$13:$A$64,0)),0))</f>
        <v>8</v>
      </c>
      <c r="AT72" s="14" t="n">
        <f aca="false">INDEX(Вводные!$D$13:$F$64,MATCH($A72,Вводные!$A$13:$A$64,0),MATCH(AT$3,Вводные!$D$11:$F$11,0))*(1+IF(AT$4=$A72,Вводные!$D$5*INDEX(Вводные!$G$13:$G$64,MATCH($A72,Вводные!$A$13:$A$64,0)),0))</f>
        <v>8</v>
      </c>
      <c r="AU72" s="14" t="n">
        <f aca="false">INDEX(Вводные!$D$13:$F$64,MATCH($A72,Вводные!$A$13:$A$64,0),MATCH(AU$3,Вводные!$D$11:$F$11,0))*(1+IF(AU$4=$A72,Вводные!$D$5*INDEX(Вводные!$G$13:$G$64,MATCH($A72,Вводные!$A$13:$A$64,0)),0))</f>
        <v>8</v>
      </c>
      <c r="AV72" s="14" t="n">
        <f aca="false">INDEX(Вводные!$D$13:$F$64,MATCH($A72,Вводные!$A$13:$A$64,0),MATCH(AV$3,Вводные!$D$11:$F$11,0))*(1+IF(AV$4=$A72,Вводные!$D$5*INDEX(Вводные!$G$13:$G$64,MATCH($A72,Вводные!$A$13:$A$64,0)),0))</f>
        <v>8</v>
      </c>
      <c r="AW72" s="14" t="n">
        <f aca="false">INDEX(Вводные!$D$13:$F$64,MATCH($A72,Вводные!$A$13:$A$64,0),MATCH(AW$3,Вводные!$D$11:$F$11,0))*(1+IF(AW$4=$A72,Вводные!$D$5*INDEX(Вводные!$G$13:$G$64,MATCH($A72,Вводные!$A$13:$A$64,0)),0))</f>
        <v>8</v>
      </c>
      <c r="AX72" s="14" t="n">
        <f aca="false">INDEX(Вводные!$D$13:$F$64,MATCH($A72,Вводные!$A$13:$A$64,0),MATCH(AX$3,Вводные!$D$11:$F$11,0))*(1+IF(AX$4=$A72,Вводные!$D$5*INDEX(Вводные!$G$13:$G$64,MATCH($A72,Вводные!$A$13:$A$64,0)),0))</f>
        <v>8</v>
      </c>
      <c r="AY72" s="14" t="n">
        <f aca="false">INDEX(Вводные!$D$13:$F$64,MATCH($A72,Вводные!$A$13:$A$64,0),MATCH(AY$3,Вводные!$D$11:$F$11,0))*(1+IF(AY$4=$A72,Вводные!$D$5*INDEX(Вводные!$G$13:$G$64,MATCH($A72,Вводные!$A$13:$A$64,0)),0))</f>
        <v>8</v>
      </c>
      <c r="AZ72" s="14" t="n">
        <f aca="false">INDEX(Вводные!$D$13:$F$64,MATCH($A72,Вводные!$A$13:$A$64,0),MATCH(AZ$3,Вводные!$D$11:$F$11,0))*(1+IF(AZ$4=$A72,Вводные!$D$5*INDEX(Вводные!$G$13:$G$64,MATCH($A72,Вводные!$A$13:$A$64,0)),0))</f>
        <v>40</v>
      </c>
      <c r="BA72" s="14" t="n">
        <f aca="false">INDEX(Вводные!$D$13:$F$64,MATCH($A72,Вводные!$A$13:$A$64,0),MATCH(BA$3,Вводные!$D$11:$F$11,0))*(1+IF(BA$4=$A72,Вводные!$D$5*INDEX(Вводные!$G$13:$G$64,MATCH($A72,Вводные!$A$13:$A$64,0)),0))</f>
        <v>40</v>
      </c>
      <c r="BB72" s="14" t="n">
        <f aca="false">INDEX(Вводные!$D$13:$F$64,MATCH($A72,Вводные!$A$13:$A$64,0),MATCH(BB$3,Вводные!$D$11:$F$11,0))*(1+IF(BB$4=$A72,Вводные!$D$5*INDEX(Вводные!$G$13:$G$64,MATCH($A72,Вводные!$A$13:$A$64,0)),0))</f>
        <v>40</v>
      </c>
      <c r="BC72" s="14" t="n">
        <f aca="false">INDEX(Вводные!$D$13:$F$64,MATCH($A72,Вводные!$A$13:$A$64,0),MATCH(BC$3,Вводные!$D$11:$F$11,0))*(1+IF(BC$4=$A72,Вводные!$D$5*INDEX(Вводные!$G$13:$G$64,MATCH($A72,Вводные!$A$13:$A$64,0)),0))</f>
        <v>40</v>
      </c>
      <c r="BD72" s="14" t="n">
        <f aca="false">INDEX(Вводные!$D$13:$F$64,MATCH($A72,Вводные!$A$13:$A$64,0),MATCH(BD$3,Вводные!$D$11:$F$11,0))*(1+IF(BD$4=$A72,Вводные!$D$5*INDEX(Вводные!$G$13:$G$64,MATCH($A72,Вводные!$A$13:$A$64,0)),0))</f>
        <v>40</v>
      </c>
      <c r="BE72" s="14" t="n">
        <f aca="false">INDEX(Вводные!$D$13:$F$64,MATCH($A72,Вводные!$A$13:$A$64,0),MATCH(BE$3,Вводные!$D$11:$F$11,0))*(1+IF(BE$4=$A72,Вводные!$D$5*INDEX(Вводные!$G$13:$G$64,MATCH($A72,Вводные!$A$13:$A$64,0)),0))</f>
        <v>40</v>
      </c>
      <c r="BF72" s="14" t="n">
        <f aca="false">INDEX(Вводные!$D$13:$F$64,MATCH($A72,Вводные!$A$13:$A$64,0),MATCH(BF$3,Вводные!$D$11:$F$11,0))*(1+IF(BF$4=$A72,Вводные!$D$5*INDEX(Вводные!$G$13:$G$64,MATCH($A72,Вводные!$A$13:$A$64,0)),0))</f>
        <v>40</v>
      </c>
      <c r="BG72" s="14" t="n">
        <f aca="false">INDEX(Вводные!$D$13:$F$64,MATCH($A72,Вводные!$A$13:$A$64,0),MATCH(BG$3,Вводные!$D$11:$F$11,0))*(1+IF(BG$4=$A72,Вводные!$D$5*INDEX(Вводные!$G$13:$G$64,MATCH($A72,Вводные!$A$13:$A$64,0)),0))</f>
        <v>40</v>
      </c>
      <c r="BH72" s="14" t="n">
        <f aca="false">INDEX(Вводные!$D$13:$F$64,MATCH($A72,Вводные!$A$13:$A$64,0),MATCH(BH$3,Вводные!$D$11:$F$11,0))*(1+IF(BH$4=$A72,Вводные!$D$5*INDEX(Вводные!$G$13:$G$64,MATCH($A72,Вводные!$A$13:$A$64,0)),0))</f>
        <v>40</v>
      </c>
      <c r="BI72" s="14" t="n">
        <f aca="false">INDEX(Вводные!$D$13:$F$64,MATCH($A72,Вводные!$A$13:$A$64,0),MATCH(BI$3,Вводные!$D$11:$F$11,0))*(1+IF(BI$4=$A72,Вводные!$D$5*INDEX(Вводные!$G$13:$G$64,MATCH($A72,Вводные!$A$13:$A$64,0)),0))</f>
        <v>40</v>
      </c>
      <c r="BJ72" s="14" t="n">
        <f aca="false">INDEX(Вводные!$D$13:$F$64,MATCH($A72,Вводные!$A$13:$A$64,0),MATCH(BJ$3,Вводные!$D$11:$F$11,0))*(1+IF(BJ$4=$A72,Вводные!$D$5*INDEX(Вводные!$G$13:$G$64,MATCH($A72,Вводные!$A$13:$A$64,0)),0))</f>
        <v>40</v>
      </c>
      <c r="BK72" s="14" t="n">
        <f aca="false">INDEX(Вводные!$D$13:$F$64,MATCH($A72,Вводные!$A$13:$A$64,0),MATCH(BK$3,Вводные!$D$11:$F$11,0))*(1+IF(BK$4=$A72,Вводные!$D$5*INDEX(Вводные!$G$13:$G$64,MATCH($A72,Вводные!$A$13:$A$64,0)),0))</f>
        <v>40</v>
      </c>
      <c r="BL72" s="14" t="n">
        <f aca="false">INDEX(Вводные!$D$13:$F$64,MATCH($A72,Вводные!$A$13:$A$64,0),MATCH(BL$3,Вводные!$D$11:$F$11,0))*(1+IF(BL$4=$A72,Вводные!$D$5*INDEX(Вводные!$G$13:$G$64,MATCH($A72,Вводные!$A$13:$A$64,0)),0))</f>
        <v>40</v>
      </c>
      <c r="BM72" s="14" t="n">
        <f aca="false">INDEX(Вводные!$D$13:$F$64,MATCH($A72,Вводные!$A$13:$A$64,0),MATCH(BM$3,Вводные!$D$11:$F$11,0))*(1+IF(BM$4=$A72,Вводные!$D$5*INDEX(Вводные!$G$13:$G$64,MATCH($A72,Вводные!$A$13:$A$64,0)),0))</f>
        <v>40</v>
      </c>
      <c r="BN72" s="14" t="n">
        <f aca="false">INDEX(Вводные!$D$13:$F$64,MATCH($A72,Вводные!$A$13:$A$64,0),MATCH(BN$3,Вводные!$D$11:$F$11,0))*(1+IF(BN$4=$A72,Вводные!$D$5*INDEX(Вводные!$G$13:$G$64,MATCH($A72,Вводные!$A$13:$A$64,0)),0))</f>
        <v>40</v>
      </c>
      <c r="BO72" s="14" t="n">
        <f aca="false">INDEX(Вводные!$D$13:$F$64,MATCH($A72,Вводные!$A$13:$A$64,0),MATCH(BO$3,Вводные!$D$11:$F$11,0))*(1+IF(BO$4=$A72,Вводные!$D$5*INDEX(Вводные!$G$13:$G$64,MATCH($A72,Вводные!$A$13:$A$64,0)),0))</f>
        <v>40</v>
      </c>
      <c r="BP72" s="14" t="n">
        <f aca="false">INDEX(Вводные!$D$13:$F$64,MATCH($A72,Вводные!$A$13:$A$64,0),MATCH(BP$3,Вводные!$D$11:$F$11,0))*(1+IF(BP$4=$A72,Вводные!$D$5*INDEX(Вводные!$G$13:$G$64,MATCH($A72,Вводные!$A$13:$A$64,0)),0))</f>
        <v>40</v>
      </c>
      <c r="BQ72" s="14" t="n">
        <f aca="false">INDEX(Вводные!$D$13:$F$64,MATCH($A72,Вводные!$A$13:$A$64,0),MATCH(BQ$3,Вводные!$D$11:$F$11,0))*(1+IF(BQ$4=$A72,Вводные!$D$5*INDEX(Вводные!$G$13:$G$64,MATCH($A72,Вводные!$A$13:$A$64,0)),0))</f>
        <v>40</v>
      </c>
      <c r="BR72" s="14" t="n">
        <f aca="false">INDEX(Вводные!$D$13:$F$64,MATCH($A72,Вводные!$A$13:$A$64,0),MATCH(BR$3,Вводные!$D$11:$F$11,0))*(1+IF(BR$4=$A72,Вводные!$D$5*INDEX(Вводные!$G$13:$G$64,MATCH($A72,Вводные!$A$13:$A$64,0)),0))</f>
        <v>40</v>
      </c>
      <c r="BS72" s="14" t="n">
        <f aca="false">INDEX(Вводные!$D$13:$F$64,MATCH($A72,Вводные!$A$13:$A$64,0),MATCH(BS$3,Вводные!$D$11:$F$11,0))*(1+IF(BS$4=$A72,Вводные!$D$5*INDEX(Вводные!$G$13:$G$64,MATCH($A72,Вводные!$A$13:$A$64,0)),0))</f>
        <v>40</v>
      </c>
      <c r="BT72" s="14" t="n">
        <f aca="false">INDEX(Вводные!$D$13:$F$64,MATCH($A72,Вводные!$A$13:$A$64,0),MATCH(BT$3,Вводные!$D$11:$F$11,0))*(1+IF(BT$4=$A72,Вводные!$D$5*INDEX(Вводные!$G$13:$G$64,MATCH($A72,Вводные!$A$13:$A$64,0)),0))</f>
        <v>40</v>
      </c>
      <c r="BU72" s="14" t="n">
        <f aca="false">INDEX(Вводные!$D$13:$F$64,MATCH($A72,Вводные!$A$13:$A$64,0),MATCH(BU$3,Вводные!$D$11:$F$11,0))*(1+IF(BU$4=$A72,Вводные!$D$5*INDEX(Вводные!$G$13:$G$64,MATCH($A72,Вводные!$A$13:$A$64,0)),0))</f>
        <v>40</v>
      </c>
      <c r="BV72" s="14" t="n">
        <f aca="false">INDEX(Вводные!$D$13:$F$64,MATCH($A72,Вводные!$A$13:$A$64,0),MATCH(BV$3,Вводные!$D$11:$F$11,0))*(1+IF(BV$4=$A72,Вводные!$D$5*INDEX(Вводные!$G$13:$G$64,MATCH($A72,Вводные!$A$13:$A$64,0)),0))</f>
        <v>40</v>
      </c>
      <c r="BW72" s="14" t="n">
        <f aca="false">INDEX(Вводные!$D$13:$F$64,MATCH($A72,Вводные!$A$13:$A$64,0),MATCH(BW$3,Вводные!$D$11:$F$11,0))*(1+IF(BW$4=$A72,Вводные!$D$5*INDEX(Вводные!$G$13:$G$64,MATCH($A72,Вводные!$A$13:$A$64,0)),0))</f>
        <v>40</v>
      </c>
      <c r="BX72" s="14" t="n">
        <f aca="false">INDEX(Вводные!$D$13:$F$64,MATCH($A72,Вводные!$A$13:$A$64,0),MATCH(BX$3,Вводные!$D$11:$F$11,0))*(1+IF(BX$4=$A72,Вводные!$D$5*INDEX(Вводные!$G$13:$G$64,MATCH($A72,Вводные!$A$13:$A$64,0)),0))</f>
        <v>40</v>
      </c>
      <c r="BY72" s="14" t="n">
        <f aca="false">INDEX(Вводные!$D$13:$F$64,MATCH($A72,Вводные!$A$13:$A$64,0),MATCH(BY$3,Вводные!$D$11:$F$11,0))*(1+IF(BY$4=$A72,Вводные!$D$5*INDEX(Вводные!$G$13:$G$64,MATCH($A72,Вводные!$A$13:$A$64,0)),0))</f>
        <v>40</v>
      </c>
      <c r="BZ72" s="14" t="n">
        <f aca="false">INDEX(Вводные!$D$13:$F$64,MATCH($A72,Вводные!$A$13:$A$64,0),MATCH(BZ$3,Вводные!$D$11:$F$11,0))*(1+IF(BZ$4=$A72,Вводные!$D$5*INDEX(Вводные!$G$13:$G$64,MATCH($A72,Вводные!$A$13:$A$64,0)),0))</f>
        <v>40</v>
      </c>
      <c r="CA72" s="14" t="n">
        <f aca="false">INDEX(Вводные!$D$13:$F$64,MATCH($A72,Вводные!$A$13:$A$64,0),MATCH(CA$3,Вводные!$D$11:$F$11,0))*(1+IF(CA$4=$A72,Вводные!$D$5*INDEX(Вводные!$G$13:$G$64,MATCH($A72,Вводные!$A$13:$A$64,0)),0))</f>
        <v>40</v>
      </c>
      <c r="CB72" s="14" t="n">
        <f aca="false">INDEX(Вводные!$D$13:$F$64,MATCH($A72,Вводные!$A$13:$A$64,0),MATCH(CB$3,Вводные!$D$11:$F$11,0))*(1+IF(CB$4=$A72,Вводные!$D$5*INDEX(Вводные!$G$13:$G$64,MATCH($A72,Вводные!$A$13:$A$64,0)),0))</f>
        <v>40</v>
      </c>
      <c r="CC72" s="14" t="n">
        <f aca="false">INDEX(Вводные!$D$13:$F$64,MATCH($A72,Вводные!$A$13:$A$64,0),MATCH(CC$3,Вводные!$D$11:$F$11,0))*(1+IF(CC$4=$A72,Вводные!$D$5*INDEX(Вводные!$G$13:$G$64,MATCH($A72,Вводные!$A$13:$A$64,0)),0))</f>
        <v>40</v>
      </c>
      <c r="CD72" s="14" t="n">
        <f aca="false">INDEX(Вводные!$D$13:$F$64,MATCH($A72,Вводные!$A$13:$A$64,0),MATCH(CD$3,Вводные!$D$11:$F$11,0))*(1+IF(CD$4=$A72,Вводные!$D$5*INDEX(Вводные!$G$13:$G$64,MATCH($A72,Вводные!$A$13:$A$64,0)),0))</f>
        <v>40</v>
      </c>
      <c r="CE72" s="14" t="n">
        <f aca="false">INDEX(Вводные!$D$13:$F$64,MATCH($A72,Вводные!$A$13:$A$64,0),MATCH(CE$3,Вводные!$D$11:$F$11,0))*(1+IF(CE$4=$A72,Вводные!$D$5*INDEX(Вводные!$G$13:$G$64,MATCH($A72,Вводные!$A$13:$A$64,0)),0))</f>
        <v>40</v>
      </c>
      <c r="CF72" s="14" t="n">
        <f aca="false">INDEX(Вводные!$D$13:$F$64,MATCH($A72,Вводные!$A$13:$A$64,0),MATCH(CF$3,Вводные!$D$11:$F$11,0))*(1+IF(CF$4=$A72,Вводные!$D$5*INDEX(Вводные!$G$13:$G$64,MATCH($A72,Вводные!$A$13:$A$64,0)),0))</f>
        <v>40</v>
      </c>
      <c r="CG72" s="14" t="n">
        <f aca="false">INDEX(Вводные!$D$13:$F$64,MATCH($A72,Вводные!$A$13:$A$64,0),MATCH(CG$3,Вводные!$D$11:$F$11,0))*(1+IF(CG$4=$A72,Вводные!$D$5*INDEX(Вводные!$G$13:$G$64,MATCH($A72,Вводные!$A$13:$A$64,0)),0))</f>
        <v>40</v>
      </c>
      <c r="CH72" s="14" t="n">
        <f aca="false">INDEX(Вводные!$D$13:$F$64,MATCH($A72,Вводные!$A$13:$A$64,0),MATCH(CH$3,Вводные!$D$11:$F$11,0))*(1+IF(CH$4=$A72,Вводные!$D$5*INDEX(Вводные!$G$13:$G$64,MATCH($A72,Вводные!$A$13:$A$64,0)),0))</f>
        <v>39.6</v>
      </c>
      <c r="CI72" s="14" t="n">
        <f aca="false">INDEX(Вводные!$D$13:$F$64,MATCH($A72,Вводные!$A$13:$A$64,0),MATCH(CI$3,Вводные!$D$11:$F$11,0))*(1+IF(CI$4=$A72,Вводные!$D$5*INDEX(Вводные!$G$13:$G$64,MATCH($A72,Вводные!$A$13:$A$64,0)),0))</f>
        <v>40</v>
      </c>
      <c r="CJ72" s="14" t="n">
        <f aca="false">INDEX(Вводные!$D$13:$F$64,MATCH($A72,Вводные!$A$13:$A$64,0),MATCH(CJ$3,Вводные!$D$11:$F$11,0))*(1+IF(CJ$4=$A72,Вводные!$D$5*INDEX(Вводные!$G$13:$G$64,MATCH($A72,Вводные!$A$13:$A$64,0)),0))</f>
        <v>40</v>
      </c>
      <c r="CK72" s="14" t="n">
        <f aca="false">INDEX(Вводные!$D$13:$F$64,MATCH($A72,Вводные!$A$13:$A$64,0),MATCH(CK$3,Вводные!$D$11:$F$11,0))*(1+IF(CK$4=$A72,Вводные!$D$5*INDEX(Вводные!$G$13:$G$64,MATCH($A72,Вводные!$A$13:$A$64,0)),0))</f>
        <v>40</v>
      </c>
      <c r="CL72" s="14" t="n">
        <f aca="false">INDEX(Вводные!$D$13:$F$64,MATCH($A72,Вводные!$A$13:$A$64,0),MATCH(CL$3,Вводные!$D$11:$F$11,0))*(1+IF(CL$4=$A72,Вводные!$D$5*INDEX(Вводные!$G$13:$G$64,MATCH($A72,Вводные!$A$13:$A$64,0)),0))</f>
        <v>40</v>
      </c>
      <c r="CM72" s="14" t="n">
        <f aca="false">INDEX(Вводные!$D$13:$F$64,MATCH($A72,Вводные!$A$13:$A$64,0),MATCH(CM$3,Вводные!$D$11:$F$11,0))*(1+IF(CM$4=$A72,Вводные!$D$5*INDEX(Вводные!$G$13:$G$64,MATCH($A72,Вводные!$A$13:$A$64,0)),0))</f>
        <v>40</v>
      </c>
      <c r="CN72" s="14" t="n">
        <f aca="false">INDEX(Вводные!$D$13:$F$64,MATCH($A72,Вводные!$A$13:$A$64,0),MATCH(CN$3,Вводные!$D$11:$F$11,0))*(1+IF(CN$4=$A72,Вводные!$D$5*INDEX(Вводные!$G$13:$G$64,MATCH($A72,Вводные!$A$13:$A$64,0)),0))</f>
        <v>40</v>
      </c>
      <c r="CO72" s="14" t="n">
        <f aca="false">INDEX(Вводные!$D$13:$F$64,MATCH($A72,Вводные!$A$13:$A$64,0),MATCH(CO$3,Вводные!$D$11:$F$11,0))*(1+IF(CO$4=$A72,Вводные!$D$5*INDEX(Вводные!$G$13:$G$64,MATCH($A72,Вводные!$A$13:$A$64,0)),0))</f>
        <v>40</v>
      </c>
      <c r="CP72" s="14" t="n">
        <f aca="false">INDEX(Вводные!$D$13:$F$64,MATCH($A72,Вводные!$A$13:$A$64,0),MATCH(CP$3,Вводные!$D$11:$F$11,0))*(1+IF(CP$4=$A72,Вводные!$D$5*INDEX(Вводные!$G$13:$G$64,MATCH($A72,Вводные!$A$13:$A$64,0)),0))</f>
        <v>1500</v>
      </c>
      <c r="CQ72" s="14" t="n">
        <f aca="false">INDEX(Вводные!$D$13:$F$64,MATCH($A72,Вводные!$A$13:$A$64,0),MATCH(CQ$3,Вводные!$D$11:$F$11,0))*(1+IF(CQ$4=$A72,Вводные!$D$5*INDEX(Вводные!$G$13:$G$64,MATCH($A72,Вводные!$A$13:$A$64,0)),0))</f>
        <v>1500</v>
      </c>
      <c r="CR72" s="14" t="n">
        <f aca="false">INDEX(Вводные!$D$13:$F$64,MATCH($A72,Вводные!$A$13:$A$64,0),MATCH(CR$3,Вводные!$D$11:$F$11,0))*(1+IF(CR$4=$A72,Вводные!$D$5*INDEX(Вводные!$G$13:$G$64,MATCH($A72,Вводные!$A$13:$A$64,0)),0))</f>
        <v>1500</v>
      </c>
      <c r="CS72" s="14" t="n">
        <f aca="false">INDEX(Вводные!$D$13:$F$64,MATCH($A72,Вводные!$A$13:$A$64,0),MATCH(CS$3,Вводные!$D$11:$F$11,0))*(1+IF(CS$4=$A72,Вводные!$D$5*INDEX(Вводные!$G$13:$G$64,MATCH($A72,Вводные!$A$13:$A$64,0)),0))</f>
        <v>1500</v>
      </c>
      <c r="CT72" s="14" t="n">
        <f aca="false">INDEX(Вводные!$D$13:$F$64,MATCH($A72,Вводные!$A$13:$A$64,0),MATCH(CT$3,Вводные!$D$11:$F$11,0))*(1+IF(CT$4=$A72,Вводные!$D$5*INDEX(Вводные!$G$13:$G$64,MATCH($A72,Вводные!$A$13:$A$64,0)),0))</f>
        <v>1500</v>
      </c>
      <c r="CU72" s="14" t="n">
        <f aca="false">INDEX(Вводные!$D$13:$F$64,MATCH($A72,Вводные!$A$13:$A$64,0),MATCH(CU$3,Вводные!$D$11:$F$11,0))*(1+IF(CU$4=$A72,Вводные!$D$5*INDEX(Вводные!$G$13:$G$64,MATCH($A72,Вводные!$A$13:$A$64,0)),0))</f>
        <v>1500</v>
      </c>
      <c r="CV72" s="14" t="n">
        <f aca="false">INDEX(Вводные!$D$13:$F$64,MATCH($A72,Вводные!$A$13:$A$64,0),MATCH(CV$3,Вводные!$D$11:$F$11,0))*(1+IF(CV$4=$A72,Вводные!$D$5*INDEX(Вводные!$G$13:$G$64,MATCH($A72,Вводные!$A$13:$A$64,0)),0))</f>
        <v>1500</v>
      </c>
      <c r="CW72" s="14" t="n">
        <f aca="false">INDEX(Вводные!$D$13:$F$64,MATCH($A72,Вводные!$A$13:$A$64,0),MATCH(CW$3,Вводные!$D$11:$F$11,0))*(1+IF(CW$4=$A72,Вводные!$D$5*INDEX(Вводные!$G$13:$G$64,MATCH($A72,Вводные!$A$13:$A$64,0)),0))</f>
        <v>1500</v>
      </c>
      <c r="CX72" s="14" t="n">
        <f aca="false">INDEX(Вводные!$D$13:$F$64,MATCH($A72,Вводные!$A$13:$A$64,0),MATCH(CX$3,Вводные!$D$11:$F$11,0))*(1+IF(CX$4=$A72,Вводные!$D$5*INDEX(Вводные!$G$13:$G$64,MATCH($A72,Вводные!$A$13:$A$64,0)),0))</f>
        <v>1500</v>
      </c>
      <c r="CY72" s="14" t="n">
        <f aca="false">INDEX(Вводные!$D$13:$F$64,MATCH($A72,Вводные!$A$13:$A$64,0),MATCH(CY$3,Вводные!$D$11:$F$11,0))*(1+IF(CY$4=$A72,Вводные!$D$5*INDEX(Вводные!$G$13:$G$64,MATCH($A72,Вводные!$A$13:$A$64,0)),0))</f>
        <v>1500</v>
      </c>
      <c r="CZ72" s="14" t="n">
        <f aca="false">INDEX(Вводные!$D$13:$F$64,MATCH($A72,Вводные!$A$13:$A$64,0),MATCH(CZ$3,Вводные!$D$11:$F$11,0))*(1+IF(CZ$4=$A72,Вводные!$D$5*INDEX(Вводные!$G$13:$G$64,MATCH($A72,Вводные!$A$13:$A$64,0)),0))</f>
        <v>1500</v>
      </c>
      <c r="DA72" s="14" t="n">
        <f aca="false">INDEX(Вводные!$D$13:$F$64,MATCH($A72,Вводные!$A$13:$A$64,0),MATCH(DA$3,Вводные!$D$11:$F$11,0))*(1+IF(DA$4=$A72,Вводные!$D$5*INDEX(Вводные!$G$13:$G$64,MATCH($A72,Вводные!$A$13:$A$64,0)),0))</f>
        <v>1500</v>
      </c>
      <c r="DB72" s="14" t="n">
        <f aca="false">INDEX(Вводные!$D$13:$F$64,MATCH($A72,Вводные!$A$13:$A$64,0),MATCH(DB$3,Вводные!$D$11:$F$11,0))*(1+IF(DB$4=$A72,Вводные!$D$5*INDEX(Вводные!$G$13:$G$64,MATCH($A72,Вводные!$A$13:$A$64,0)),0))</f>
        <v>1500</v>
      </c>
      <c r="DC72" s="14" t="n">
        <f aca="false">INDEX(Вводные!$D$13:$F$64,MATCH($A72,Вводные!$A$13:$A$64,0),MATCH(DC$3,Вводные!$D$11:$F$11,0))*(1+IF(DC$4=$A72,Вводные!$D$5*INDEX(Вводные!$G$13:$G$64,MATCH($A72,Вводные!$A$13:$A$64,0)),0))</f>
        <v>1500</v>
      </c>
      <c r="DD72" s="14" t="n">
        <f aca="false">INDEX(Вводные!$D$13:$F$64,MATCH($A72,Вводные!$A$13:$A$64,0),MATCH(DD$3,Вводные!$D$11:$F$11,0))*(1+IF(DD$4=$A72,Вводные!$D$5*INDEX(Вводные!$G$13:$G$64,MATCH($A72,Вводные!$A$13:$A$64,0)),0))</f>
        <v>1500</v>
      </c>
      <c r="DE72" s="14" t="n">
        <f aca="false">INDEX(Вводные!$D$13:$F$64,MATCH($A72,Вводные!$A$13:$A$64,0),MATCH(DE$3,Вводные!$D$11:$F$11,0))*(1+IF(DE$4=$A72,Вводные!$D$5*INDEX(Вводные!$G$13:$G$64,MATCH($A72,Вводные!$A$13:$A$64,0)),0))</f>
        <v>1500</v>
      </c>
      <c r="DF72" s="14" t="n">
        <f aca="false">INDEX(Вводные!$D$13:$F$64,MATCH($A72,Вводные!$A$13:$A$64,0),MATCH(DF$3,Вводные!$D$11:$F$11,0))*(1+IF(DF$4=$A72,Вводные!$D$5*INDEX(Вводные!$G$13:$G$64,MATCH($A72,Вводные!$A$13:$A$64,0)),0))</f>
        <v>1500</v>
      </c>
      <c r="DG72" s="14" t="n">
        <f aca="false">INDEX(Вводные!$D$13:$F$64,MATCH($A72,Вводные!$A$13:$A$64,0),MATCH(DG$3,Вводные!$D$11:$F$11,0))*(1+IF(DG$4=$A72,Вводные!$D$5*INDEX(Вводные!$G$13:$G$64,MATCH($A72,Вводные!$A$13:$A$64,0)),0))</f>
        <v>1500</v>
      </c>
      <c r="DH72" s="14" t="n">
        <f aca="false">INDEX(Вводные!$D$13:$F$64,MATCH($A72,Вводные!$A$13:$A$64,0),MATCH(DH$3,Вводные!$D$11:$F$11,0))*(1+IF(DH$4=$A72,Вводные!$D$5*INDEX(Вводные!$G$13:$G$64,MATCH($A72,Вводные!$A$13:$A$64,0)),0))</f>
        <v>1500</v>
      </c>
      <c r="DI72" s="14" t="n">
        <f aca="false">INDEX(Вводные!$D$13:$F$64,MATCH($A72,Вводные!$A$13:$A$64,0),MATCH(DI$3,Вводные!$D$11:$F$11,0))*(1+IF(DI$4=$A72,Вводные!$D$5*INDEX(Вводные!$G$13:$G$64,MATCH($A72,Вводные!$A$13:$A$64,0)),0))</f>
        <v>1500</v>
      </c>
      <c r="DJ72" s="14" t="n">
        <f aca="false">INDEX(Вводные!$D$13:$F$64,MATCH($A72,Вводные!$A$13:$A$64,0),MATCH(DJ$3,Вводные!$D$11:$F$11,0))*(1+IF(DJ$4=$A72,Вводные!$D$5*INDEX(Вводные!$G$13:$G$64,MATCH($A72,Вводные!$A$13:$A$64,0)),0))</f>
        <v>1500</v>
      </c>
      <c r="DK72" s="14" t="n">
        <f aca="false">INDEX(Вводные!$D$13:$F$64,MATCH($A72,Вводные!$A$13:$A$64,0),MATCH(DK$3,Вводные!$D$11:$F$11,0))*(1+IF(DK$4=$A72,Вводные!$D$5*INDEX(Вводные!$G$13:$G$64,MATCH($A72,Вводные!$A$13:$A$64,0)),0))</f>
        <v>1500</v>
      </c>
      <c r="DL72" s="14" t="n">
        <f aca="false">INDEX(Вводные!$D$13:$F$64,MATCH($A72,Вводные!$A$13:$A$64,0),MATCH(DL$3,Вводные!$D$11:$F$11,0))*(1+IF(DL$4=$A72,Вводные!$D$5*INDEX(Вводные!$G$13:$G$64,MATCH($A72,Вводные!$A$13:$A$64,0)),0))</f>
        <v>1500</v>
      </c>
      <c r="DM72" s="14" t="n">
        <f aca="false">INDEX(Вводные!$D$13:$F$64,MATCH($A72,Вводные!$A$13:$A$64,0),MATCH(DM$3,Вводные!$D$11:$F$11,0))*(1+IF(DM$4=$A72,Вводные!$D$5*INDEX(Вводные!$G$13:$G$64,MATCH($A72,Вводные!$A$13:$A$64,0)),0))</f>
        <v>1500</v>
      </c>
      <c r="DN72" s="14" t="n">
        <f aca="false">INDEX(Вводные!$D$13:$F$64,MATCH($A72,Вводные!$A$13:$A$64,0),MATCH(DN$3,Вводные!$D$11:$F$11,0))*(1+IF(DN$4=$A72,Вводные!$D$5*INDEX(Вводные!$G$13:$G$64,MATCH($A72,Вводные!$A$13:$A$64,0)),0))</f>
        <v>1500</v>
      </c>
      <c r="DO72" s="14" t="n">
        <f aca="false">INDEX(Вводные!$D$13:$F$64,MATCH($A72,Вводные!$A$13:$A$64,0),MATCH(DO$3,Вводные!$D$11:$F$11,0))*(1+IF(DO$4=$A72,Вводные!$D$5*INDEX(Вводные!$G$13:$G$64,MATCH($A72,Вводные!$A$13:$A$64,0)),0))</f>
        <v>1500</v>
      </c>
      <c r="DP72" s="14" t="n">
        <f aca="false">INDEX(Вводные!$D$13:$F$64,MATCH($A72,Вводные!$A$13:$A$64,0),MATCH(DP$3,Вводные!$D$11:$F$11,0))*(1+IF(DP$4=$A72,Вводные!$D$5*INDEX(Вводные!$G$13:$G$64,MATCH($A72,Вводные!$A$13:$A$64,0)),0))</f>
        <v>1500</v>
      </c>
      <c r="DQ72" s="14" t="n">
        <f aca="false">INDEX(Вводные!$D$13:$F$64,MATCH($A72,Вводные!$A$13:$A$64,0),MATCH(DQ$3,Вводные!$D$11:$F$11,0))*(1+IF(DQ$4=$A72,Вводные!$D$5*INDEX(Вводные!$G$13:$G$64,MATCH($A72,Вводные!$A$13:$A$64,0)),0))</f>
        <v>1500</v>
      </c>
      <c r="DR72" s="14" t="n">
        <f aca="false">INDEX(Вводные!$D$13:$F$64,MATCH($A72,Вводные!$A$13:$A$64,0),MATCH(DR$3,Вводные!$D$11:$F$11,0))*(1+IF(DR$4=$A72,Вводные!$D$5*INDEX(Вводные!$G$13:$G$64,MATCH($A72,Вводные!$A$13:$A$64,0)),0))</f>
        <v>1500</v>
      </c>
      <c r="DS72" s="14" t="n">
        <f aca="false">INDEX(Вводные!$D$13:$F$64,MATCH($A72,Вводные!$A$13:$A$64,0),MATCH(DS$3,Вводные!$D$11:$F$11,0))*(1+IF(DS$4=$A72,Вводные!$D$5*INDEX(Вводные!$G$13:$G$64,MATCH($A72,Вводные!$A$13:$A$64,0)),0))</f>
        <v>1500</v>
      </c>
      <c r="DT72" s="14" t="n">
        <f aca="false">INDEX(Вводные!$D$13:$F$64,MATCH($A72,Вводные!$A$13:$A$64,0),MATCH(DT$3,Вводные!$D$11:$F$11,0))*(1+IF(DT$4=$A72,Вводные!$D$5*INDEX(Вводные!$G$13:$G$64,MATCH($A72,Вводные!$A$13:$A$64,0)),0))</f>
        <v>1500</v>
      </c>
      <c r="DU72" s="14" t="n">
        <f aca="false">INDEX(Вводные!$D$13:$F$64,MATCH($A72,Вводные!$A$13:$A$64,0),MATCH(DU$3,Вводные!$D$11:$F$11,0))*(1+IF(DU$4=$A72,Вводные!$D$5*INDEX(Вводные!$G$13:$G$64,MATCH($A72,Вводные!$A$13:$A$64,0)),0))</f>
        <v>1500</v>
      </c>
      <c r="DV72" s="14" t="n">
        <f aca="false">INDEX(Вводные!$D$13:$F$64,MATCH($A72,Вводные!$A$13:$A$64,0),MATCH(DV$3,Вводные!$D$11:$F$11,0))*(1+IF(DV$4=$A72,Вводные!$D$5*INDEX(Вводные!$G$13:$G$64,MATCH($A72,Вводные!$A$13:$A$64,0)),0))</f>
        <v>1500</v>
      </c>
      <c r="DW72" s="14" t="n">
        <f aca="false">INDEX(Вводные!$D$13:$F$64,MATCH($A72,Вводные!$A$13:$A$64,0),MATCH(DW$3,Вводные!$D$11:$F$11,0))*(1+IF(DW$4=$A72,Вводные!$D$5*INDEX(Вводные!$G$13:$G$64,MATCH($A72,Вводные!$A$13:$A$64,0)),0))</f>
        <v>1500</v>
      </c>
      <c r="DX72" s="14" t="n">
        <f aca="false">INDEX(Вводные!$D$13:$F$64,MATCH($A72,Вводные!$A$13:$A$64,0),MATCH(DX$3,Вводные!$D$11:$F$11,0))*(1+IF(DX$4=$A72,Вводные!$D$5*INDEX(Вводные!$G$13:$G$64,MATCH($A72,Вводные!$A$13:$A$64,0)),0))</f>
        <v>1485</v>
      </c>
      <c r="DY72" s="14" t="n">
        <f aca="false">INDEX(Вводные!$D$13:$F$64,MATCH($A72,Вводные!$A$13:$A$64,0),MATCH(DY$3,Вводные!$D$11:$F$11,0))*(1+IF(DY$4=$A72,Вводные!$D$5*INDEX(Вводные!$G$13:$G$64,MATCH($A72,Вводные!$A$13:$A$64,0)),0))</f>
        <v>1500</v>
      </c>
      <c r="DZ72" s="14" t="n">
        <f aca="false">INDEX(Вводные!$D$13:$F$64,MATCH($A72,Вводные!$A$13:$A$64,0),MATCH(DZ$3,Вводные!$D$11:$F$11,0))*(1+IF(DZ$4=$A72,Вводные!$D$5*INDEX(Вводные!$G$13:$G$64,MATCH($A72,Вводные!$A$13:$A$64,0)),0))</f>
        <v>1500</v>
      </c>
      <c r="EA72" s="14" t="n">
        <f aca="false">INDEX(Вводные!$D$13:$F$64,MATCH($A72,Вводные!$A$13:$A$64,0),MATCH(EA$3,Вводные!$D$11:$F$11,0))*(1+IF(EA$4=$A72,Вводные!$D$5*INDEX(Вводные!$G$13:$G$64,MATCH($A72,Вводные!$A$13:$A$64,0)),0))</f>
        <v>1500</v>
      </c>
      <c r="EB72" s="14" t="n">
        <f aca="false">INDEX(Вводные!$D$13:$F$64,MATCH($A72,Вводные!$A$13:$A$64,0),MATCH(EB$3,Вводные!$D$11:$F$11,0))*(1+IF(EB$4=$A72,Вводные!$D$5*INDEX(Вводные!$G$13:$G$64,MATCH($A72,Вводные!$A$13:$A$64,0)),0))</f>
        <v>1500</v>
      </c>
      <c r="EC72" s="14" t="n">
        <f aca="false">INDEX(Вводные!$D$13:$F$64,MATCH($A72,Вводные!$A$13:$A$64,0),MATCH(EC$3,Вводные!$D$11:$F$11,0))*(1+IF(EC$4=$A72,Вводные!$D$5*INDEX(Вводные!$G$13:$G$64,MATCH($A72,Вводные!$A$13:$A$64,0)),0))</f>
        <v>1500</v>
      </c>
      <c r="ED72" s="14" t="n">
        <f aca="false">INDEX(Вводные!$D$13:$F$64,MATCH($A72,Вводные!$A$13:$A$64,0),MATCH(ED$3,Вводные!$D$11:$F$11,0))*(1+IF(ED$4=$A72,Вводные!$D$5*INDEX(Вводные!$G$13:$G$64,MATCH($A72,Вводные!$A$13:$A$64,0)),0))</f>
        <v>1500</v>
      </c>
      <c r="EE72" s="14" t="n">
        <f aca="false">INDEX(Вводные!$D$13:$F$64,MATCH($A72,Вводные!$A$13:$A$64,0),MATCH(EE$3,Вводные!$D$11:$F$11,0))*(1+IF(EE$4=$A72,Вводные!$D$5*INDEX(Вводные!$G$13:$G$64,MATCH($A72,Вводные!$A$13:$A$64,0)),0))</f>
        <v>1500</v>
      </c>
      <c r="EF72" s="14" t="n">
        <f aca="false">INDEX(Вводные!$D$13:$F$64,MATCH($A72,Вводные!$A$13:$A$64,0),MATCH(EF$3,Вводные!$D$11:$F$11,0))*(1+IF(EF$4=$A72,Вводные!$D$5*INDEX(Вводные!$G$13:$G$64,MATCH($A72,Вводные!$A$13:$A$64,0)),0))</f>
        <v>8</v>
      </c>
      <c r="EG72" s="14" t="n">
        <f aca="false">INDEX(Вводные!$D$13:$F$64,MATCH($A72,Вводные!$A$13:$A$64,0),MATCH(EG$3,Вводные!$D$11:$F$11,0))*(1+IF(EG$4=$A72,Вводные!$D$5*INDEX(Вводные!$G$13:$G$64,MATCH($A72,Вводные!$A$13:$A$64,0)),0))</f>
        <v>8</v>
      </c>
      <c r="EH72" s="14" t="n">
        <f aca="false">INDEX(Вводные!$D$13:$F$64,MATCH($A72,Вводные!$A$13:$A$64,0),MATCH(EH$3,Вводные!$D$11:$F$11,0))*(1+IF(EH$4=$A72,Вводные!$D$5*INDEX(Вводные!$G$13:$G$64,MATCH($A72,Вводные!$A$13:$A$64,0)),0))</f>
        <v>8</v>
      </c>
      <c r="EI72" s="14" t="n">
        <f aca="false">INDEX(Вводные!$D$13:$F$64,MATCH($A72,Вводные!$A$13:$A$64,0),MATCH(EI$3,Вводные!$D$11:$F$11,0))*(1+IF(EI$4=$A72,Вводные!$D$5*INDEX(Вводные!$G$13:$G$64,MATCH($A72,Вводные!$A$13:$A$64,0)),0))</f>
        <v>8</v>
      </c>
      <c r="EJ72" s="14" t="n">
        <f aca="false">INDEX(Вводные!$D$13:$F$64,MATCH($A72,Вводные!$A$13:$A$64,0),MATCH(EJ$3,Вводные!$D$11:$F$11,0))*(1+IF(EJ$4=$A72,Вводные!$D$5*INDEX(Вводные!$G$13:$G$64,MATCH($A72,Вводные!$A$13:$A$64,0)),0))</f>
        <v>8</v>
      </c>
      <c r="EK72" s="14" t="n">
        <f aca="false">INDEX(Вводные!$D$13:$F$64,MATCH($A72,Вводные!$A$13:$A$64,0),MATCH(EK$3,Вводные!$D$11:$F$11,0))*(1+IF(EK$4=$A72,Вводные!$D$5*INDEX(Вводные!$G$13:$G$64,MATCH($A72,Вводные!$A$13:$A$64,0)),0))</f>
        <v>8</v>
      </c>
      <c r="EL72" s="14" t="n">
        <f aca="false">INDEX(Вводные!$D$13:$F$64,MATCH($A72,Вводные!$A$13:$A$64,0),MATCH(EL$3,Вводные!$D$11:$F$11,0))*(1+IF(EL$4=$A72,Вводные!$D$5*INDEX(Вводные!$G$13:$G$64,MATCH($A72,Вводные!$A$13:$A$64,0)),0))</f>
        <v>8</v>
      </c>
      <c r="EM72" s="14" t="n">
        <f aca="false">INDEX(Вводные!$D$13:$F$64,MATCH($A72,Вводные!$A$13:$A$64,0),MATCH(EM$3,Вводные!$D$11:$F$11,0))*(1+IF(EM$4=$A72,Вводные!$D$5*INDEX(Вводные!$G$13:$G$64,MATCH($A72,Вводные!$A$13:$A$64,0)),0))</f>
        <v>8</v>
      </c>
      <c r="EN72" s="14" t="n">
        <f aca="false">INDEX(Вводные!$D$13:$F$64,MATCH($A72,Вводные!$A$13:$A$64,0),MATCH(EN$3,Вводные!$D$11:$F$11,0))*(1+IF(EN$4=$A72,Вводные!$D$5*INDEX(Вводные!$G$13:$G$64,MATCH($A72,Вводные!$A$13:$A$64,0)),0))</f>
        <v>8</v>
      </c>
      <c r="EO72" s="14" t="n">
        <f aca="false">INDEX(Вводные!$D$13:$F$64,MATCH($A72,Вводные!$A$13:$A$64,0),MATCH(EO$3,Вводные!$D$11:$F$11,0))*(1+IF(EO$4=$A72,Вводные!$D$5*INDEX(Вводные!$G$13:$G$64,MATCH($A72,Вводные!$A$13:$A$64,0)),0))</f>
        <v>8</v>
      </c>
      <c r="EP72" s="14" t="n">
        <f aca="false">INDEX(Вводные!$D$13:$F$64,MATCH($A72,Вводные!$A$13:$A$64,0),MATCH(EP$3,Вводные!$D$11:$F$11,0))*(1+IF(EP$4=$A72,Вводные!$D$5*INDEX(Вводные!$G$13:$G$64,MATCH($A72,Вводные!$A$13:$A$64,0)),0))</f>
        <v>8</v>
      </c>
      <c r="EQ72" s="14" t="n">
        <f aca="false">INDEX(Вводные!$D$13:$F$64,MATCH($A72,Вводные!$A$13:$A$64,0),MATCH(EQ$3,Вводные!$D$11:$F$11,0))*(1+IF(EQ$4=$A72,Вводные!$D$5*INDEX(Вводные!$G$13:$G$64,MATCH($A72,Вводные!$A$13:$A$64,0)),0))</f>
        <v>8</v>
      </c>
      <c r="ER72" s="14" t="n">
        <f aca="false">INDEX(Вводные!$D$13:$F$64,MATCH($A72,Вводные!$A$13:$A$64,0),MATCH(ER$3,Вводные!$D$11:$F$11,0))*(1+IF(ER$4=$A72,Вводные!$D$5*INDEX(Вводные!$G$13:$G$64,MATCH($A72,Вводные!$A$13:$A$64,0)),0))</f>
        <v>8</v>
      </c>
      <c r="ES72" s="14" t="n">
        <f aca="false">INDEX(Вводные!$D$13:$F$64,MATCH($A72,Вводные!$A$13:$A$64,0),MATCH(ES$3,Вводные!$D$11:$F$11,0))*(1+IF(ES$4=$A72,Вводные!$D$5*INDEX(Вводные!$G$13:$G$64,MATCH($A72,Вводные!$A$13:$A$64,0)),0))</f>
        <v>8</v>
      </c>
      <c r="ET72" s="14" t="n">
        <f aca="false">INDEX(Вводные!$D$13:$F$64,MATCH($A72,Вводные!$A$13:$A$64,0),MATCH(ET$3,Вводные!$D$11:$F$11,0))*(1+IF(ET$4=$A72,Вводные!$D$5*INDEX(Вводные!$G$13:$G$64,MATCH($A72,Вводные!$A$13:$A$64,0)),0))</f>
        <v>8</v>
      </c>
      <c r="EU72" s="14" t="n">
        <f aca="false">INDEX(Вводные!$D$13:$F$64,MATCH($A72,Вводные!$A$13:$A$64,0),MATCH(EU$3,Вводные!$D$11:$F$11,0))*(1+IF(EU$4=$A72,Вводные!$D$5*INDEX(Вводные!$G$13:$G$64,MATCH($A72,Вводные!$A$13:$A$64,0)),0))</f>
        <v>8</v>
      </c>
      <c r="EV72" s="14" t="n">
        <f aca="false">INDEX(Вводные!$D$13:$F$64,MATCH($A72,Вводные!$A$13:$A$64,0),MATCH(EV$3,Вводные!$D$11:$F$11,0))*(1+IF(EV$4=$A72,Вводные!$D$5*INDEX(Вводные!$G$13:$G$64,MATCH($A72,Вводные!$A$13:$A$64,0)),0))</f>
        <v>8</v>
      </c>
      <c r="EW72" s="14" t="n">
        <f aca="false">INDEX(Вводные!$D$13:$F$64,MATCH($A72,Вводные!$A$13:$A$64,0),MATCH(EW$3,Вводные!$D$11:$F$11,0))*(1+IF(EW$4=$A72,Вводные!$D$5*INDEX(Вводные!$G$13:$G$64,MATCH($A72,Вводные!$A$13:$A$64,0)),0))</f>
        <v>8</v>
      </c>
      <c r="EX72" s="14" t="n">
        <f aca="false">INDEX(Вводные!$D$13:$F$64,MATCH($A72,Вводные!$A$13:$A$64,0),MATCH(EX$3,Вводные!$D$11:$F$11,0))*(1+IF(EX$4=$A72,Вводные!$D$5*INDEX(Вводные!$G$13:$G$64,MATCH($A72,Вводные!$A$13:$A$64,0)),0))</f>
        <v>8</v>
      </c>
      <c r="EY72" s="14" t="n">
        <f aca="false">INDEX(Вводные!$D$13:$F$64,MATCH($A72,Вводные!$A$13:$A$64,0),MATCH(EY$3,Вводные!$D$11:$F$11,0))*(1+IF(EY$4=$A72,Вводные!$D$5*INDEX(Вводные!$G$13:$G$64,MATCH($A72,Вводные!$A$13:$A$64,0)),0))</f>
        <v>8</v>
      </c>
      <c r="EZ72" s="14" t="n">
        <f aca="false">INDEX(Вводные!$D$13:$F$64,MATCH($A72,Вводные!$A$13:$A$64,0),MATCH(EZ$3,Вводные!$D$11:$F$11,0))*(1+IF(EZ$4=$A72,Вводные!$D$5*INDEX(Вводные!$G$13:$G$64,MATCH($A72,Вводные!$A$13:$A$64,0)),0))</f>
        <v>8</v>
      </c>
      <c r="FA72" s="14" t="n">
        <f aca="false">INDEX(Вводные!$D$13:$F$64,MATCH($A72,Вводные!$A$13:$A$64,0),MATCH(FA$3,Вводные!$D$11:$F$11,0))*(1+IF(FA$4=$A72,Вводные!$D$5*INDEX(Вводные!$G$13:$G$64,MATCH($A72,Вводные!$A$13:$A$64,0)),0))</f>
        <v>8</v>
      </c>
      <c r="FB72" s="14" t="n">
        <f aca="false">INDEX(Вводные!$D$13:$F$64,MATCH($A72,Вводные!$A$13:$A$64,0),MATCH(FB$3,Вводные!$D$11:$F$11,0))*(1+IF(FB$4=$A72,Вводные!$D$5*INDEX(Вводные!$G$13:$G$64,MATCH($A72,Вводные!$A$13:$A$64,0)),0))</f>
        <v>8</v>
      </c>
      <c r="FC72" s="14" t="n">
        <f aca="false">INDEX(Вводные!$D$13:$F$64,MATCH($A72,Вводные!$A$13:$A$64,0),MATCH(FC$3,Вводные!$D$11:$F$11,0))*(1+IF(FC$4=$A72,Вводные!$D$5*INDEX(Вводные!$G$13:$G$64,MATCH($A72,Вводные!$A$13:$A$64,0)),0))</f>
        <v>8</v>
      </c>
      <c r="FD72" s="14" t="n">
        <f aca="false">INDEX(Вводные!$D$13:$F$64,MATCH($A72,Вводные!$A$13:$A$64,0),MATCH(FD$3,Вводные!$D$11:$F$11,0))*(1+IF(FD$4=$A72,Вводные!$D$5*INDEX(Вводные!$G$13:$G$64,MATCH($A72,Вводные!$A$13:$A$64,0)),0))</f>
        <v>8</v>
      </c>
      <c r="FE72" s="14" t="n">
        <f aca="false">INDEX(Вводные!$D$13:$F$64,MATCH($A72,Вводные!$A$13:$A$64,0),MATCH(FE$3,Вводные!$D$11:$F$11,0))*(1+IF(FE$4=$A72,Вводные!$D$5*INDEX(Вводные!$G$13:$G$64,MATCH($A72,Вводные!$A$13:$A$64,0)),0))</f>
        <v>8</v>
      </c>
      <c r="FF72" s="14" t="n">
        <f aca="false">INDEX(Вводные!$D$13:$F$64,MATCH($A72,Вводные!$A$13:$A$64,0),MATCH(FF$3,Вводные!$D$11:$F$11,0))*(1+IF(FF$4=$A72,Вводные!$D$5*INDEX(Вводные!$G$13:$G$64,MATCH($A72,Вводные!$A$13:$A$64,0)),0))</f>
        <v>8</v>
      </c>
      <c r="FG72" s="14" t="n">
        <f aca="false">INDEX(Вводные!$D$13:$F$64,MATCH($A72,Вводные!$A$13:$A$64,0),MATCH(FG$3,Вводные!$D$11:$F$11,0))*(1+IF(FG$4=$A72,Вводные!$D$5*INDEX(Вводные!$G$13:$G$64,MATCH($A72,Вводные!$A$13:$A$64,0)),0))</f>
        <v>8</v>
      </c>
      <c r="FH72" s="14" t="n">
        <f aca="false">INDEX(Вводные!$D$13:$F$64,MATCH($A72,Вводные!$A$13:$A$64,0),MATCH(FH$3,Вводные!$D$11:$F$11,0))*(1+IF(FH$4=$A72,Вводные!$D$5*INDEX(Вводные!$G$13:$G$64,MATCH($A72,Вводные!$A$13:$A$64,0)),0))</f>
        <v>8</v>
      </c>
      <c r="FI72" s="14" t="n">
        <f aca="false">INDEX(Вводные!$D$13:$F$64,MATCH($A72,Вводные!$A$13:$A$64,0),MATCH(FI$3,Вводные!$D$11:$F$11,0))*(1+IF(FI$4=$A72,Вводные!$D$5*INDEX(Вводные!$G$13:$G$64,MATCH($A72,Вводные!$A$13:$A$64,0)),0))</f>
        <v>8</v>
      </c>
      <c r="FJ72" s="14" t="n">
        <f aca="false">INDEX(Вводные!$D$13:$F$64,MATCH($A72,Вводные!$A$13:$A$64,0),MATCH(FJ$3,Вводные!$D$11:$F$11,0))*(1+IF(FJ$4=$A72,Вводные!$D$5*INDEX(Вводные!$G$13:$G$64,MATCH($A72,Вводные!$A$13:$A$64,0)),0))</f>
        <v>8</v>
      </c>
      <c r="FK72" s="14" t="n">
        <f aca="false">INDEX(Вводные!$D$13:$F$64,MATCH($A72,Вводные!$A$13:$A$64,0),MATCH(FK$3,Вводные!$D$11:$F$11,0))*(1+IF(FK$4=$A72,Вводные!$D$5*INDEX(Вводные!$G$13:$G$64,MATCH($A72,Вводные!$A$13:$A$64,0)),0))</f>
        <v>8</v>
      </c>
      <c r="FL72" s="14" t="n">
        <f aca="false">INDEX(Вводные!$D$13:$F$64,MATCH($A72,Вводные!$A$13:$A$64,0),MATCH(FL$3,Вводные!$D$11:$F$11,0))*(1+IF(FL$4=$A72,Вводные!$D$5*INDEX(Вводные!$G$13:$G$64,MATCH($A72,Вводные!$A$13:$A$64,0)),0))</f>
        <v>8</v>
      </c>
      <c r="FM72" s="14" t="n">
        <f aca="false">INDEX(Вводные!$D$13:$F$64,MATCH($A72,Вводные!$A$13:$A$64,0),MATCH(FM$3,Вводные!$D$11:$F$11,0))*(1+IF(FM$4=$A72,Вводные!$D$5*INDEX(Вводные!$G$13:$G$64,MATCH($A72,Вводные!$A$13:$A$64,0)),0))</f>
        <v>8</v>
      </c>
      <c r="FN72" s="14" t="n">
        <f aca="false">INDEX(Вводные!$D$13:$F$64,MATCH($A72,Вводные!$A$13:$A$64,0),MATCH(FN$3,Вводные!$D$11:$F$11,0))*(1+IF(FN$4=$A72,Вводные!$D$5*INDEX(Вводные!$G$13:$G$64,MATCH($A72,Вводные!$A$13:$A$64,0)),0))</f>
        <v>7.92</v>
      </c>
      <c r="FO72" s="14" t="n">
        <f aca="false">INDEX(Вводные!$D$13:$F$64,MATCH($A72,Вводные!$A$13:$A$64,0),MATCH(FO$3,Вводные!$D$11:$F$11,0))*(1+IF(FO$4=$A72,Вводные!$D$5*INDEX(Вводные!$G$13:$G$64,MATCH($A72,Вводные!$A$13:$A$64,0)),0))</f>
        <v>8</v>
      </c>
      <c r="FP72" s="14" t="n">
        <f aca="false">INDEX(Вводные!$D$13:$F$64,MATCH($A72,Вводные!$A$13:$A$64,0),MATCH(FP$3,Вводные!$D$11:$F$11,0))*(1+IF(FP$4=$A72,Вводные!$D$5*INDEX(Вводные!$G$13:$G$64,MATCH($A72,Вводные!$A$13:$A$64,0)),0))</f>
        <v>8</v>
      </c>
      <c r="FQ72" s="14" t="n">
        <f aca="false">INDEX(Вводные!$D$13:$F$64,MATCH($A72,Вводные!$A$13:$A$64,0),MATCH(FQ$3,Вводные!$D$11:$F$11,0))*(1+IF(FQ$4=$A72,Вводные!$D$5*INDEX(Вводные!$G$13:$G$64,MATCH($A72,Вводные!$A$13:$A$64,0)),0))</f>
        <v>8</v>
      </c>
      <c r="FR72" s="14" t="n">
        <f aca="false">INDEX(Вводные!$D$13:$F$64,MATCH($A72,Вводные!$A$13:$A$64,0),MATCH(FR$3,Вводные!$D$11:$F$11,0))*(1+IF(FR$4=$A72,Вводные!$D$5*INDEX(Вводные!$G$13:$G$64,MATCH($A72,Вводные!$A$13:$A$64,0)),0))</f>
        <v>8</v>
      </c>
      <c r="FS72" s="14" t="n">
        <f aca="false">INDEX(Вводные!$D$13:$F$64,MATCH($A72,Вводные!$A$13:$A$64,0),MATCH(FS$3,Вводные!$D$11:$F$11,0))*(1+IF(FS$4=$A72,Вводные!$D$5*INDEX(Вводные!$G$13:$G$64,MATCH($A72,Вводные!$A$13:$A$64,0)),0))</f>
        <v>8</v>
      </c>
      <c r="FT72" s="14" t="n">
        <f aca="false">INDEX(Вводные!$D$13:$F$64,MATCH($A72,Вводные!$A$13:$A$64,0),MATCH(FT$3,Вводные!$D$11:$F$11,0))*(1+IF(FT$4=$A72,Вводные!$D$5*INDEX(Вводные!$G$13:$G$64,MATCH($A72,Вводные!$A$13:$A$64,0)),0))</f>
        <v>8</v>
      </c>
      <c r="FU72" s="14" t="n">
        <f aca="false">INDEX(Вводные!$D$13:$F$64,MATCH($A72,Вводные!$A$13:$A$64,0),MATCH(FU$3,Вводные!$D$11:$F$11,0))*(1+IF(FU$4=$A72,Вводные!$D$5*INDEX(Вводные!$G$13:$G$64,MATCH($A72,Вводные!$A$13:$A$64,0)),0))</f>
        <v>8</v>
      </c>
      <c r="FV72" s="14" t="n">
        <f aca="false">INDEX(Вводные!$D$13:$F$64,MATCH($A72,Вводные!$A$13:$A$64,0),MATCH(FV$3,Вводные!$D$11:$F$11,0))*(1+IF(FV$4=$A72,Вводные!$D$5*INDEX(Вводные!$G$13:$G$64,MATCH($A72,Вводные!$A$13:$A$64,0)),0))</f>
        <v>40</v>
      </c>
      <c r="FW72" s="14" t="n">
        <f aca="false">INDEX(Вводные!$D$13:$F$64,MATCH($A72,Вводные!$A$13:$A$64,0),MATCH(FW$3,Вводные!$D$11:$F$11,0))*(1+IF(FW$4=$A72,Вводные!$D$5*INDEX(Вводные!$G$13:$G$64,MATCH($A72,Вводные!$A$13:$A$64,0)),0))</f>
        <v>40</v>
      </c>
      <c r="FX72" s="14" t="n">
        <f aca="false">INDEX(Вводные!$D$13:$F$64,MATCH($A72,Вводные!$A$13:$A$64,0),MATCH(FX$3,Вводные!$D$11:$F$11,0))*(1+IF(FX$4=$A72,Вводные!$D$5*INDEX(Вводные!$G$13:$G$64,MATCH($A72,Вводные!$A$13:$A$64,0)),0))</f>
        <v>40</v>
      </c>
      <c r="FY72" s="14" t="n">
        <f aca="false">INDEX(Вводные!$D$13:$F$64,MATCH($A72,Вводные!$A$13:$A$64,0),MATCH(FY$3,Вводные!$D$11:$F$11,0))*(1+IF(FY$4=$A72,Вводные!$D$5*INDEX(Вводные!$G$13:$G$64,MATCH($A72,Вводные!$A$13:$A$64,0)),0))</f>
        <v>40</v>
      </c>
      <c r="FZ72" s="14" t="n">
        <f aca="false">INDEX(Вводные!$D$13:$F$64,MATCH($A72,Вводные!$A$13:$A$64,0),MATCH(FZ$3,Вводные!$D$11:$F$11,0))*(1+IF(FZ$4=$A72,Вводные!$D$5*INDEX(Вводные!$G$13:$G$64,MATCH($A72,Вводные!$A$13:$A$64,0)),0))</f>
        <v>40</v>
      </c>
      <c r="GA72" s="14" t="n">
        <f aca="false">INDEX(Вводные!$D$13:$F$64,MATCH($A72,Вводные!$A$13:$A$64,0),MATCH(GA$3,Вводные!$D$11:$F$11,0))*(1+IF(GA$4=$A72,Вводные!$D$5*INDEX(Вводные!$G$13:$G$64,MATCH($A72,Вводные!$A$13:$A$64,0)),0))</f>
        <v>40</v>
      </c>
      <c r="GB72" s="14" t="n">
        <f aca="false">INDEX(Вводные!$D$13:$F$64,MATCH($A72,Вводные!$A$13:$A$64,0),MATCH(GB$3,Вводные!$D$11:$F$11,0))*(1+IF(GB$4=$A72,Вводные!$D$5*INDEX(Вводные!$G$13:$G$64,MATCH($A72,Вводные!$A$13:$A$64,0)),0))</f>
        <v>40</v>
      </c>
      <c r="GC72" s="14" t="n">
        <f aca="false">INDEX(Вводные!$D$13:$F$64,MATCH($A72,Вводные!$A$13:$A$64,0),MATCH(GC$3,Вводные!$D$11:$F$11,0))*(1+IF(GC$4=$A72,Вводные!$D$5*INDEX(Вводные!$G$13:$G$64,MATCH($A72,Вводные!$A$13:$A$64,0)),0))</f>
        <v>40</v>
      </c>
      <c r="GD72" s="14" t="n">
        <f aca="false">INDEX(Вводные!$D$13:$F$64,MATCH($A72,Вводные!$A$13:$A$64,0),MATCH(GD$3,Вводные!$D$11:$F$11,0))*(1+IF(GD$4=$A72,Вводные!$D$5*INDEX(Вводные!$G$13:$G$64,MATCH($A72,Вводные!$A$13:$A$64,0)),0))</f>
        <v>40</v>
      </c>
      <c r="GE72" s="14" t="n">
        <f aca="false">INDEX(Вводные!$D$13:$F$64,MATCH($A72,Вводные!$A$13:$A$64,0),MATCH(GE$3,Вводные!$D$11:$F$11,0))*(1+IF(GE$4=$A72,Вводные!$D$5*INDEX(Вводные!$G$13:$G$64,MATCH($A72,Вводные!$A$13:$A$64,0)),0))</f>
        <v>40</v>
      </c>
      <c r="GF72" s="14" t="n">
        <f aca="false">INDEX(Вводные!$D$13:$F$64,MATCH($A72,Вводные!$A$13:$A$64,0),MATCH(GF$3,Вводные!$D$11:$F$11,0))*(1+IF(GF$4=$A72,Вводные!$D$5*INDEX(Вводные!$G$13:$G$64,MATCH($A72,Вводные!$A$13:$A$64,0)),0))</f>
        <v>40</v>
      </c>
      <c r="GG72" s="14" t="n">
        <f aca="false">INDEX(Вводные!$D$13:$F$64,MATCH($A72,Вводные!$A$13:$A$64,0),MATCH(GG$3,Вводные!$D$11:$F$11,0))*(1+IF(GG$4=$A72,Вводные!$D$5*INDEX(Вводные!$G$13:$G$64,MATCH($A72,Вводные!$A$13:$A$64,0)),0))</f>
        <v>40</v>
      </c>
      <c r="GH72" s="14" t="n">
        <f aca="false">INDEX(Вводные!$D$13:$F$64,MATCH($A72,Вводные!$A$13:$A$64,0),MATCH(GH$3,Вводные!$D$11:$F$11,0))*(1+IF(GH$4=$A72,Вводные!$D$5*INDEX(Вводные!$G$13:$G$64,MATCH($A72,Вводные!$A$13:$A$64,0)),0))</f>
        <v>40</v>
      </c>
      <c r="GI72" s="14" t="n">
        <f aca="false">INDEX(Вводные!$D$13:$F$64,MATCH($A72,Вводные!$A$13:$A$64,0),MATCH(GI$3,Вводные!$D$11:$F$11,0))*(1+IF(GI$4=$A72,Вводные!$D$5*INDEX(Вводные!$G$13:$G$64,MATCH($A72,Вводные!$A$13:$A$64,0)),0))</f>
        <v>40</v>
      </c>
      <c r="GJ72" s="14" t="n">
        <f aca="false">INDEX(Вводные!$D$13:$F$64,MATCH($A72,Вводные!$A$13:$A$64,0),MATCH(GJ$3,Вводные!$D$11:$F$11,0))*(1+IF(GJ$4=$A72,Вводные!$D$5*INDEX(Вводные!$G$13:$G$64,MATCH($A72,Вводные!$A$13:$A$64,0)),0))</f>
        <v>40</v>
      </c>
      <c r="GK72" s="14" t="n">
        <f aca="false">INDEX(Вводные!$D$13:$F$64,MATCH($A72,Вводные!$A$13:$A$64,0),MATCH(GK$3,Вводные!$D$11:$F$11,0))*(1+IF(GK$4=$A72,Вводные!$D$5*INDEX(Вводные!$G$13:$G$64,MATCH($A72,Вводные!$A$13:$A$64,0)),0))</f>
        <v>40</v>
      </c>
      <c r="GL72" s="14" t="n">
        <f aca="false">INDEX(Вводные!$D$13:$F$64,MATCH($A72,Вводные!$A$13:$A$64,0),MATCH(GL$3,Вводные!$D$11:$F$11,0))*(1+IF(GL$4=$A72,Вводные!$D$5*INDEX(Вводные!$G$13:$G$64,MATCH($A72,Вводные!$A$13:$A$64,0)),0))</f>
        <v>40</v>
      </c>
      <c r="GM72" s="14" t="n">
        <f aca="false">INDEX(Вводные!$D$13:$F$64,MATCH($A72,Вводные!$A$13:$A$64,0),MATCH(GM$3,Вводные!$D$11:$F$11,0))*(1+IF(GM$4=$A72,Вводные!$D$5*INDEX(Вводные!$G$13:$G$64,MATCH($A72,Вводные!$A$13:$A$64,0)),0))</f>
        <v>40</v>
      </c>
      <c r="GN72" s="14" t="n">
        <f aca="false">INDEX(Вводные!$D$13:$F$64,MATCH($A72,Вводные!$A$13:$A$64,0),MATCH(GN$3,Вводные!$D$11:$F$11,0))*(1+IF(GN$4=$A72,Вводные!$D$5*INDEX(Вводные!$G$13:$G$64,MATCH($A72,Вводные!$A$13:$A$64,0)),0))</f>
        <v>40</v>
      </c>
      <c r="GO72" s="14" t="n">
        <f aca="false">INDEX(Вводные!$D$13:$F$64,MATCH($A72,Вводные!$A$13:$A$64,0),MATCH(GO$3,Вводные!$D$11:$F$11,0))*(1+IF(GO$4=$A72,Вводные!$D$5*INDEX(Вводные!$G$13:$G$64,MATCH($A72,Вводные!$A$13:$A$64,0)),0))</f>
        <v>40</v>
      </c>
      <c r="GP72" s="14" t="n">
        <f aca="false">INDEX(Вводные!$D$13:$F$64,MATCH($A72,Вводные!$A$13:$A$64,0),MATCH(GP$3,Вводные!$D$11:$F$11,0))*(1+IF(GP$4=$A72,Вводные!$D$5*INDEX(Вводные!$G$13:$G$64,MATCH($A72,Вводные!$A$13:$A$64,0)),0))</f>
        <v>40</v>
      </c>
      <c r="GQ72" s="14" t="n">
        <f aca="false">INDEX(Вводные!$D$13:$F$64,MATCH($A72,Вводные!$A$13:$A$64,0),MATCH(GQ$3,Вводные!$D$11:$F$11,0))*(1+IF(GQ$4=$A72,Вводные!$D$5*INDEX(Вводные!$G$13:$G$64,MATCH($A72,Вводные!$A$13:$A$64,0)),0))</f>
        <v>40</v>
      </c>
      <c r="GR72" s="14" t="n">
        <f aca="false">INDEX(Вводные!$D$13:$F$64,MATCH($A72,Вводные!$A$13:$A$64,0),MATCH(GR$3,Вводные!$D$11:$F$11,0))*(1+IF(GR$4=$A72,Вводные!$D$5*INDEX(Вводные!$G$13:$G$64,MATCH($A72,Вводные!$A$13:$A$64,0)),0))</f>
        <v>40</v>
      </c>
      <c r="GS72" s="14" t="n">
        <f aca="false">INDEX(Вводные!$D$13:$F$64,MATCH($A72,Вводные!$A$13:$A$64,0),MATCH(GS$3,Вводные!$D$11:$F$11,0))*(1+IF(GS$4=$A72,Вводные!$D$5*INDEX(Вводные!$G$13:$G$64,MATCH($A72,Вводные!$A$13:$A$64,0)),0))</f>
        <v>40</v>
      </c>
      <c r="GT72" s="14" t="n">
        <f aca="false">INDEX(Вводные!$D$13:$F$64,MATCH($A72,Вводные!$A$13:$A$64,0),MATCH(GT$3,Вводные!$D$11:$F$11,0))*(1+IF(GT$4=$A72,Вводные!$D$5*INDEX(Вводные!$G$13:$G$64,MATCH($A72,Вводные!$A$13:$A$64,0)),0))</f>
        <v>40</v>
      </c>
      <c r="GU72" s="14" t="n">
        <f aca="false">INDEX(Вводные!$D$13:$F$64,MATCH($A72,Вводные!$A$13:$A$64,0),MATCH(GU$3,Вводные!$D$11:$F$11,0))*(1+IF(GU$4=$A72,Вводные!$D$5*INDEX(Вводные!$G$13:$G$64,MATCH($A72,Вводные!$A$13:$A$64,0)),0))</f>
        <v>40</v>
      </c>
      <c r="GV72" s="14" t="n">
        <f aca="false">INDEX(Вводные!$D$13:$F$64,MATCH($A72,Вводные!$A$13:$A$64,0),MATCH(GV$3,Вводные!$D$11:$F$11,0))*(1+IF(GV$4=$A72,Вводные!$D$5*INDEX(Вводные!$G$13:$G$64,MATCH($A72,Вводные!$A$13:$A$64,0)),0))</f>
        <v>40</v>
      </c>
      <c r="GW72" s="14" t="n">
        <f aca="false">INDEX(Вводные!$D$13:$F$64,MATCH($A72,Вводные!$A$13:$A$64,0),MATCH(GW$3,Вводные!$D$11:$F$11,0))*(1+IF(GW$4=$A72,Вводные!$D$5*INDEX(Вводные!$G$13:$G$64,MATCH($A72,Вводные!$A$13:$A$64,0)),0))</f>
        <v>40</v>
      </c>
      <c r="GX72" s="14" t="n">
        <f aca="false">INDEX(Вводные!$D$13:$F$64,MATCH($A72,Вводные!$A$13:$A$64,0),MATCH(GX$3,Вводные!$D$11:$F$11,0))*(1+IF(GX$4=$A72,Вводные!$D$5*INDEX(Вводные!$G$13:$G$64,MATCH($A72,Вводные!$A$13:$A$64,0)),0))</f>
        <v>40</v>
      </c>
      <c r="GY72" s="14" t="n">
        <f aca="false">INDEX(Вводные!$D$13:$F$64,MATCH($A72,Вводные!$A$13:$A$64,0),MATCH(GY$3,Вводные!$D$11:$F$11,0))*(1+IF(GY$4=$A72,Вводные!$D$5*INDEX(Вводные!$G$13:$G$64,MATCH($A72,Вводные!$A$13:$A$64,0)),0))</f>
        <v>40</v>
      </c>
      <c r="GZ72" s="14" t="n">
        <f aca="false">INDEX(Вводные!$D$13:$F$64,MATCH($A72,Вводные!$A$13:$A$64,0),MATCH(GZ$3,Вводные!$D$11:$F$11,0))*(1+IF(GZ$4=$A72,Вводные!$D$5*INDEX(Вводные!$G$13:$G$64,MATCH($A72,Вводные!$A$13:$A$64,0)),0))</f>
        <v>40</v>
      </c>
      <c r="HA72" s="14" t="n">
        <f aca="false">INDEX(Вводные!$D$13:$F$64,MATCH($A72,Вводные!$A$13:$A$64,0),MATCH(HA$3,Вводные!$D$11:$F$11,0))*(1+IF(HA$4=$A72,Вводные!$D$5*INDEX(Вводные!$G$13:$G$64,MATCH($A72,Вводные!$A$13:$A$64,0)),0))</f>
        <v>40</v>
      </c>
      <c r="HB72" s="14" t="n">
        <f aca="false">INDEX(Вводные!$D$13:$F$64,MATCH($A72,Вводные!$A$13:$A$64,0),MATCH(HB$3,Вводные!$D$11:$F$11,0))*(1+IF(HB$4=$A72,Вводные!$D$5*INDEX(Вводные!$G$13:$G$64,MATCH($A72,Вводные!$A$13:$A$64,0)),0))</f>
        <v>40</v>
      </c>
      <c r="HC72" s="14" t="n">
        <f aca="false">INDEX(Вводные!$D$13:$F$64,MATCH($A72,Вводные!$A$13:$A$64,0),MATCH(HC$3,Вводные!$D$11:$F$11,0))*(1+IF(HC$4=$A72,Вводные!$D$5*INDEX(Вводные!$G$13:$G$64,MATCH($A72,Вводные!$A$13:$A$64,0)),0))</f>
        <v>40</v>
      </c>
      <c r="HD72" s="14" t="n">
        <f aca="false">INDEX(Вводные!$D$13:$F$64,MATCH($A72,Вводные!$A$13:$A$64,0),MATCH(HD$3,Вводные!$D$11:$F$11,0))*(1+IF(HD$4=$A72,Вводные!$D$5*INDEX(Вводные!$G$13:$G$64,MATCH($A72,Вводные!$A$13:$A$64,0)),0))</f>
        <v>39.6</v>
      </c>
      <c r="HE72" s="14" t="n">
        <f aca="false">INDEX(Вводные!$D$13:$F$64,MATCH($A72,Вводные!$A$13:$A$64,0),MATCH(HE$3,Вводные!$D$11:$F$11,0))*(1+IF(HE$4=$A72,Вводные!$D$5*INDEX(Вводные!$G$13:$G$64,MATCH($A72,Вводные!$A$13:$A$64,0)),0))</f>
        <v>40</v>
      </c>
      <c r="HF72" s="14" t="n">
        <f aca="false">INDEX(Вводные!$D$13:$F$64,MATCH($A72,Вводные!$A$13:$A$64,0),MATCH(HF$3,Вводные!$D$11:$F$11,0))*(1+IF(HF$4=$A72,Вводные!$D$5*INDEX(Вводные!$G$13:$G$64,MATCH($A72,Вводные!$A$13:$A$64,0)),0))</f>
        <v>40</v>
      </c>
      <c r="HG72" s="14" t="n">
        <f aca="false">INDEX(Вводные!$D$13:$F$64,MATCH($A72,Вводные!$A$13:$A$64,0),MATCH(HG$3,Вводные!$D$11:$F$11,0))*(1+IF(HG$4=$A72,Вводные!$D$5*INDEX(Вводные!$G$13:$G$64,MATCH($A72,Вводные!$A$13:$A$64,0)),0))</f>
        <v>40</v>
      </c>
      <c r="HH72" s="14" t="n">
        <f aca="false">INDEX(Вводные!$D$13:$F$64,MATCH($A72,Вводные!$A$13:$A$64,0),MATCH(HH$3,Вводные!$D$11:$F$11,0))*(1+IF(HH$4=$A72,Вводные!$D$5*INDEX(Вводные!$G$13:$G$64,MATCH($A72,Вводные!$A$13:$A$64,0)),0))</f>
        <v>40</v>
      </c>
      <c r="HI72" s="14" t="n">
        <f aca="false">INDEX(Вводные!$D$13:$F$64,MATCH($A72,Вводные!$A$13:$A$64,0),MATCH(HI$3,Вводные!$D$11:$F$11,0))*(1+IF(HI$4=$A72,Вводные!$D$5*INDEX(Вводные!$G$13:$G$64,MATCH($A72,Вводные!$A$13:$A$64,0)),0))</f>
        <v>40</v>
      </c>
      <c r="HJ72" s="14" t="n">
        <f aca="false">INDEX(Вводные!$D$13:$F$64,MATCH($A72,Вводные!$A$13:$A$64,0),MATCH(HJ$3,Вводные!$D$11:$F$11,0))*(1+IF(HJ$4=$A72,Вводные!$D$5*INDEX(Вводные!$G$13:$G$64,MATCH($A72,Вводные!$A$13:$A$64,0)),0))</f>
        <v>40</v>
      </c>
      <c r="HK72" s="14" t="n">
        <f aca="false">INDEX(Вводные!$D$13:$F$64,MATCH($A72,Вводные!$A$13:$A$64,0),MATCH(HK$3,Вводные!$D$11:$F$11,0))*(1+IF(HK$4=$A72,Вводные!$D$5*INDEX(Вводные!$G$13:$G$64,MATCH($A72,Вводные!$A$13:$A$64,0)),0))</f>
        <v>40</v>
      </c>
      <c r="HL72" s="14" t="n">
        <f aca="false">INDEX(Вводные!$D$13:$F$64,MATCH($A72,Вводные!$A$13:$A$64,0),MATCH(HL$3,Вводные!$D$11:$F$11,0))*(1+IF(HL$4=$A72,Вводные!$D$5*INDEX(Вводные!$G$13:$G$64,MATCH($A72,Вводные!$A$13:$A$64,0)),0))</f>
        <v>1500</v>
      </c>
      <c r="HM72" s="14" t="n">
        <f aca="false">INDEX(Вводные!$D$13:$F$64,MATCH($A72,Вводные!$A$13:$A$64,0),MATCH(HM$3,Вводные!$D$11:$F$11,0))*(1+IF(HM$4=$A72,Вводные!$D$5*INDEX(Вводные!$G$13:$G$64,MATCH($A72,Вводные!$A$13:$A$64,0)),0))</f>
        <v>1500</v>
      </c>
      <c r="HN72" s="14" t="n">
        <f aca="false">INDEX(Вводные!$D$13:$F$64,MATCH($A72,Вводные!$A$13:$A$64,0),MATCH(HN$3,Вводные!$D$11:$F$11,0))*(1+IF(HN$4=$A72,Вводные!$D$5*INDEX(Вводные!$G$13:$G$64,MATCH($A72,Вводные!$A$13:$A$64,0)),0))</f>
        <v>1500</v>
      </c>
      <c r="HO72" s="14" t="n">
        <f aca="false">INDEX(Вводные!$D$13:$F$64,MATCH($A72,Вводные!$A$13:$A$64,0),MATCH(HO$3,Вводные!$D$11:$F$11,0))*(1+IF(HO$4=$A72,Вводные!$D$5*INDEX(Вводные!$G$13:$G$64,MATCH($A72,Вводные!$A$13:$A$64,0)),0))</f>
        <v>1500</v>
      </c>
      <c r="HP72" s="14" t="n">
        <f aca="false">INDEX(Вводные!$D$13:$F$64,MATCH($A72,Вводные!$A$13:$A$64,0),MATCH(HP$3,Вводные!$D$11:$F$11,0))*(1+IF(HP$4=$A72,Вводные!$D$5*INDEX(Вводные!$G$13:$G$64,MATCH($A72,Вводные!$A$13:$A$64,0)),0))</f>
        <v>1500</v>
      </c>
      <c r="HQ72" s="14" t="n">
        <f aca="false">INDEX(Вводные!$D$13:$F$64,MATCH($A72,Вводные!$A$13:$A$64,0),MATCH(HQ$3,Вводные!$D$11:$F$11,0))*(1+IF(HQ$4=$A72,Вводные!$D$5*INDEX(Вводные!$G$13:$G$64,MATCH($A72,Вводные!$A$13:$A$64,0)),0))</f>
        <v>1500</v>
      </c>
      <c r="HR72" s="14" t="n">
        <f aca="false">INDEX(Вводные!$D$13:$F$64,MATCH($A72,Вводные!$A$13:$A$64,0),MATCH(HR$3,Вводные!$D$11:$F$11,0))*(1+IF(HR$4=$A72,Вводные!$D$5*INDEX(Вводные!$G$13:$G$64,MATCH($A72,Вводные!$A$13:$A$64,0)),0))</f>
        <v>1500</v>
      </c>
      <c r="HS72" s="14" t="n">
        <f aca="false">INDEX(Вводные!$D$13:$F$64,MATCH($A72,Вводные!$A$13:$A$64,0),MATCH(HS$3,Вводные!$D$11:$F$11,0))*(1+IF(HS$4=$A72,Вводные!$D$5*INDEX(Вводные!$G$13:$G$64,MATCH($A72,Вводные!$A$13:$A$64,0)),0))</f>
        <v>1500</v>
      </c>
      <c r="HT72" s="14" t="n">
        <f aca="false">INDEX(Вводные!$D$13:$F$64,MATCH($A72,Вводные!$A$13:$A$64,0),MATCH(HT$3,Вводные!$D$11:$F$11,0))*(1+IF(HT$4=$A72,Вводные!$D$5*INDEX(Вводные!$G$13:$G$64,MATCH($A72,Вводные!$A$13:$A$64,0)),0))</f>
        <v>1500</v>
      </c>
      <c r="HU72" s="14" t="n">
        <f aca="false">INDEX(Вводные!$D$13:$F$64,MATCH($A72,Вводные!$A$13:$A$64,0),MATCH(HU$3,Вводные!$D$11:$F$11,0))*(1+IF(HU$4=$A72,Вводные!$D$5*INDEX(Вводные!$G$13:$G$64,MATCH($A72,Вводные!$A$13:$A$64,0)),0))</f>
        <v>1500</v>
      </c>
      <c r="HV72" s="14" t="n">
        <f aca="false">INDEX(Вводные!$D$13:$F$64,MATCH($A72,Вводные!$A$13:$A$64,0),MATCH(HV$3,Вводные!$D$11:$F$11,0))*(1+IF(HV$4=$A72,Вводные!$D$5*INDEX(Вводные!$G$13:$G$64,MATCH($A72,Вводные!$A$13:$A$64,0)),0))</f>
        <v>1500</v>
      </c>
      <c r="HW72" s="14" t="n">
        <f aca="false">INDEX(Вводные!$D$13:$F$64,MATCH($A72,Вводные!$A$13:$A$64,0),MATCH(HW$3,Вводные!$D$11:$F$11,0))*(1+IF(HW$4=$A72,Вводные!$D$5*INDEX(Вводные!$G$13:$G$64,MATCH($A72,Вводные!$A$13:$A$64,0)),0))</f>
        <v>1500</v>
      </c>
      <c r="HX72" s="14" t="n">
        <f aca="false">INDEX(Вводные!$D$13:$F$64,MATCH($A72,Вводные!$A$13:$A$64,0),MATCH(HX$3,Вводные!$D$11:$F$11,0))*(1+IF(HX$4=$A72,Вводные!$D$5*INDEX(Вводные!$G$13:$G$64,MATCH($A72,Вводные!$A$13:$A$64,0)),0))</f>
        <v>1500</v>
      </c>
      <c r="HY72" s="14" t="n">
        <f aca="false">INDEX(Вводные!$D$13:$F$64,MATCH($A72,Вводные!$A$13:$A$64,0),MATCH(HY$3,Вводные!$D$11:$F$11,0))*(1+IF(HY$4=$A72,Вводные!$D$5*INDEX(Вводные!$G$13:$G$64,MATCH($A72,Вводные!$A$13:$A$64,0)),0))</f>
        <v>1500</v>
      </c>
      <c r="HZ72" s="14" t="n">
        <f aca="false">INDEX(Вводные!$D$13:$F$64,MATCH($A72,Вводные!$A$13:$A$64,0),MATCH(HZ$3,Вводные!$D$11:$F$11,0))*(1+IF(HZ$4=$A72,Вводные!$D$5*INDEX(Вводные!$G$13:$G$64,MATCH($A72,Вводные!$A$13:$A$64,0)),0))</f>
        <v>1500</v>
      </c>
      <c r="IA72" s="14" t="n">
        <f aca="false">INDEX(Вводные!$D$13:$F$64,MATCH($A72,Вводные!$A$13:$A$64,0),MATCH(IA$3,Вводные!$D$11:$F$11,0))*(1+IF(IA$4=$A72,Вводные!$D$5*INDEX(Вводные!$G$13:$G$64,MATCH($A72,Вводные!$A$13:$A$64,0)),0))</f>
        <v>1500</v>
      </c>
      <c r="IB72" s="14" t="n">
        <f aca="false">INDEX(Вводные!$D$13:$F$64,MATCH($A72,Вводные!$A$13:$A$64,0),MATCH(IB$3,Вводные!$D$11:$F$11,0))*(1+IF(IB$4=$A72,Вводные!$D$5*INDEX(Вводные!$G$13:$G$64,MATCH($A72,Вводные!$A$13:$A$64,0)),0))</f>
        <v>1500</v>
      </c>
      <c r="IC72" s="14" t="n">
        <f aca="false">INDEX(Вводные!$D$13:$F$64,MATCH($A72,Вводные!$A$13:$A$64,0),MATCH(IC$3,Вводные!$D$11:$F$11,0))*(1+IF(IC$4=$A72,Вводные!$D$5*INDEX(Вводные!$G$13:$G$64,MATCH($A72,Вводные!$A$13:$A$64,0)),0))</f>
        <v>1500</v>
      </c>
      <c r="ID72" s="14" t="n">
        <f aca="false">INDEX(Вводные!$D$13:$F$64,MATCH($A72,Вводные!$A$13:$A$64,0),MATCH(ID$3,Вводные!$D$11:$F$11,0))*(1+IF(ID$4=$A72,Вводные!$D$5*INDEX(Вводные!$G$13:$G$64,MATCH($A72,Вводные!$A$13:$A$64,0)),0))</f>
        <v>1500</v>
      </c>
      <c r="IE72" s="14" t="n">
        <f aca="false">INDEX(Вводные!$D$13:$F$64,MATCH($A72,Вводные!$A$13:$A$64,0),MATCH(IE$3,Вводные!$D$11:$F$11,0))*(1+IF(IE$4=$A72,Вводные!$D$5*INDEX(Вводные!$G$13:$G$64,MATCH($A72,Вводные!$A$13:$A$64,0)),0))</f>
        <v>1500</v>
      </c>
      <c r="IF72" s="14" t="n">
        <f aca="false">INDEX(Вводные!$D$13:$F$64,MATCH($A72,Вводные!$A$13:$A$64,0),MATCH(IF$3,Вводные!$D$11:$F$11,0))*(1+IF(IF$4=$A72,Вводные!$D$5*INDEX(Вводные!$G$13:$G$64,MATCH($A72,Вводные!$A$13:$A$64,0)),0))</f>
        <v>1500</v>
      </c>
      <c r="IG72" s="14" t="n">
        <f aca="false">INDEX(Вводные!$D$13:$F$64,MATCH($A72,Вводные!$A$13:$A$64,0),MATCH(IG$3,Вводные!$D$11:$F$11,0))*(1+IF(IG$4=$A72,Вводные!$D$5*INDEX(Вводные!$G$13:$G$64,MATCH($A72,Вводные!$A$13:$A$64,0)),0))</f>
        <v>1500</v>
      </c>
      <c r="IH72" s="14" t="n">
        <f aca="false">INDEX(Вводные!$D$13:$F$64,MATCH($A72,Вводные!$A$13:$A$64,0),MATCH(IH$3,Вводные!$D$11:$F$11,0))*(1+IF(IH$4=$A72,Вводные!$D$5*INDEX(Вводные!$G$13:$G$64,MATCH($A72,Вводные!$A$13:$A$64,0)),0))</f>
        <v>1500</v>
      </c>
      <c r="II72" s="14" t="n">
        <f aca="false">INDEX(Вводные!$D$13:$F$64,MATCH($A72,Вводные!$A$13:$A$64,0),MATCH(II$3,Вводные!$D$11:$F$11,0))*(1+IF(II$4=$A72,Вводные!$D$5*INDEX(Вводные!$G$13:$G$64,MATCH($A72,Вводные!$A$13:$A$64,0)),0))</f>
        <v>1500</v>
      </c>
      <c r="IJ72" s="14" t="n">
        <f aca="false">INDEX(Вводные!$D$13:$F$64,MATCH($A72,Вводные!$A$13:$A$64,0),MATCH(IJ$3,Вводные!$D$11:$F$11,0))*(1+IF(IJ$4=$A72,Вводные!$D$5*INDEX(Вводные!$G$13:$G$64,MATCH($A72,Вводные!$A$13:$A$64,0)),0))</f>
        <v>1500</v>
      </c>
      <c r="IK72" s="14" t="n">
        <f aca="false">INDEX(Вводные!$D$13:$F$64,MATCH($A72,Вводные!$A$13:$A$64,0),MATCH(IK$3,Вводные!$D$11:$F$11,0))*(1+IF(IK$4=$A72,Вводные!$D$5*INDEX(Вводные!$G$13:$G$64,MATCH($A72,Вводные!$A$13:$A$64,0)),0))</f>
        <v>1500</v>
      </c>
      <c r="IL72" s="14" t="n">
        <f aca="false">INDEX(Вводные!$D$13:$F$64,MATCH($A72,Вводные!$A$13:$A$64,0),MATCH(IL$3,Вводные!$D$11:$F$11,0))*(1+IF(IL$4=$A72,Вводные!$D$5*INDEX(Вводные!$G$13:$G$64,MATCH($A72,Вводные!$A$13:$A$64,0)),0))</f>
        <v>1500</v>
      </c>
      <c r="IM72" s="14" t="n">
        <f aca="false">INDEX(Вводные!$D$13:$F$64,MATCH($A72,Вводные!$A$13:$A$64,0),MATCH(IM$3,Вводные!$D$11:$F$11,0))*(1+IF(IM$4=$A72,Вводные!$D$5*INDEX(Вводные!$G$13:$G$64,MATCH($A72,Вводные!$A$13:$A$64,0)),0))</f>
        <v>1500</v>
      </c>
      <c r="IN72" s="14" t="n">
        <f aca="false">INDEX(Вводные!$D$13:$F$64,MATCH($A72,Вводные!$A$13:$A$64,0),MATCH(IN$3,Вводные!$D$11:$F$11,0))*(1+IF(IN$4=$A72,Вводные!$D$5*INDEX(Вводные!$G$13:$G$64,MATCH($A72,Вводные!$A$13:$A$64,0)),0))</f>
        <v>1500</v>
      </c>
      <c r="IO72" s="14" t="n">
        <f aca="false">INDEX(Вводные!$D$13:$F$64,MATCH($A72,Вводные!$A$13:$A$64,0),MATCH(IO$3,Вводные!$D$11:$F$11,0))*(1+IF(IO$4=$A72,Вводные!$D$5*INDEX(Вводные!$G$13:$G$64,MATCH($A72,Вводные!$A$13:$A$64,0)),0))</f>
        <v>1500</v>
      </c>
      <c r="IP72" s="14" t="n">
        <f aca="false">INDEX(Вводные!$D$13:$F$64,MATCH($A72,Вводные!$A$13:$A$64,0),MATCH(IP$3,Вводные!$D$11:$F$11,0))*(1+IF(IP$4=$A72,Вводные!$D$5*INDEX(Вводные!$G$13:$G$64,MATCH($A72,Вводные!$A$13:$A$64,0)),0))</f>
        <v>1500</v>
      </c>
      <c r="IQ72" s="14" t="n">
        <f aca="false">INDEX(Вводные!$D$13:$F$64,MATCH($A72,Вводные!$A$13:$A$64,0),MATCH(IQ$3,Вводные!$D$11:$F$11,0))*(1+IF(IQ$4=$A72,Вводные!$D$5*INDEX(Вводные!$G$13:$G$64,MATCH($A72,Вводные!$A$13:$A$64,0)),0))</f>
        <v>1500</v>
      </c>
      <c r="IR72" s="14" t="n">
        <f aca="false">INDEX(Вводные!$D$13:$F$64,MATCH($A72,Вводные!$A$13:$A$64,0),MATCH(IR$3,Вводные!$D$11:$F$11,0))*(1+IF(IR$4=$A72,Вводные!$D$5*INDEX(Вводные!$G$13:$G$64,MATCH($A72,Вводные!$A$13:$A$64,0)),0))</f>
        <v>1500</v>
      </c>
      <c r="IS72" s="14" t="n">
        <f aca="false">INDEX(Вводные!$D$13:$F$64,MATCH($A72,Вводные!$A$13:$A$64,0),MATCH(IS$3,Вводные!$D$11:$F$11,0))*(1+IF(IS$4=$A72,Вводные!$D$5*INDEX(Вводные!$G$13:$G$64,MATCH($A72,Вводные!$A$13:$A$64,0)),0))</f>
        <v>1500</v>
      </c>
      <c r="IT72" s="14" t="n">
        <f aca="false">INDEX(Вводные!$D$13:$F$64,MATCH($A72,Вводные!$A$13:$A$64,0),MATCH(IT$3,Вводные!$D$11:$F$11,0))*(1+IF(IT$4=$A72,Вводные!$D$5*INDEX(Вводные!$G$13:$G$64,MATCH($A72,Вводные!$A$13:$A$64,0)),0))</f>
        <v>1485</v>
      </c>
      <c r="IU72" s="14" t="n">
        <f aca="false">INDEX(Вводные!$D$13:$F$64,MATCH($A72,Вводные!$A$13:$A$64,0),MATCH(IU$3,Вводные!$D$11:$F$11,0))*(1+IF(IU$4=$A72,Вводные!$D$5*INDEX(Вводные!$G$13:$G$64,MATCH($A72,Вводные!$A$13:$A$64,0)),0))</f>
        <v>1500</v>
      </c>
      <c r="IV72" s="14" t="n">
        <f aca="false">INDEX(Вводные!$D$13:$F$64,MATCH($A72,Вводные!$A$13:$A$64,0),MATCH(IV$3,Вводные!$D$11:$F$11,0))*(1+IF(IV$4=$A72,Вводные!$D$5*INDEX(Вводные!$G$13:$G$64,MATCH($A72,Вводные!$A$13:$A$64,0)),0))</f>
        <v>1500</v>
      </c>
      <c r="IW72" s="14" t="n">
        <f aca="false">INDEX(Вводные!$D$13:$F$64,MATCH($A72,Вводные!$A$13:$A$64,0),MATCH(IW$3,Вводные!$D$11:$F$11,0))*(1+IF(IW$4=$A72,Вводные!$D$5*INDEX(Вводные!$G$13:$G$64,MATCH($A72,Вводные!$A$13:$A$64,0)),0))</f>
        <v>1500</v>
      </c>
      <c r="IX72" s="14" t="n">
        <f aca="false">INDEX(Вводные!$D$13:$F$64,MATCH($A72,Вводные!$A$13:$A$64,0),MATCH(IX$3,Вводные!$D$11:$F$11,0))*(1+IF(IX$4=$A72,Вводные!$D$5*INDEX(Вводные!$G$13:$G$64,MATCH($A72,Вводные!$A$13:$A$64,0)),0))</f>
        <v>1500</v>
      </c>
      <c r="IY72" s="14" t="n">
        <f aca="false">INDEX(Вводные!$D$13:$F$64,MATCH($A72,Вводные!$A$13:$A$64,0),MATCH(IY$3,Вводные!$D$11:$F$11,0))*(1+IF(IY$4=$A72,Вводные!$D$5*INDEX(Вводные!$G$13:$G$64,MATCH($A72,Вводные!$A$13:$A$64,0)),0))</f>
        <v>1500</v>
      </c>
      <c r="IZ72" s="14" t="n">
        <f aca="false">INDEX(Вводные!$D$13:$F$64,MATCH($A72,Вводные!$A$13:$A$64,0),MATCH(IZ$3,Вводные!$D$11:$F$11,0))*(1+IF(IZ$4=$A72,Вводные!$D$5*INDEX(Вводные!$G$13:$G$64,MATCH($A72,Вводные!$A$13:$A$64,0)),0))</f>
        <v>1500</v>
      </c>
      <c r="JA72" s="14" t="n">
        <f aca="false">INDEX(Вводные!$D$13:$F$64,MATCH($A72,Вводные!$A$13:$A$64,0),MATCH(JA$3,Вводные!$D$11:$F$11,0))*(1+IF(JA$4=$A72,Вводные!$D$5*INDEX(Вводные!$G$13:$G$64,MATCH($A72,Вводные!$A$13:$A$64,0)),0))</f>
        <v>1500</v>
      </c>
    </row>
    <row r="73" customFormat="false" ht="15" hidden="false" customHeight="false" outlineLevel="0" collapsed="false">
      <c r="A73" s="2" t="s">
        <v>115</v>
      </c>
      <c r="B73" s="13" t="s">
        <v>116</v>
      </c>
      <c r="C73" s="13" t="s">
        <v>179</v>
      </c>
      <c r="D73" s="9" t="s">
        <v>267</v>
      </c>
      <c r="E73" s="59" t="n">
        <f aca="false">E10*(E70+E71*E72)</f>
        <v>1170000</v>
      </c>
      <c r="F73" s="59" t="n">
        <f aca="false">F10*(F70+F71*F72)</f>
        <v>54000</v>
      </c>
      <c r="G73" s="59" t="n">
        <f aca="false">G10*(G70+G71*G72)</f>
        <v>186000</v>
      </c>
      <c r="H73" s="59" t="n">
        <f aca="false">SUM(E73:G73)</f>
        <v>1410000</v>
      </c>
      <c r="J73" s="59" t="n">
        <f aca="false">J10*(J70+J71*J72)</f>
        <v>1170000</v>
      </c>
      <c r="K73" s="59" t="n">
        <f aca="false">K10*(K70+K71*K72)</f>
        <v>1181700</v>
      </c>
      <c r="L73" s="59" t="n">
        <f aca="false">L10*(L70+L71*L72)</f>
        <v>1170000</v>
      </c>
      <c r="M73" s="59" t="n">
        <f aca="false">M10*(M70+M71*M72)</f>
        <v>1170000</v>
      </c>
      <c r="N73" s="59" t="n">
        <f aca="false">N10*(N70+N71*N72)</f>
        <v>1170000</v>
      </c>
      <c r="O73" s="59" t="n">
        <f aca="false">O10*(O70+O71*O72)</f>
        <v>1170000</v>
      </c>
      <c r="P73" s="59" t="n">
        <f aca="false">P10*(P70+P71*P72)</f>
        <v>1170000</v>
      </c>
      <c r="Q73" s="59" t="n">
        <f aca="false">Q10*(Q70+Q71*Q72)</f>
        <v>1170000</v>
      </c>
      <c r="R73" s="59" t="n">
        <f aca="false">R10*(R70+R71*R72)</f>
        <v>1170000</v>
      </c>
      <c r="S73" s="59" t="n">
        <f aca="false">S10*(S70+S71*S72)</f>
        <v>1170000</v>
      </c>
      <c r="T73" s="59" t="n">
        <f aca="false">T10*(T70+T71*T72)</f>
        <v>1170000</v>
      </c>
      <c r="U73" s="59" t="n">
        <f aca="false">U10*(U70+U71*U72)</f>
        <v>1170000</v>
      </c>
      <c r="V73" s="59" t="n">
        <f aca="false">V10*(V70+V71*V72)</f>
        <v>1170000</v>
      </c>
      <c r="W73" s="59" t="n">
        <f aca="false">W10*(W70+W71*W72)</f>
        <v>1170000</v>
      </c>
      <c r="X73" s="59" t="n">
        <f aca="false">X10*(X70+X71*X72)</f>
        <v>1170000</v>
      </c>
      <c r="Y73" s="59" t="n">
        <f aca="false">Y10*(Y70+Y71*Y72)</f>
        <v>1170000</v>
      </c>
      <c r="Z73" s="59" t="n">
        <f aca="false">Z10*(Z70+Z71*Z72)</f>
        <v>1170000</v>
      </c>
      <c r="AA73" s="59" t="n">
        <f aca="false">AA10*(AA70+AA71*AA72)</f>
        <v>1170000</v>
      </c>
      <c r="AB73" s="59" t="n">
        <f aca="false">AB10*(AB70+AB71*AB72)</f>
        <v>1170000</v>
      </c>
      <c r="AC73" s="59" t="n">
        <f aca="false">AC10*(AC70+AC71*AC72)</f>
        <v>1170000</v>
      </c>
      <c r="AD73" s="59" t="n">
        <f aca="false">AD10*(AD70+AD71*AD72)</f>
        <v>1170000</v>
      </c>
      <c r="AE73" s="59" t="n">
        <f aca="false">AE10*(AE70+AE71*AE72)</f>
        <v>1170000</v>
      </c>
      <c r="AF73" s="59" t="n">
        <f aca="false">AF10*(AF70+AF71*AF72)</f>
        <v>1170000</v>
      </c>
      <c r="AG73" s="59" t="n">
        <f aca="false">AG10*(AG70+AG71*AG72)</f>
        <v>1170000</v>
      </c>
      <c r="AH73" s="59" t="n">
        <f aca="false">AH10*(AH70+AH71*AH72)</f>
        <v>1170000</v>
      </c>
      <c r="AI73" s="59" t="n">
        <f aca="false">AI10*(AI70+AI71*AI72)</f>
        <v>1170000</v>
      </c>
      <c r="AJ73" s="59" t="n">
        <f aca="false">AJ10*(AJ70+AJ71*AJ72)</f>
        <v>1170000</v>
      </c>
      <c r="AK73" s="59" t="n">
        <f aca="false">AK10*(AK70+AK71*AK72)</f>
        <v>1170000</v>
      </c>
      <c r="AL73" s="59" t="n">
        <f aca="false">AL10*(AL70+AL71*AL72)</f>
        <v>1170000</v>
      </c>
      <c r="AM73" s="59" t="n">
        <f aca="false">AM10*(AM70+AM71*AM72)</f>
        <v>1170000</v>
      </c>
      <c r="AN73" s="59" t="n">
        <f aca="false">AN10*(AN70+AN71*AN72)</f>
        <v>1170000</v>
      </c>
      <c r="AO73" s="59" t="n">
        <f aca="false">AO10*(AO70+AO71*AO72)</f>
        <v>1170000</v>
      </c>
      <c r="AP73" s="59" t="n">
        <f aca="false">AP10*(AP70+AP71*AP72)</f>
        <v>1165500</v>
      </c>
      <c r="AQ73" s="59" t="n">
        <f aca="false">AQ10*(AQ70+AQ71*AQ72)</f>
        <v>1162800</v>
      </c>
      <c r="AR73" s="59" t="n">
        <f aca="false">AR10*(AR70+AR71*AR72)</f>
        <v>1162800</v>
      </c>
      <c r="AS73" s="59" t="n">
        <f aca="false">AS10*(AS70+AS71*AS72)</f>
        <v>1170000</v>
      </c>
      <c r="AT73" s="59" t="n">
        <f aca="false">AT10*(AT70+AT71*AT72)</f>
        <v>1170000</v>
      </c>
      <c r="AU73" s="59" t="n">
        <f aca="false">AU10*(AU70+AU71*AU72)</f>
        <v>1170000</v>
      </c>
      <c r="AV73" s="59" t="n">
        <f aca="false">AV10*(AV70+AV71*AV72)</f>
        <v>1170000</v>
      </c>
      <c r="AW73" s="59" t="n">
        <f aca="false">AW10*(AW70+AW71*AW72)</f>
        <v>1170000</v>
      </c>
      <c r="AX73" s="59" t="n">
        <f aca="false">AX10*(AX70+AX71*AX72)</f>
        <v>1170000</v>
      </c>
      <c r="AY73" s="59" t="n">
        <f aca="false">AY10*(AY70+AY71*AY72)</f>
        <v>1170000</v>
      </c>
      <c r="AZ73" s="59" t="n">
        <f aca="false">AZ10*(AZ70+AZ71*AZ72)</f>
        <v>54000</v>
      </c>
      <c r="BA73" s="59" t="n">
        <f aca="false">BA10*(BA70+BA71*BA72)</f>
        <v>54540</v>
      </c>
      <c r="BB73" s="59" t="n">
        <f aca="false">BB10*(BB70+BB71*BB72)</f>
        <v>54000</v>
      </c>
      <c r="BC73" s="59" t="n">
        <f aca="false">BC10*(BC70+BC71*BC72)</f>
        <v>54000</v>
      </c>
      <c r="BD73" s="59" t="n">
        <f aca="false">BD10*(BD70+BD71*BD72)</f>
        <v>54000</v>
      </c>
      <c r="BE73" s="59" t="n">
        <f aca="false">BE10*(BE70+BE71*BE72)</f>
        <v>54000</v>
      </c>
      <c r="BF73" s="59" t="n">
        <f aca="false">BF10*(BF70+BF71*BF72)</f>
        <v>54000</v>
      </c>
      <c r="BG73" s="59" t="n">
        <f aca="false">BG10*(BG70+BG71*BG72)</f>
        <v>54000</v>
      </c>
      <c r="BH73" s="59" t="n">
        <f aca="false">BH10*(BH70+BH71*BH72)</f>
        <v>54000</v>
      </c>
      <c r="BI73" s="59" t="n">
        <f aca="false">BI10*(BI70+BI71*BI72)</f>
        <v>54000</v>
      </c>
      <c r="BJ73" s="59" t="n">
        <f aca="false">BJ10*(BJ70+BJ71*BJ72)</f>
        <v>54000</v>
      </c>
      <c r="BK73" s="59" t="n">
        <f aca="false">BK10*(BK70+BK71*BK72)</f>
        <v>54000</v>
      </c>
      <c r="BL73" s="59" t="n">
        <f aca="false">BL10*(BL70+BL71*BL72)</f>
        <v>54000</v>
      </c>
      <c r="BM73" s="59" t="n">
        <f aca="false">BM10*(BM70+BM71*BM72)</f>
        <v>54000</v>
      </c>
      <c r="BN73" s="59" t="n">
        <f aca="false">BN10*(BN70+BN71*BN72)</f>
        <v>54000</v>
      </c>
      <c r="BO73" s="59" t="n">
        <f aca="false">BO10*(BO70+BO71*BO72)</f>
        <v>54000</v>
      </c>
      <c r="BP73" s="59" t="n">
        <f aca="false">BP10*(BP70+BP71*BP72)</f>
        <v>54000</v>
      </c>
      <c r="BQ73" s="59" t="n">
        <f aca="false">BQ10*(BQ70+BQ71*BQ72)</f>
        <v>54000</v>
      </c>
      <c r="BR73" s="59" t="n">
        <f aca="false">BR10*(BR70+BR71*BR72)</f>
        <v>54000</v>
      </c>
      <c r="BS73" s="59" t="n">
        <f aca="false">BS10*(BS70+BS71*BS72)</f>
        <v>54000</v>
      </c>
      <c r="BT73" s="59" t="n">
        <f aca="false">BT10*(BT70+BT71*BT72)</f>
        <v>54000</v>
      </c>
      <c r="BU73" s="59" t="n">
        <f aca="false">BU10*(BU70+BU71*BU72)</f>
        <v>54000</v>
      </c>
      <c r="BV73" s="59" t="n">
        <f aca="false">BV10*(BV70+BV71*BV72)</f>
        <v>54000</v>
      </c>
      <c r="BW73" s="59" t="n">
        <f aca="false">BW10*(BW70+BW71*BW72)</f>
        <v>54000</v>
      </c>
      <c r="BX73" s="59" t="n">
        <f aca="false">BX10*(BX70+BX71*BX72)</f>
        <v>54000</v>
      </c>
      <c r="BY73" s="59" t="n">
        <f aca="false">BY10*(BY70+BY71*BY72)</f>
        <v>54000</v>
      </c>
      <c r="BZ73" s="59" t="n">
        <f aca="false">BZ10*(BZ70+BZ71*BZ72)</f>
        <v>54000</v>
      </c>
      <c r="CA73" s="59" t="n">
        <f aca="false">CA10*(CA70+CA71*CA72)</f>
        <v>54000</v>
      </c>
      <c r="CB73" s="59" t="n">
        <f aca="false">CB10*(CB70+CB71*CB72)</f>
        <v>54000</v>
      </c>
      <c r="CC73" s="59" t="n">
        <f aca="false">CC10*(CC70+CC71*CC72)</f>
        <v>54000</v>
      </c>
      <c r="CD73" s="59" t="n">
        <f aca="false">CD10*(CD70+CD71*CD72)</f>
        <v>54000</v>
      </c>
      <c r="CE73" s="59" t="n">
        <f aca="false">CE10*(CE70+CE71*CE72)</f>
        <v>54000</v>
      </c>
      <c r="CF73" s="59" t="n">
        <f aca="false">CF10*(CF70+CF71*CF72)</f>
        <v>53940</v>
      </c>
      <c r="CG73" s="59" t="n">
        <f aca="false">CG10*(CG70+CG71*CG72)</f>
        <v>53520</v>
      </c>
      <c r="CH73" s="59" t="n">
        <f aca="false">CH10*(CH70+CH71*CH72)</f>
        <v>53520</v>
      </c>
      <c r="CI73" s="59" t="n">
        <f aca="false">CI10*(CI70+CI71*CI72)</f>
        <v>54000</v>
      </c>
      <c r="CJ73" s="59" t="n">
        <f aca="false">CJ10*(CJ70+CJ71*CJ72)</f>
        <v>54000</v>
      </c>
      <c r="CK73" s="59" t="n">
        <f aca="false">CK10*(CK70+CK71*CK72)</f>
        <v>54000</v>
      </c>
      <c r="CL73" s="59" t="n">
        <f aca="false">CL10*(CL70+CL71*CL72)</f>
        <v>54000</v>
      </c>
      <c r="CM73" s="59" t="n">
        <f aca="false">CM10*(CM70+CM71*CM72)</f>
        <v>54000</v>
      </c>
      <c r="CN73" s="59" t="n">
        <f aca="false">CN10*(CN70+CN71*CN72)</f>
        <v>54000</v>
      </c>
      <c r="CO73" s="59" t="n">
        <f aca="false">CO10*(CO70+CO71*CO72)</f>
        <v>54000</v>
      </c>
      <c r="CP73" s="59" t="n">
        <f aca="false">CP10*(CP70+CP71*CP72)</f>
        <v>186000</v>
      </c>
      <c r="CQ73" s="59" t="n">
        <f aca="false">CQ10*(CQ70+CQ71*CQ72)</f>
        <v>187860</v>
      </c>
      <c r="CR73" s="59" t="n">
        <f aca="false">CR10*(CR70+CR71*CR72)</f>
        <v>186000</v>
      </c>
      <c r="CS73" s="59" t="n">
        <f aca="false">CS10*(CS70+CS71*CS72)</f>
        <v>186000</v>
      </c>
      <c r="CT73" s="59" t="n">
        <f aca="false">CT10*(CT70+CT71*CT72)</f>
        <v>186000</v>
      </c>
      <c r="CU73" s="59" t="n">
        <f aca="false">CU10*(CU70+CU71*CU72)</f>
        <v>186000</v>
      </c>
      <c r="CV73" s="59" t="n">
        <f aca="false">CV10*(CV70+CV71*CV72)</f>
        <v>186000</v>
      </c>
      <c r="CW73" s="59" t="n">
        <f aca="false">CW10*(CW70+CW71*CW72)</f>
        <v>186000</v>
      </c>
      <c r="CX73" s="59" t="n">
        <f aca="false">CX10*(CX70+CX71*CX72)</f>
        <v>186000</v>
      </c>
      <c r="CY73" s="59" t="n">
        <f aca="false">CY10*(CY70+CY71*CY72)</f>
        <v>186000</v>
      </c>
      <c r="CZ73" s="59" t="n">
        <f aca="false">CZ10*(CZ70+CZ71*CZ72)</f>
        <v>186000</v>
      </c>
      <c r="DA73" s="59" t="n">
        <f aca="false">DA10*(DA70+DA71*DA72)</f>
        <v>186000</v>
      </c>
      <c r="DB73" s="59" t="n">
        <f aca="false">DB10*(DB70+DB71*DB72)</f>
        <v>186000</v>
      </c>
      <c r="DC73" s="59" t="n">
        <f aca="false">DC10*(DC70+DC71*DC72)</f>
        <v>186000</v>
      </c>
      <c r="DD73" s="59" t="n">
        <f aca="false">DD10*(DD70+DD71*DD72)</f>
        <v>186000</v>
      </c>
      <c r="DE73" s="59" t="n">
        <f aca="false">DE10*(DE70+DE71*DE72)</f>
        <v>186000</v>
      </c>
      <c r="DF73" s="59" t="n">
        <f aca="false">DF10*(DF70+DF71*DF72)</f>
        <v>186000</v>
      </c>
      <c r="DG73" s="59" t="n">
        <f aca="false">DG10*(DG70+DG71*DG72)</f>
        <v>186000</v>
      </c>
      <c r="DH73" s="59" t="n">
        <f aca="false">DH10*(DH70+DH71*DH72)</f>
        <v>186000</v>
      </c>
      <c r="DI73" s="59" t="n">
        <f aca="false">DI10*(DI70+DI71*DI72)</f>
        <v>186000</v>
      </c>
      <c r="DJ73" s="59" t="n">
        <f aca="false">DJ10*(DJ70+DJ71*DJ72)</f>
        <v>186000</v>
      </c>
      <c r="DK73" s="59" t="n">
        <f aca="false">DK10*(DK70+DK71*DK72)</f>
        <v>186000</v>
      </c>
      <c r="DL73" s="59" t="n">
        <f aca="false">DL10*(DL70+DL71*DL72)</f>
        <v>186000</v>
      </c>
      <c r="DM73" s="59" t="n">
        <f aca="false">DM10*(DM70+DM71*DM72)</f>
        <v>186000</v>
      </c>
      <c r="DN73" s="59" t="n">
        <f aca="false">DN10*(DN70+DN71*DN72)</f>
        <v>186000</v>
      </c>
      <c r="DO73" s="59" t="n">
        <f aca="false">DO10*(DO70+DO71*DO72)</f>
        <v>186000</v>
      </c>
      <c r="DP73" s="59" t="n">
        <f aca="false">DP10*(DP70+DP71*DP72)</f>
        <v>186000</v>
      </c>
      <c r="DQ73" s="59" t="n">
        <f aca="false">DQ10*(DQ70+DQ71*DQ72)</f>
        <v>186000</v>
      </c>
      <c r="DR73" s="59" t="n">
        <f aca="false">DR10*(DR70+DR71*DR72)</f>
        <v>186000</v>
      </c>
      <c r="DS73" s="59" t="n">
        <f aca="false">DS10*(DS70+DS71*DS72)</f>
        <v>186000</v>
      </c>
      <c r="DT73" s="59" t="n">
        <f aca="false">DT10*(DT70+DT71*DT72)</f>
        <v>186000</v>
      </c>
      <c r="DU73" s="59" t="n">
        <f aca="false">DU10*(DU70+DU71*DU72)</f>
        <v>186000</v>
      </c>
      <c r="DV73" s="59" t="n">
        <f aca="false">DV10*(DV70+DV71*DV72)</f>
        <v>185940</v>
      </c>
      <c r="DW73" s="59" t="n">
        <f aca="false">DW10*(DW70+DW71*DW72)</f>
        <v>184200</v>
      </c>
      <c r="DX73" s="59" t="n">
        <f aca="false">DX10*(DX70+DX71*DX72)</f>
        <v>184200</v>
      </c>
      <c r="DY73" s="59" t="n">
        <f aca="false">DY10*(DY70+DY71*DY72)</f>
        <v>186000</v>
      </c>
      <c r="DZ73" s="59" t="n">
        <f aca="false">DZ10*(DZ70+DZ71*DZ72)</f>
        <v>186000</v>
      </c>
      <c r="EA73" s="59" t="n">
        <f aca="false">EA10*(EA70+EA71*EA72)</f>
        <v>186000</v>
      </c>
      <c r="EB73" s="59" t="n">
        <f aca="false">EB10*(EB70+EB71*EB72)</f>
        <v>186000</v>
      </c>
      <c r="EC73" s="59" t="n">
        <f aca="false">EC10*(EC70+EC71*EC72)</f>
        <v>186000</v>
      </c>
      <c r="ED73" s="59" t="n">
        <f aca="false">ED10*(ED70+ED71*ED72)</f>
        <v>186000</v>
      </c>
      <c r="EE73" s="59" t="n">
        <f aca="false">EE10*(EE70+EE71*EE72)</f>
        <v>186000</v>
      </c>
      <c r="EF73" s="59" t="n">
        <f aca="false">EF10*(EF70+EF71*EF72)</f>
        <v>1170000</v>
      </c>
      <c r="EG73" s="59" t="n">
        <f aca="false">EG10*(EG70+EG71*EG72)</f>
        <v>1181700</v>
      </c>
      <c r="EH73" s="59" t="n">
        <f aca="false">EH10*(EH70+EH71*EH72)</f>
        <v>1170000</v>
      </c>
      <c r="EI73" s="59" t="n">
        <f aca="false">EI10*(EI70+EI71*EI72)</f>
        <v>1170000</v>
      </c>
      <c r="EJ73" s="59" t="n">
        <f aca="false">EJ10*(EJ70+EJ71*EJ72)</f>
        <v>1170000</v>
      </c>
      <c r="EK73" s="59" t="n">
        <f aca="false">EK10*(EK70+EK71*EK72)</f>
        <v>1170000</v>
      </c>
      <c r="EL73" s="59" t="n">
        <f aca="false">EL10*(EL70+EL71*EL72)</f>
        <v>1170000</v>
      </c>
      <c r="EM73" s="59" t="n">
        <f aca="false">EM10*(EM70+EM71*EM72)</f>
        <v>1170000</v>
      </c>
      <c r="EN73" s="59" t="n">
        <f aca="false">EN10*(EN70+EN71*EN72)</f>
        <v>1170000</v>
      </c>
      <c r="EO73" s="59" t="n">
        <f aca="false">EO10*(EO70+EO71*EO72)</f>
        <v>1170000</v>
      </c>
      <c r="EP73" s="59" t="n">
        <f aca="false">EP10*(EP70+EP71*EP72)</f>
        <v>1170000</v>
      </c>
      <c r="EQ73" s="59" t="n">
        <f aca="false">EQ10*(EQ70+EQ71*EQ72)</f>
        <v>1170000</v>
      </c>
      <c r="ER73" s="59" t="n">
        <f aca="false">ER10*(ER70+ER71*ER72)</f>
        <v>1170000</v>
      </c>
      <c r="ES73" s="59" t="n">
        <f aca="false">ES10*(ES70+ES71*ES72)</f>
        <v>1170000</v>
      </c>
      <c r="ET73" s="59" t="n">
        <f aca="false">ET10*(ET70+ET71*ET72)</f>
        <v>1170000</v>
      </c>
      <c r="EU73" s="59" t="n">
        <f aca="false">EU10*(EU70+EU71*EU72)</f>
        <v>1170000</v>
      </c>
      <c r="EV73" s="59" t="n">
        <f aca="false">EV10*(EV70+EV71*EV72)</f>
        <v>1170000</v>
      </c>
      <c r="EW73" s="59" t="n">
        <f aca="false">EW10*(EW70+EW71*EW72)</f>
        <v>1170000</v>
      </c>
      <c r="EX73" s="59" t="n">
        <f aca="false">EX10*(EX70+EX71*EX72)</f>
        <v>1170000</v>
      </c>
      <c r="EY73" s="59" t="n">
        <f aca="false">EY10*(EY70+EY71*EY72)</f>
        <v>1170000</v>
      </c>
      <c r="EZ73" s="59" t="n">
        <f aca="false">EZ10*(EZ70+EZ71*EZ72)</f>
        <v>1170000</v>
      </c>
      <c r="FA73" s="59" t="n">
        <f aca="false">FA10*(FA70+FA71*FA72)</f>
        <v>1170000</v>
      </c>
      <c r="FB73" s="59" t="n">
        <f aca="false">FB10*(FB70+FB71*FB72)</f>
        <v>1170000</v>
      </c>
      <c r="FC73" s="59" t="n">
        <f aca="false">FC10*(FC70+FC71*FC72)</f>
        <v>1170000</v>
      </c>
      <c r="FD73" s="59" t="n">
        <f aca="false">FD10*(FD70+FD71*FD72)</f>
        <v>1170000</v>
      </c>
      <c r="FE73" s="59" t="n">
        <f aca="false">FE10*(FE70+FE71*FE72)</f>
        <v>1170000</v>
      </c>
      <c r="FF73" s="59" t="n">
        <f aca="false">FF10*(FF70+FF71*FF72)</f>
        <v>1170000</v>
      </c>
      <c r="FG73" s="59" t="n">
        <f aca="false">FG10*(FG70+FG71*FG72)</f>
        <v>1170000</v>
      </c>
      <c r="FH73" s="59" t="n">
        <f aca="false">FH10*(FH70+FH71*FH72)</f>
        <v>1170000</v>
      </c>
      <c r="FI73" s="59" t="n">
        <f aca="false">FI10*(FI70+FI71*FI72)</f>
        <v>1170000</v>
      </c>
      <c r="FJ73" s="59" t="n">
        <f aca="false">FJ10*(FJ70+FJ71*FJ72)</f>
        <v>1170000</v>
      </c>
      <c r="FK73" s="59" t="n">
        <f aca="false">FK10*(FK70+FK71*FK72)</f>
        <v>1170000</v>
      </c>
      <c r="FL73" s="59" t="n">
        <f aca="false">FL10*(FL70+FL71*FL72)</f>
        <v>1165500</v>
      </c>
      <c r="FM73" s="59" t="n">
        <f aca="false">FM10*(FM70+FM71*FM72)</f>
        <v>1162800</v>
      </c>
      <c r="FN73" s="59" t="n">
        <f aca="false">FN10*(FN70+FN71*FN72)</f>
        <v>1162800</v>
      </c>
      <c r="FO73" s="59" t="n">
        <f aca="false">FO10*(FO70+FO71*FO72)</f>
        <v>1170000</v>
      </c>
      <c r="FP73" s="59" t="n">
        <f aca="false">FP10*(FP70+FP71*FP72)</f>
        <v>1170000</v>
      </c>
      <c r="FQ73" s="59" t="n">
        <f aca="false">FQ10*(FQ70+FQ71*FQ72)</f>
        <v>1170000</v>
      </c>
      <c r="FR73" s="59" t="n">
        <f aca="false">FR10*(FR70+FR71*FR72)</f>
        <v>1170000</v>
      </c>
      <c r="FS73" s="59" t="n">
        <f aca="false">FS10*(FS70+FS71*FS72)</f>
        <v>1170000</v>
      </c>
      <c r="FT73" s="59" t="n">
        <f aca="false">FT10*(FT70+FT71*FT72)</f>
        <v>1170000</v>
      </c>
      <c r="FU73" s="59" t="n">
        <f aca="false">FU10*(FU70+FU71*FU72)</f>
        <v>1170000</v>
      </c>
      <c r="FV73" s="59" t="n">
        <f aca="false">FV10*(FV70+FV71*FV72)</f>
        <v>54000</v>
      </c>
      <c r="FW73" s="59" t="n">
        <f aca="false">FW10*(FW70+FW71*FW72)</f>
        <v>54540</v>
      </c>
      <c r="FX73" s="59" t="n">
        <f aca="false">FX10*(FX70+FX71*FX72)</f>
        <v>54000</v>
      </c>
      <c r="FY73" s="59" t="n">
        <f aca="false">FY10*(FY70+FY71*FY72)</f>
        <v>54000</v>
      </c>
      <c r="FZ73" s="59" t="n">
        <f aca="false">FZ10*(FZ70+FZ71*FZ72)</f>
        <v>54000</v>
      </c>
      <c r="GA73" s="59" t="n">
        <f aca="false">GA10*(GA70+GA71*GA72)</f>
        <v>54000</v>
      </c>
      <c r="GB73" s="59" t="n">
        <f aca="false">GB10*(GB70+GB71*GB72)</f>
        <v>54000</v>
      </c>
      <c r="GC73" s="59" t="n">
        <f aca="false">GC10*(GC70+GC71*GC72)</f>
        <v>54000</v>
      </c>
      <c r="GD73" s="59" t="n">
        <f aca="false">GD10*(GD70+GD71*GD72)</f>
        <v>54000</v>
      </c>
      <c r="GE73" s="59" t="n">
        <f aca="false">GE10*(GE70+GE71*GE72)</f>
        <v>54000</v>
      </c>
      <c r="GF73" s="59" t="n">
        <f aca="false">GF10*(GF70+GF71*GF72)</f>
        <v>54000</v>
      </c>
      <c r="GG73" s="59" t="n">
        <f aca="false">GG10*(GG70+GG71*GG72)</f>
        <v>54000</v>
      </c>
      <c r="GH73" s="59" t="n">
        <f aca="false">GH10*(GH70+GH71*GH72)</f>
        <v>54000</v>
      </c>
      <c r="GI73" s="59" t="n">
        <f aca="false">GI10*(GI70+GI71*GI72)</f>
        <v>54000</v>
      </c>
      <c r="GJ73" s="59" t="n">
        <f aca="false">GJ10*(GJ70+GJ71*GJ72)</f>
        <v>54000</v>
      </c>
      <c r="GK73" s="59" t="n">
        <f aca="false">GK10*(GK70+GK71*GK72)</f>
        <v>54000</v>
      </c>
      <c r="GL73" s="59" t="n">
        <f aca="false">GL10*(GL70+GL71*GL72)</f>
        <v>54000</v>
      </c>
      <c r="GM73" s="59" t="n">
        <f aca="false">GM10*(GM70+GM71*GM72)</f>
        <v>54000</v>
      </c>
      <c r="GN73" s="59" t="n">
        <f aca="false">GN10*(GN70+GN71*GN72)</f>
        <v>54000</v>
      </c>
      <c r="GO73" s="59" t="n">
        <f aca="false">GO10*(GO70+GO71*GO72)</f>
        <v>54000</v>
      </c>
      <c r="GP73" s="59" t="n">
        <f aca="false">GP10*(GP70+GP71*GP72)</f>
        <v>54000</v>
      </c>
      <c r="GQ73" s="59" t="n">
        <f aca="false">GQ10*(GQ70+GQ71*GQ72)</f>
        <v>54000</v>
      </c>
      <c r="GR73" s="59" t="n">
        <f aca="false">GR10*(GR70+GR71*GR72)</f>
        <v>54000</v>
      </c>
      <c r="GS73" s="59" t="n">
        <f aca="false">GS10*(GS70+GS71*GS72)</f>
        <v>54000</v>
      </c>
      <c r="GT73" s="59" t="n">
        <f aca="false">GT10*(GT70+GT71*GT72)</f>
        <v>54000</v>
      </c>
      <c r="GU73" s="59" t="n">
        <f aca="false">GU10*(GU70+GU71*GU72)</f>
        <v>54000</v>
      </c>
      <c r="GV73" s="59" t="n">
        <f aca="false">GV10*(GV70+GV71*GV72)</f>
        <v>54000</v>
      </c>
      <c r="GW73" s="59" t="n">
        <f aca="false">GW10*(GW70+GW71*GW72)</f>
        <v>54000</v>
      </c>
      <c r="GX73" s="59" t="n">
        <f aca="false">GX10*(GX70+GX71*GX72)</f>
        <v>54000</v>
      </c>
      <c r="GY73" s="59" t="n">
        <f aca="false">GY10*(GY70+GY71*GY72)</f>
        <v>54000</v>
      </c>
      <c r="GZ73" s="59" t="n">
        <f aca="false">GZ10*(GZ70+GZ71*GZ72)</f>
        <v>54000</v>
      </c>
      <c r="HA73" s="59" t="n">
        <f aca="false">HA10*(HA70+HA71*HA72)</f>
        <v>54000</v>
      </c>
      <c r="HB73" s="59" t="n">
        <f aca="false">HB10*(HB70+HB71*HB72)</f>
        <v>53940</v>
      </c>
      <c r="HC73" s="59" t="n">
        <f aca="false">HC10*(HC70+HC71*HC72)</f>
        <v>53520</v>
      </c>
      <c r="HD73" s="59" t="n">
        <f aca="false">HD10*(HD70+HD71*HD72)</f>
        <v>53520</v>
      </c>
      <c r="HE73" s="59" t="n">
        <f aca="false">HE10*(HE70+HE71*HE72)</f>
        <v>54000</v>
      </c>
      <c r="HF73" s="59" t="n">
        <f aca="false">HF10*(HF70+HF71*HF72)</f>
        <v>54000</v>
      </c>
      <c r="HG73" s="59" t="n">
        <f aca="false">HG10*(HG70+HG71*HG72)</f>
        <v>54000</v>
      </c>
      <c r="HH73" s="59" t="n">
        <f aca="false">HH10*(HH70+HH71*HH72)</f>
        <v>54000</v>
      </c>
      <c r="HI73" s="59" t="n">
        <f aca="false">HI10*(HI70+HI71*HI72)</f>
        <v>54000</v>
      </c>
      <c r="HJ73" s="59" t="n">
        <f aca="false">HJ10*(HJ70+HJ71*HJ72)</f>
        <v>54000</v>
      </c>
      <c r="HK73" s="59" t="n">
        <f aca="false">HK10*(HK70+HK71*HK72)</f>
        <v>54000</v>
      </c>
      <c r="HL73" s="59" t="n">
        <f aca="false">HL10*(HL70+HL71*HL72)</f>
        <v>186000</v>
      </c>
      <c r="HM73" s="59" t="n">
        <f aca="false">HM10*(HM70+HM71*HM72)</f>
        <v>187860</v>
      </c>
      <c r="HN73" s="59" t="n">
        <f aca="false">HN10*(HN70+HN71*HN72)</f>
        <v>186000</v>
      </c>
      <c r="HO73" s="59" t="n">
        <f aca="false">HO10*(HO70+HO71*HO72)</f>
        <v>186000</v>
      </c>
      <c r="HP73" s="59" t="n">
        <f aca="false">HP10*(HP70+HP71*HP72)</f>
        <v>186000</v>
      </c>
      <c r="HQ73" s="59" t="n">
        <f aca="false">HQ10*(HQ70+HQ71*HQ72)</f>
        <v>186000</v>
      </c>
      <c r="HR73" s="59" t="n">
        <f aca="false">HR10*(HR70+HR71*HR72)</f>
        <v>186000</v>
      </c>
      <c r="HS73" s="59" t="n">
        <f aca="false">HS10*(HS70+HS71*HS72)</f>
        <v>186000</v>
      </c>
      <c r="HT73" s="59" t="n">
        <f aca="false">HT10*(HT70+HT71*HT72)</f>
        <v>186000</v>
      </c>
      <c r="HU73" s="59" t="n">
        <f aca="false">HU10*(HU70+HU71*HU72)</f>
        <v>186000</v>
      </c>
      <c r="HV73" s="59" t="n">
        <f aca="false">HV10*(HV70+HV71*HV72)</f>
        <v>186000</v>
      </c>
      <c r="HW73" s="59" t="n">
        <f aca="false">HW10*(HW70+HW71*HW72)</f>
        <v>186000</v>
      </c>
      <c r="HX73" s="59" t="n">
        <f aca="false">HX10*(HX70+HX71*HX72)</f>
        <v>186000</v>
      </c>
      <c r="HY73" s="59" t="n">
        <f aca="false">HY10*(HY70+HY71*HY72)</f>
        <v>186000</v>
      </c>
      <c r="HZ73" s="59" t="n">
        <f aca="false">HZ10*(HZ70+HZ71*HZ72)</f>
        <v>186000</v>
      </c>
      <c r="IA73" s="59" t="n">
        <f aca="false">IA10*(IA70+IA71*IA72)</f>
        <v>186000</v>
      </c>
      <c r="IB73" s="59" t="n">
        <f aca="false">IB10*(IB70+IB71*IB72)</f>
        <v>186000</v>
      </c>
      <c r="IC73" s="59" t="n">
        <f aca="false">IC10*(IC70+IC71*IC72)</f>
        <v>186000</v>
      </c>
      <c r="ID73" s="59" t="n">
        <f aca="false">ID10*(ID70+ID71*ID72)</f>
        <v>186000</v>
      </c>
      <c r="IE73" s="59" t="n">
        <f aca="false">IE10*(IE70+IE71*IE72)</f>
        <v>186000</v>
      </c>
      <c r="IF73" s="59" t="n">
        <f aca="false">IF10*(IF70+IF71*IF72)</f>
        <v>186000</v>
      </c>
      <c r="IG73" s="59" t="n">
        <f aca="false">IG10*(IG70+IG71*IG72)</f>
        <v>186000</v>
      </c>
      <c r="IH73" s="59" t="n">
        <f aca="false">IH10*(IH70+IH71*IH72)</f>
        <v>186000</v>
      </c>
      <c r="II73" s="59" t="n">
        <f aca="false">II10*(II70+II71*II72)</f>
        <v>186000</v>
      </c>
      <c r="IJ73" s="59" t="n">
        <f aca="false">IJ10*(IJ70+IJ71*IJ72)</f>
        <v>186000</v>
      </c>
      <c r="IK73" s="59" t="n">
        <f aca="false">IK10*(IK70+IK71*IK72)</f>
        <v>186000</v>
      </c>
      <c r="IL73" s="59" t="n">
        <f aca="false">IL10*(IL70+IL71*IL72)</f>
        <v>186000</v>
      </c>
      <c r="IM73" s="59" t="n">
        <f aca="false">IM10*(IM70+IM71*IM72)</f>
        <v>186000</v>
      </c>
      <c r="IN73" s="59" t="n">
        <f aca="false">IN10*(IN70+IN71*IN72)</f>
        <v>186000</v>
      </c>
      <c r="IO73" s="59" t="n">
        <f aca="false">IO10*(IO70+IO71*IO72)</f>
        <v>186000</v>
      </c>
      <c r="IP73" s="59" t="n">
        <f aca="false">IP10*(IP70+IP71*IP72)</f>
        <v>186000</v>
      </c>
      <c r="IQ73" s="59" t="n">
        <f aca="false">IQ10*(IQ70+IQ71*IQ72)</f>
        <v>186000</v>
      </c>
      <c r="IR73" s="59" t="n">
        <f aca="false">IR10*(IR70+IR71*IR72)</f>
        <v>185940</v>
      </c>
      <c r="IS73" s="59" t="n">
        <f aca="false">IS10*(IS70+IS71*IS72)</f>
        <v>184200</v>
      </c>
      <c r="IT73" s="59" t="n">
        <f aca="false">IT10*(IT70+IT71*IT72)</f>
        <v>184200</v>
      </c>
      <c r="IU73" s="59" t="n">
        <f aca="false">IU10*(IU70+IU71*IU72)</f>
        <v>186000</v>
      </c>
      <c r="IV73" s="59" t="n">
        <f aca="false">IV10*(IV70+IV71*IV72)</f>
        <v>186000</v>
      </c>
      <c r="IW73" s="59" t="n">
        <f aca="false">IW10*(IW70+IW71*IW72)</f>
        <v>186000</v>
      </c>
      <c r="IX73" s="59" t="n">
        <f aca="false">IX10*(IX70+IX71*IX72)</f>
        <v>186000</v>
      </c>
      <c r="IY73" s="59" t="n">
        <f aca="false">IY10*(IY70+IY71*IY72)</f>
        <v>186000</v>
      </c>
      <c r="IZ73" s="59" t="n">
        <f aca="false">IZ10*(IZ70+IZ71*IZ72)</f>
        <v>186000</v>
      </c>
      <c r="JA73" s="59" t="n">
        <f aca="false">JA10*(JA70+JA71*JA72)</f>
        <v>186000</v>
      </c>
    </row>
    <row r="74" customFormat="false" ht="15" hidden="false" customHeight="false" outlineLevel="0" collapsed="false">
      <c r="A74" s="13" t="s">
        <v>278</v>
      </c>
      <c r="B74" s="13" t="s">
        <v>279</v>
      </c>
      <c r="C74" s="13" t="s">
        <v>188</v>
      </c>
      <c r="D74" s="9" t="s">
        <v>36</v>
      </c>
      <c r="E74" s="19" t="n">
        <f aca="false">INDEX(Вводные!$D$13:$F$64,MATCH($A74,Вводные!$A$13:$A$64,0),MATCH(E$3,Вводные!$D$11:$F$11,0))*(1+IF(E$4=$A74,Вводные!$D$5*INDEX(Вводные!$G$13:$G$64,MATCH($A74,Вводные!$A$13:$A$64,0)),0))</f>
        <v>6</v>
      </c>
      <c r="F74" s="19" t="n">
        <f aca="false">INDEX(Вводные!$D$13:$F$64,MATCH($A74,Вводные!$A$13:$A$64,0),MATCH(F$3,Вводные!$D$11:$F$11,0))*(1+IF(F$4=$A74,Вводные!$D$5*INDEX(Вводные!$G$13:$G$64,MATCH($A74,Вводные!$A$13:$A$64,0)),0))</f>
        <v>15</v>
      </c>
      <c r="G74" s="19" t="n">
        <f aca="false">INDEX(Вводные!$D$13:$F$64,MATCH($A74,Вводные!$A$13:$A$64,0),MATCH(G$3,Вводные!$D$11:$F$11,0))*(1+IF(G$4=$A74,Вводные!$D$5*INDEX(Вводные!$G$13:$G$64,MATCH($A74,Вводные!$A$13:$A$64,0)),0))</f>
        <v>200</v>
      </c>
      <c r="H74" s="61"/>
      <c r="J74" s="19" t="n">
        <f aca="false">INDEX(Вводные!$D$13:$F$64,MATCH($A74,Вводные!$A$13:$A$64,0),MATCH(J$3,Вводные!$D$11:$F$11,0))*(1+IF(J$4=$A74,Вводные!$D$5*INDEX(Вводные!$G$13:$G$64,MATCH($A74,Вводные!$A$13:$A$64,0)),0))</f>
        <v>6</v>
      </c>
      <c r="K74" s="19" t="n">
        <f aca="false">INDEX(Вводные!$D$13:$F$64,MATCH($A74,Вводные!$A$13:$A$64,0),MATCH(K$3,Вводные!$D$11:$F$11,0))*(1+IF(K$4=$A74,Вводные!$D$5*INDEX(Вводные!$G$13:$G$64,MATCH($A74,Вводные!$A$13:$A$64,0)),0))</f>
        <v>6</v>
      </c>
      <c r="L74" s="19" t="n">
        <f aca="false">INDEX(Вводные!$D$13:$F$64,MATCH($A74,Вводные!$A$13:$A$64,0),MATCH(L$3,Вводные!$D$11:$F$11,0))*(1+IF(L$4=$A74,Вводные!$D$5*INDEX(Вводные!$G$13:$G$64,MATCH($A74,Вводные!$A$13:$A$64,0)),0))</f>
        <v>6</v>
      </c>
      <c r="M74" s="19" t="n">
        <f aca="false">INDEX(Вводные!$D$13:$F$64,MATCH($A74,Вводные!$A$13:$A$64,0),MATCH(M$3,Вводные!$D$11:$F$11,0))*(1+IF(M$4=$A74,Вводные!$D$5*INDEX(Вводные!$G$13:$G$64,MATCH($A74,Вводные!$A$13:$A$64,0)),0))</f>
        <v>6</v>
      </c>
      <c r="N74" s="19" t="n">
        <f aca="false">INDEX(Вводные!$D$13:$F$64,MATCH($A74,Вводные!$A$13:$A$64,0),MATCH(N$3,Вводные!$D$11:$F$11,0))*(1+IF(N$4=$A74,Вводные!$D$5*INDEX(Вводные!$G$13:$G$64,MATCH($A74,Вводные!$A$13:$A$64,0)),0))</f>
        <v>6</v>
      </c>
      <c r="O74" s="19" t="n">
        <f aca="false">INDEX(Вводные!$D$13:$F$64,MATCH($A74,Вводные!$A$13:$A$64,0),MATCH(O$3,Вводные!$D$11:$F$11,0))*(1+IF(O$4=$A74,Вводные!$D$5*INDEX(Вводные!$G$13:$G$64,MATCH($A74,Вводные!$A$13:$A$64,0)),0))</f>
        <v>6</v>
      </c>
      <c r="P74" s="19" t="n">
        <f aca="false">INDEX(Вводные!$D$13:$F$64,MATCH($A74,Вводные!$A$13:$A$64,0),MATCH(P$3,Вводные!$D$11:$F$11,0))*(1+IF(P$4=$A74,Вводные!$D$5*INDEX(Вводные!$G$13:$G$64,MATCH($A74,Вводные!$A$13:$A$64,0)),0))</f>
        <v>6</v>
      </c>
      <c r="Q74" s="19" t="n">
        <f aca="false">INDEX(Вводные!$D$13:$F$64,MATCH($A74,Вводные!$A$13:$A$64,0),MATCH(Q$3,Вводные!$D$11:$F$11,0))*(1+IF(Q$4=$A74,Вводные!$D$5*INDEX(Вводные!$G$13:$G$64,MATCH($A74,Вводные!$A$13:$A$64,0)),0))</f>
        <v>6</v>
      </c>
      <c r="R74" s="19" t="n">
        <f aca="false">INDEX(Вводные!$D$13:$F$64,MATCH($A74,Вводные!$A$13:$A$64,0),MATCH(R$3,Вводные!$D$11:$F$11,0))*(1+IF(R$4=$A74,Вводные!$D$5*INDEX(Вводные!$G$13:$G$64,MATCH($A74,Вводные!$A$13:$A$64,0)),0))</f>
        <v>6</v>
      </c>
      <c r="S74" s="19" t="n">
        <f aca="false">INDEX(Вводные!$D$13:$F$64,MATCH($A74,Вводные!$A$13:$A$64,0),MATCH(S$3,Вводные!$D$11:$F$11,0))*(1+IF(S$4=$A74,Вводные!$D$5*INDEX(Вводные!$G$13:$G$64,MATCH($A74,Вводные!$A$13:$A$64,0)),0))</f>
        <v>6</v>
      </c>
      <c r="T74" s="19" t="n">
        <f aca="false">INDEX(Вводные!$D$13:$F$64,MATCH($A74,Вводные!$A$13:$A$64,0),MATCH(T$3,Вводные!$D$11:$F$11,0))*(1+IF(T$4=$A74,Вводные!$D$5*INDEX(Вводные!$G$13:$G$64,MATCH($A74,Вводные!$A$13:$A$64,0)),0))</f>
        <v>6</v>
      </c>
      <c r="U74" s="19" t="n">
        <f aca="false">INDEX(Вводные!$D$13:$F$64,MATCH($A74,Вводные!$A$13:$A$64,0),MATCH(U$3,Вводные!$D$11:$F$11,0))*(1+IF(U$4=$A74,Вводные!$D$5*INDEX(Вводные!$G$13:$G$64,MATCH($A74,Вводные!$A$13:$A$64,0)),0))</f>
        <v>6</v>
      </c>
      <c r="V74" s="19" t="n">
        <f aca="false">INDEX(Вводные!$D$13:$F$64,MATCH($A74,Вводные!$A$13:$A$64,0),MATCH(V$3,Вводные!$D$11:$F$11,0))*(1+IF(V$4=$A74,Вводные!$D$5*INDEX(Вводные!$G$13:$G$64,MATCH($A74,Вводные!$A$13:$A$64,0)),0))</f>
        <v>6</v>
      </c>
      <c r="W74" s="19" t="n">
        <f aca="false">INDEX(Вводные!$D$13:$F$64,MATCH($A74,Вводные!$A$13:$A$64,0),MATCH(W$3,Вводные!$D$11:$F$11,0))*(1+IF(W$4=$A74,Вводные!$D$5*INDEX(Вводные!$G$13:$G$64,MATCH($A74,Вводные!$A$13:$A$64,0)),0))</f>
        <v>6</v>
      </c>
      <c r="X74" s="19" t="n">
        <f aca="false">INDEX(Вводные!$D$13:$F$64,MATCH($A74,Вводные!$A$13:$A$64,0),MATCH(X$3,Вводные!$D$11:$F$11,0))*(1+IF(X$4=$A74,Вводные!$D$5*INDEX(Вводные!$G$13:$G$64,MATCH($A74,Вводные!$A$13:$A$64,0)),0))</f>
        <v>6</v>
      </c>
      <c r="Y74" s="19" t="n">
        <f aca="false">INDEX(Вводные!$D$13:$F$64,MATCH($A74,Вводные!$A$13:$A$64,0),MATCH(Y$3,Вводные!$D$11:$F$11,0))*(1+IF(Y$4=$A74,Вводные!$D$5*INDEX(Вводные!$G$13:$G$64,MATCH($A74,Вводные!$A$13:$A$64,0)),0))</f>
        <v>6</v>
      </c>
      <c r="Z74" s="19" t="n">
        <f aca="false">INDEX(Вводные!$D$13:$F$64,MATCH($A74,Вводные!$A$13:$A$64,0),MATCH(Z$3,Вводные!$D$11:$F$11,0))*(1+IF(Z$4=$A74,Вводные!$D$5*INDEX(Вводные!$G$13:$G$64,MATCH($A74,Вводные!$A$13:$A$64,0)),0))</f>
        <v>6</v>
      </c>
      <c r="AA74" s="19" t="n">
        <f aca="false">INDEX(Вводные!$D$13:$F$64,MATCH($A74,Вводные!$A$13:$A$64,0),MATCH(AA$3,Вводные!$D$11:$F$11,0))*(1+IF(AA$4=$A74,Вводные!$D$5*INDEX(Вводные!$G$13:$G$64,MATCH($A74,Вводные!$A$13:$A$64,0)),0))</f>
        <v>6</v>
      </c>
      <c r="AB74" s="19" t="n">
        <f aca="false">INDEX(Вводные!$D$13:$F$64,MATCH($A74,Вводные!$A$13:$A$64,0),MATCH(AB$3,Вводные!$D$11:$F$11,0))*(1+IF(AB$4=$A74,Вводные!$D$5*INDEX(Вводные!$G$13:$G$64,MATCH($A74,Вводные!$A$13:$A$64,0)),0))</f>
        <v>6</v>
      </c>
      <c r="AC74" s="19" t="n">
        <f aca="false">INDEX(Вводные!$D$13:$F$64,MATCH($A74,Вводные!$A$13:$A$64,0),MATCH(AC$3,Вводные!$D$11:$F$11,0))*(1+IF(AC$4=$A74,Вводные!$D$5*INDEX(Вводные!$G$13:$G$64,MATCH($A74,Вводные!$A$13:$A$64,0)),0))</f>
        <v>6</v>
      </c>
      <c r="AD74" s="19" t="n">
        <f aca="false">INDEX(Вводные!$D$13:$F$64,MATCH($A74,Вводные!$A$13:$A$64,0),MATCH(AD$3,Вводные!$D$11:$F$11,0))*(1+IF(AD$4=$A74,Вводные!$D$5*INDEX(Вводные!$G$13:$G$64,MATCH($A74,Вводные!$A$13:$A$64,0)),0))</f>
        <v>6</v>
      </c>
      <c r="AE74" s="19" t="n">
        <f aca="false">INDEX(Вводные!$D$13:$F$64,MATCH($A74,Вводные!$A$13:$A$64,0),MATCH(AE$3,Вводные!$D$11:$F$11,0))*(1+IF(AE$4=$A74,Вводные!$D$5*INDEX(Вводные!$G$13:$G$64,MATCH($A74,Вводные!$A$13:$A$64,0)),0))</f>
        <v>6</v>
      </c>
      <c r="AF74" s="19" t="n">
        <f aca="false">INDEX(Вводные!$D$13:$F$64,MATCH($A74,Вводные!$A$13:$A$64,0),MATCH(AF$3,Вводные!$D$11:$F$11,0))*(1+IF(AF$4=$A74,Вводные!$D$5*INDEX(Вводные!$G$13:$G$64,MATCH($A74,Вводные!$A$13:$A$64,0)),0))</f>
        <v>6</v>
      </c>
      <c r="AG74" s="19" t="n">
        <f aca="false">INDEX(Вводные!$D$13:$F$64,MATCH($A74,Вводные!$A$13:$A$64,0),MATCH(AG$3,Вводные!$D$11:$F$11,0))*(1+IF(AG$4=$A74,Вводные!$D$5*INDEX(Вводные!$G$13:$G$64,MATCH($A74,Вводные!$A$13:$A$64,0)),0))</f>
        <v>6</v>
      </c>
      <c r="AH74" s="19" t="n">
        <f aca="false">INDEX(Вводные!$D$13:$F$64,MATCH($A74,Вводные!$A$13:$A$64,0),MATCH(AH$3,Вводные!$D$11:$F$11,0))*(1+IF(AH$4=$A74,Вводные!$D$5*INDEX(Вводные!$G$13:$G$64,MATCH($A74,Вводные!$A$13:$A$64,0)),0))</f>
        <v>6</v>
      </c>
      <c r="AI74" s="19" t="n">
        <f aca="false">INDEX(Вводные!$D$13:$F$64,MATCH($A74,Вводные!$A$13:$A$64,0),MATCH(AI$3,Вводные!$D$11:$F$11,0))*(1+IF(AI$4=$A74,Вводные!$D$5*INDEX(Вводные!$G$13:$G$64,MATCH($A74,Вводные!$A$13:$A$64,0)),0))</f>
        <v>6</v>
      </c>
      <c r="AJ74" s="19" t="n">
        <f aca="false">INDEX(Вводные!$D$13:$F$64,MATCH($A74,Вводные!$A$13:$A$64,0),MATCH(AJ$3,Вводные!$D$11:$F$11,0))*(1+IF(AJ$4=$A74,Вводные!$D$5*INDEX(Вводные!$G$13:$G$64,MATCH($A74,Вводные!$A$13:$A$64,0)),0))</f>
        <v>6</v>
      </c>
      <c r="AK74" s="19" t="n">
        <f aca="false">INDEX(Вводные!$D$13:$F$64,MATCH($A74,Вводные!$A$13:$A$64,0),MATCH(AK$3,Вводные!$D$11:$F$11,0))*(1+IF(AK$4=$A74,Вводные!$D$5*INDEX(Вводные!$G$13:$G$64,MATCH($A74,Вводные!$A$13:$A$64,0)),0))</f>
        <v>6</v>
      </c>
      <c r="AL74" s="19" t="n">
        <f aca="false">INDEX(Вводные!$D$13:$F$64,MATCH($A74,Вводные!$A$13:$A$64,0),MATCH(AL$3,Вводные!$D$11:$F$11,0))*(1+IF(AL$4=$A74,Вводные!$D$5*INDEX(Вводные!$G$13:$G$64,MATCH($A74,Вводные!$A$13:$A$64,0)),0))</f>
        <v>6</v>
      </c>
      <c r="AM74" s="19" t="n">
        <f aca="false">INDEX(Вводные!$D$13:$F$64,MATCH($A74,Вводные!$A$13:$A$64,0),MATCH(AM$3,Вводные!$D$11:$F$11,0))*(1+IF(AM$4=$A74,Вводные!$D$5*INDEX(Вводные!$G$13:$G$64,MATCH($A74,Вводные!$A$13:$A$64,0)),0))</f>
        <v>6</v>
      </c>
      <c r="AN74" s="19" t="n">
        <f aca="false">INDEX(Вводные!$D$13:$F$64,MATCH($A74,Вводные!$A$13:$A$64,0),MATCH(AN$3,Вводные!$D$11:$F$11,0))*(1+IF(AN$4=$A74,Вводные!$D$5*INDEX(Вводные!$G$13:$G$64,MATCH($A74,Вводные!$A$13:$A$64,0)),0))</f>
        <v>6</v>
      </c>
      <c r="AO74" s="19" t="n">
        <f aca="false">INDEX(Вводные!$D$13:$F$64,MATCH($A74,Вводные!$A$13:$A$64,0),MATCH(AO$3,Вводные!$D$11:$F$11,0))*(1+IF(AO$4=$A74,Вводные!$D$5*INDEX(Вводные!$G$13:$G$64,MATCH($A74,Вводные!$A$13:$A$64,0)),0))</f>
        <v>6</v>
      </c>
      <c r="AP74" s="19" t="n">
        <f aca="false">INDEX(Вводные!$D$13:$F$64,MATCH($A74,Вводные!$A$13:$A$64,0),MATCH(AP$3,Вводные!$D$11:$F$11,0))*(1+IF(AP$4=$A74,Вводные!$D$5*INDEX(Вводные!$G$13:$G$64,MATCH($A74,Вводные!$A$13:$A$64,0)),0))</f>
        <v>6</v>
      </c>
      <c r="AQ74" s="19" t="n">
        <f aca="false">INDEX(Вводные!$D$13:$F$64,MATCH($A74,Вводные!$A$13:$A$64,0),MATCH(AQ$3,Вводные!$D$11:$F$11,0))*(1+IF(AQ$4=$A74,Вводные!$D$5*INDEX(Вводные!$G$13:$G$64,MATCH($A74,Вводные!$A$13:$A$64,0)),0))</f>
        <v>6</v>
      </c>
      <c r="AR74" s="19" t="n">
        <f aca="false">INDEX(Вводные!$D$13:$F$64,MATCH($A74,Вводные!$A$13:$A$64,0),MATCH(AR$3,Вводные!$D$11:$F$11,0))*(1+IF(AR$4=$A74,Вводные!$D$5*INDEX(Вводные!$G$13:$G$64,MATCH($A74,Вводные!$A$13:$A$64,0)),0))</f>
        <v>6</v>
      </c>
      <c r="AS74" s="19" t="n">
        <f aca="false">INDEX(Вводные!$D$13:$F$64,MATCH($A74,Вводные!$A$13:$A$64,0),MATCH(AS$3,Вводные!$D$11:$F$11,0))*(1+IF(AS$4=$A74,Вводные!$D$5*INDEX(Вводные!$G$13:$G$64,MATCH($A74,Вводные!$A$13:$A$64,0)),0))</f>
        <v>5.94</v>
      </c>
      <c r="AT74" s="19" t="n">
        <f aca="false">INDEX(Вводные!$D$13:$F$64,MATCH($A74,Вводные!$A$13:$A$64,0),MATCH(AT$3,Вводные!$D$11:$F$11,0))*(1+IF(AT$4=$A74,Вводные!$D$5*INDEX(Вводные!$G$13:$G$64,MATCH($A74,Вводные!$A$13:$A$64,0)),0))</f>
        <v>6</v>
      </c>
      <c r="AU74" s="19" t="n">
        <f aca="false">INDEX(Вводные!$D$13:$F$64,MATCH($A74,Вводные!$A$13:$A$64,0),MATCH(AU$3,Вводные!$D$11:$F$11,0))*(1+IF(AU$4=$A74,Вводные!$D$5*INDEX(Вводные!$G$13:$G$64,MATCH($A74,Вводные!$A$13:$A$64,0)),0))</f>
        <v>6</v>
      </c>
      <c r="AV74" s="19" t="n">
        <f aca="false">INDEX(Вводные!$D$13:$F$64,MATCH($A74,Вводные!$A$13:$A$64,0),MATCH(AV$3,Вводные!$D$11:$F$11,0))*(1+IF(AV$4=$A74,Вводные!$D$5*INDEX(Вводные!$G$13:$G$64,MATCH($A74,Вводные!$A$13:$A$64,0)),0))</f>
        <v>6</v>
      </c>
      <c r="AW74" s="19" t="n">
        <f aca="false">INDEX(Вводные!$D$13:$F$64,MATCH($A74,Вводные!$A$13:$A$64,0),MATCH(AW$3,Вводные!$D$11:$F$11,0))*(1+IF(AW$4=$A74,Вводные!$D$5*INDEX(Вводные!$G$13:$G$64,MATCH($A74,Вводные!$A$13:$A$64,0)),0))</f>
        <v>6</v>
      </c>
      <c r="AX74" s="19" t="n">
        <f aca="false">INDEX(Вводные!$D$13:$F$64,MATCH($A74,Вводные!$A$13:$A$64,0),MATCH(AX$3,Вводные!$D$11:$F$11,0))*(1+IF(AX$4=$A74,Вводные!$D$5*INDEX(Вводные!$G$13:$G$64,MATCH($A74,Вводные!$A$13:$A$64,0)),0))</f>
        <v>6</v>
      </c>
      <c r="AY74" s="19" t="n">
        <f aca="false">INDEX(Вводные!$D$13:$F$64,MATCH($A74,Вводные!$A$13:$A$64,0),MATCH(AY$3,Вводные!$D$11:$F$11,0))*(1+IF(AY$4=$A74,Вводные!$D$5*INDEX(Вводные!$G$13:$G$64,MATCH($A74,Вводные!$A$13:$A$64,0)),0))</f>
        <v>6</v>
      </c>
      <c r="AZ74" s="19" t="n">
        <f aca="false">INDEX(Вводные!$D$13:$F$64,MATCH($A74,Вводные!$A$13:$A$64,0),MATCH(AZ$3,Вводные!$D$11:$F$11,0))*(1+IF(AZ$4=$A74,Вводные!$D$5*INDEX(Вводные!$G$13:$G$64,MATCH($A74,Вводные!$A$13:$A$64,0)),0))</f>
        <v>15</v>
      </c>
      <c r="BA74" s="19" t="n">
        <f aca="false">INDEX(Вводные!$D$13:$F$64,MATCH($A74,Вводные!$A$13:$A$64,0),MATCH(BA$3,Вводные!$D$11:$F$11,0))*(1+IF(BA$4=$A74,Вводные!$D$5*INDEX(Вводные!$G$13:$G$64,MATCH($A74,Вводные!$A$13:$A$64,0)),0))</f>
        <v>15</v>
      </c>
      <c r="BB74" s="19" t="n">
        <f aca="false">INDEX(Вводные!$D$13:$F$64,MATCH($A74,Вводные!$A$13:$A$64,0),MATCH(BB$3,Вводные!$D$11:$F$11,0))*(1+IF(BB$4=$A74,Вводные!$D$5*INDEX(Вводные!$G$13:$G$64,MATCH($A74,Вводные!$A$13:$A$64,0)),0))</f>
        <v>15</v>
      </c>
      <c r="BC74" s="19" t="n">
        <f aca="false">INDEX(Вводные!$D$13:$F$64,MATCH($A74,Вводные!$A$13:$A$64,0),MATCH(BC$3,Вводные!$D$11:$F$11,0))*(1+IF(BC$4=$A74,Вводные!$D$5*INDEX(Вводные!$G$13:$G$64,MATCH($A74,Вводные!$A$13:$A$64,0)),0))</f>
        <v>15</v>
      </c>
      <c r="BD74" s="19" t="n">
        <f aca="false">INDEX(Вводные!$D$13:$F$64,MATCH($A74,Вводные!$A$13:$A$64,0),MATCH(BD$3,Вводные!$D$11:$F$11,0))*(1+IF(BD$4=$A74,Вводные!$D$5*INDEX(Вводные!$G$13:$G$64,MATCH($A74,Вводные!$A$13:$A$64,0)),0))</f>
        <v>15</v>
      </c>
      <c r="BE74" s="19" t="n">
        <f aca="false">INDEX(Вводные!$D$13:$F$64,MATCH($A74,Вводные!$A$13:$A$64,0),MATCH(BE$3,Вводные!$D$11:$F$11,0))*(1+IF(BE$4=$A74,Вводные!$D$5*INDEX(Вводные!$G$13:$G$64,MATCH($A74,Вводные!$A$13:$A$64,0)),0))</f>
        <v>15</v>
      </c>
      <c r="BF74" s="19" t="n">
        <f aca="false">INDEX(Вводные!$D$13:$F$64,MATCH($A74,Вводные!$A$13:$A$64,0),MATCH(BF$3,Вводные!$D$11:$F$11,0))*(1+IF(BF$4=$A74,Вводные!$D$5*INDEX(Вводные!$G$13:$G$64,MATCH($A74,Вводные!$A$13:$A$64,0)),0))</f>
        <v>15</v>
      </c>
      <c r="BG74" s="19" t="n">
        <f aca="false">INDEX(Вводные!$D$13:$F$64,MATCH($A74,Вводные!$A$13:$A$64,0),MATCH(BG$3,Вводные!$D$11:$F$11,0))*(1+IF(BG$4=$A74,Вводные!$D$5*INDEX(Вводные!$G$13:$G$64,MATCH($A74,Вводные!$A$13:$A$64,0)),0))</f>
        <v>15</v>
      </c>
      <c r="BH74" s="19" t="n">
        <f aca="false">INDEX(Вводные!$D$13:$F$64,MATCH($A74,Вводные!$A$13:$A$64,0),MATCH(BH$3,Вводные!$D$11:$F$11,0))*(1+IF(BH$4=$A74,Вводные!$D$5*INDEX(Вводные!$G$13:$G$64,MATCH($A74,Вводные!$A$13:$A$64,0)),0))</f>
        <v>15</v>
      </c>
      <c r="BI74" s="19" t="n">
        <f aca="false">INDEX(Вводные!$D$13:$F$64,MATCH($A74,Вводные!$A$13:$A$64,0),MATCH(BI$3,Вводные!$D$11:$F$11,0))*(1+IF(BI$4=$A74,Вводные!$D$5*INDEX(Вводные!$G$13:$G$64,MATCH($A74,Вводные!$A$13:$A$64,0)),0))</f>
        <v>15</v>
      </c>
      <c r="BJ74" s="19" t="n">
        <f aca="false">INDEX(Вводные!$D$13:$F$64,MATCH($A74,Вводные!$A$13:$A$64,0),MATCH(BJ$3,Вводные!$D$11:$F$11,0))*(1+IF(BJ$4=$A74,Вводные!$D$5*INDEX(Вводные!$G$13:$G$64,MATCH($A74,Вводные!$A$13:$A$64,0)),0))</f>
        <v>15</v>
      </c>
      <c r="BK74" s="19" t="n">
        <f aca="false">INDEX(Вводные!$D$13:$F$64,MATCH($A74,Вводные!$A$13:$A$64,0),MATCH(BK$3,Вводные!$D$11:$F$11,0))*(1+IF(BK$4=$A74,Вводные!$D$5*INDEX(Вводные!$G$13:$G$64,MATCH($A74,Вводные!$A$13:$A$64,0)),0))</f>
        <v>15</v>
      </c>
      <c r="BL74" s="19" t="n">
        <f aca="false">INDEX(Вводные!$D$13:$F$64,MATCH($A74,Вводные!$A$13:$A$64,0),MATCH(BL$3,Вводные!$D$11:$F$11,0))*(1+IF(BL$4=$A74,Вводные!$D$5*INDEX(Вводные!$G$13:$G$64,MATCH($A74,Вводные!$A$13:$A$64,0)),0))</f>
        <v>15</v>
      </c>
      <c r="BM74" s="19" t="n">
        <f aca="false">INDEX(Вводные!$D$13:$F$64,MATCH($A74,Вводные!$A$13:$A$64,0),MATCH(BM$3,Вводные!$D$11:$F$11,0))*(1+IF(BM$4=$A74,Вводные!$D$5*INDEX(Вводные!$G$13:$G$64,MATCH($A74,Вводные!$A$13:$A$64,0)),0))</f>
        <v>15</v>
      </c>
      <c r="BN74" s="19" t="n">
        <f aca="false">INDEX(Вводные!$D$13:$F$64,MATCH($A74,Вводные!$A$13:$A$64,0),MATCH(BN$3,Вводные!$D$11:$F$11,0))*(1+IF(BN$4=$A74,Вводные!$D$5*INDEX(Вводные!$G$13:$G$64,MATCH($A74,Вводные!$A$13:$A$64,0)),0))</f>
        <v>15</v>
      </c>
      <c r="BO74" s="19" t="n">
        <f aca="false">INDEX(Вводные!$D$13:$F$64,MATCH($A74,Вводные!$A$13:$A$64,0),MATCH(BO$3,Вводные!$D$11:$F$11,0))*(1+IF(BO$4=$A74,Вводные!$D$5*INDEX(Вводные!$G$13:$G$64,MATCH($A74,Вводные!$A$13:$A$64,0)),0))</f>
        <v>15</v>
      </c>
      <c r="BP74" s="19" t="n">
        <f aca="false">INDEX(Вводные!$D$13:$F$64,MATCH($A74,Вводные!$A$13:$A$64,0),MATCH(BP$3,Вводные!$D$11:$F$11,0))*(1+IF(BP$4=$A74,Вводные!$D$5*INDEX(Вводные!$G$13:$G$64,MATCH($A74,Вводные!$A$13:$A$64,0)),0))</f>
        <v>15</v>
      </c>
      <c r="BQ74" s="19" t="n">
        <f aca="false">INDEX(Вводные!$D$13:$F$64,MATCH($A74,Вводные!$A$13:$A$64,0),MATCH(BQ$3,Вводные!$D$11:$F$11,0))*(1+IF(BQ$4=$A74,Вводные!$D$5*INDEX(Вводные!$G$13:$G$64,MATCH($A74,Вводные!$A$13:$A$64,0)),0))</f>
        <v>15</v>
      </c>
      <c r="BR74" s="19" t="n">
        <f aca="false">INDEX(Вводные!$D$13:$F$64,MATCH($A74,Вводные!$A$13:$A$64,0),MATCH(BR$3,Вводные!$D$11:$F$11,0))*(1+IF(BR$4=$A74,Вводные!$D$5*INDEX(Вводные!$G$13:$G$64,MATCH($A74,Вводные!$A$13:$A$64,0)),0))</f>
        <v>15</v>
      </c>
      <c r="BS74" s="19" t="n">
        <f aca="false">INDEX(Вводные!$D$13:$F$64,MATCH($A74,Вводные!$A$13:$A$64,0),MATCH(BS$3,Вводные!$D$11:$F$11,0))*(1+IF(BS$4=$A74,Вводные!$D$5*INDEX(Вводные!$G$13:$G$64,MATCH($A74,Вводные!$A$13:$A$64,0)),0))</f>
        <v>15</v>
      </c>
      <c r="BT74" s="19" t="n">
        <f aca="false">INDEX(Вводные!$D$13:$F$64,MATCH($A74,Вводные!$A$13:$A$64,0),MATCH(BT$3,Вводные!$D$11:$F$11,0))*(1+IF(BT$4=$A74,Вводные!$D$5*INDEX(Вводные!$G$13:$G$64,MATCH($A74,Вводные!$A$13:$A$64,0)),0))</f>
        <v>15</v>
      </c>
      <c r="BU74" s="19" t="n">
        <f aca="false">INDEX(Вводные!$D$13:$F$64,MATCH($A74,Вводные!$A$13:$A$64,0),MATCH(BU$3,Вводные!$D$11:$F$11,0))*(1+IF(BU$4=$A74,Вводные!$D$5*INDEX(Вводные!$G$13:$G$64,MATCH($A74,Вводные!$A$13:$A$64,0)),0))</f>
        <v>15</v>
      </c>
      <c r="BV74" s="19" t="n">
        <f aca="false">INDEX(Вводные!$D$13:$F$64,MATCH($A74,Вводные!$A$13:$A$64,0),MATCH(BV$3,Вводные!$D$11:$F$11,0))*(1+IF(BV$4=$A74,Вводные!$D$5*INDEX(Вводные!$G$13:$G$64,MATCH($A74,Вводные!$A$13:$A$64,0)),0))</f>
        <v>15</v>
      </c>
      <c r="BW74" s="19" t="n">
        <f aca="false">INDEX(Вводные!$D$13:$F$64,MATCH($A74,Вводные!$A$13:$A$64,0),MATCH(BW$3,Вводные!$D$11:$F$11,0))*(1+IF(BW$4=$A74,Вводные!$D$5*INDEX(Вводные!$G$13:$G$64,MATCH($A74,Вводные!$A$13:$A$64,0)),0))</f>
        <v>15</v>
      </c>
      <c r="BX74" s="19" t="n">
        <f aca="false">INDEX(Вводные!$D$13:$F$64,MATCH($A74,Вводные!$A$13:$A$64,0),MATCH(BX$3,Вводные!$D$11:$F$11,0))*(1+IF(BX$4=$A74,Вводные!$D$5*INDEX(Вводные!$G$13:$G$64,MATCH($A74,Вводные!$A$13:$A$64,0)),0))</f>
        <v>15</v>
      </c>
      <c r="BY74" s="19" t="n">
        <f aca="false">INDEX(Вводные!$D$13:$F$64,MATCH($A74,Вводные!$A$13:$A$64,0),MATCH(BY$3,Вводные!$D$11:$F$11,0))*(1+IF(BY$4=$A74,Вводные!$D$5*INDEX(Вводные!$G$13:$G$64,MATCH($A74,Вводные!$A$13:$A$64,0)),0))</f>
        <v>15</v>
      </c>
      <c r="BZ74" s="19" t="n">
        <f aca="false">INDEX(Вводные!$D$13:$F$64,MATCH($A74,Вводные!$A$13:$A$64,0),MATCH(BZ$3,Вводные!$D$11:$F$11,0))*(1+IF(BZ$4=$A74,Вводные!$D$5*INDEX(Вводные!$G$13:$G$64,MATCH($A74,Вводные!$A$13:$A$64,0)),0))</f>
        <v>15</v>
      </c>
      <c r="CA74" s="19" t="n">
        <f aca="false">INDEX(Вводные!$D$13:$F$64,MATCH($A74,Вводные!$A$13:$A$64,0),MATCH(CA$3,Вводные!$D$11:$F$11,0))*(1+IF(CA$4=$A74,Вводные!$D$5*INDEX(Вводные!$G$13:$G$64,MATCH($A74,Вводные!$A$13:$A$64,0)),0))</f>
        <v>15</v>
      </c>
      <c r="CB74" s="19" t="n">
        <f aca="false">INDEX(Вводные!$D$13:$F$64,MATCH($A74,Вводные!$A$13:$A$64,0),MATCH(CB$3,Вводные!$D$11:$F$11,0))*(1+IF(CB$4=$A74,Вводные!$D$5*INDEX(Вводные!$G$13:$G$64,MATCH($A74,Вводные!$A$13:$A$64,0)),0))</f>
        <v>15</v>
      </c>
      <c r="CC74" s="19" t="n">
        <f aca="false">INDEX(Вводные!$D$13:$F$64,MATCH($A74,Вводные!$A$13:$A$64,0),MATCH(CC$3,Вводные!$D$11:$F$11,0))*(1+IF(CC$4=$A74,Вводные!$D$5*INDEX(Вводные!$G$13:$G$64,MATCH($A74,Вводные!$A$13:$A$64,0)),0))</f>
        <v>15</v>
      </c>
      <c r="CD74" s="19" t="n">
        <f aca="false">INDEX(Вводные!$D$13:$F$64,MATCH($A74,Вводные!$A$13:$A$64,0),MATCH(CD$3,Вводные!$D$11:$F$11,0))*(1+IF(CD$4=$A74,Вводные!$D$5*INDEX(Вводные!$G$13:$G$64,MATCH($A74,Вводные!$A$13:$A$64,0)),0))</f>
        <v>15</v>
      </c>
      <c r="CE74" s="19" t="n">
        <f aca="false">INDEX(Вводные!$D$13:$F$64,MATCH($A74,Вводные!$A$13:$A$64,0),MATCH(CE$3,Вводные!$D$11:$F$11,0))*(1+IF(CE$4=$A74,Вводные!$D$5*INDEX(Вводные!$G$13:$G$64,MATCH($A74,Вводные!$A$13:$A$64,0)),0))</f>
        <v>15</v>
      </c>
      <c r="CF74" s="19" t="n">
        <f aca="false">INDEX(Вводные!$D$13:$F$64,MATCH($A74,Вводные!$A$13:$A$64,0),MATCH(CF$3,Вводные!$D$11:$F$11,0))*(1+IF(CF$4=$A74,Вводные!$D$5*INDEX(Вводные!$G$13:$G$64,MATCH($A74,Вводные!$A$13:$A$64,0)),0))</f>
        <v>15</v>
      </c>
      <c r="CG74" s="19" t="n">
        <f aca="false">INDEX(Вводные!$D$13:$F$64,MATCH($A74,Вводные!$A$13:$A$64,0),MATCH(CG$3,Вводные!$D$11:$F$11,0))*(1+IF(CG$4=$A74,Вводные!$D$5*INDEX(Вводные!$G$13:$G$64,MATCH($A74,Вводные!$A$13:$A$64,0)),0))</f>
        <v>15</v>
      </c>
      <c r="CH74" s="19" t="n">
        <f aca="false">INDEX(Вводные!$D$13:$F$64,MATCH($A74,Вводные!$A$13:$A$64,0),MATCH(CH$3,Вводные!$D$11:$F$11,0))*(1+IF(CH$4=$A74,Вводные!$D$5*INDEX(Вводные!$G$13:$G$64,MATCH($A74,Вводные!$A$13:$A$64,0)),0))</f>
        <v>15</v>
      </c>
      <c r="CI74" s="19" t="n">
        <f aca="false">INDEX(Вводные!$D$13:$F$64,MATCH($A74,Вводные!$A$13:$A$64,0),MATCH(CI$3,Вводные!$D$11:$F$11,0))*(1+IF(CI$4=$A74,Вводные!$D$5*INDEX(Вводные!$G$13:$G$64,MATCH($A74,Вводные!$A$13:$A$64,0)),0))</f>
        <v>14.85</v>
      </c>
      <c r="CJ74" s="19" t="n">
        <f aca="false">INDEX(Вводные!$D$13:$F$64,MATCH($A74,Вводные!$A$13:$A$64,0),MATCH(CJ$3,Вводные!$D$11:$F$11,0))*(1+IF(CJ$4=$A74,Вводные!$D$5*INDEX(Вводные!$G$13:$G$64,MATCH($A74,Вводные!$A$13:$A$64,0)),0))</f>
        <v>15</v>
      </c>
      <c r="CK74" s="19" t="n">
        <f aca="false">INDEX(Вводные!$D$13:$F$64,MATCH($A74,Вводные!$A$13:$A$64,0),MATCH(CK$3,Вводные!$D$11:$F$11,0))*(1+IF(CK$4=$A74,Вводные!$D$5*INDEX(Вводные!$G$13:$G$64,MATCH($A74,Вводные!$A$13:$A$64,0)),0))</f>
        <v>15</v>
      </c>
      <c r="CL74" s="19" t="n">
        <f aca="false">INDEX(Вводные!$D$13:$F$64,MATCH($A74,Вводные!$A$13:$A$64,0),MATCH(CL$3,Вводные!$D$11:$F$11,0))*(1+IF(CL$4=$A74,Вводные!$D$5*INDEX(Вводные!$G$13:$G$64,MATCH($A74,Вводные!$A$13:$A$64,0)),0))</f>
        <v>15</v>
      </c>
      <c r="CM74" s="19" t="n">
        <f aca="false">INDEX(Вводные!$D$13:$F$64,MATCH($A74,Вводные!$A$13:$A$64,0),MATCH(CM$3,Вводные!$D$11:$F$11,0))*(1+IF(CM$4=$A74,Вводные!$D$5*INDEX(Вводные!$G$13:$G$64,MATCH($A74,Вводные!$A$13:$A$64,0)),0))</f>
        <v>15</v>
      </c>
      <c r="CN74" s="19" t="n">
        <f aca="false">INDEX(Вводные!$D$13:$F$64,MATCH($A74,Вводные!$A$13:$A$64,0),MATCH(CN$3,Вводные!$D$11:$F$11,0))*(1+IF(CN$4=$A74,Вводные!$D$5*INDEX(Вводные!$G$13:$G$64,MATCH($A74,Вводные!$A$13:$A$64,0)),0))</f>
        <v>15</v>
      </c>
      <c r="CO74" s="19" t="n">
        <f aca="false">INDEX(Вводные!$D$13:$F$64,MATCH($A74,Вводные!$A$13:$A$64,0),MATCH(CO$3,Вводные!$D$11:$F$11,0))*(1+IF(CO$4=$A74,Вводные!$D$5*INDEX(Вводные!$G$13:$G$64,MATCH($A74,Вводные!$A$13:$A$64,0)),0))</f>
        <v>15</v>
      </c>
      <c r="CP74" s="19" t="n">
        <f aca="false">INDEX(Вводные!$D$13:$F$64,MATCH($A74,Вводные!$A$13:$A$64,0),MATCH(CP$3,Вводные!$D$11:$F$11,0))*(1+IF(CP$4=$A74,Вводные!$D$5*INDEX(Вводные!$G$13:$G$64,MATCH($A74,Вводные!$A$13:$A$64,0)),0))</f>
        <v>200</v>
      </c>
      <c r="CQ74" s="19" t="n">
        <f aca="false">INDEX(Вводные!$D$13:$F$64,MATCH($A74,Вводные!$A$13:$A$64,0),MATCH(CQ$3,Вводные!$D$11:$F$11,0))*(1+IF(CQ$4=$A74,Вводные!$D$5*INDEX(Вводные!$G$13:$G$64,MATCH($A74,Вводные!$A$13:$A$64,0)),0))</f>
        <v>200</v>
      </c>
      <c r="CR74" s="19" t="n">
        <f aca="false">INDEX(Вводные!$D$13:$F$64,MATCH($A74,Вводные!$A$13:$A$64,0),MATCH(CR$3,Вводные!$D$11:$F$11,0))*(1+IF(CR$4=$A74,Вводные!$D$5*INDEX(Вводные!$G$13:$G$64,MATCH($A74,Вводные!$A$13:$A$64,0)),0))</f>
        <v>200</v>
      </c>
      <c r="CS74" s="19" t="n">
        <f aca="false">INDEX(Вводные!$D$13:$F$64,MATCH($A74,Вводные!$A$13:$A$64,0),MATCH(CS$3,Вводные!$D$11:$F$11,0))*(1+IF(CS$4=$A74,Вводные!$D$5*INDEX(Вводные!$G$13:$G$64,MATCH($A74,Вводные!$A$13:$A$64,0)),0))</f>
        <v>200</v>
      </c>
      <c r="CT74" s="19" t="n">
        <f aca="false">INDEX(Вводные!$D$13:$F$64,MATCH($A74,Вводные!$A$13:$A$64,0),MATCH(CT$3,Вводные!$D$11:$F$11,0))*(1+IF(CT$4=$A74,Вводные!$D$5*INDEX(Вводные!$G$13:$G$64,MATCH($A74,Вводные!$A$13:$A$64,0)),0))</f>
        <v>200</v>
      </c>
      <c r="CU74" s="19" t="n">
        <f aca="false">INDEX(Вводные!$D$13:$F$64,MATCH($A74,Вводные!$A$13:$A$64,0),MATCH(CU$3,Вводные!$D$11:$F$11,0))*(1+IF(CU$4=$A74,Вводные!$D$5*INDEX(Вводные!$G$13:$G$64,MATCH($A74,Вводные!$A$13:$A$64,0)),0))</f>
        <v>200</v>
      </c>
      <c r="CV74" s="19" t="n">
        <f aca="false">INDEX(Вводные!$D$13:$F$64,MATCH($A74,Вводные!$A$13:$A$64,0),MATCH(CV$3,Вводные!$D$11:$F$11,0))*(1+IF(CV$4=$A74,Вводные!$D$5*INDEX(Вводные!$G$13:$G$64,MATCH($A74,Вводные!$A$13:$A$64,0)),0))</f>
        <v>200</v>
      </c>
      <c r="CW74" s="19" t="n">
        <f aca="false">INDEX(Вводные!$D$13:$F$64,MATCH($A74,Вводные!$A$13:$A$64,0),MATCH(CW$3,Вводные!$D$11:$F$11,0))*(1+IF(CW$4=$A74,Вводные!$D$5*INDEX(Вводные!$G$13:$G$64,MATCH($A74,Вводные!$A$13:$A$64,0)),0))</f>
        <v>200</v>
      </c>
      <c r="CX74" s="19" t="n">
        <f aca="false">INDEX(Вводные!$D$13:$F$64,MATCH($A74,Вводные!$A$13:$A$64,0),MATCH(CX$3,Вводные!$D$11:$F$11,0))*(1+IF(CX$4=$A74,Вводные!$D$5*INDEX(Вводные!$G$13:$G$64,MATCH($A74,Вводные!$A$13:$A$64,0)),0))</f>
        <v>200</v>
      </c>
      <c r="CY74" s="19" t="n">
        <f aca="false">INDEX(Вводные!$D$13:$F$64,MATCH($A74,Вводные!$A$13:$A$64,0),MATCH(CY$3,Вводные!$D$11:$F$11,0))*(1+IF(CY$4=$A74,Вводные!$D$5*INDEX(Вводные!$G$13:$G$64,MATCH($A74,Вводные!$A$13:$A$64,0)),0))</f>
        <v>200</v>
      </c>
      <c r="CZ74" s="19" t="n">
        <f aca="false">INDEX(Вводные!$D$13:$F$64,MATCH($A74,Вводные!$A$13:$A$64,0),MATCH(CZ$3,Вводные!$D$11:$F$11,0))*(1+IF(CZ$4=$A74,Вводные!$D$5*INDEX(Вводные!$G$13:$G$64,MATCH($A74,Вводные!$A$13:$A$64,0)),0))</f>
        <v>200</v>
      </c>
      <c r="DA74" s="19" t="n">
        <f aca="false">INDEX(Вводные!$D$13:$F$64,MATCH($A74,Вводные!$A$13:$A$64,0),MATCH(DA$3,Вводные!$D$11:$F$11,0))*(1+IF(DA$4=$A74,Вводные!$D$5*INDEX(Вводные!$G$13:$G$64,MATCH($A74,Вводные!$A$13:$A$64,0)),0))</f>
        <v>200</v>
      </c>
      <c r="DB74" s="19" t="n">
        <f aca="false">INDEX(Вводные!$D$13:$F$64,MATCH($A74,Вводные!$A$13:$A$64,0),MATCH(DB$3,Вводные!$D$11:$F$11,0))*(1+IF(DB$4=$A74,Вводные!$D$5*INDEX(Вводные!$G$13:$G$64,MATCH($A74,Вводные!$A$13:$A$64,0)),0))</f>
        <v>200</v>
      </c>
      <c r="DC74" s="19" t="n">
        <f aca="false">INDEX(Вводные!$D$13:$F$64,MATCH($A74,Вводные!$A$13:$A$64,0),MATCH(DC$3,Вводные!$D$11:$F$11,0))*(1+IF(DC$4=$A74,Вводные!$D$5*INDEX(Вводные!$G$13:$G$64,MATCH($A74,Вводные!$A$13:$A$64,0)),0))</f>
        <v>200</v>
      </c>
      <c r="DD74" s="19" t="n">
        <f aca="false">INDEX(Вводные!$D$13:$F$64,MATCH($A74,Вводные!$A$13:$A$64,0),MATCH(DD$3,Вводные!$D$11:$F$11,0))*(1+IF(DD$4=$A74,Вводные!$D$5*INDEX(Вводные!$G$13:$G$64,MATCH($A74,Вводные!$A$13:$A$64,0)),0))</f>
        <v>200</v>
      </c>
      <c r="DE74" s="19" t="n">
        <f aca="false">INDEX(Вводные!$D$13:$F$64,MATCH($A74,Вводные!$A$13:$A$64,0),MATCH(DE$3,Вводные!$D$11:$F$11,0))*(1+IF(DE$4=$A74,Вводные!$D$5*INDEX(Вводные!$G$13:$G$64,MATCH($A74,Вводные!$A$13:$A$64,0)),0))</f>
        <v>200</v>
      </c>
      <c r="DF74" s="19" t="n">
        <f aca="false">INDEX(Вводные!$D$13:$F$64,MATCH($A74,Вводные!$A$13:$A$64,0),MATCH(DF$3,Вводные!$D$11:$F$11,0))*(1+IF(DF$4=$A74,Вводные!$D$5*INDEX(Вводные!$G$13:$G$64,MATCH($A74,Вводные!$A$13:$A$64,0)),0))</f>
        <v>200</v>
      </c>
      <c r="DG74" s="19" t="n">
        <f aca="false">INDEX(Вводные!$D$13:$F$64,MATCH($A74,Вводные!$A$13:$A$64,0),MATCH(DG$3,Вводные!$D$11:$F$11,0))*(1+IF(DG$4=$A74,Вводные!$D$5*INDEX(Вводные!$G$13:$G$64,MATCH($A74,Вводные!$A$13:$A$64,0)),0))</f>
        <v>200</v>
      </c>
      <c r="DH74" s="19" t="n">
        <f aca="false">INDEX(Вводные!$D$13:$F$64,MATCH($A74,Вводные!$A$13:$A$64,0),MATCH(DH$3,Вводные!$D$11:$F$11,0))*(1+IF(DH$4=$A74,Вводные!$D$5*INDEX(Вводные!$G$13:$G$64,MATCH($A74,Вводные!$A$13:$A$64,0)),0))</f>
        <v>200</v>
      </c>
      <c r="DI74" s="19" t="n">
        <f aca="false">INDEX(Вводные!$D$13:$F$64,MATCH($A74,Вводные!$A$13:$A$64,0),MATCH(DI$3,Вводные!$D$11:$F$11,0))*(1+IF(DI$4=$A74,Вводные!$D$5*INDEX(Вводные!$G$13:$G$64,MATCH($A74,Вводные!$A$13:$A$64,0)),0))</f>
        <v>200</v>
      </c>
      <c r="DJ74" s="19" t="n">
        <f aca="false">INDEX(Вводные!$D$13:$F$64,MATCH($A74,Вводные!$A$13:$A$64,0),MATCH(DJ$3,Вводные!$D$11:$F$11,0))*(1+IF(DJ$4=$A74,Вводные!$D$5*INDEX(Вводные!$G$13:$G$64,MATCH($A74,Вводные!$A$13:$A$64,0)),0))</f>
        <v>200</v>
      </c>
      <c r="DK74" s="19" t="n">
        <f aca="false">INDEX(Вводные!$D$13:$F$64,MATCH($A74,Вводные!$A$13:$A$64,0),MATCH(DK$3,Вводные!$D$11:$F$11,0))*(1+IF(DK$4=$A74,Вводные!$D$5*INDEX(Вводные!$G$13:$G$64,MATCH($A74,Вводные!$A$13:$A$64,0)),0))</f>
        <v>200</v>
      </c>
      <c r="DL74" s="19" t="n">
        <f aca="false">INDEX(Вводные!$D$13:$F$64,MATCH($A74,Вводные!$A$13:$A$64,0),MATCH(DL$3,Вводные!$D$11:$F$11,0))*(1+IF(DL$4=$A74,Вводные!$D$5*INDEX(Вводные!$G$13:$G$64,MATCH($A74,Вводные!$A$13:$A$64,0)),0))</f>
        <v>200</v>
      </c>
      <c r="DM74" s="19" t="n">
        <f aca="false">INDEX(Вводные!$D$13:$F$64,MATCH($A74,Вводные!$A$13:$A$64,0),MATCH(DM$3,Вводные!$D$11:$F$11,0))*(1+IF(DM$4=$A74,Вводные!$D$5*INDEX(Вводные!$G$13:$G$64,MATCH($A74,Вводные!$A$13:$A$64,0)),0))</f>
        <v>200</v>
      </c>
      <c r="DN74" s="19" t="n">
        <f aca="false">INDEX(Вводные!$D$13:$F$64,MATCH($A74,Вводные!$A$13:$A$64,0),MATCH(DN$3,Вводные!$D$11:$F$11,0))*(1+IF(DN$4=$A74,Вводные!$D$5*INDEX(Вводные!$G$13:$G$64,MATCH($A74,Вводные!$A$13:$A$64,0)),0))</f>
        <v>200</v>
      </c>
      <c r="DO74" s="19" t="n">
        <f aca="false">INDEX(Вводные!$D$13:$F$64,MATCH($A74,Вводные!$A$13:$A$64,0),MATCH(DO$3,Вводные!$D$11:$F$11,0))*(1+IF(DO$4=$A74,Вводные!$D$5*INDEX(Вводные!$G$13:$G$64,MATCH($A74,Вводные!$A$13:$A$64,0)),0))</f>
        <v>200</v>
      </c>
      <c r="DP74" s="19" t="n">
        <f aca="false">INDEX(Вводные!$D$13:$F$64,MATCH($A74,Вводные!$A$13:$A$64,0),MATCH(DP$3,Вводные!$D$11:$F$11,0))*(1+IF(DP$4=$A74,Вводные!$D$5*INDEX(Вводные!$G$13:$G$64,MATCH($A74,Вводные!$A$13:$A$64,0)),0))</f>
        <v>200</v>
      </c>
      <c r="DQ74" s="19" t="n">
        <f aca="false">INDEX(Вводные!$D$13:$F$64,MATCH($A74,Вводные!$A$13:$A$64,0),MATCH(DQ$3,Вводные!$D$11:$F$11,0))*(1+IF(DQ$4=$A74,Вводные!$D$5*INDEX(Вводные!$G$13:$G$64,MATCH($A74,Вводные!$A$13:$A$64,0)),0))</f>
        <v>200</v>
      </c>
      <c r="DR74" s="19" t="n">
        <f aca="false">INDEX(Вводные!$D$13:$F$64,MATCH($A74,Вводные!$A$13:$A$64,0),MATCH(DR$3,Вводные!$D$11:$F$11,0))*(1+IF(DR$4=$A74,Вводные!$D$5*INDEX(Вводные!$G$13:$G$64,MATCH($A74,Вводные!$A$13:$A$64,0)),0))</f>
        <v>200</v>
      </c>
      <c r="DS74" s="19" t="n">
        <f aca="false">INDEX(Вводные!$D$13:$F$64,MATCH($A74,Вводные!$A$13:$A$64,0),MATCH(DS$3,Вводные!$D$11:$F$11,0))*(1+IF(DS$4=$A74,Вводные!$D$5*INDEX(Вводные!$G$13:$G$64,MATCH($A74,Вводные!$A$13:$A$64,0)),0))</f>
        <v>200</v>
      </c>
      <c r="DT74" s="19" t="n">
        <f aca="false">INDEX(Вводные!$D$13:$F$64,MATCH($A74,Вводные!$A$13:$A$64,0),MATCH(DT$3,Вводные!$D$11:$F$11,0))*(1+IF(DT$4=$A74,Вводные!$D$5*INDEX(Вводные!$G$13:$G$64,MATCH($A74,Вводные!$A$13:$A$64,0)),0))</f>
        <v>200</v>
      </c>
      <c r="DU74" s="19" t="n">
        <f aca="false">INDEX(Вводные!$D$13:$F$64,MATCH($A74,Вводные!$A$13:$A$64,0),MATCH(DU$3,Вводные!$D$11:$F$11,0))*(1+IF(DU$4=$A74,Вводные!$D$5*INDEX(Вводные!$G$13:$G$64,MATCH($A74,Вводные!$A$13:$A$64,0)),0))</f>
        <v>200</v>
      </c>
      <c r="DV74" s="19" t="n">
        <f aca="false">INDEX(Вводные!$D$13:$F$64,MATCH($A74,Вводные!$A$13:$A$64,0),MATCH(DV$3,Вводные!$D$11:$F$11,0))*(1+IF(DV$4=$A74,Вводные!$D$5*INDEX(Вводные!$G$13:$G$64,MATCH($A74,Вводные!$A$13:$A$64,0)),0))</f>
        <v>200</v>
      </c>
      <c r="DW74" s="19" t="n">
        <f aca="false">INDEX(Вводные!$D$13:$F$64,MATCH($A74,Вводные!$A$13:$A$64,0),MATCH(DW$3,Вводные!$D$11:$F$11,0))*(1+IF(DW$4=$A74,Вводные!$D$5*INDEX(Вводные!$G$13:$G$64,MATCH($A74,Вводные!$A$13:$A$64,0)),0))</f>
        <v>200</v>
      </c>
      <c r="DX74" s="19" t="n">
        <f aca="false">INDEX(Вводные!$D$13:$F$64,MATCH($A74,Вводные!$A$13:$A$64,0),MATCH(DX$3,Вводные!$D$11:$F$11,0))*(1+IF(DX$4=$A74,Вводные!$D$5*INDEX(Вводные!$G$13:$G$64,MATCH($A74,Вводные!$A$13:$A$64,0)),0))</f>
        <v>200</v>
      </c>
      <c r="DY74" s="19" t="n">
        <f aca="false">INDEX(Вводные!$D$13:$F$64,MATCH($A74,Вводные!$A$13:$A$64,0),MATCH(DY$3,Вводные!$D$11:$F$11,0))*(1+IF(DY$4=$A74,Вводные!$D$5*INDEX(Вводные!$G$13:$G$64,MATCH($A74,Вводные!$A$13:$A$64,0)),0))</f>
        <v>198</v>
      </c>
      <c r="DZ74" s="19" t="n">
        <f aca="false">INDEX(Вводные!$D$13:$F$64,MATCH($A74,Вводные!$A$13:$A$64,0),MATCH(DZ$3,Вводные!$D$11:$F$11,0))*(1+IF(DZ$4=$A74,Вводные!$D$5*INDEX(Вводные!$G$13:$G$64,MATCH($A74,Вводные!$A$13:$A$64,0)),0))</f>
        <v>200</v>
      </c>
      <c r="EA74" s="19" t="n">
        <f aca="false">INDEX(Вводные!$D$13:$F$64,MATCH($A74,Вводные!$A$13:$A$64,0),MATCH(EA$3,Вводные!$D$11:$F$11,0))*(1+IF(EA$4=$A74,Вводные!$D$5*INDEX(Вводные!$G$13:$G$64,MATCH($A74,Вводные!$A$13:$A$64,0)),0))</f>
        <v>200</v>
      </c>
      <c r="EB74" s="19" t="n">
        <f aca="false">INDEX(Вводные!$D$13:$F$64,MATCH($A74,Вводные!$A$13:$A$64,0),MATCH(EB$3,Вводные!$D$11:$F$11,0))*(1+IF(EB$4=$A74,Вводные!$D$5*INDEX(Вводные!$G$13:$G$64,MATCH($A74,Вводные!$A$13:$A$64,0)),0))</f>
        <v>200</v>
      </c>
      <c r="EC74" s="19" t="n">
        <f aca="false">INDEX(Вводные!$D$13:$F$64,MATCH($A74,Вводные!$A$13:$A$64,0),MATCH(EC$3,Вводные!$D$11:$F$11,0))*(1+IF(EC$4=$A74,Вводные!$D$5*INDEX(Вводные!$G$13:$G$64,MATCH($A74,Вводные!$A$13:$A$64,0)),0))</f>
        <v>200</v>
      </c>
      <c r="ED74" s="19" t="n">
        <f aca="false">INDEX(Вводные!$D$13:$F$64,MATCH($A74,Вводные!$A$13:$A$64,0),MATCH(ED$3,Вводные!$D$11:$F$11,0))*(1+IF(ED$4=$A74,Вводные!$D$5*INDEX(Вводные!$G$13:$G$64,MATCH($A74,Вводные!$A$13:$A$64,0)),0))</f>
        <v>200</v>
      </c>
      <c r="EE74" s="19" t="n">
        <f aca="false">INDEX(Вводные!$D$13:$F$64,MATCH($A74,Вводные!$A$13:$A$64,0),MATCH(EE$3,Вводные!$D$11:$F$11,0))*(1+IF(EE$4=$A74,Вводные!$D$5*INDEX(Вводные!$G$13:$G$64,MATCH($A74,Вводные!$A$13:$A$64,0)),0))</f>
        <v>200</v>
      </c>
      <c r="EF74" s="19" t="n">
        <f aca="false">INDEX(Вводные!$D$13:$F$64,MATCH($A74,Вводные!$A$13:$A$64,0),MATCH(EF$3,Вводные!$D$11:$F$11,0))*(1+IF(EF$4=$A74,Вводные!$D$5*INDEX(Вводные!$G$13:$G$64,MATCH($A74,Вводные!$A$13:$A$64,0)),0))</f>
        <v>6</v>
      </c>
      <c r="EG74" s="19" t="n">
        <f aca="false">INDEX(Вводные!$D$13:$F$64,MATCH($A74,Вводные!$A$13:$A$64,0),MATCH(EG$3,Вводные!$D$11:$F$11,0))*(1+IF(EG$4=$A74,Вводные!$D$5*INDEX(Вводные!$G$13:$G$64,MATCH($A74,Вводные!$A$13:$A$64,0)),0))</f>
        <v>6</v>
      </c>
      <c r="EH74" s="19" t="n">
        <f aca="false">INDEX(Вводные!$D$13:$F$64,MATCH($A74,Вводные!$A$13:$A$64,0),MATCH(EH$3,Вводные!$D$11:$F$11,0))*(1+IF(EH$4=$A74,Вводные!$D$5*INDEX(Вводные!$G$13:$G$64,MATCH($A74,Вводные!$A$13:$A$64,0)),0))</f>
        <v>6</v>
      </c>
      <c r="EI74" s="19" t="n">
        <f aca="false">INDEX(Вводные!$D$13:$F$64,MATCH($A74,Вводные!$A$13:$A$64,0),MATCH(EI$3,Вводные!$D$11:$F$11,0))*(1+IF(EI$4=$A74,Вводные!$D$5*INDEX(Вводные!$G$13:$G$64,MATCH($A74,Вводные!$A$13:$A$64,0)),0))</f>
        <v>6</v>
      </c>
      <c r="EJ74" s="19" t="n">
        <f aca="false">INDEX(Вводные!$D$13:$F$64,MATCH($A74,Вводные!$A$13:$A$64,0),MATCH(EJ$3,Вводные!$D$11:$F$11,0))*(1+IF(EJ$4=$A74,Вводные!$D$5*INDEX(Вводные!$G$13:$G$64,MATCH($A74,Вводные!$A$13:$A$64,0)),0))</f>
        <v>6</v>
      </c>
      <c r="EK74" s="19" t="n">
        <f aca="false">INDEX(Вводные!$D$13:$F$64,MATCH($A74,Вводные!$A$13:$A$64,0),MATCH(EK$3,Вводные!$D$11:$F$11,0))*(1+IF(EK$4=$A74,Вводные!$D$5*INDEX(Вводные!$G$13:$G$64,MATCH($A74,Вводные!$A$13:$A$64,0)),0))</f>
        <v>6</v>
      </c>
      <c r="EL74" s="19" t="n">
        <f aca="false">INDEX(Вводные!$D$13:$F$64,MATCH($A74,Вводные!$A$13:$A$64,0),MATCH(EL$3,Вводные!$D$11:$F$11,0))*(1+IF(EL$4=$A74,Вводные!$D$5*INDEX(Вводные!$G$13:$G$64,MATCH($A74,Вводные!$A$13:$A$64,0)),0))</f>
        <v>6</v>
      </c>
      <c r="EM74" s="19" t="n">
        <f aca="false">INDEX(Вводные!$D$13:$F$64,MATCH($A74,Вводные!$A$13:$A$64,0),MATCH(EM$3,Вводные!$D$11:$F$11,0))*(1+IF(EM$4=$A74,Вводные!$D$5*INDEX(Вводные!$G$13:$G$64,MATCH($A74,Вводные!$A$13:$A$64,0)),0))</f>
        <v>6</v>
      </c>
      <c r="EN74" s="19" t="n">
        <f aca="false">INDEX(Вводные!$D$13:$F$64,MATCH($A74,Вводные!$A$13:$A$64,0),MATCH(EN$3,Вводные!$D$11:$F$11,0))*(1+IF(EN$4=$A74,Вводные!$D$5*INDEX(Вводные!$G$13:$G$64,MATCH($A74,Вводные!$A$13:$A$64,0)),0))</f>
        <v>6</v>
      </c>
      <c r="EO74" s="19" t="n">
        <f aca="false">INDEX(Вводные!$D$13:$F$64,MATCH($A74,Вводные!$A$13:$A$64,0),MATCH(EO$3,Вводные!$D$11:$F$11,0))*(1+IF(EO$4=$A74,Вводные!$D$5*INDEX(Вводные!$G$13:$G$64,MATCH($A74,Вводные!$A$13:$A$64,0)),0))</f>
        <v>6</v>
      </c>
      <c r="EP74" s="19" t="n">
        <f aca="false">INDEX(Вводные!$D$13:$F$64,MATCH($A74,Вводные!$A$13:$A$64,0),MATCH(EP$3,Вводные!$D$11:$F$11,0))*(1+IF(EP$4=$A74,Вводные!$D$5*INDEX(Вводные!$G$13:$G$64,MATCH($A74,Вводные!$A$13:$A$64,0)),0))</f>
        <v>6</v>
      </c>
      <c r="EQ74" s="19" t="n">
        <f aca="false">INDEX(Вводные!$D$13:$F$64,MATCH($A74,Вводные!$A$13:$A$64,0),MATCH(EQ$3,Вводные!$D$11:$F$11,0))*(1+IF(EQ$4=$A74,Вводные!$D$5*INDEX(Вводные!$G$13:$G$64,MATCH($A74,Вводные!$A$13:$A$64,0)),0))</f>
        <v>6</v>
      </c>
      <c r="ER74" s="19" t="n">
        <f aca="false">INDEX(Вводные!$D$13:$F$64,MATCH($A74,Вводные!$A$13:$A$64,0),MATCH(ER$3,Вводные!$D$11:$F$11,0))*(1+IF(ER$4=$A74,Вводные!$D$5*INDEX(Вводные!$G$13:$G$64,MATCH($A74,Вводные!$A$13:$A$64,0)),0))</f>
        <v>6</v>
      </c>
      <c r="ES74" s="19" t="n">
        <f aca="false">INDEX(Вводные!$D$13:$F$64,MATCH($A74,Вводные!$A$13:$A$64,0),MATCH(ES$3,Вводные!$D$11:$F$11,0))*(1+IF(ES$4=$A74,Вводные!$D$5*INDEX(Вводные!$G$13:$G$64,MATCH($A74,Вводные!$A$13:$A$64,0)),0))</f>
        <v>6</v>
      </c>
      <c r="ET74" s="19" t="n">
        <f aca="false">INDEX(Вводные!$D$13:$F$64,MATCH($A74,Вводные!$A$13:$A$64,0),MATCH(ET$3,Вводные!$D$11:$F$11,0))*(1+IF(ET$4=$A74,Вводные!$D$5*INDEX(Вводные!$G$13:$G$64,MATCH($A74,Вводные!$A$13:$A$64,0)),0))</f>
        <v>6</v>
      </c>
      <c r="EU74" s="19" t="n">
        <f aca="false">INDEX(Вводные!$D$13:$F$64,MATCH($A74,Вводные!$A$13:$A$64,0),MATCH(EU$3,Вводные!$D$11:$F$11,0))*(1+IF(EU$4=$A74,Вводные!$D$5*INDEX(Вводные!$G$13:$G$64,MATCH($A74,Вводные!$A$13:$A$64,0)),0))</f>
        <v>6</v>
      </c>
      <c r="EV74" s="19" t="n">
        <f aca="false">INDEX(Вводные!$D$13:$F$64,MATCH($A74,Вводные!$A$13:$A$64,0),MATCH(EV$3,Вводные!$D$11:$F$11,0))*(1+IF(EV$4=$A74,Вводные!$D$5*INDEX(Вводные!$G$13:$G$64,MATCH($A74,Вводные!$A$13:$A$64,0)),0))</f>
        <v>6</v>
      </c>
      <c r="EW74" s="19" t="n">
        <f aca="false">INDEX(Вводные!$D$13:$F$64,MATCH($A74,Вводные!$A$13:$A$64,0),MATCH(EW$3,Вводные!$D$11:$F$11,0))*(1+IF(EW$4=$A74,Вводные!$D$5*INDEX(Вводные!$G$13:$G$64,MATCH($A74,Вводные!$A$13:$A$64,0)),0))</f>
        <v>6</v>
      </c>
      <c r="EX74" s="19" t="n">
        <f aca="false">INDEX(Вводные!$D$13:$F$64,MATCH($A74,Вводные!$A$13:$A$64,0),MATCH(EX$3,Вводные!$D$11:$F$11,0))*(1+IF(EX$4=$A74,Вводные!$D$5*INDEX(Вводные!$G$13:$G$64,MATCH($A74,Вводные!$A$13:$A$64,0)),0))</f>
        <v>6</v>
      </c>
      <c r="EY74" s="19" t="n">
        <f aca="false">INDEX(Вводные!$D$13:$F$64,MATCH($A74,Вводные!$A$13:$A$64,0),MATCH(EY$3,Вводные!$D$11:$F$11,0))*(1+IF(EY$4=$A74,Вводные!$D$5*INDEX(Вводные!$G$13:$G$64,MATCH($A74,Вводные!$A$13:$A$64,0)),0))</f>
        <v>6</v>
      </c>
      <c r="EZ74" s="19" t="n">
        <f aca="false">INDEX(Вводные!$D$13:$F$64,MATCH($A74,Вводные!$A$13:$A$64,0),MATCH(EZ$3,Вводные!$D$11:$F$11,0))*(1+IF(EZ$4=$A74,Вводные!$D$5*INDEX(Вводные!$G$13:$G$64,MATCH($A74,Вводные!$A$13:$A$64,0)),0))</f>
        <v>6</v>
      </c>
      <c r="FA74" s="19" t="n">
        <f aca="false">INDEX(Вводные!$D$13:$F$64,MATCH($A74,Вводные!$A$13:$A$64,0),MATCH(FA$3,Вводные!$D$11:$F$11,0))*(1+IF(FA$4=$A74,Вводные!$D$5*INDEX(Вводные!$G$13:$G$64,MATCH($A74,Вводные!$A$13:$A$64,0)),0))</f>
        <v>6</v>
      </c>
      <c r="FB74" s="19" t="n">
        <f aca="false">INDEX(Вводные!$D$13:$F$64,MATCH($A74,Вводные!$A$13:$A$64,0),MATCH(FB$3,Вводные!$D$11:$F$11,0))*(1+IF(FB$4=$A74,Вводные!$D$5*INDEX(Вводные!$G$13:$G$64,MATCH($A74,Вводные!$A$13:$A$64,0)),0))</f>
        <v>6</v>
      </c>
      <c r="FC74" s="19" t="n">
        <f aca="false">INDEX(Вводные!$D$13:$F$64,MATCH($A74,Вводные!$A$13:$A$64,0),MATCH(FC$3,Вводные!$D$11:$F$11,0))*(1+IF(FC$4=$A74,Вводные!$D$5*INDEX(Вводные!$G$13:$G$64,MATCH($A74,Вводные!$A$13:$A$64,0)),0))</f>
        <v>6</v>
      </c>
      <c r="FD74" s="19" t="n">
        <f aca="false">INDEX(Вводные!$D$13:$F$64,MATCH($A74,Вводные!$A$13:$A$64,0),MATCH(FD$3,Вводные!$D$11:$F$11,0))*(1+IF(FD$4=$A74,Вводные!$D$5*INDEX(Вводные!$G$13:$G$64,MATCH($A74,Вводные!$A$13:$A$64,0)),0))</f>
        <v>6</v>
      </c>
      <c r="FE74" s="19" t="n">
        <f aca="false">INDEX(Вводные!$D$13:$F$64,MATCH($A74,Вводные!$A$13:$A$64,0),MATCH(FE$3,Вводные!$D$11:$F$11,0))*(1+IF(FE$4=$A74,Вводные!$D$5*INDEX(Вводные!$G$13:$G$64,MATCH($A74,Вводные!$A$13:$A$64,0)),0))</f>
        <v>6</v>
      </c>
      <c r="FF74" s="19" t="n">
        <f aca="false">INDEX(Вводные!$D$13:$F$64,MATCH($A74,Вводные!$A$13:$A$64,0),MATCH(FF$3,Вводные!$D$11:$F$11,0))*(1+IF(FF$4=$A74,Вводные!$D$5*INDEX(Вводные!$G$13:$G$64,MATCH($A74,Вводные!$A$13:$A$64,0)),0))</f>
        <v>6</v>
      </c>
      <c r="FG74" s="19" t="n">
        <f aca="false">INDEX(Вводные!$D$13:$F$64,MATCH($A74,Вводные!$A$13:$A$64,0),MATCH(FG$3,Вводные!$D$11:$F$11,0))*(1+IF(FG$4=$A74,Вводные!$D$5*INDEX(Вводные!$G$13:$G$64,MATCH($A74,Вводные!$A$13:$A$64,0)),0))</f>
        <v>6</v>
      </c>
      <c r="FH74" s="19" t="n">
        <f aca="false">INDEX(Вводные!$D$13:$F$64,MATCH($A74,Вводные!$A$13:$A$64,0),MATCH(FH$3,Вводные!$D$11:$F$11,0))*(1+IF(FH$4=$A74,Вводные!$D$5*INDEX(Вводные!$G$13:$G$64,MATCH($A74,Вводные!$A$13:$A$64,0)),0))</f>
        <v>6</v>
      </c>
      <c r="FI74" s="19" t="n">
        <f aca="false">INDEX(Вводные!$D$13:$F$64,MATCH($A74,Вводные!$A$13:$A$64,0),MATCH(FI$3,Вводные!$D$11:$F$11,0))*(1+IF(FI$4=$A74,Вводные!$D$5*INDEX(Вводные!$G$13:$G$64,MATCH($A74,Вводные!$A$13:$A$64,0)),0))</f>
        <v>6</v>
      </c>
      <c r="FJ74" s="19" t="n">
        <f aca="false">INDEX(Вводные!$D$13:$F$64,MATCH($A74,Вводные!$A$13:$A$64,0),MATCH(FJ$3,Вводные!$D$11:$F$11,0))*(1+IF(FJ$4=$A74,Вводные!$D$5*INDEX(Вводные!$G$13:$G$64,MATCH($A74,Вводные!$A$13:$A$64,0)),0))</f>
        <v>6</v>
      </c>
      <c r="FK74" s="19" t="n">
        <f aca="false">INDEX(Вводные!$D$13:$F$64,MATCH($A74,Вводные!$A$13:$A$64,0),MATCH(FK$3,Вводные!$D$11:$F$11,0))*(1+IF(FK$4=$A74,Вводные!$D$5*INDEX(Вводные!$G$13:$G$64,MATCH($A74,Вводные!$A$13:$A$64,0)),0))</f>
        <v>6</v>
      </c>
      <c r="FL74" s="19" t="n">
        <f aca="false">INDEX(Вводные!$D$13:$F$64,MATCH($A74,Вводные!$A$13:$A$64,0),MATCH(FL$3,Вводные!$D$11:$F$11,0))*(1+IF(FL$4=$A74,Вводные!$D$5*INDEX(Вводные!$G$13:$G$64,MATCH($A74,Вводные!$A$13:$A$64,0)),0))</f>
        <v>6</v>
      </c>
      <c r="FM74" s="19" t="n">
        <f aca="false">INDEX(Вводные!$D$13:$F$64,MATCH($A74,Вводные!$A$13:$A$64,0),MATCH(FM$3,Вводные!$D$11:$F$11,0))*(1+IF(FM$4=$A74,Вводные!$D$5*INDEX(Вводные!$G$13:$G$64,MATCH($A74,Вводные!$A$13:$A$64,0)),0))</f>
        <v>6</v>
      </c>
      <c r="FN74" s="19" t="n">
        <f aca="false">INDEX(Вводные!$D$13:$F$64,MATCH($A74,Вводные!$A$13:$A$64,0),MATCH(FN$3,Вводные!$D$11:$F$11,0))*(1+IF(FN$4=$A74,Вводные!$D$5*INDEX(Вводные!$G$13:$G$64,MATCH($A74,Вводные!$A$13:$A$64,0)),0))</f>
        <v>6</v>
      </c>
      <c r="FO74" s="19" t="n">
        <f aca="false">INDEX(Вводные!$D$13:$F$64,MATCH($A74,Вводные!$A$13:$A$64,0),MATCH(FO$3,Вводные!$D$11:$F$11,0))*(1+IF(FO$4=$A74,Вводные!$D$5*INDEX(Вводные!$G$13:$G$64,MATCH($A74,Вводные!$A$13:$A$64,0)),0))</f>
        <v>5.94</v>
      </c>
      <c r="FP74" s="19" t="n">
        <f aca="false">INDEX(Вводные!$D$13:$F$64,MATCH($A74,Вводные!$A$13:$A$64,0),MATCH(FP$3,Вводные!$D$11:$F$11,0))*(1+IF(FP$4=$A74,Вводные!$D$5*INDEX(Вводные!$G$13:$G$64,MATCH($A74,Вводные!$A$13:$A$64,0)),0))</f>
        <v>6</v>
      </c>
      <c r="FQ74" s="19" t="n">
        <f aca="false">INDEX(Вводные!$D$13:$F$64,MATCH($A74,Вводные!$A$13:$A$64,0),MATCH(FQ$3,Вводные!$D$11:$F$11,0))*(1+IF(FQ$4=$A74,Вводные!$D$5*INDEX(Вводные!$G$13:$G$64,MATCH($A74,Вводные!$A$13:$A$64,0)),0))</f>
        <v>6</v>
      </c>
      <c r="FR74" s="19" t="n">
        <f aca="false">INDEX(Вводные!$D$13:$F$64,MATCH($A74,Вводные!$A$13:$A$64,0),MATCH(FR$3,Вводные!$D$11:$F$11,0))*(1+IF(FR$4=$A74,Вводные!$D$5*INDEX(Вводные!$G$13:$G$64,MATCH($A74,Вводные!$A$13:$A$64,0)),0))</f>
        <v>6</v>
      </c>
      <c r="FS74" s="19" t="n">
        <f aca="false">INDEX(Вводные!$D$13:$F$64,MATCH($A74,Вводные!$A$13:$A$64,0),MATCH(FS$3,Вводные!$D$11:$F$11,0))*(1+IF(FS$4=$A74,Вводные!$D$5*INDEX(Вводные!$G$13:$G$64,MATCH($A74,Вводные!$A$13:$A$64,0)),0))</f>
        <v>6</v>
      </c>
      <c r="FT74" s="19" t="n">
        <f aca="false">INDEX(Вводные!$D$13:$F$64,MATCH($A74,Вводные!$A$13:$A$64,0),MATCH(FT$3,Вводные!$D$11:$F$11,0))*(1+IF(FT$4=$A74,Вводные!$D$5*INDEX(Вводные!$G$13:$G$64,MATCH($A74,Вводные!$A$13:$A$64,0)),0))</f>
        <v>6</v>
      </c>
      <c r="FU74" s="19" t="n">
        <f aca="false">INDEX(Вводные!$D$13:$F$64,MATCH($A74,Вводные!$A$13:$A$64,0),MATCH(FU$3,Вводные!$D$11:$F$11,0))*(1+IF(FU$4=$A74,Вводные!$D$5*INDEX(Вводные!$G$13:$G$64,MATCH($A74,Вводные!$A$13:$A$64,0)),0))</f>
        <v>6</v>
      </c>
      <c r="FV74" s="19" t="n">
        <f aca="false">INDEX(Вводные!$D$13:$F$64,MATCH($A74,Вводные!$A$13:$A$64,0),MATCH(FV$3,Вводные!$D$11:$F$11,0))*(1+IF(FV$4=$A74,Вводные!$D$5*INDEX(Вводные!$G$13:$G$64,MATCH($A74,Вводные!$A$13:$A$64,0)),0))</f>
        <v>15</v>
      </c>
      <c r="FW74" s="19" t="n">
        <f aca="false">INDEX(Вводные!$D$13:$F$64,MATCH($A74,Вводные!$A$13:$A$64,0),MATCH(FW$3,Вводные!$D$11:$F$11,0))*(1+IF(FW$4=$A74,Вводные!$D$5*INDEX(Вводные!$G$13:$G$64,MATCH($A74,Вводные!$A$13:$A$64,0)),0))</f>
        <v>15</v>
      </c>
      <c r="FX74" s="19" t="n">
        <f aca="false">INDEX(Вводные!$D$13:$F$64,MATCH($A74,Вводные!$A$13:$A$64,0),MATCH(FX$3,Вводные!$D$11:$F$11,0))*(1+IF(FX$4=$A74,Вводные!$D$5*INDEX(Вводные!$G$13:$G$64,MATCH($A74,Вводные!$A$13:$A$64,0)),0))</f>
        <v>15</v>
      </c>
      <c r="FY74" s="19" t="n">
        <f aca="false">INDEX(Вводные!$D$13:$F$64,MATCH($A74,Вводные!$A$13:$A$64,0),MATCH(FY$3,Вводные!$D$11:$F$11,0))*(1+IF(FY$4=$A74,Вводные!$D$5*INDEX(Вводные!$G$13:$G$64,MATCH($A74,Вводные!$A$13:$A$64,0)),0))</f>
        <v>15</v>
      </c>
      <c r="FZ74" s="19" t="n">
        <f aca="false">INDEX(Вводные!$D$13:$F$64,MATCH($A74,Вводные!$A$13:$A$64,0),MATCH(FZ$3,Вводные!$D$11:$F$11,0))*(1+IF(FZ$4=$A74,Вводные!$D$5*INDEX(Вводные!$G$13:$G$64,MATCH($A74,Вводные!$A$13:$A$64,0)),0))</f>
        <v>15</v>
      </c>
      <c r="GA74" s="19" t="n">
        <f aca="false">INDEX(Вводные!$D$13:$F$64,MATCH($A74,Вводные!$A$13:$A$64,0),MATCH(GA$3,Вводные!$D$11:$F$11,0))*(1+IF(GA$4=$A74,Вводные!$D$5*INDEX(Вводные!$G$13:$G$64,MATCH($A74,Вводные!$A$13:$A$64,0)),0))</f>
        <v>15</v>
      </c>
      <c r="GB74" s="19" t="n">
        <f aca="false">INDEX(Вводные!$D$13:$F$64,MATCH($A74,Вводные!$A$13:$A$64,0),MATCH(GB$3,Вводные!$D$11:$F$11,0))*(1+IF(GB$4=$A74,Вводные!$D$5*INDEX(Вводные!$G$13:$G$64,MATCH($A74,Вводные!$A$13:$A$64,0)),0))</f>
        <v>15</v>
      </c>
      <c r="GC74" s="19" t="n">
        <f aca="false">INDEX(Вводные!$D$13:$F$64,MATCH($A74,Вводные!$A$13:$A$64,0),MATCH(GC$3,Вводные!$D$11:$F$11,0))*(1+IF(GC$4=$A74,Вводные!$D$5*INDEX(Вводные!$G$13:$G$64,MATCH($A74,Вводные!$A$13:$A$64,0)),0))</f>
        <v>15</v>
      </c>
      <c r="GD74" s="19" t="n">
        <f aca="false">INDEX(Вводные!$D$13:$F$64,MATCH($A74,Вводные!$A$13:$A$64,0),MATCH(GD$3,Вводные!$D$11:$F$11,0))*(1+IF(GD$4=$A74,Вводные!$D$5*INDEX(Вводные!$G$13:$G$64,MATCH($A74,Вводные!$A$13:$A$64,0)),0))</f>
        <v>15</v>
      </c>
      <c r="GE74" s="19" t="n">
        <f aca="false">INDEX(Вводные!$D$13:$F$64,MATCH($A74,Вводные!$A$13:$A$64,0),MATCH(GE$3,Вводные!$D$11:$F$11,0))*(1+IF(GE$4=$A74,Вводные!$D$5*INDEX(Вводные!$G$13:$G$64,MATCH($A74,Вводные!$A$13:$A$64,0)),0))</f>
        <v>15</v>
      </c>
      <c r="GF74" s="19" t="n">
        <f aca="false">INDEX(Вводные!$D$13:$F$64,MATCH($A74,Вводные!$A$13:$A$64,0),MATCH(GF$3,Вводные!$D$11:$F$11,0))*(1+IF(GF$4=$A74,Вводные!$D$5*INDEX(Вводные!$G$13:$G$64,MATCH($A74,Вводные!$A$13:$A$64,0)),0))</f>
        <v>15</v>
      </c>
      <c r="GG74" s="19" t="n">
        <f aca="false">INDEX(Вводные!$D$13:$F$64,MATCH($A74,Вводные!$A$13:$A$64,0),MATCH(GG$3,Вводные!$D$11:$F$11,0))*(1+IF(GG$4=$A74,Вводные!$D$5*INDEX(Вводные!$G$13:$G$64,MATCH($A74,Вводные!$A$13:$A$64,0)),0))</f>
        <v>15</v>
      </c>
      <c r="GH74" s="19" t="n">
        <f aca="false">INDEX(Вводные!$D$13:$F$64,MATCH($A74,Вводные!$A$13:$A$64,0),MATCH(GH$3,Вводные!$D$11:$F$11,0))*(1+IF(GH$4=$A74,Вводные!$D$5*INDEX(Вводные!$G$13:$G$64,MATCH($A74,Вводные!$A$13:$A$64,0)),0))</f>
        <v>15</v>
      </c>
      <c r="GI74" s="19" t="n">
        <f aca="false">INDEX(Вводные!$D$13:$F$64,MATCH($A74,Вводные!$A$13:$A$64,0),MATCH(GI$3,Вводные!$D$11:$F$11,0))*(1+IF(GI$4=$A74,Вводные!$D$5*INDEX(Вводные!$G$13:$G$64,MATCH($A74,Вводные!$A$13:$A$64,0)),0))</f>
        <v>15</v>
      </c>
      <c r="GJ74" s="19" t="n">
        <f aca="false">INDEX(Вводные!$D$13:$F$64,MATCH($A74,Вводные!$A$13:$A$64,0),MATCH(GJ$3,Вводные!$D$11:$F$11,0))*(1+IF(GJ$4=$A74,Вводные!$D$5*INDEX(Вводные!$G$13:$G$64,MATCH($A74,Вводные!$A$13:$A$64,0)),0))</f>
        <v>15</v>
      </c>
      <c r="GK74" s="19" t="n">
        <f aca="false">INDEX(Вводные!$D$13:$F$64,MATCH($A74,Вводные!$A$13:$A$64,0),MATCH(GK$3,Вводные!$D$11:$F$11,0))*(1+IF(GK$4=$A74,Вводные!$D$5*INDEX(Вводные!$G$13:$G$64,MATCH($A74,Вводные!$A$13:$A$64,0)),0))</f>
        <v>15</v>
      </c>
      <c r="GL74" s="19" t="n">
        <f aca="false">INDEX(Вводные!$D$13:$F$64,MATCH($A74,Вводные!$A$13:$A$64,0),MATCH(GL$3,Вводные!$D$11:$F$11,0))*(1+IF(GL$4=$A74,Вводные!$D$5*INDEX(Вводные!$G$13:$G$64,MATCH($A74,Вводные!$A$13:$A$64,0)),0))</f>
        <v>15</v>
      </c>
      <c r="GM74" s="19" t="n">
        <f aca="false">INDEX(Вводные!$D$13:$F$64,MATCH($A74,Вводные!$A$13:$A$64,0),MATCH(GM$3,Вводные!$D$11:$F$11,0))*(1+IF(GM$4=$A74,Вводные!$D$5*INDEX(Вводные!$G$13:$G$64,MATCH($A74,Вводные!$A$13:$A$64,0)),0))</f>
        <v>15</v>
      </c>
      <c r="GN74" s="19" t="n">
        <f aca="false">INDEX(Вводные!$D$13:$F$64,MATCH($A74,Вводные!$A$13:$A$64,0),MATCH(GN$3,Вводные!$D$11:$F$11,0))*(1+IF(GN$4=$A74,Вводные!$D$5*INDEX(Вводные!$G$13:$G$64,MATCH($A74,Вводные!$A$13:$A$64,0)),0))</f>
        <v>15</v>
      </c>
      <c r="GO74" s="19" t="n">
        <f aca="false">INDEX(Вводные!$D$13:$F$64,MATCH($A74,Вводные!$A$13:$A$64,0),MATCH(GO$3,Вводные!$D$11:$F$11,0))*(1+IF(GO$4=$A74,Вводные!$D$5*INDEX(Вводные!$G$13:$G$64,MATCH($A74,Вводные!$A$13:$A$64,0)),0))</f>
        <v>15</v>
      </c>
      <c r="GP74" s="19" t="n">
        <f aca="false">INDEX(Вводные!$D$13:$F$64,MATCH($A74,Вводные!$A$13:$A$64,0),MATCH(GP$3,Вводные!$D$11:$F$11,0))*(1+IF(GP$4=$A74,Вводные!$D$5*INDEX(Вводные!$G$13:$G$64,MATCH($A74,Вводные!$A$13:$A$64,0)),0))</f>
        <v>15</v>
      </c>
      <c r="GQ74" s="19" t="n">
        <f aca="false">INDEX(Вводные!$D$13:$F$64,MATCH($A74,Вводные!$A$13:$A$64,0),MATCH(GQ$3,Вводные!$D$11:$F$11,0))*(1+IF(GQ$4=$A74,Вводные!$D$5*INDEX(Вводные!$G$13:$G$64,MATCH($A74,Вводные!$A$13:$A$64,0)),0))</f>
        <v>15</v>
      </c>
      <c r="GR74" s="19" t="n">
        <f aca="false">INDEX(Вводные!$D$13:$F$64,MATCH($A74,Вводные!$A$13:$A$64,0),MATCH(GR$3,Вводные!$D$11:$F$11,0))*(1+IF(GR$4=$A74,Вводные!$D$5*INDEX(Вводные!$G$13:$G$64,MATCH($A74,Вводные!$A$13:$A$64,0)),0))</f>
        <v>15</v>
      </c>
      <c r="GS74" s="19" t="n">
        <f aca="false">INDEX(Вводные!$D$13:$F$64,MATCH($A74,Вводные!$A$13:$A$64,0),MATCH(GS$3,Вводные!$D$11:$F$11,0))*(1+IF(GS$4=$A74,Вводные!$D$5*INDEX(Вводные!$G$13:$G$64,MATCH($A74,Вводные!$A$13:$A$64,0)),0))</f>
        <v>15</v>
      </c>
      <c r="GT74" s="19" t="n">
        <f aca="false">INDEX(Вводные!$D$13:$F$64,MATCH($A74,Вводные!$A$13:$A$64,0),MATCH(GT$3,Вводные!$D$11:$F$11,0))*(1+IF(GT$4=$A74,Вводные!$D$5*INDEX(Вводные!$G$13:$G$64,MATCH($A74,Вводные!$A$13:$A$64,0)),0))</f>
        <v>15</v>
      </c>
      <c r="GU74" s="19" t="n">
        <f aca="false">INDEX(Вводные!$D$13:$F$64,MATCH($A74,Вводные!$A$13:$A$64,0),MATCH(GU$3,Вводные!$D$11:$F$11,0))*(1+IF(GU$4=$A74,Вводные!$D$5*INDEX(Вводные!$G$13:$G$64,MATCH($A74,Вводные!$A$13:$A$64,0)),0))</f>
        <v>15</v>
      </c>
      <c r="GV74" s="19" t="n">
        <f aca="false">INDEX(Вводные!$D$13:$F$64,MATCH($A74,Вводные!$A$13:$A$64,0),MATCH(GV$3,Вводные!$D$11:$F$11,0))*(1+IF(GV$4=$A74,Вводные!$D$5*INDEX(Вводные!$G$13:$G$64,MATCH($A74,Вводные!$A$13:$A$64,0)),0))</f>
        <v>15</v>
      </c>
      <c r="GW74" s="19" t="n">
        <f aca="false">INDEX(Вводные!$D$13:$F$64,MATCH($A74,Вводные!$A$13:$A$64,0),MATCH(GW$3,Вводные!$D$11:$F$11,0))*(1+IF(GW$4=$A74,Вводные!$D$5*INDEX(Вводные!$G$13:$G$64,MATCH($A74,Вводные!$A$13:$A$64,0)),0))</f>
        <v>15</v>
      </c>
      <c r="GX74" s="19" t="n">
        <f aca="false">INDEX(Вводные!$D$13:$F$64,MATCH($A74,Вводные!$A$13:$A$64,0),MATCH(GX$3,Вводные!$D$11:$F$11,0))*(1+IF(GX$4=$A74,Вводные!$D$5*INDEX(Вводные!$G$13:$G$64,MATCH($A74,Вводные!$A$13:$A$64,0)),0))</f>
        <v>15</v>
      </c>
      <c r="GY74" s="19" t="n">
        <f aca="false">INDEX(Вводные!$D$13:$F$64,MATCH($A74,Вводные!$A$13:$A$64,0),MATCH(GY$3,Вводные!$D$11:$F$11,0))*(1+IF(GY$4=$A74,Вводные!$D$5*INDEX(Вводные!$G$13:$G$64,MATCH($A74,Вводные!$A$13:$A$64,0)),0))</f>
        <v>15</v>
      </c>
      <c r="GZ74" s="19" t="n">
        <f aca="false">INDEX(Вводные!$D$13:$F$64,MATCH($A74,Вводные!$A$13:$A$64,0),MATCH(GZ$3,Вводные!$D$11:$F$11,0))*(1+IF(GZ$4=$A74,Вводные!$D$5*INDEX(Вводные!$G$13:$G$64,MATCH($A74,Вводные!$A$13:$A$64,0)),0))</f>
        <v>15</v>
      </c>
      <c r="HA74" s="19" t="n">
        <f aca="false">INDEX(Вводные!$D$13:$F$64,MATCH($A74,Вводные!$A$13:$A$64,0),MATCH(HA$3,Вводные!$D$11:$F$11,0))*(1+IF(HA$4=$A74,Вводные!$D$5*INDEX(Вводные!$G$13:$G$64,MATCH($A74,Вводные!$A$13:$A$64,0)),0))</f>
        <v>15</v>
      </c>
      <c r="HB74" s="19" t="n">
        <f aca="false">INDEX(Вводные!$D$13:$F$64,MATCH($A74,Вводные!$A$13:$A$64,0),MATCH(HB$3,Вводные!$D$11:$F$11,0))*(1+IF(HB$4=$A74,Вводные!$D$5*INDEX(Вводные!$G$13:$G$64,MATCH($A74,Вводные!$A$13:$A$64,0)),0))</f>
        <v>15</v>
      </c>
      <c r="HC74" s="19" t="n">
        <f aca="false">INDEX(Вводные!$D$13:$F$64,MATCH($A74,Вводные!$A$13:$A$64,0),MATCH(HC$3,Вводные!$D$11:$F$11,0))*(1+IF(HC$4=$A74,Вводные!$D$5*INDEX(Вводные!$G$13:$G$64,MATCH($A74,Вводные!$A$13:$A$64,0)),0))</f>
        <v>15</v>
      </c>
      <c r="HD74" s="19" t="n">
        <f aca="false">INDEX(Вводные!$D$13:$F$64,MATCH($A74,Вводные!$A$13:$A$64,0),MATCH(HD$3,Вводные!$D$11:$F$11,0))*(1+IF(HD$4=$A74,Вводные!$D$5*INDEX(Вводные!$G$13:$G$64,MATCH($A74,Вводные!$A$13:$A$64,0)),0))</f>
        <v>15</v>
      </c>
      <c r="HE74" s="19" t="n">
        <f aca="false">INDEX(Вводные!$D$13:$F$64,MATCH($A74,Вводные!$A$13:$A$64,0),MATCH(HE$3,Вводные!$D$11:$F$11,0))*(1+IF(HE$4=$A74,Вводные!$D$5*INDEX(Вводные!$G$13:$G$64,MATCH($A74,Вводные!$A$13:$A$64,0)),0))</f>
        <v>14.85</v>
      </c>
      <c r="HF74" s="19" t="n">
        <f aca="false">INDEX(Вводные!$D$13:$F$64,MATCH($A74,Вводные!$A$13:$A$64,0),MATCH(HF$3,Вводные!$D$11:$F$11,0))*(1+IF(HF$4=$A74,Вводные!$D$5*INDEX(Вводные!$G$13:$G$64,MATCH($A74,Вводные!$A$13:$A$64,0)),0))</f>
        <v>15</v>
      </c>
      <c r="HG74" s="19" t="n">
        <f aca="false">INDEX(Вводные!$D$13:$F$64,MATCH($A74,Вводные!$A$13:$A$64,0),MATCH(HG$3,Вводные!$D$11:$F$11,0))*(1+IF(HG$4=$A74,Вводные!$D$5*INDEX(Вводные!$G$13:$G$64,MATCH($A74,Вводные!$A$13:$A$64,0)),0))</f>
        <v>15</v>
      </c>
      <c r="HH74" s="19" t="n">
        <f aca="false">INDEX(Вводные!$D$13:$F$64,MATCH($A74,Вводные!$A$13:$A$64,0),MATCH(HH$3,Вводные!$D$11:$F$11,0))*(1+IF(HH$4=$A74,Вводные!$D$5*INDEX(Вводные!$G$13:$G$64,MATCH($A74,Вводные!$A$13:$A$64,0)),0))</f>
        <v>15</v>
      </c>
      <c r="HI74" s="19" t="n">
        <f aca="false">INDEX(Вводные!$D$13:$F$64,MATCH($A74,Вводные!$A$13:$A$64,0),MATCH(HI$3,Вводные!$D$11:$F$11,0))*(1+IF(HI$4=$A74,Вводные!$D$5*INDEX(Вводные!$G$13:$G$64,MATCH($A74,Вводные!$A$13:$A$64,0)),0))</f>
        <v>15</v>
      </c>
      <c r="HJ74" s="19" t="n">
        <f aca="false">INDEX(Вводные!$D$13:$F$64,MATCH($A74,Вводные!$A$13:$A$64,0),MATCH(HJ$3,Вводные!$D$11:$F$11,0))*(1+IF(HJ$4=$A74,Вводные!$D$5*INDEX(Вводные!$G$13:$G$64,MATCH($A74,Вводные!$A$13:$A$64,0)),0))</f>
        <v>15</v>
      </c>
      <c r="HK74" s="19" t="n">
        <f aca="false">INDEX(Вводные!$D$13:$F$64,MATCH($A74,Вводные!$A$13:$A$64,0),MATCH(HK$3,Вводные!$D$11:$F$11,0))*(1+IF(HK$4=$A74,Вводные!$D$5*INDEX(Вводные!$G$13:$G$64,MATCH($A74,Вводные!$A$13:$A$64,0)),0))</f>
        <v>15</v>
      </c>
      <c r="HL74" s="19" t="n">
        <f aca="false">INDEX(Вводные!$D$13:$F$64,MATCH($A74,Вводные!$A$13:$A$64,0),MATCH(HL$3,Вводные!$D$11:$F$11,0))*(1+IF(HL$4=$A74,Вводные!$D$5*INDEX(Вводные!$G$13:$G$64,MATCH($A74,Вводные!$A$13:$A$64,0)),0))</f>
        <v>200</v>
      </c>
      <c r="HM74" s="19" t="n">
        <f aca="false">INDEX(Вводные!$D$13:$F$64,MATCH($A74,Вводные!$A$13:$A$64,0),MATCH(HM$3,Вводные!$D$11:$F$11,0))*(1+IF(HM$4=$A74,Вводные!$D$5*INDEX(Вводные!$G$13:$G$64,MATCH($A74,Вводные!$A$13:$A$64,0)),0))</f>
        <v>200</v>
      </c>
      <c r="HN74" s="19" t="n">
        <f aca="false">INDEX(Вводные!$D$13:$F$64,MATCH($A74,Вводные!$A$13:$A$64,0),MATCH(HN$3,Вводные!$D$11:$F$11,0))*(1+IF(HN$4=$A74,Вводные!$D$5*INDEX(Вводные!$G$13:$G$64,MATCH($A74,Вводные!$A$13:$A$64,0)),0))</f>
        <v>200</v>
      </c>
      <c r="HO74" s="19" t="n">
        <f aca="false">INDEX(Вводные!$D$13:$F$64,MATCH($A74,Вводные!$A$13:$A$64,0),MATCH(HO$3,Вводные!$D$11:$F$11,0))*(1+IF(HO$4=$A74,Вводные!$D$5*INDEX(Вводные!$G$13:$G$64,MATCH($A74,Вводные!$A$13:$A$64,0)),0))</f>
        <v>200</v>
      </c>
      <c r="HP74" s="19" t="n">
        <f aca="false">INDEX(Вводные!$D$13:$F$64,MATCH($A74,Вводные!$A$13:$A$64,0),MATCH(HP$3,Вводные!$D$11:$F$11,0))*(1+IF(HP$4=$A74,Вводные!$D$5*INDEX(Вводные!$G$13:$G$64,MATCH($A74,Вводные!$A$13:$A$64,0)),0))</f>
        <v>200</v>
      </c>
      <c r="HQ74" s="19" t="n">
        <f aca="false">INDEX(Вводные!$D$13:$F$64,MATCH($A74,Вводные!$A$13:$A$64,0),MATCH(HQ$3,Вводные!$D$11:$F$11,0))*(1+IF(HQ$4=$A74,Вводные!$D$5*INDEX(Вводные!$G$13:$G$64,MATCH($A74,Вводные!$A$13:$A$64,0)),0))</f>
        <v>200</v>
      </c>
      <c r="HR74" s="19" t="n">
        <f aca="false">INDEX(Вводные!$D$13:$F$64,MATCH($A74,Вводные!$A$13:$A$64,0),MATCH(HR$3,Вводные!$D$11:$F$11,0))*(1+IF(HR$4=$A74,Вводные!$D$5*INDEX(Вводные!$G$13:$G$64,MATCH($A74,Вводные!$A$13:$A$64,0)),0))</f>
        <v>200</v>
      </c>
      <c r="HS74" s="19" t="n">
        <f aca="false">INDEX(Вводные!$D$13:$F$64,MATCH($A74,Вводные!$A$13:$A$64,0),MATCH(HS$3,Вводные!$D$11:$F$11,0))*(1+IF(HS$4=$A74,Вводные!$D$5*INDEX(Вводные!$G$13:$G$64,MATCH($A74,Вводные!$A$13:$A$64,0)),0))</f>
        <v>200</v>
      </c>
      <c r="HT74" s="19" t="n">
        <f aca="false">INDEX(Вводные!$D$13:$F$64,MATCH($A74,Вводные!$A$13:$A$64,0),MATCH(HT$3,Вводные!$D$11:$F$11,0))*(1+IF(HT$4=$A74,Вводные!$D$5*INDEX(Вводные!$G$13:$G$64,MATCH($A74,Вводные!$A$13:$A$64,0)),0))</f>
        <v>200</v>
      </c>
      <c r="HU74" s="19" t="n">
        <f aca="false">INDEX(Вводные!$D$13:$F$64,MATCH($A74,Вводные!$A$13:$A$64,0),MATCH(HU$3,Вводные!$D$11:$F$11,0))*(1+IF(HU$4=$A74,Вводные!$D$5*INDEX(Вводные!$G$13:$G$64,MATCH($A74,Вводные!$A$13:$A$64,0)),0))</f>
        <v>200</v>
      </c>
      <c r="HV74" s="19" t="n">
        <f aca="false">INDEX(Вводные!$D$13:$F$64,MATCH($A74,Вводные!$A$13:$A$64,0),MATCH(HV$3,Вводные!$D$11:$F$11,0))*(1+IF(HV$4=$A74,Вводные!$D$5*INDEX(Вводные!$G$13:$G$64,MATCH($A74,Вводные!$A$13:$A$64,0)),0))</f>
        <v>200</v>
      </c>
      <c r="HW74" s="19" t="n">
        <f aca="false">INDEX(Вводные!$D$13:$F$64,MATCH($A74,Вводные!$A$13:$A$64,0),MATCH(HW$3,Вводные!$D$11:$F$11,0))*(1+IF(HW$4=$A74,Вводные!$D$5*INDEX(Вводные!$G$13:$G$64,MATCH($A74,Вводные!$A$13:$A$64,0)),0))</f>
        <v>200</v>
      </c>
      <c r="HX74" s="19" t="n">
        <f aca="false">INDEX(Вводные!$D$13:$F$64,MATCH($A74,Вводные!$A$13:$A$64,0),MATCH(HX$3,Вводные!$D$11:$F$11,0))*(1+IF(HX$4=$A74,Вводные!$D$5*INDEX(Вводные!$G$13:$G$64,MATCH($A74,Вводные!$A$13:$A$64,0)),0))</f>
        <v>200</v>
      </c>
      <c r="HY74" s="19" t="n">
        <f aca="false">INDEX(Вводные!$D$13:$F$64,MATCH($A74,Вводные!$A$13:$A$64,0),MATCH(HY$3,Вводные!$D$11:$F$11,0))*(1+IF(HY$4=$A74,Вводные!$D$5*INDEX(Вводные!$G$13:$G$64,MATCH($A74,Вводные!$A$13:$A$64,0)),0))</f>
        <v>200</v>
      </c>
      <c r="HZ74" s="19" t="n">
        <f aca="false">INDEX(Вводные!$D$13:$F$64,MATCH($A74,Вводные!$A$13:$A$64,0),MATCH(HZ$3,Вводные!$D$11:$F$11,0))*(1+IF(HZ$4=$A74,Вводные!$D$5*INDEX(Вводные!$G$13:$G$64,MATCH($A74,Вводные!$A$13:$A$64,0)),0))</f>
        <v>200</v>
      </c>
      <c r="IA74" s="19" t="n">
        <f aca="false">INDEX(Вводные!$D$13:$F$64,MATCH($A74,Вводные!$A$13:$A$64,0),MATCH(IA$3,Вводные!$D$11:$F$11,0))*(1+IF(IA$4=$A74,Вводные!$D$5*INDEX(Вводные!$G$13:$G$64,MATCH($A74,Вводные!$A$13:$A$64,0)),0))</f>
        <v>200</v>
      </c>
      <c r="IB74" s="19" t="n">
        <f aca="false">INDEX(Вводные!$D$13:$F$64,MATCH($A74,Вводные!$A$13:$A$64,0),MATCH(IB$3,Вводные!$D$11:$F$11,0))*(1+IF(IB$4=$A74,Вводные!$D$5*INDEX(Вводные!$G$13:$G$64,MATCH($A74,Вводные!$A$13:$A$64,0)),0))</f>
        <v>200</v>
      </c>
      <c r="IC74" s="19" t="n">
        <f aca="false">INDEX(Вводные!$D$13:$F$64,MATCH($A74,Вводные!$A$13:$A$64,0),MATCH(IC$3,Вводные!$D$11:$F$11,0))*(1+IF(IC$4=$A74,Вводные!$D$5*INDEX(Вводные!$G$13:$G$64,MATCH($A74,Вводные!$A$13:$A$64,0)),0))</f>
        <v>200</v>
      </c>
      <c r="ID74" s="19" t="n">
        <f aca="false">INDEX(Вводные!$D$13:$F$64,MATCH($A74,Вводные!$A$13:$A$64,0),MATCH(ID$3,Вводные!$D$11:$F$11,0))*(1+IF(ID$4=$A74,Вводные!$D$5*INDEX(Вводные!$G$13:$G$64,MATCH($A74,Вводные!$A$13:$A$64,0)),0))</f>
        <v>200</v>
      </c>
      <c r="IE74" s="19" t="n">
        <f aca="false">INDEX(Вводные!$D$13:$F$64,MATCH($A74,Вводные!$A$13:$A$64,0),MATCH(IE$3,Вводные!$D$11:$F$11,0))*(1+IF(IE$4=$A74,Вводные!$D$5*INDEX(Вводные!$G$13:$G$64,MATCH($A74,Вводные!$A$13:$A$64,0)),0))</f>
        <v>200</v>
      </c>
      <c r="IF74" s="19" t="n">
        <f aca="false">INDEX(Вводные!$D$13:$F$64,MATCH($A74,Вводные!$A$13:$A$64,0),MATCH(IF$3,Вводные!$D$11:$F$11,0))*(1+IF(IF$4=$A74,Вводные!$D$5*INDEX(Вводные!$G$13:$G$64,MATCH($A74,Вводные!$A$13:$A$64,0)),0))</f>
        <v>200</v>
      </c>
      <c r="IG74" s="19" t="n">
        <f aca="false">INDEX(Вводные!$D$13:$F$64,MATCH($A74,Вводные!$A$13:$A$64,0),MATCH(IG$3,Вводные!$D$11:$F$11,0))*(1+IF(IG$4=$A74,Вводные!$D$5*INDEX(Вводные!$G$13:$G$64,MATCH($A74,Вводные!$A$13:$A$64,0)),0))</f>
        <v>200</v>
      </c>
      <c r="IH74" s="19" t="n">
        <f aca="false">INDEX(Вводные!$D$13:$F$64,MATCH($A74,Вводные!$A$13:$A$64,0),MATCH(IH$3,Вводные!$D$11:$F$11,0))*(1+IF(IH$4=$A74,Вводные!$D$5*INDEX(Вводные!$G$13:$G$64,MATCH($A74,Вводные!$A$13:$A$64,0)),0))</f>
        <v>200</v>
      </c>
      <c r="II74" s="19" t="n">
        <f aca="false">INDEX(Вводные!$D$13:$F$64,MATCH($A74,Вводные!$A$13:$A$64,0),MATCH(II$3,Вводные!$D$11:$F$11,0))*(1+IF(II$4=$A74,Вводные!$D$5*INDEX(Вводные!$G$13:$G$64,MATCH($A74,Вводные!$A$13:$A$64,0)),0))</f>
        <v>200</v>
      </c>
      <c r="IJ74" s="19" t="n">
        <f aca="false">INDEX(Вводные!$D$13:$F$64,MATCH($A74,Вводные!$A$13:$A$64,0),MATCH(IJ$3,Вводные!$D$11:$F$11,0))*(1+IF(IJ$4=$A74,Вводные!$D$5*INDEX(Вводные!$G$13:$G$64,MATCH($A74,Вводные!$A$13:$A$64,0)),0))</f>
        <v>200</v>
      </c>
      <c r="IK74" s="19" t="n">
        <f aca="false">INDEX(Вводные!$D$13:$F$64,MATCH($A74,Вводные!$A$13:$A$64,0),MATCH(IK$3,Вводные!$D$11:$F$11,0))*(1+IF(IK$4=$A74,Вводные!$D$5*INDEX(Вводные!$G$13:$G$64,MATCH($A74,Вводные!$A$13:$A$64,0)),0))</f>
        <v>200</v>
      </c>
      <c r="IL74" s="19" t="n">
        <f aca="false">INDEX(Вводные!$D$13:$F$64,MATCH($A74,Вводные!$A$13:$A$64,0),MATCH(IL$3,Вводные!$D$11:$F$11,0))*(1+IF(IL$4=$A74,Вводные!$D$5*INDEX(Вводные!$G$13:$G$64,MATCH($A74,Вводные!$A$13:$A$64,0)),0))</f>
        <v>200</v>
      </c>
      <c r="IM74" s="19" t="n">
        <f aca="false">INDEX(Вводные!$D$13:$F$64,MATCH($A74,Вводные!$A$13:$A$64,0),MATCH(IM$3,Вводные!$D$11:$F$11,0))*(1+IF(IM$4=$A74,Вводные!$D$5*INDEX(Вводные!$G$13:$G$64,MATCH($A74,Вводные!$A$13:$A$64,0)),0))</f>
        <v>200</v>
      </c>
      <c r="IN74" s="19" t="n">
        <f aca="false">INDEX(Вводные!$D$13:$F$64,MATCH($A74,Вводные!$A$13:$A$64,0),MATCH(IN$3,Вводные!$D$11:$F$11,0))*(1+IF(IN$4=$A74,Вводные!$D$5*INDEX(Вводные!$G$13:$G$64,MATCH($A74,Вводные!$A$13:$A$64,0)),0))</f>
        <v>200</v>
      </c>
      <c r="IO74" s="19" t="n">
        <f aca="false">INDEX(Вводные!$D$13:$F$64,MATCH($A74,Вводные!$A$13:$A$64,0),MATCH(IO$3,Вводные!$D$11:$F$11,0))*(1+IF(IO$4=$A74,Вводные!$D$5*INDEX(Вводные!$G$13:$G$64,MATCH($A74,Вводные!$A$13:$A$64,0)),0))</f>
        <v>200</v>
      </c>
      <c r="IP74" s="19" t="n">
        <f aca="false">INDEX(Вводные!$D$13:$F$64,MATCH($A74,Вводные!$A$13:$A$64,0),MATCH(IP$3,Вводные!$D$11:$F$11,0))*(1+IF(IP$4=$A74,Вводные!$D$5*INDEX(Вводные!$G$13:$G$64,MATCH($A74,Вводные!$A$13:$A$64,0)),0))</f>
        <v>200</v>
      </c>
      <c r="IQ74" s="19" t="n">
        <f aca="false">INDEX(Вводные!$D$13:$F$64,MATCH($A74,Вводные!$A$13:$A$64,0),MATCH(IQ$3,Вводные!$D$11:$F$11,0))*(1+IF(IQ$4=$A74,Вводные!$D$5*INDEX(Вводные!$G$13:$G$64,MATCH($A74,Вводные!$A$13:$A$64,0)),0))</f>
        <v>200</v>
      </c>
      <c r="IR74" s="19" t="n">
        <f aca="false">INDEX(Вводные!$D$13:$F$64,MATCH($A74,Вводные!$A$13:$A$64,0),MATCH(IR$3,Вводные!$D$11:$F$11,0))*(1+IF(IR$4=$A74,Вводные!$D$5*INDEX(Вводные!$G$13:$G$64,MATCH($A74,Вводные!$A$13:$A$64,0)),0))</f>
        <v>200</v>
      </c>
      <c r="IS74" s="19" t="n">
        <f aca="false">INDEX(Вводные!$D$13:$F$64,MATCH($A74,Вводные!$A$13:$A$64,0),MATCH(IS$3,Вводные!$D$11:$F$11,0))*(1+IF(IS$4=$A74,Вводные!$D$5*INDEX(Вводные!$G$13:$G$64,MATCH($A74,Вводные!$A$13:$A$64,0)),0))</f>
        <v>200</v>
      </c>
      <c r="IT74" s="19" t="n">
        <f aca="false">INDEX(Вводные!$D$13:$F$64,MATCH($A74,Вводные!$A$13:$A$64,0),MATCH(IT$3,Вводные!$D$11:$F$11,0))*(1+IF(IT$4=$A74,Вводные!$D$5*INDEX(Вводные!$G$13:$G$64,MATCH($A74,Вводные!$A$13:$A$64,0)),0))</f>
        <v>200</v>
      </c>
      <c r="IU74" s="19" t="n">
        <f aca="false">INDEX(Вводные!$D$13:$F$64,MATCH($A74,Вводные!$A$13:$A$64,0),MATCH(IU$3,Вводные!$D$11:$F$11,0))*(1+IF(IU$4=$A74,Вводные!$D$5*INDEX(Вводные!$G$13:$G$64,MATCH($A74,Вводные!$A$13:$A$64,0)),0))</f>
        <v>198</v>
      </c>
      <c r="IV74" s="19" t="n">
        <f aca="false">INDEX(Вводные!$D$13:$F$64,MATCH($A74,Вводные!$A$13:$A$64,0),MATCH(IV$3,Вводные!$D$11:$F$11,0))*(1+IF(IV$4=$A74,Вводные!$D$5*INDEX(Вводные!$G$13:$G$64,MATCH($A74,Вводные!$A$13:$A$64,0)),0))</f>
        <v>200</v>
      </c>
      <c r="IW74" s="19" t="n">
        <f aca="false">INDEX(Вводные!$D$13:$F$64,MATCH($A74,Вводные!$A$13:$A$64,0),MATCH(IW$3,Вводные!$D$11:$F$11,0))*(1+IF(IW$4=$A74,Вводные!$D$5*INDEX(Вводные!$G$13:$G$64,MATCH($A74,Вводные!$A$13:$A$64,0)),0))</f>
        <v>200</v>
      </c>
      <c r="IX74" s="19" t="n">
        <f aca="false">INDEX(Вводные!$D$13:$F$64,MATCH($A74,Вводные!$A$13:$A$64,0),MATCH(IX$3,Вводные!$D$11:$F$11,0))*(1+IF(IX$4=$A74,Вводные!$D$5*INDEX(Вводные!$G$13:$G$64,MATCH($A74,Вводные!$A$13:$A$64,0)),0))</f>
        <v>200</v>
      </c>
      <c r="IY74" s="19" t="n">
        <f aca="false">INDEX(Вводные!$D$13:$F$64,MATCH($A74,Вводные!$A$13:$A$64,0),MATCH(IY$3,Вводные!$D$11:$F$11,0))*(1+IF(IY$4=$A74,Вводные!$D$5*INDEX(Вводные!$G$13:$G$64,MATCH($A74,Вводные!$A$13:$A$64,0)),0))</f>
        <v>200</v>
      </c>
      <c r="IZ74" s="19" t="n">
        <f aca="false">INDEX(Вводные!$D$13:$F$64,MATCH($A74,Вводные!$A$13:$A$64,0),MATCH(IZ$3,Вводные!$D$11:$F$11,0))*(1+IF(IZ$4=$A74,Вводные!$D$5*INDEX(Вводные!$G$13:$G$64,MATCH($A74,Вводные!$A$13:$A$64,0)),0))</f>
        <v>200</v>
      </c>
      <c r="JA74" s="19" t="n">
        <f aca="false">INDEX(Вводные!$D$13:$F$64,MATCH($A74,Вводные!$A$13:$A$64,0),MATCH(JA$3,Вводные!$D$11:$F$11,0))*(1+IF(JA$4=$A74,Вводные!$D$5*INDEX(Вводные!$G$13:$G$64,MATCH($A74,Вводные!$A$13:$A$64,0)),0))</f>
        <v>200</v>
      </c>
    </row>
    <row r="75" customFormat="false" ht="15" hidden="false" customHeight="false" outlineLevel="0" collapsed="false">
      <c r="A75" s="13" t="s">
        <v>280</v>
      </c>
      <c r="B75" s="13" t="s">
        <v>281</v>
      </c>
      <c r="C75" s="13" t="s">
        <v>194</v>
      </c>
      <c r="D75" s="9" t="s">
        <v>36</v>
      </c>
      <c r="E75" s="32" t="n">
        <f aca="false">INDEX(Вводные!$D$13:$F$64,MATCH($A75,Вводные!$A$13:$A$64,0),MATCH(E$3,Вводные!$D$11:$F$11,0))*(1+IF(E$4=$A75,Вводные!$D$5*INDEX(Вводные!$G$13:$G$64,MATCH($A75,Вводные!$A$13:$A$64,0)),0))</f>
        <v>0.1</v>
      </c>
      <c r="F75" s="32" t="n">
        <f aca="false">INDEX(Вводные!$D$13:$F$64,MATCH($A75,Вводные!$A$13:$A$64,0),MATCH(F$3,Вводные!$D$11:$F$11,0))*(1+IF(F$4=$A75,Вводные!$D$5*INDEX(Вводные!$G$13:$G$64,MATCH($A75,Вводные!$A$13:$A$64,0)),0))</f>
        <v>0.25</v>
      </c>
      <c r="G75" s="32" t="n">
        <f aca="false">INDEX(Вводные!$D$13:$F$64,MATCH($A75,Вводные!$A$13:$A$64,0),MATCH(G$3,Вводные!$D$11:$F$11,0))*(1+IF(G$4=$A75,Вводные!$D$5*INDEX(Вводные!$G$13:$G$64,MATCH($A75,Вводные!$A$13:$A$64,0)),0))</f>
        <v>0.3</v>
      </c>
      <c r="H75" s="60"/>
      <c r="J75" s="32" t="n">
        <f aca="false">INDEX(Вводные!$D$13:$F$64,MATCH($A75,Вводные!$A$13:$A$64,0),MATCH(J$3,Вводные!$D$11:$F$11,0))*(1+IF(J$4=$A75,Вводные!$D$5*INDEX(Вводные!$G$13:$G$64,MATCH($A75,Вводные!$A$13:$A$64,0)),0))</f>
        <v>0.1</v>
      </c>
      <c r="K75" s="32" t="n">
        <f aca="false">INDEX(Вводные!$D$13:$F$64,MATCH($A75,Вводные!$A$13:$A$64,0),MATCH(K$3,Вводные!$D$11:$F$11,0))*(1+IF(K$4=$A75,Вводные!$D$5*INDEX(Вводные!$G$13:$G$64,MATCH($A75,Вводные!$A$13:$A$64,0)),0))</f>
        <v>0.1</v>
      </c>
      <c r="L75" s="32" t="n">
        <f aca="false">INDEX(Вводные!$D$13:$F$64,MATCH($A75,Вводные!$A$13:$A$64,0),MATCH(L$3,Вводные!$D$11:$F$11,0))*(1+IF(L$4=$A75,Вводные!$D$5*INDEX(Вводные!$G$13:$G$64,MATCH($A75,Вводные!$A$13:$A$64,0)),0))</f>
        <v>0.1</v>
      </c>
      <c r="M75" s="32" t="n">
        <f aca="false">INDEX(Вводные!$D$13:$F$64,MATCH($A75,Вводные!$A$13:$A$64,0),MATCH(M$3,Вводные!$D$11:$F$11,0))*(1+IF(M$4=$A75,Вводные!$D$5*INDEX(Вводные!$G$13:$G$64,MATCH($A75,Вводные!$A$13:$A$64,0)),0))</f>
        <v>0.1</v>
      </c>
      <c r="N75" s="32" t="n">
        <f aca="false">INDEX(Вводные!$D$13:$F$64,MATCH($A75,Вводные!$A$13:$A$64,0),MATCH(N$3,Вводные!$D$11:$F$11,0))*(1+IF(N$4=$A75,Вводные!$D$5*INDEX(Вводные!$G$13:$G$64,MATCH($A75,Вводные!$A$13:$A$64,0)),0))</f>
        <v>0.1</v>
      </c>
      <c r="O75" s="32" t="n">
        <f aca="false">INDEX(Вводные!$D$13:$F$64,MATCH($A75,Вводные!$A$13:$A$64,0),MATCH(O$3,Вводные!$D$11:$F$11,0))*(1+IF(O$4=$A75,Вводные!$D$5*INDEX(Вводные!$G$13:$G$64,MATCH($A75,Вводные!$A$13:$A$64,0)),0))</f>
        <v>0.1</v>
      </c>
      <c r="P75" s="32" t="n">
        <f aca="false">INDEX(Вводные!$D$13:$F$64,MATCH($A75,Вводные!$A$13:$A$64,0),MATCH(P$3,Вводные!$D$11:$F$11,0))*(1+IF(P$4=$A75,Вводные!$D$5*INDEX(Вводные!$G$13:$G$64,MATCH($A75,Вводные!$A$13:$A$64,0)),0))</f>
        <v>0.1</v>
      </c>
      <c r="Q75" s="32" t="n">
        <f aca="false">INDEX(Вводные!$D$13:$F$64,MATCH($A75,Вводные!$A$13:$A$64,0),MATCH(Q$3,Вводные!$D$11:$F$11,0))*(1+IF(Q$4=$A75,Вводные!$D$5*INDEX(Вводные!$G$13:$G$64,MATCH($A75,Вводные!$A$13:$A$64,0)),0))</f>
        <v>0.1</v>
      </c>
      <c r="R75" s="32" t="n">
        <f aca="false">INDEX(Вводные!$D$13:$F$64,MATCH($A75,Вводные!$A$13:$A$64,0),MATCH(R$3,Вводные!$D$11:$F$11,0))*(1+IF(R$4=$A75,Вводные!$D$5*INDEX(Вводные!$G$13:$G$64,MATCH($A75,Вводные!$A$13:$A$64,0)),0))</f>
        <v>0.1</v>
      </c>
      <c r="S75" s="32" t="n">
        <f aca="false">INDEX(Вводные!$D$13:$F$64,MATCH($A75,Вводные!$A$13:$A$64,0),MATCH(S$3,Вводные!$D$11:$F$11,0))*(1+IF(S$4=$A75,Вводные!$D$5*INDEX(Вводные!$G$13:$G$64,MATCH($A75,Вводные!$A$13:$A$64,0)),0))</f>
        <v>0.1</v>
      </c>
      <c r="T75" s="32" t="n">
        <f aca="false">INDEX(Вводные!$D$13:$F$64,MATCH($A75,Вводные!$A$13:$A$64,0),MATCH(T$3,Вводные!$D$11:$F$11,0))*(1+IF(T$4=$A75,Вводные!$D$5*INDEX(Вводные!$G$13:$G$64,MATCH($A75,Вводные!$A$13:$A$64,0)),0))</f>
        <v>0.1</v>
      </c>
      <c r="U75" s="32" t="n">
        <f aca="false">INDEX(Вводные!$D$13:$F$64,MATCH($A75,Вводные!$A$13:$A$64,0),MATCH(U$3,Вводные!$D$11:$F$11,0))*(1+IF(U$4=$A75,Вводные!$D$5*INDEX(Вводные!$G$13:$G$64,MATCH($A75,Вводные!$A$13:$A$64,0)),0))</f>
        <v>0.1</v>
      </c>
      <c r="V75" s="32" t="n">
        <f aca="false">INDEX(Вводные!$D$13:$F$64,MATCH($A75,Вводные!$A$13:$A$64,0),MATCH(V$3,Вводные!$D$11:$F$11,0))*(1+IF(V$4=$A75,Вводные!$D$5*INDEX(Вводные!$G$13:$G$64,MATCH($A75,Вводные!$A$13:$A$64,0)),0))</f>
        <v>0.1</v>
      </c>
      <c r="W75" s="32" t="n">
        <f aca="false">INDEX(Вводные!$D$13:$F$64,MATCH($A75,Вводные!$A$13:$A$64,0),MATCH(W$3,Вводные!$D$11:$F$11,0))*(1+IF(W$4=$A75,Вводные!$D$5*INDEX(Вводные!$G$13:$G$64,MATCH($A75,Вводные!$A$13:$A$64,0)),0))</f>
        <v>0.1</v>
      </c>
      <c r="X75" s="32" t="n">
        <f aca="false">INDEX(Вводные!$D$13:$F$64,MATCH($A75,Вводные!$A$13:$A$64,0),MATCH(X$3,Вводные!$D$11:$F$11,0))*(1+IF(X$4=$A75,Вводные!$D$5*INDEX(Вводные!$G$13:$G$64,MATCH($A75,Вводные!$A$13:$A$64,0)),0))</f>
        <v>0.1</v>
      </c>
      <c r="Y75" s="32" t="n">
        <f aca="false">INDEX(Вводные!$D$13:$F$64,MATCH($A75,Вводные!$A$13:$A$64,0),MATCH(Y$3,Вводные!$D$11:$F$11,0))*(1+IF(Y$4=$A75,Вводные!$D$5*INDEX(Вводные!$G$13:$G$64,MATCH($A75,Вводные!$A$13:$A$64,0)),0))</f>
        <v>0.1</v>
      </c>
      <c r="Z75" s="32" t="n">
        <f aca="false">INDEX(Вводные!$D$13:$F$64,MATCH($A75,Вводные!$A$13:$A$64,0),MATCH(Z$3,Вводные!$D$11:$F$11,0))*(1+IF(Z$4=$A75,Вводные!$D$5*INDEX(Вводные!$G$13:$G$64,MATCH($A75,Вводные!$A$13:$A$64,0)),0))</f>
        <v>0.1</v>
      </c>
      <c r="AA75" s="32" t="n">
        <f aca="false">INDEX(Вводные!$D$13:$F$64,MATCH($A75,Вводные!$A$13:$A$64,0),MATCH(AA$3,Вводные!$D$11:$F$11,0))*(1+IF(AA$4=$A75,Вводные!$D$5*INDEX(Вводные!$G$13:$G$64,MATCH($A75,Вводные!$A$13:$A$64,0)),0))</f>
        <v>0.1</v>
      </c>
      <c r="AB75" s="32" t="n">
        <f aca="false">INDEX(Вводные!$D$13:$F$64,MATCH($A75,Вводные!$A$13:$A$64,0),MATCH(AB$3,Вводные!$D$11:$F$11,0))*(1+IF(AB$4=$A75,Вводные!$D$5*INDEX(Вводные!$G$13:$G$64,MATCH($A75,Вводные!$A$13:$A$64,0)),0))</f>
        <v>0.1</v>
      </c>
      <c r="AC75" s="32" t="n">
        <f aca="false">INDEX(Вводные!$D$13:$F$64,MATCH($A75,Вводные!$A$13:$A$64,0),MATCH(AC$3,Вводные!$D$11:$F$11,0))*(1+IF(AC$4=$A75,Вводные!$D$5*INDEX(Вводные!$G$13:$G$64,MATCH($A75,Вводные!$A$13:$A$64,0)),0))</f>
        <v>0.1</v>
      </c>
      <c r="AD75" s="32" t="n">
        <f aca="false">INDEX(Вводные!$D$13:$F$64,MATCH($A75,Вводные!$A$13:$A$64,0),MATCH(AD$3,Вводные!$D$11:$F$11,0))*(1+IF(AD$4=$A75,Вводные!$D$5*INDEX(Вводные!$G$13:$G$64,MATCH($A75,Вводные!$A$13:$A$64,0)),0))</f>
        <v>0.1</v>
      </c>
      <c r="AE75" s="32" t="n">
        <f aca="false">INDEX(Вводные!$D$13:$F$64,MATCH($A75,Вводные!$A$13:$A$64,0),MATCH(AE$3,Вводные!$D$11:$F$11,0))*(1+IF(AE$4=$A75,Вводные!$D$5*INDEX(Вводные!$G$13:$G$64,MATCH($A75,Вводные!$A$13:$A$64,0)),0))</f>
        <v>0.1</v>
      </c>
      <c r="AF75" s="32" t="n">
        <f aca="false">INDEX(Вводные!$D$13:$F$64,MATCH($A75,Вводные!$A$13:$A$64,0),MATCH(AF$3,Вводные!$D$11:$F$11,0))*(1+IF(AF$4=$A75,Вводные!$D$5*INDEX(Вводные!$G$13:$G$64,MATCH($A75,Вводные!$A$13:$A$64,0)),0))</f>
        <v>0.1</v>
      </c>
      <c r="AG75" s="32" t="n">
        <f aca="false">INDEX(Вводные!$D$13:$F$64,MATCH($A75,Вводные!$A$13:$A$64,0),MATCH(AG$3,Вводные!$D$11:$F$11,0))*(1+IF(AG$4=$A75,Вводные!$D$5*INDEX(Вводные!$G$13:$G$64,MATCH($A75,Вводные!$A$13:$A$64,0)),0))</f>
        <v>0.1</v>
      </c>
      <c r="AH75" s="32" t="n">
        <f aca="false">INDEX(Вводные!$D$13:$F$64,MATCH($A75,Вводные!$A$13:$A$64,0),MATCH(AH$3,Вводные!$D$11:$F$11,0))*(1+IF(AH$4=$A75,Вводные!$D$5*INDEX(Вводные!$G$13:$G$64,MATCH($A75,Вводные!$A$13:$A$64,0)),0))</f>
        <v>0.1</v>
      </c>
      <c r="AI75" s="32" t="n">
        <f aca="false">INDEX(Вводные!$D$13:$F$64,MATCH($A75,Вводные!$A$13:$A$64,0),MATCH(AI$3,Вводные!$D$11:$F$11,0))*(1+IF(AI$4=$A75,Вводные!$D$5*INDEX(Вводные!$G$13:$G$64,MATCH($A75,Вводные!$A$13:$A$64,0)),0))</f>
        <v>0.1</v>
      </c>
      <c r="AJ75" s="32" t="n">
        <f aca="false">INDEX(Вводные!$D$13:$F$64,MATCH($A75,Вводные!$A$13:$A$64,0),MATCH(AJ$3,Вводные!$D$11:$F$11,0))*(1+IF(AJ$4=$A75,Вводные!$D$5*INDEX(Вводные!$G$13:$G$64,MATCH($A75,Вводные!$A$13:$A$64,0)),0))</f>
        <v>0.1</v>
      </c>
      <c r="AK75" s="32" t="n">
        <f aca="false">INDEX(Вводные!$D$13:$F$64,MATCH($A75,Вводные!$A$13:$A$64,0),MATCH(AK$3,Вводные!$D$11:$F$11,0))*(1+IF(AK$4=$A75,Вводные!$D$5*INDEX(Вводные!$G$13:$G$64,MATCH($A75,Вводные!$A$13:$A$64,0)),0))</f>
        <v>0.1</v>
      </c>
      <c r="AL75" s="32" t="n">
        <f aca="false">INDEX(Вводные!$D$13:$F$64,MATCH($A75,Вводные!$A$13:$A$64,0),MATCH(AL$3,Вводные!$D$11:$F$11,0))*(1+IF(AL$4=$A75,Вводные!$D$5*INDEX(Вводные!$G$13:$G$64,MATCH($A75,Вводные!$A$13:$A$64,0)),0))</f>
        <v>0.1</v>
      </c>
      <c r="AM75" s="32" t="n">
        <f aca="false">INDEX(Вводные!$D$13:$F$64,MATCH($A75,Вводные!$A$13:$A$64,0),MATCH(AM$3,Вводные!$D$11:$F$11,0))*(1+IF(AM$4=$A75,Вводные!$D$5*INDEX(Вводные!$G$13:$G$64,MATCH($A75,Вводные!$A$13:$A$64,0)),0))</f>
        <v>0.1</v>
      </c>
      <c r="AN75" s="32" t="n">
        <f aca="false">INDEX(Вводные!$D$13:$F$64,MATCH($A75,Вводные!$A$13:$A$64,0),MATCH(AN$3,Вводные!$D$11:$F$11,0))*(1+IF(AN$4=$A75,Вводные!$D$5*INDEX(Вводные!$G$13:$G$64,MATCH($A75,Вводные!$A$13:$A$64,0)),0))</f>
        <v>0.1</v>
      </c>
      <c r="AO75" s="32" t="n">
        <f aca="false">INDEX(Вводные!$D$13:$F$64,MATCH($A75,Вводные!$A$13:$A$64,0),MATCH(AO$3,Вводные!$D$11:$F$11,0))*(1+IF(AO$4=$A75,Вводные!$D$5*INDEX(Вводные!$G$13:$G$64,MATCH($A75,Вводные!$A$13:$A$64,0)),0))</f>
        <v>0.1</v>
      </c>
      <c r="AP75" s="32" t="n">
        <f aca="false">INDEX(Вводные!$D$13:$F$64,MATCH($A75,Вводные!$A$13:$A$64,0),MATCH(AP$3,Вводные!$D$11:$F$11,0))*(1+IF(AP$4=$A75,Вводные!$D$5*INDEX(Вводные!$G$13:$G$64,MATCH($A75,Вводные!$A$13:$A$64,0)),0))</f>
        <v>0.1</v>
      </c>
      <c r="AQ75" s="32" t="n">
        <f aca="false">INDEX(Вводные!$D$13:$F$64,MATCH($A75,Вводные!$A$13:$A$64,0),MATCH(AQ$3,Вводные!$D$11:$F$11,0))*(1+IF(AQ$4=$A75,Вводные!$D$5*INDEX(Вводные!$G$13:$G$64,MATCH($A75,Вводные!$A$13:$A$64,0)),0))</f>
        <v>0.1</v>
      </c>
      <c r="AR75" s="32" t="n">
        <f aca="false">INDEX(Вводные!$D$13:$F$64,MATCH($A75,Вводные!$A$13:$A$64,0),MATCH(AR$3,Вводные!$D$11:$F$11,0))*(1+IF(AR$4=$A75,Вводные!$D$5*INDEX(Вводные!$G$13:$G$64,MATCH($A75,Вводные!$A$13:$A$64,0)),0))</f>
        <v>0.1</v>
      </c>
      <c r="AS75" s="32" t="n">
        <f aca="false">INDEX(Вводные!$D$13:$F$64,MATCH($A75,Вводные!$A$13:$A$64,0),MATCH(AS$3,Вводные!$D$11:$F$11,0))*(1+IF(AS$4=$A75,Вводные!$D$5*INDEX(Вводные!$G$13:$G$64,MATCH($A75,Вводные!$A$13:$A$64,0)),0))</f>
        <v>0.1</v>
      </c>
      <c r="AT75" s="32" t="n">
        <f aca="false">INDEX(Вводные!$D$13:$F$64,MATCH($A75,Вводные!$A$13:$A$64,0),MATCH(AT$3,Вводные!$D$11:$F$11,0))*(1+IF(AT$4=$A75,Вводные!$D$5*INDEX(Вводные!$G$13:$G$64,MATCH($A75,Вводные!$A$13:$A$64,0)),0))</f>
        <v>0.099</v>
      </c>
      <c r="AU75" s="32" t="n">
        <f aca="false">INDEX(Вводные!$D$13:$F$64,MATCH($A75,Вводные!$A$13:$A$64,0),MATCH(AU$3,Вводные!$D$11:$F$11,0))*(1+IF(AU$4=$A75,Вводные!$D$5*INDEX(Вводные!$G$13:$G$64,MATCH($A75,Вводные!$A$13:$A$64,0)),0))</f>
        <v>0.1</v>
      </c>
      <c r="AV75" s="32" t="n">
        <f aca="false">INDEX(Вводные!$D$13:$F$64,MATCH($A75,Вводные!$A$13:$A$64,0),MATCH(AV$3,Вводные!$D$11:$F$11,0))*(1+IF(AV$4=$A75,Вводные!$D$5*INDEX(Вводные!$G$13:$G$64,MATCH($A75,Вводные!$A$13:$A$64,0)),0))</f>
        <v>0.1</v>
      </c>
      <c r="AW75" s="32" t="n">
        <f aca="false">INDEX(Вводные!$D$13:$F$64,MATCH($A75,Вводные!$A$13:$A$64,0),MATCH(AW$3,Вводные!$D$11:$F$11,0))*(1+IF(AW$4=$A75,Вводные!$D$5*INDEX(Вводные!$G$13:$G$64,MATCH($A75,Вводные!$A$13:$A$64,0)),0))</f>
        <v>0.1</v>
      </c>
      <c r="AX75" s="32" t="n">
        <f aca="false">INDEX(Вводные!$D$13:$F$64,MATCH($A75,Вводные!$A$13:$A$64,0),MATCH(AX$3,Вводные!$D$11:$F$11,0))*(1+IF(AX$4=$A75,Вводные!$D$5*INDEX(Вводные!$G$13:$G$64,MATCH($A75,Вводные!$A$13:$A$64,0)),0))</f>
        <v>0.1</v>
      </c>
      <c r="AY75" s="32" t="n">
        <f aca="false">INDEX(Вводные!$D$13:$F$64,MATCH($A75,Вводные!$A$13:$A$64,0),MATCH(AY$3,Вводные!$D$11:$F$11,0))*(1+IF(AY$4=$A75,Вводные!$D$5*INDEX(Вводные!$G$13:$G$64,MATCH($A75,Вводные!$A$13:$A$64,0)),0))</f>
        <v>0.1</v>
      </c>
      <c r="AZ75" s="32" t="n">
        <f aca="false">INDEX(Вводные!$D$13:$F$64,MATCH($A75,Вводные!$A$13:$A$64,0),MATCH(AZ$3,Вводные!$D$11:$F$11,0))*(1+IF(AZ$4=$A75,Вводные!$D$5*INDEX(Вводные!$G$13:$G$64,MATCH($A75,Вводные!$A$13:$A$64,0)),0))</f>
        <v>0.25</v>
      </c>
      <c r="BA75" s="32" t="n">
        <f aca="false">INDEX(Вводные!$D$13:$F$64,MATCH($A75,Вводные!$A$13:$A$64,0),MATCH(BA$3,Вводные!$D$11:$F$11,0))*(1+IF(BA$4=$A75,Вводные!$D$5*INDEX(Вводные!$G$13:$G$64,MATCH($A75,Вводные!$A$13:$A$64,0)),0))</f>
        <v>0.25</v>
      </c>
      <c r="BB75" s="32" t="n">
        <f aca="false">INDEX(Вводные!$D$13:$F$64,MATCH($A75,Вводные!$A$13:$A$64,0),MATCH(BB$3,Вводные!$D$11:$F$11,0))*(1+IF(BB$4=$A75,Вводные!$D$5*INDEX(Вводные!$G$13:$G$64,MATCH($A75,Вводные!$A$13:$A$64,0)),0))</f>
        <v>0.25</v>
      </c>
      <c r="BC75" s="32" t="n">
        <f aca="false">INDEX(Вводные!$D$13:$F$64,MATCH($A75,Вводные!$A$13:$A$64,0),MATCH(BC$3,Вводные!$D$11:$F$11,0))*(1+IF(BC$4=$A75,Вводные!$D$5*INDEX(Вводные!$G$13:$G$64,MATCH($A75,Вводные!$A$13:$A$64,0)),0))</f>
        <v>0.25</v>
      </c>
      <c r="BD75" s="32" t="n">
        <f aca="false">INDEX(Вводные!$D$13:$F$64,MATCH($A75,Вводные!$A$13:$A$64,0),MATCH(BD$3,Вводные!$D$11:$F$11,0))*(1+IF(BD$4=$A75,Вводные!$D$5*INDEX(Вводные!$G$13:$G$64,MATCH($A75,Вводные!$A$13:$A$64,0)),0))</f>
        <v>0.25</v>
      </c>
      <c r="BE75" s="32" t="n">
        <f aca="false">INDEX(Вводные!$D$13:$F$64,MATCH($A75,Вводные!$A$13:$A$64,0),MATCH(BE$3,Вводные!$D$11:$F$11,0))*(1+IF(BE$4=$A75,Вводные!$D$5*INDEX(Вводные!$G$13:$G$64,MATCH($A75,Вводные!$A$13:$A$64,0)),0))</f>
        <v>0.25</v>
      </c>
      <c r="BF75" s="32" t="n">
        <f aca="false">INDEX(Вводные!$D$13:$F$64,MATCH($A75,Вводные!$A$13:$A$64,0),MATCH(BF$3,Вводные!$D$11:$F$11,0))*(1+IF(BF$4=$A75,Вводные!$D$5*INDEX(Вводные!$G$13:$G$64,MATCH($A75,Вводные!$A$13:$A$64,0)),0))</f>
        <v>0.25</v>
      </c>
      <c r="BG75" s="32" t="n">
        <f aca="false">INDEX(Вводные!$D$13:$F$64,MATCH($A75,Вводные!$A$13:$A$64,0),MATCH(BG$3,Вводные!$D$11:$F$11,0))*(1+IF(BG$4=$A75,Вводные!$D$5*INDEX(Вводные!$G$13:$G$64,MATCH($A75,Вводные!$A$13:$A$64,0)),0))</f>
        <v>0.25</v>
      </c>
      <c r="BH75" s="32" t="n">
        <f aca="false">INDEX(Вводные!$D$13:$F$64,MATCH($A75,Вводные!$A$13:$A$64,0),MATCH(BH$3,Вводные!$D$11:$F$11,0))*(1+IF(BH$4=$A75,Вводные!$D$5*INDEX(Вводные!$G$13:$G$64,MATCH($A75,Вводные!$A$13:$A$64,0)),0))</f>
        <v>0.25</v>
      </c>
      <c r="BI75" s="32" t="n">
        <f aca="false">INDEX(Вводные!$D$13:$F$64,MATCH($A75,Вводные!$A$13:$A$64,0),MATCH(BI$3,Вводные!$D$11:$F$11,0))*(1+IF(BI$4=$A75,Вводные!$D$5*INDEX(Вводные!$G$13:$G$64,MATCH($A75,Вводные!$A$13:$A$64,0)),0))</f>
        <v>0.25</v>
      </c>
      <c r="BJ75" s="32" t="n">
        <f aca="false">INDEX(Вводные!$D$13:$F$64,MATCH($A75,Вводные!$A$13:$A$64,0),MATCH(BJ$3,Вводные!$D$11:$F$11,0))*(1+IF(BJ$4=$A75,Вводные!$D$5*INDEX(Вводные!$G$13:$G$64,MATCH($A75,Вводные!$A$13:$A$64,0)),0))</f>
        <v>0.25</v>
      </c>
      <c r="BK75" s="32" t="n">
        <f aca="false">INDEX(Вводные!$D$13:$F$64,MATCH($A75,Вводные!$A$13:$A$64,0),MATCH(BK$3,Вводные!$D$11:$F$11,0))*(1+IF(BK$4=$A75,Вводные!$D$5*INDEX(Вводные!$G$13:$G$64,MATCH($A75,Вводные!$A$13:$A$64,0)),0))</f>
        <v>0.25</v>
      </c>
      <c r="BL75" s="32" t="n">
        <f aca="false">INDEX(Вводные!$D$13:$F$64,MATCH($A75,Вводные!$A$13:$A$64,0),MATCH(BL$3,Вводные!$D$11:$F$11,0))*(1+IF(BL$4=$A75,Вводные!$D$5*INDEX(Вводные!$G$13:$G$64,MATCH($A75,Вводные!$A$13:$A$64,0)),0))</f>
        <v>0.25</v>
      </c>
      <c r="BM75" s="32" t="n">
        <f aca="false">INDEX(Вводные!$D$13:$F$64,MATCH($A75,Вводные!$A$13:$A$64,0),MATCH(BM$3,Вводные!$D$11:$F$11,0))*(1+IF(BM$4=$A75,Вводные!$D$5*INDEX(Вводные!$G$13:$G$64,MATCH($A75,Вводные!$A$13:$A$64,0)),0))</f>
        <v>0.25</v>
      </c>
      <c r="BN75" s="32" t="n">
        <f aca="false">INDEX(Вводные!$D$13:$F$64,MATCH($A75,Вводные!$A$13:$A$64,0),MATCH(BN$3,Вводные!$D$11:$F$11,0))*(1+IF(BN$4=$A75,Вводные!$D$5*INDEX(Вводные!$G$13:$G$64,MATCH($A75,Вводные!$A$13:$A$64,0)),0))</f>
        <v>0.25</v>
      </c>
      <c r="BO75" s="32" t="n">
        <f aca="false">INDEX(Вводные!$D$13:$F$64,MATCH($A75,Вводные!$A$13:$A$64,0),MATCH(BO$3,Вводные!$D$11:$F$11,0))*(1+IF(BO$4=$A75,Вводные!$D$5*INDEX(Вводные!$G$13:$G$64,MATCH($A75,Вводные!$A$13:$A$64,0)),0))</f>
        <v>0.25</v>
      </c>
      <c r="BP75" s="32" t="n">
        <f aca="false">INDEX(Вводные!$D$13:$F$64,MATCH($A75,Вводные!$A$13:$A$64,0),MATCH(BP$3,Вводные!$D$11:$F$11,0))*(1+IF(BP$4=$A75,Вводные!$D$5*INDEX(Вводные!$G$13:$G$64,MATCH($A75,Вводные!$A$13:$A$64,0)),0))</f>
        <v>0.25</v>
      </c>
      <c r="BQ75" s="32" t="n">
        <f aca="false">INDEX(Вводные!$D$13:$F$64,MATCH($A75,Вводные!$A$13:$A$64,0),MATCH(BQ$3,Вводные!$D$11:$F$11,0))*(1+IF(BQ$4=$A75,Вводные!$D$5*INDEX(Вводные!$G$13:$G$64,MATCH($A75,Вводные!$A$13:$A$64,0)),0))</f>
        <v>0.25</v>
      </c>
      <c r="BR75" s="32" t="n">
        <f aca="false">INDEX(Вводные!$D$13:$F$64,MATCH($A75,Вводные!$A$13:$A$64,0),MATCH(BR$3,Вводные!$D$11:$F$11,0))*(1+IF(BR$4=$A75,Вводные!$D$5*INDEX(Вводные!$G$13:$G$64,MATCH($A75,Вводные!$A$13:$A$64,0)),0))</f>
        <v>0.25</v>
      </c>
      <c r="BS75" s="32" t="n">
        <f aca="false">INDEX(Вводные!$D$13:$F$64,MATCH($A75,Вводные!$A$13:$A$64,0),MATCH(BS$3,Вводные!$D$11:$F$11,0))*(1+IF(BS$4=$A75,Вводные!$D$5*INDEX(Вводные!$G$13:$G$64,MATCH($A75,Вводные!$A$13:$A$64,0)),0))</f>
        <v>0.25</v>
      </c>
      <c r="BT75" s="32" t="n">
        <f aca="false">INDEX(Вводные!$D$13:$F$64,MATCH($A75,Вводные!$A$13:$A$64,0),MATCH(BT$3,Вводные!$D$11:$F$11,0))*(1+IF(BT$4=$A75,Вводные!$D$5*INDEX(Вводные!$G$13:$G$64,MATCH($A75,Вводные!$A$13:$A$64,0)),0))</f>
        <v>0.25</v>
      </c>
      <c r="BU75" s="32" t="n">
        <f aca="false">INDEX(Вводные!$D$13:$F$64,MATCH($A75,Вводные!$A$13:$A$64,0),MATCH(BU$3,Вводные!$D$11:$F$11,0))*(1+IF(BU$4=$A75,Вводные!$D$5*INDEX(Вводные!$G$13:$G$64,MATCH($A75,Вводные!$A$13:$A$64,0)),0))</f>
        <v>0.25</v>
      </c>
      <c r="BV75" s="32" t="n">
        <f aca="false">INDEX(Вводные!$D$13:$F$64,MATCH($A75,Вводные!$A$13:$A$64,0),MATCH(BV$3,Вводные!$D$11:$F$11,0))*(1+IF(BV$4=$A75,Вводные!$D$5*INDEX(Вводные!$G$13:$G$64,MATCH($A75,Вводные!$A$13:$A$64,0)),0))</f>
        <v>0.25</v>
      </c>
      <c r="BW75" s="32" t="n">
        <f aca="false">INDEX(Вводные!$D$13:$F$64,MATCH($A75,Вводные!$A$13:$A$64,0),MATCH(BW$3,Вводные!$D$11:$F$11,0))*(1+IF(BW$4=$A75,Вводные!$D$5*INDEX(Вводные!$G$13:$G$64,MATCH($A75,Вводные!$A$13:$A$64,0)),0))</f>
        <v>0.25</v>
      </c>
      <c r="BX75" s="32" t="n">
        <f aca="false">INDEX(Вводные!$D$13:$F$64,MATCH($A75,Вводные!$A$13:$A$64,0),MATCH(BX$3,Вводные!$D$11:$F$11,0))*(1+IF(BX$4=$A75,Вводные!$D$5*INDEX(Вводные!$G$13:$G$64,MATCH($A75,Вводные!$A$13:$A$64,0)),0))</f>
        <v>0.25</v>
      </c>
      <c r="BY75" s="32" t="n">
        <f aca="false">INDEX(Вводные!$D$13:$F$64,MATCH($A75,Вводные!$A$13:$A$64,0),MATCH(BY$3,Вводные!$D$11:$F$11,0))*(1+IF(BY$4=$A75,Вводные!$D$5*INDEX(Вводные!$G$13:$G$64,MATCH($A75,Вводные!$A$13:$A$64,0)),0))</f>
        <v>0.25</v>
      </c>
      <c r="BZ75" s="32" t="n">
        <f aca="false">INDEX(Вводные!$D$13:$F$64,MATCH($A75,Вводные!$A$13:$A$64,0),MATCH(BZ$3,Вводные!$D$11:$F$11,0))*(1+IF(BZ$4=$A75,Вводные!$D$5*INDEX(Вводные!$G$13:$G$64,MATCH($A75,Вводные!$A$13:$A$64,0)),0))</f>
        <v>0.25</v>
      </c>
      <c r="CA75" s="32" t="n">
        <f aca="false">INDEX(Вводные!$D$13:$F$64,MATCH($A75,Вводные!$A$13:$A$64,0),MATCH(CA$3,Вводные!$D$11:$F$11,0))*(1+IF(CA$4=$A75,Вводные!$D$5*INDEX(Вводные!$G$13:$G$64,MATCH($A75,Вводные!$A$13:$A$64,0)),0))</f>
        <v>0.25</v>
      </c>
      <c r="CB75" s="32" t="n">
        <f aca="false">INDEX(Вводные!$D$13:$F$64,MATCH($A75,Вводные!$A$13:$A$64,0),MATCH(CB$3,Вводные!$D$11:$F$11,0))*(1+IF(CB$4=$A75,Вводные!$D$5*INDEX(Вводные!$G$13:$G$64,MATCH($A75,Вводные!$A$13:$A$64,0)),0))</f>
        <v>0.25</v>
      </c>
      <c r="CC75" s="32" t="n">
        <f aca="false">INDEX(Вводные!$D$13:$F$64,MATCH($A75,Вводные!$A$13:$A$64,0),MATCH(CC$3,Вводные!$D$11:$F$11,0))*(1+IF(CC$4=$A75,Вводные!$D$5*INDEX(Вводные!$G$13:$G$64,MATCH($A75,Вводные!$A$13:$A$64,0)),0))</f>
        <v>0.25</v>
      </c>
      <c r="CD75" s="32" t="n">
        <f aca="false">INDEX(Вводные!$D$13:$F$64,MATCH($A75,Вводные!$A$13:$A$64,0),MATCH(CD$3,Вводные!$D$11:$F$11,0))*(1+IF(CD$4=$A75,Вводные!$D$5*INDEX(Вводные!$G$13:$G$64,MATCH($A75,Вводные!$A$13:$A$64,0)),0))</f>
        <v>0.25</v>
      </c>
      <c r="CE75" s="32" t="n">
        <f aca="false">INDEX(Вводные!$D$13:$F$64,MATCH($A75,Вводные!$A$13:$A$64,0),MATCH(CE$3,Вводные!$D$11:$F$11,0))*(1+IF(CE$4=$A75,Вводные!$D$5*INDEX(Вводные!$G$13:$G$64,MATCH($A75,Вводные!$A$13:$A$64,0)),0))</f>
        <v>0.25</v>
      </c>
      <c r="CF75" s="32" t="n">
        <f aca="false">INDEX(Вводные!$D$13:$F$64,MATCH($A75,Вводные!$A$13:$A$64,0),MATCH(CF$3,Вводные!$D$11:$F$11,0))*(1+IF(CF$4=$A75,Вводные!$D$5*INDEX(Вводные!$G$13:$G$64,MATCH($A75,Вводные!$A$13:$A$64,0)),0))</f>
        <v>0.25</v>
      </c>
      <c r="CG75" s="32" t="n">
        <f aca="false">INDEX(Вводные!$D$13:$F$64,MATCH($A75,Вводные!$A$13:$A$64,0),MATCH(CG$3,Вводные!$D$11:$F$11,0))*(1+IF(CG$4=$A75,Вводные!$D$5*INDEX(Вводные!$G$13:$G$64,MATCH($A75,Вводные!$A$13:$A$64,0)),0))</f>
        <v>0.25</v>
      </c>
      <c r="CH75" s="32" t="n">
        <f aca="false">INDEX(Вводные!$D$13:$F$64,MATCH($A75,Вводные!$A$13:$A$64,0),MATCH(CH$3,Вводные!$D$11:$F$11,0))*(1+IF(CH$4=$A75,Вводные!$D$5*INDEX(Вводные!$G$13:$G$64,MATCH($A75,Вводные!$A$13:$A$64,0)),0))</f>
        <v>0.25</v>
      </c>
      <c r="CI75" s="32" t="n">
        <f aca="false">INDEX(Вводные!$D$13:$F$64,MATCH($A75,Вводные!$A$13:$A$64,0),MATCH(CI$3,Вводные!$D$11:$F$11,0))*(1+IF(CI$4=$A75,Вводные!$D$5*INDEX(Вводные!$G$13:$G$64,MATCH($A75,Вводные!$A$13:$A$64,0)),0))</f>
        <v>0.25</v>
      </c>
      <c r="CJ75" s="32" t="n">
        <f aca="false">INDEX(Вводные!$D$13:$F$64,MATCH($A75,Вводные!$A$13:$A$64,0),MATCH(CJ$3,Вводные!$D$11:$F$11,0))*(1+IF(CJ$4=$A75,Вводные!$D$5*INDEX(Вводные!$G$13:$G$64,MATCH($A75,Вводные!$A$13:$A$64,0)),0))</f>
        <v>0.2475</v>
      </c>
      <c r="CK75" s="32" t="n">
        <f aca="false">INDEX(Вводные!$D$13:$F$64,MATCH($A75,Вводные!$A$13:$A$64,0),MATCH(CK$3,Вводные!$D$11:$F$11,0))*(1+IF(CK$4=$A75,Вводные!$D$5*INDEX(Вводные!$G$13:$G$64,MATCH($A75,Вводные!$A$13:$A$64,0)),0))</f>
        <v>0.25</v>
      </c>
      <c r="CL75" s="32" t="n">
        <f aca="false">INDEX(Вводные!$D$13:$F$64,MATCH($A75,Вводные!$A$13:$A$64,0),MATCH(CL$3,Вводные!$D$11:$F$11,0))*(1+IF(CL$4=$A75,Вводные!$D$5*INDEX(Вводные!$G$13:$G$64,MATCH($A75,Вводные!$A$13:$A$64,0)),0))</f>
        <v>0.25</v>
      </c>
      <c r="CM75" s="32" t="n">
        <f aca="false">INDEX(Вводные!$D$13:$F$64,MATCH($A75,Вводные!$A$13:$A$64,0),MATCH(CM$3,Вводные!$D$11:$F$11,0))*(1+IF(CM$4=$A75,Вводные!$D$5*INDEX(Вводные!$G$13:$G$64,MATCH($A75,Вводные!$A$13:$A$64,0)),0))</f>
        <v>0.25</v>
      </c>
      <c r="CN75" s="32" t="n">
        <f aca="false">INDEX(Вводные!$D$13:$F$64,MATCH($A75,Вводные!$A$13:$A$64,0),MATCH(CN$3,Вводные!$D$11:$F$11,0))*(1+IF(CN$4=$A75,Вводные!$D$5*INDEX(Вводные!$G$13:$G$64,MATCH($A75,Вводные!$A$13:$A$64,0)),0))</f>
        <v>0.25</v>
      </c>
      <c r="CO75" s="32" t="n">
        <f aca="false">INDEX(Вводные!$D$13:$F$64,MATCH($A75,Вводные!$A$13:$A$64,0),MATCH(CO$3,Вводные!$D$11:$F$11,0))*(1+IF(CO$4=$A75,Вводные!$D$5*INDEX(Вводные!$G$13:$G$64,MATCH($A75,Вводные!$A$13:$A$64,0)),0))</f>
        <v>0.25</v>
      </c>
      <c r="CP75" s="32" t="n">
        <f aca="false">INDEX(Вводные!$D$13:$F$64,MATCH($A75,Вводные!$A$13:$A$64,0),MATCH(CP$3,Вводные!$D$11:$F$11,0))*(1+IF(CP$4=$A75,Вводные!$D$5*INDEX(Вводные!$G$13:$G$64,MATCH($A75,Вводные!$A$13:$A$64,0)),0))</f>
        <v>0.3</v>
      </c>
      <c r="CQ75" s="32" t="n">
        <f aca="false">INDEX(Вводные!$D$13:$F$64,MATCH($A75,Вводные!$A$13:$A$64,0),MATCH(CQ$3,Вводные!$D$11:$F$11,0))*(1+IF(CQ$4=$A75,Вводные!$D$5*INDEX(Вводные!$G$13:$G$64,MATCH($A75,Вводные!$A$13:$A$64,0)),0))</f>
        <v>0.3</v>
      </c>
      <c r="CR75" s="32" t="n">
        <f aca="false">INDEX(Вводные!$D$13:$F$64,MATCH($A75,Вводные!$A$13:$A$64,0),MATCH(CR$3,Вводные!$D$11:$F$11,0))*(1+IF(CR$4=$A75,Вводные!$D$5*INDEX(Вводные!$G$13:$G$64,MATCH($A75,Вводные!$A$13:$A$64,0)),0))</f>
        <v>0.3</v>
      </c>
      <c r="CS75" s="32" t="n">
        <f aca="false">INDEX(Вводные!$D$13:$F$64,MATCH($A75,Вводные!$A$13:$A$64,0),MATCH(CS$3,Вводные!$D$11:$F$11,0))*(1+IF(CS$4=$A75,Вводные!$D$5*INDEX(Вводные!$G$13:$G$64,MATCH($A75,Вводные!$A$13:$A$64,0)),0))</f>
        <v>0.3</v>
      </c>
      <c r="CT75" s="32" t="n">
        <f aca="false">INDEX(Вводные!$D$13:$F$64,MATCH($A75,Вводные!$A$13:$A$64,0),MATCH(CT$3,Вводные!$D$11:$F$11,0))*(1+IF(CT$4=$A75,Вводные!$D$5*INDEX(Вводные!$G$13:$G$64,MATCH($A75,Вводные!$A$13:$A$64,0)),0))</f>
        <v>0.3</v>
      </c>
      <c r="CU75" s="32" t="n">
        <f aca="false">INDEX(Вводные!$D$13:$F$64,MATCH($A75,Вводные!$A$13:$A$64,0),MATCH(CU$3,Вводные!$D$11:$F$11,0))*(1+IF(CU$4=$A75,Вводные!$D$5*INDEX(Вводные!$G$13:$G$64,MATCH($A75,Вводные!$A$13:$A$64,0)),0))</f>
        <v>0.3</v>
      </c>
      <c r="CV75" s="32" t="n">
        <f aca="false">INDEX(Вводные!$D$13:$F$64,MATCH($A75,Вводные!$A$13:$A$64,0),MATCH(CV$3,Вводные!$D$11:$F$11,0))*(1+IF(CV$4=$A75,Вводные!$D$5*INDEX(Вводные!$G$13:$G$64,MATCH($A75,Вводные!$A$13:$A$64,0)),0))</f>
        <v>0.3</v>
      </c>
      <c r="CW75" s="32" t="n">
        <f aca="false">INDEX(Вводные!$D$13:$F$64,MATCH($A75,Вводные!$A$13:$A$64,0),MATCH(CW$3,Вводные!$D$11:$F$11,0))*(1+IF(CW$4=$A75,Вводные!$D$5*INDEX(Вводные!$G$13:$G$64,MATCH($A75,Вводные!$A$13:$A$64,0)),0))</f>
        <v>0.3</v>
      </c>
      <c r="CX75" s="32" t="n">
        <f aca="false">INDEX(Вводные!$D$13:$F$64,MATCH($A75,Вводные!$A$13:$A$64,0),MATCH(CX$3,Вводные!$D$11:$F$11,0))*(1+IF(CX$4=$A75,Вводные!$D$5*INDEX(Вводные!$G$13:$G$64,MATCH($A75,Вводные!$A$13:$A$64,0)),0))</f>
        <v>0.3</v>
      </c>
      <c r="CY75" s="32" t="n">
        <f aca="false">INDEX(Вводные!$D$13:$F$64,MATCH($A75,Вводные!$A$13:$A$64,0),MATCH(CY$3,Вводные!$D$11:$F$11,0))*(1+IF(CY$4=$A75,Вводные!$D$5*INDEX(Вводные!$G$13:$G$64,MATCH($A75,Вводные!$A$13:$A$64,0)),0))</f>
        <v>0.3</v>
      </c>
      <c r="CZ75" s="32" t="n">
        <f aca="false">INDEX(Вводные!$D$13:$F$64,MATCH($A75,Вводные!$A$13:$A$64,0),MATCH(CZ$3,Вводные!$D$11:$F$11,0))*(1+IF(CZ$4=$A75,Вводные!$D$5*INDEX(Вводные!$G$13:$G$64,MATCH($A75,Вводные!$A$13:$A$64,0)),0))</f>
        <v>0.3</v>
      </c>
      <c r="DA75" s="32" t="n">
        <f aca="false">INDEX(Вводные!$D$13:$F$64,MATCH($A75,Вводные!$A$13:$A$64,0),MATCH(DA$3,Вводные!$D$11:$F$11,0))*(1+IF(DA$4=$A75,Вводные!$D$5*INDEX(Вводные!$G$13:$G$64,MATCH($A75,Вводные!$A$13:$A$64,0)),0))</f>
        <v>0.3</v>
      </c>
      <c r="DB75" s="32" t="n">
        <f aca="false">INDEX(Вводные!$D$13:$F$64,MATCH($A75,Вводные!$A$13:$A$64,0),MATCH(DB$3,Вводные!$D$11:$F$11,0))*(1+IF(DB$4=$A75,Вводные!$D$5*INDEX(Вводные!$G$13:$G$64,MATCH($A75,Вводные!$A$13:$A$64,0)),0))</f>
        <v>0.3</v>
      </c>
      <c r="DC75" s="32" t="n">
        <f aca="false">INDEX(Вводные!$D$13:$F$64,MATCH($A75,Вводные!$A$13:$A$64,0),MATCH(DC$3,Вводные!$D$11:$F$11,0))*(1+IF(DC$4=$A75,Вводные!$D$5*INDEX(Вводные!$G$13:$G$64,MATCH($A75,Вводные!$A$13:$A$64,0)),0))</f>
        <v>0.3</v>
      </c>
      <c r="DD75" s="32" t="n">
        <f aca="false">INDEX(Вводные!$D$13:$F$64,MATCH($A75,Вводные!$A$13:$A$64,0),MATCH(DD$3,Вводные!$D$11:$F$11,0))*(1+IF(DD$4=$A75,Вводные!$D$5*INDEX(Вводные!$G$13:$G$64,MATCH($A75,Вводные!$A$13:$A$64,0)),0))</f>
        <v>0.3</v>
      </c>
      <c r="DE75" s="32" t="n">
        <f aca="false">INDEX(Вводные!$D$13:$F$64,MATCH($A75,Вводные!$A$13:$A$64,0),MATCH(DE$3,Вводные!$D$11:$F$11,0))*(1+IF(DE$4=$A75,Вводные!$D$5*INDEX(Вводные!$G$13:$G$64,MATCH($A75,Вводные!$A$13:$A$64,0)),0))</f>
        <v>0.3</v>
      </c>
      <c r="DF75" s="32" t="n">
        <f aca="false">INDEX(Вводные!$D$13:$F$64,MATCH($A75,Вводные!$A$13:$A$64,0),MATCH(DF$3,Вводные!$D$11:$F$11,0))*(1+IF(DF$4=$A75,Вводные!$D$5*INDEX(Вводные!$G$13:$G$64,MATCH($A75,Вводные!$A$13:$A$64,0)),0))</f>
        <v>0.3</v>
      </c>
      <c r="DG75" s="32" t="n">
        <f aca="false">INDEX(Вводные!$D$13:$F$64,MATCH($A75,Вводные!$A$13:$A$64,0),MATCH(DG$3,Вводные!$D$11:$F$11,0))*(1+IF(DG$4=$A75,Вводные!$D$5*INDEX(Вводные!$G$13:$G$64,MATCH($A75,Вводные!$A$13:$A$64,0)),0))</f>
        <v>0.3</v>
      </c>
      <c r="DH75" s="32" t="n">
        <f aca="false">INDEX(Вводные!$D$13:$F$64,MATCH($A75,Вводные!$A$13:$A$64,0),MATCH(DH$3,Вводные!$D$11:$F$11,0))*(1+IF(DH$4=$A75,Вводные!$D$5*INDEX(Вводные!$G$13:$G$64,MATCH($A75,Вводные!$A$13:$A$64,0)),0))</f>
        <v>0.3</v>
      </c>
      <c r="DI75" s="32" t="n">
        <f aca="false">INDEX(Вводные!$D$13:$F$64,MATCH($A75,Вводные!$A$13:$A$64,0),MATCH(DI$3,Вводные!$D$11:$F$11,0))*(1+IF(DI$4=$A75,Вводные!$D$5*INDEX(Вводные!$G$13:$G$64,MATCH($A75,Вводные!$A$13:$A$64,0)),0))</f>
        <v>0.3</v>
      </c>
      <c r="DJ75" s="32" t="n">
        <f aca="false">INDEX(Вводные!$D$13:$F$64,MATCH($A75,Вводные!$A$13:$A$64,0),MATCH(DJ$3,Вводные!$D$11:$F$11,0))*(1+IF(DJ$4=$A75,Вводные!$D$5*INDEX(Вводные!$G$13:$G$64,MATCH($A75,Вводные!$A$13:$A$64,0)),0))</f>
        <v>0.3</v>
      </c>
      <c r="DK75" s="32" t="n">
        <f aca="false">INDEX(Вводные!$D$13:$F$64,MATCH($A75,Вводные!$A$13:$A$64,0),MATCH(DK$3,Вводные!$D$11:$F$11,0))*(1+IF(DK$4=$A75,Вводные!$D$5*INDEX(Вводные!$G$13:$G$64,MATCH($A75,Вводные!$A$13:$A$64,0)),0))</f>
        <v>0.3</v>
      </c>
      <c r="DL75" s="32" t="n">
        <f aca="false">INDEX(Вводные!$D$13:$F$64,MATCH($A75,Вводные!$A$13:$A$64,0),MATCH(DL$3,Вводные!$D$11:$F$11,0))*(1+IF(DL$4=$A75,Вводные!$D$5*INDEX(Вводные!$G$13:$G$64,MATCH($A75,Вводные!$A$13:$A$64,0)),0))</f>
        <v>0.3</v>
      </c>
      <c r="DM75" s="32" t="n">
        <f aca="false">INDEX(Вводные!$D$13:$F$64,MATCH($A75,Вводные!$A$13:$A$64,0),MATCH(DM$3,Вводные!$D$11:$F$11,0))*(1+IF(DM$4=$A75,Вводные!$D$5*INDEX(Вводные!$G$13:$G$64,MATCH($A75,Вводные!$A$13:$A$64,0)),0))</f>
        <v>0.3</v>
      </c>
      <c r="DN75" s="32" t="n">
        <f aca="false">INDEX(Вводные!$D$13:$F$64,MATCH($A75,Вводные!$A$13:$A$64,0),MATCH(DN$3,Вводные!$D$11:$F$11,0))*(1+IF(DN$4=$A75,Вводные!$D$5*INDEX(Вводные!$G$13:$G$64,MATCH($A75,Вводные!$A$13:$A$64,0)),0))</f>
        <v>0.3</v>
      </c>
      <c r="DO75" s="32" t="n">
        <f aca="false">INDEX(Вводные!$D$13:$F$64,MATCH($A75,Вводные!$A$13:$A$64,0),MATCH(DO$3,Вводные!$D$11:$F$11,0))*(1+IF(DO$4=$A75,Вводные!$D$5*INDEX(Вводные!$G$13:$G$64,MATCH($A75,Вводные!$A$13:$A$64,0)),0))</f>
        <v>0.3</v>
      </c>
      <c r="DP75" s="32" t="n">
        <f aca="false">INDEX(Вводные!$D$13:$F$64,MATCH($A75,Вводные!$A$13:$A$64,0),MATCH(DP$3,Вводные!$D$11:$F$11,0))*(1+IF(DP$4=$A75,Вводные!$D$5*INDEX(Вводные!$G$13:$G$64,MATCH($A75,Вводные!$A$13:$A$64,0)),0))</f>
        <v>0.3</v>
      </c>
      <c r="DQ75" s="32" t="n">
        <f aca="false">INDEX(Вводные!$D$13:$F$64,MATCH($A75,Вводные!$A$13:$A$64,0),MATCH(DQ$3,Вводные!$D$11:$F$11,0))*(1+IF(DQ$4=$A75,Вводные!$D$5*INDEX(Вводные!$G$13:$G$64,MATCH($A75,Вводные!$A$13:$A$64,0)),0))</f>
        <v>0.3</v>
      </c>
      <c r="DR75" s="32" t="n">
        <f aca="false">INDEX(Вводные!$D$13:$F$64,MATCH($A75,Вводные!$A$13:$A$64,0),MATCH(DR$3,Вводные!$D$11:$F$11,0))*(1+IF(DR$4=$A75,Вводные!$D$5*INDEX(Вводные!$G$13:$G$64,MATCH($A75,Вводные!$A$13:$A$64,0)),0))</f>
        <v>0.3</v>
      </c>
      <c r="DS75" s="32" t="n">
        <f aca="false">INDEX(Вводные!$D$13:$F$64,MATCH($A75,Вводные!$A$13:$A$64,0),MATCH(DS$3,Вводные!$D$11:$F$11,0))*(1+IF(DS$4=$A75,Вводные!$D$5*INDEX(Вводные!$G$13:$G$64,MATCH($A75,Вводные!$A$13:$A$64,0)),0))</f>
        <v>0.3</v>
      </c>
      <c r="DT75" s="32" t="n">
        <f aca="false">INDEX(Вводные!$D$13:$F$64,MATCH($A75,Вводные!$A$13:$A$64,0),MATCH(DT$3,Вводные!$D$11:$F$11,0))*(1+IF(DT$4=$A75,Вводные!$D$5*INDEX(Вводные!$G$13:$G$64,MATCH($A75,Вводные!$A$13:$A$64,0)),0))</f>
        <v>0.3</v>
      </c>
      <c r="DU75" s="32" t="n">
        <f aca="false">INDEX(Вводные!$D$13:$F$64,MATCH($A75,Вводные!$A$13:$A$64,0),MATCH(DU$3,Вводные!$D$11:$F$11,0))*(1+IF(DU$4=$A75,Вводные!$D$5*INDEX(Вводные!$G$13:$G$64,MATCH($A75,Вводные!$A$13:$A$64,0)),0))</f>
        <v>0.3</v>
      </c>
      <c r="DV75" s="32" t="n">
        <f aca="false">INDEX(Вводные!$D$13:$F$64,MATCH($A75,Вводные!$A$13:$A$64,0),MATCH(DV$3,Вводные!$D$11:$F$11,0))*(1+IF(DV$4=$A75,Вводные!$D$5*INDEX(Вводные!$G$13:$G$64,MATCH($A75,Вводные!$A$13:$A$64,0)),0))</f>
        <v>0.3</v>
      </c>
      <c r="DW75" s="32" t="n">
        <f aca="false">INDEX(Вводные!$D$13:$F$64,MATCH($A75,Вводные!$A$13:$A$64,0),MATCH(DW$3,Вводные!$D$11:$F$11,0))*(1+IF(DW$4=$A75,Вводные!$D$5*INDEX(Вводные!$G$13:$G$64,MATCH($A75,Вводные!$A$13:$A$64,0)),0))</f>
        <v>0.3</v>
      </c>
      <c r="DX75" s="32" t="n">
        <f aca="false">INDEX(Вводные!$D$13:$F$64,MATCH($A75,Вводные!$A$13:$A$64,0),MATCH(DX$3,Вводные!$D$11:$F$11,0))*(1+IF(DX$4=$A75,Вводные!$D$5*INDEX(Вводные!$G$13:$G$64,MATCH($A75,Вводные!$A$13:$A$64,0)),0))</f>
        <v>0.3</v>
      </c>
      <c r="DY75" s="32" t="n">
        <f aca="false">INDEX(Вводные!$D$13:$F$64,MATCH($A75,Вводные!$A$13:$A$64,0),MATCH(DY$3,Вводные!$D$11:$F$11,0))*(1+IF(DY$4=$A75,Вводные!$D$5*INDEX(Вводные!$G$13:$G$64,MATCH($A75,Вводные!$A$13:$A$64,0)),0))</f>
        <v>0.3</v>
      </c>
      <c r="DZ75" s="32" t="n">
        <f aca="false">INDEX(Вводные!$D$13:$F$64,MATCH($A75,Вводные!$A$13:$A$64,0),MATCH(DZ$3,Вводные!$D$11:$F$11,0))*(1+IF(DZ$4=$A75,Вводные!$D$5*INDEX(Вводные!$G$13:$G$64,MATCH($A75,Вводные!$A$13:$A$64,0)),0))</f>
        <v>0.297</v>
      </c>
      <c r="EA75" s="32" t="n">
        <f aca="false">INDEX(Вводные!$D$13:$F$64,MATCH($A75,Вводные!$A$13:$A$64,0),MATCH(EA$3,Вводные!$D$11:$F$11,0))*(1+IF(EA$4=$A75,Вводные!$D$5*INDEX(Вводные!$G$13:$G$64,MATCH($A75,Вводные!$A$13:$A$64,0)),0))</f>
        <v>0.3</v>
      </c>
      <c r="EB75" s="32" t="n">
        <f aca="false">INDEX(Вводные!$D$13:$F$64,MATCH($A75,Вводные!$A$13:$A$64,0),MATCH(EB$3,Вводные!$D$11:$F$11,0))*(1+IF(EB$4=$A75,Вводные!$D$5*INDEX(Вводные!$G$13:$G$64,MATCH($A75,Вводные!$A$13:$A$64,0)),0))</f>
        <v>0.3</v>
      </c>
      <c r="EC75" s="32" t="n">
        <f aca="false">INDEX(Вводные!$D$13:$F$64,MATCH($A75,Вводные!$A$13:$A$64,0),MATCH(EC$3,Вводные!$D$11:$F$11,0))*(1+IF(EC$4=$A75,Вводные!$D$5*INDEX(Вводные!$G$13:$G$64,MATCH($A75,Вводные!$A$13:$A$64,0)),0))</f>
        <v>0.3</v>
      </c>
      <c r="ED75" s="32" t="n">
        <f aca="false">INDEX(Вводные!$D$13:$F$64,MATCH($A75,Вводные!$A$13:$A$64,0),MATCH(ED$3,Вводные!$D$11:$F$11,0))*(1+IF(ED$4=$A75,Вводные!$D$5*INDEX(Вводные!$G$13:$G$64,MATCH($A75,Вводные!$A$13:$A$64,0)),0))</f>
        <v>0.3</v>
      </c>
      <c r="EE75" s="32" t="n">
        <f aca="false">INDEX(Вводные!$D$13:$F$64,MATCH($A75,Вводные!$A$13:$A$64,0),MATCH(EE$3,Вводные!$D$11:$F$11,0))*(1+IF(EE$4=$A75,Вводные!$D$5*INDEX(Вводные!$G$13:$G$64,MATCH($A75,Вводные!$A$13:$A$64,0)),0))</f>
        <v>0.3</v>
      </c>
      <c r="EF75" s="32" t="n">
        <f aca="false">INDEX(Вводные!$D$13:$F$64,MATCH($A75,Вводные!$A$13:$A$64,0),MATCH(EF$3,Вводные!$D$11:$F$11,0))*(1+IF(EF$4=$A75,Вводные!$D$5*INDEX(Вводные!$G$13:$G$64,MATCH($A75,Вводные!$A$13:$A$64,0)),0))</f>
        <v>0.1</v>
      </c>
      <c r="EG75" s="32" t="n">
        <f aca="false">INDEX(Вводные!$D$13:$F$64,MATCH($A75,Вводные!$A$13:$A$64,0),MATCH(EG$3,Вводные!$D$11:$F$11,0))*(1+IF(EG$4=$A75,Вводные!$D$5*INDEX(Вводные!$G$13:$G$64,MATCH($A75,Вводные!$A$13:$A$64,0)),0))</f>
        <v>0.1</v>
      </c>
      <c r="EH75" s="32" t="n">
        <f aca="false">INDEX(Вводные!$D$13:$F$64,MATCH($A75,Вводные!$A$13:$A$64,0),MATCH(EH$3,Вводные!$D$11:$F$11,0))*(1+IF(EH$4=$A75,Вводные!$D$5*INDEX(Вводные!$G$13:$G$64,MATCH($A75,Вводные!$A$13:$A$64,0)),0))</f>
        <v>0.1</v>
      </c>
      <c r="EI75" s="32" t="n">
        <f aca="false">INDEX(Вводные!$D$13:$F$64,MATCH($A75,Вводные!$A$13:$A$64,0),MATCH(EI$3,Вводные!$D$11:$F$11,0))*(1+IF(EI$4=$A75,Вводные!$D$5*INDEX(Вводные!$G$13:$G$64,MATCH($A75,Вводные!$A$13:$A$64,0)),0))</f>
        <v>0.1</v>
      </c>
      <c r="EJ75" s="32" t="n">
        <f aca="false">INDEX(Вводные!$D$13:$F$64,MATCH($A75,Вводные!$A$13:$A$64,0),MATCH(EJ$3,Вводные!$D$11:$F$11,0))*(1+IF(EJ$4=$A75,Вводные!$D$5*INDEX(Вводные!$G$13:$G$64,MATCH($A75,Вводные!$A$13:$A$64,0)),0))</f>
        <v>0.1</v>
      </c>
      <c r="EK75" s="32" t="n">
        <f aca="false">INDEX(Вводные!$D$13:$F$64,MATCH($A75,Вводные!$A$13:$A$64,0),MATCH(EK$3,Вводные!$D$11:$F$11,0))*(1+IF(EK$4=$A75,Вводные!$D$5*INDEX(Вводные!$G$13:$G$64,MATCH($A75,Вводные!$A$13:$A$64,0)),0))</f>
        <v>0.1</v>
      </c>
      <c r="EL75" s="32" t="n">
        <f aca="false">INDEX(Вводные!$D$13:$F$64,MATCH($A75,Вводные!$A$13:$A$64,0),MATCH(EL$3,Вводные!$D$11:$F$11,0))*(1+IF(EL$4=$A75,Вводные!$D$5*INDEX(Вводные!$G$13:$G$64,MATCH($A75,Вводные!$A$13:$A$64,0)),0))</f>
        <v>0.1</v>
      </c>
      <c r="EM75" s="32" t="n">
        <f aca="false">INDEX(Вводные!$D$13:$F$64,MATCH($A75,Вводные!$A$13:$A$64,0),MATCH(EM$3,Вводные!$D$11:$F$11,0))*(1+IF(EM$4=$A75,Вводные!$D$5*INDEX(Вводные!$G$13:$G$64,MATCH($A75,Вводные!$A$13:$A$64,0)),0))</f>
        <v>0.1</v>
      </c>
      <c r="EN75" s="32" t="n">
        <f aca="false">INDEX(Вводные!$D$13:$F$64,MATCH($A75,Вводные!$A$13:$A$64,0),MATCH(EN$3,Вводные!$D$11:$F$11,0))*(1+IF(EN$4=$A75,Вводные!$D$5*INDEX(Вводные!$G$13:$G$64,MATCH($A75,Вводные!$A$13:$A$64,0)),0))</f>
        <v>0.1</v>
      </c>
      <c r="EO75" s="32" t="n">
        <f aca="false">INDEX(Вводные!$D$13:$F$64,MATCH($A75,Вводные!$A$13:$A$64,0),MATCH(EO$3,Вводные!$D$11:$F$11,0))*(1+IF(EO$4=$A75,Вводные!$D$5*INDEX(Вводные!$G$13:$G$64,MATCH($A75,Вводные!$A$13:$A$64,0)),0))</f>
        <v>0.1</v>
      </c>
      <c r="EP75" s="32" t="n">
        <f aca="false">INDEX(Вводные!$D$13:$F$64,MATCH($A75,Вводные!$A$13:$A$64,0),MATCH(EP$3,Вводные!$D$11:$F$11,0))*(1+IF(EP$4=$A75,Вводные!$D$5*INDEX(Вводные!$G$13:$G$64,MATCH($A75,Вводные!$A$13:$A$64,0)),0))</f>
        <v>0.1</v>
      </c>
      <c r="EQ75" s="32" t="n">
        <f aca="false">INDEX(Вводные!$D$13:$F$64,MATCH($A75,Вводные!$A$13:$A$64,0),MATCH(EQ$3,Вводные!$D$11:$F$11,0))*(1+IF(EQ$4=$A75,Вводные!$D$5*INDEX(Вводные!$G$13:$G$64,MATCH($A75,Вводные!$A$13:$A$64,0)),0))</f>
        <v>0.1</v>
      </c>
      <c r="ER75" s="32" t="n">
        <f aca="false">INDEX(Вводные!$D$13:$F$64,MATCH($A75,Вводные!$A$13:$A$64,0),MATCH(ER$3,Вводные!$D$11:$F$11,0))*(1+IF(ER$4=$A75,Вводные!$D$5*INDEX(Вводные!$G$13:$G$64,MATCH($A75,Вводные!$A$13:$A$64,0)),0))</f>
        <v>0.1</v>
      </c>
      <c r="ES75" s="32" t="n">
        <f aca="false">INDEX(Вводные!$D$13:$F$64,MATCH($A75,Вводные!$A$13:$A$64,0),MATCH(ES$3,Вводные!$D$11:$F$11,0))*(1+IF(ES$4=$A75,Вводные!$D$5*INDEX(Вводные!$G$13:$G$64,MATCH($A75,Вводные!$A$13:$A$64,0)),0))</f>
        <v>0.1</v>
      </c>
      <c r="ET75" s="32" t="n">
        <f aca="false">INDEX(Вводные!$D$13:$F$64,MATCH($A75,Вводные!$A$13:$A$64,0),MATCH(ET$3,Вводные!$D$11:$F$11,0))*(1+IF(ET$4=$A75,Вводные!$D$5*INDEX(Вводные!$G$13:$G$64,MATCH($A75,Вводные!$A$13:$A$64,0)),0))</f>
        <v>0.1</v>
      </c>
      <c r="EU75" s="32" t="n">
        <f aca="false">INDEX(Вводные!$D$13:$F$64,MATCH($A75,Вводные!$A$13:$A$64,0),MATCH(EU$3,Вводные!$D$11:$F$11,0))*(1+IF(EU$4=$A75,Вводные!$D$5*INDEX(Вводные!$G$13:$G$64,MATCH($A75,Вводные!$A$13:$A$64,0)),0))</f>
        <v>0.1</v>
      </c>
      <c r="EV75" s="32" t="n">
        <f aca="false">INDEX(Вводные!$D$13:$F$64,MATCH($A75,Вводные!$A$13:$A$64,0),MATCH(EV$3,Вводные!$D$11:$F$11,0))*(1+IF(EV$4=$A75,Вводные!$D$5*INDEX(Вводные!$G$13:$G$64,MATCH($A75,Вводные!$A$13:$A$64,0)),0))</f>
        <v>0.1</v>
      </c>
      <c r="EW75" s="32" t="n">
        <f aca="false">INDEX(Вводные!$D$13:$F$64,MATCH($A75,Вводные!$A$13:$A$64,0),MATCH(EW$3,Вводные!$D$11:$F$11,0))*(1+IF(EW$4=$A75,Вводные!$D$5*INDEX(Вводные!$G$13:$G$64,MATCH($A75,Вводные!$A$13:$A$64,0)),0))</f>
        <v>0.1</v>
      </c>
      <c r="EX75" s="32" t="n">
        <f aca="false">INDEX(Вводные!$D$13:$F$64,MATCH($A75,Вводные!$A$13:$A$64,0),MATCH(EX$3,Вводные!$D$11:$F$11,0))*(1+IF(EX$4=$A75,Вводные!$D$5*INDEX(Вводные!$G$13:$G$64,MATCH($A75,Вводные!$A$13:$A$64,0)),0))</f>
        <v>0.1</v>
      </c>
      <c r="EY75" s="32" t="n">
        <f aca="false">INDEX(Вводные!$D$13:$F$64,MATCH($A75,Вводные!$A$13:$A$64,0),MATCH(EY$3,Вводные!$D$11:$F$11,0))*(1+IF(EY$4=$A75,Вводные!$D$5*INDEX(Вводные!$G$13:$G$64,MATCH($A75,Вводные!$A$13:$A$64,0)),0))</f>
        <v>0.1</v>
      </c>
      <c r="EZ75" s="32" t="n">
        <f aca="false">INDEX(Вводные!$D$13:$F$64,MATCH($A75,Вводные!$A$13:$A$64,0),MATCH(EZ$3,Вводные!$D$11:$F$11,0))*(1+IF(EZ$4=$A75,Вводные!$D$5*INDEX(Вводные!$G$13:$G$64,MATCH($A75,Вводные!$A$13:$A$64,0)),0))</f>
        <v>0.1</v>
      </c>
      <c r="FA75" s="32" t="n">
        <f aca="false">INDEX(Вводные!$D$13:$F$64,MATCH($A75,Вводные!$A$13:$A$64,0),MATCH(FA$3,Вводные!$D$11:$F$11,0))*(1+IF(FA$4=$A75,Вводные!$D$5*INDEX(Вводные!$G$13:$G$64,MATCH($A75,Вводные!$A$13:$A$64,0)),0))</f>
        <v>0.1</v>
      </c>
      <c r="FB75" s="32" t="n">
        <f aca="false">INDEX(Вводные!$D$13:$F$64,MATCH($A75,Вводные!$A$13:$A$64,0),MATCH(FB$3,Вводные!$D$11:$F$11,0))*(1+IF(FB$4=$A75,Вводные!$D$5*INDEX(Вводные!$G$13:$G$64,MATCH($A75,Вводные!$A$13:$A$64,0)),0))</f>
        <v>0.1</v>
      </c>
      <c r="FC75" s="32" t="n">
        <f aca="false">INDEX(Вводные!$D$13:$F$64,MATCH($A75,Вводные!$A$13:$A$64,0),MATCH(FC$3,Вводные!$D$11:$F$11,0))*(1+IF(FC$4=$A75,Вводные!$D$5*INDEX(Вводные!$G$13:$G$64,MATCH($A75,Вводные!$A$13:$A$64,0)),0))</f>
        <v>0.1</v>
      </c>
      <c r="FD75" s="32" t="n">
        <f aca="false">INDEX(Вводные!$D$13:$F$64,MATCH($A75,Вводные!$A$13:$A$64,0),MATCH(FD$3,Вводные!$D$11:$F$11,0))*(1+IF(FD$4=$A75,Вводные!$D$5*INDEX(Вводные!$G$13:$G$64,MATCH($A75,Вводные!$A$13:$A$64,0)),0))</f>
        <v>0.1</v>
      </c>
      <c r="FE75" s="32" t="n">
        <f aca="false">INDEX(Вводные!$D$13:$F$64,MATCH($A75,Вводные!$A$13:$A$64,0),MATCH(FE$3,Вводные!$D$11:$F$11,0))*(1+IF(FE$4=$A75,Вводные!$D$5*INDEX(Вводные!$G$13:$G$64,MATCH($A75,Вводные!$A$13:$A$64,0)),0))</f>
        <v>0.1</v>
      </c>
      <c r="FF75" s="32" t="n">
        <f aca="false">INDEX(Вводные!$D$13:$F$64,MATCH($A75,Вводные!$A$13:$A$64,0),MATCH(FF$3,Вводные!$D$11:$F$11,0))*(1+IF(FF$4=$A75,Вводные!$D$5*INDEX(Вводные!$G$13:$G$64,MATCH($A75,Вводные!$A$13:$A$64,0)),0))</f>
        <v>0.1</v>
      </c>
      <c r="FG75" s="32" t="n">
        <f aca="false">INDEX(Вводные!$D$13:$F$64,MATCH($A75,Вводные!$A$13:$A$64,0),MATCH(FG$3,Вводные!$D$11:$F$11,0))*(1+IF(FG$4=$A75,Вводные!$D$5*INDEX(Вводные!$G$13:$G$64,MATCH($A75,Вводные!$A$13:$A$64,0)),0))</f>
        <v>0.1</v>
      </c>
      <c r="FH75" s="32" t="n">
        <f aca="false">INDEX(Вводные!$D$13:$F$64,MATCH($A75,Вводные!$A$13:$A$64,0),MATCH(FH$3,Вводные!$D$11:$F$11,0))*(1+IF(FH$4=$A75,Вводные!$D$5*INDEX(Вводные!$G$13:$G$64,MATCH($A75,Вводные!$A$13:$A$64,0)),0))</f>
        <v>0.1</v>
      </c>
      <c r="FI75" s="32" t="n">
        <f aca="false">INDEX(Вводные!$D$13:$F$64,MATCH($A75,Вводные!$A$13:$A$64,0),MATCH(FI$3,Вводные!$D$11:$F$11,0))*(1+IF(FI$4=$A75,Вводные!$D$5*INDEX(Вводные!$G$13:$G$64,MATCH($A75,Вводные!$A$13:$A$64,0)),0))</f>
        <v>0.1</v>
      </c>
      <c r="FJ75" s="32" t="n">
        <f aca="false">INDEX(Вводные!$D$13:$F$64,MATCH($A75,Вводные!$A$13:$A$64,0),MATCH(FJ$3,Вводные!$D$11:$F$11,0))*(1+IF(FJ$4=$A75,Вводные!$D$5*INDEX(Вводные!$G$13:$G$64,MATCH($A75,Вводные!$A$13:$A$64,0)),0))</f>
        <v>0.1</v>
      </c>
      <c r="FK75" s="32" t="n">
        <f aca="false">INDEX(Вводные!$D$13:$F$64,MATCH($A75,Вводные!$A$13:$A$64,0),MATCH(FK$3,Вводные!$D$11:$F$11,0))*(1+IF(FK$4=$A75,Вводные!$D$5*INDEX(Вводные!$G$13:$G$64,MATCH($A75,Вводные!$A$13:$A$64,0)),0))</f>
        <v>0.1</v>
      </c>
      <c r="FL75" s="32" t="n">
        <f aca="false">INDEX(Вводные!$D$13:$F$64,MATCH($A75,Вводные!$A$13:$A$64,0),MATCH(FL$3,Вводные!$D$11:$F$11,0))*(1+IF(FL$4=$A75,Вводные!$D$5*INDEX(Вводные!$G$13:$G$64,MATCH($A75,Вводные!$A$13:$A$64,0)),0))</f>
        <v>0.1</v>
      </c>
      <c r="FM75" s="32" t="n">
        <f aca="false">INDEX(Вводные!$D$13:$F$64,MATCH($A75,Вводные!$A$13:$A$64,0),MATCH(FM$3,Вводные!$D$11:$F$11,0))*(1+IF(FM$4=$A75,Вводные!$D$5*INDEX(Вводные!$G$13:$G$64,MATCH($A75,Вводные!$A$13:$A$64,0)),0))</f>
        <v>0.1</v>
      </c>
      <c r="FN75" s="32" t="n">
        <f aca="false">INDEX(Вводные!$D$13:$F$64,MATCH($A75,Вводные!$A$13:$A$64,0),MATCH(FN$3,Вводные!$D$11:$F$11,0))*(1+IF(FN$4=$A75,Вводные!$D$5*INDEX(Вводные!$G$13:$G$64,MATCH($A75,Вводные!$A$13:$A$64,0)),0))</f>
        <v>0.1</v>
      </c>
      <c r="FO75" s="32" t="n">
        <f aca="false">INDEX(Вводные!$D$13:$F$64,MATCH($A75,Вводные!$A$13:$A$64,0),MATCH(FO$3,Вводные!$D$11:$F$11,0))*(1+IF(FO$4=$A75,Вводные!$D$5*INDEX(Вводные!$G$13:$G$64,MATCH($A75,Вводные!$A$13:$A$64,0)),0))</f>
        <v>0.1</v>
      </c>
      <c r="FP75" s="32" t="n">
        <f aca="false">INDEX(Вводные!$D$13:$F$64,MATCH($A75,Вводные!$A$13:$A$64,0),MATCH(FP$3,Вводные!$D$11:$F$11,0))*(1+IF(FP$4=$A75,Вводные!$D$5*INDEX(Вводные!$G$13:$G$64,MATCH($A75,Вводные!$A$13:$A$64,0)),0))</f>
        <v>0.099</v>
      </c>
      <c r="FQ75" s="32" t="n">
        <f aca="false">INDEX(Вводные!$D$13:$F$64,MATCH($A75,Вводные!$A$13:$A$64,0),MATCH(FQ$3,Вводные!$D$11:$F$11,0))*(1+IF(FQ$4=$A75,Вводные!$D$5*INDEX(Вводные!$G$13:$G$64,MATCH($A75,Вводные!$A$13:$A$64,0)),0))</f>
        <v>0.1</v>
      </c>
      <c r="FR75" s="32" t="n">
        <f aca="false">INDEX(Вводные!$D$13:$F$64,MATCH($A75,Вводные!$A$13:$A$64,0),MATCH(FR$3,Вводные!$D$11:$F$11,0))*(1+IF(FR$4=$A75,Вводные!$D$5*INDEX(Вводные!$G$13:$G$64,MATCH($A75,Вводные!$A$13:$A$64,0)),0))</f>
        <v>0.1</v>
      </c>
      <c r="FS75" s="32" t="n">
        <f aca="false">INDEX(Вводные!$D$13:$F$64,MATCH($A75,Вводные!$A$13:$A$64,0),MATCH(FS$3,Вводные!$D$11:$F$11,0))*(1+IF(FS$4=$A75,Вводные!$D$5*INDEX(Вводные!$G$13:$G$64,MATCH($A75,Вводные!$A$13:$A$64,0)),0))</f>
        <v>0.1</v>
      </c>
      <c r="FT75" s="32" t="n">
        <f aca="false">INDEX(Вводные!$D$13:$F$64,MATCH($A75,Вводные!$A$13:$A$64,0),MATCH(FT$3,Вводные!$D$11:$F$11,0))*(1+IF(FT$4=$A75,Вводные!$D$5*INDEX(Вводные!$G$13:$G$64,MATCH($A75,Вводные!$A$13:$A$64,0)),0))</f>
        <v>0.1</v>
      </c>
      <c r="FU75" s="32" t="n">
        <f aca="false">INDEX(Вводные!$D$13:$F$64,MATCH($A75,Вводные!$A$13:$A$64,0),MATCH(FU$3,Вводные!$D$11:$F$11,0))*(1+IF(FU$4=$A75,Вводные!$D$5*INDEX(Вводные!$G$13:$G$64,MATCH($A75,Вводные!$A$13:$A$64,0)),0))</f>
        <v>0.1</v>
      </c>
      <c r="FV75" s="32" t="n">
        <f aca="false">INDEX(Вводные!$D$13:$F$64,MATCH($A75,Вводные!$A$13:$A$64,0),MATCH(FV$3,Вводные!$D$11:$F$11,0))*(1+IF(FV$4=$A75,Вводные!$D$5*INDEX(Вводные!$G$13:$G$64,MATCH($A75,Вводные!$A$13:$A$64,0)),0))</f>
        <v>0.25</v>
      </c>
      <c r="FW75" s="32" t="n">
        <f aca="false">INDEX(Вводные!$D$13:$F$64,MATCH($A75,Вводные!$A$13:$A$64,0),MATCH(FW$3,Вводные!$D$11:$F$11,0))*(1+IF(FW$4=$A75,Вводные!$D$5*INDEX(Вводные!$G$13:$G$64,MATCH($A75,Вводные!$A$13:$A$64,0)),0))</f>
        <v>0.25</v>
      </c>
      <c r="FX75" s="32" t="n">
        <f aca="false">INDEX(Вводные!$D$13:$F$64,MATCH($A75,Вводные!$A$13:$A$64,0),MATCH(FX$3,Вводные!$D$11:$F$11,0))*(1+IF(FX$4=$A75,Вводные!$D$5*INDEX(Вводные!$G$13:$G$64,MATCH($A75,Вводные!$A$13:$A$64,0)),0))</f>
        <v>0.25</v>
      </c>
      <c r="FY75" s="32" t="n">
        <f aca="false">INDEX(Вводные!$D$13:$F$64,MATCH($A75,Вводные!$A$13:$A$64,0),MATCH(FY$3,Вводные!$D$11:$F$11,0))*(1+IF(FY$4=$A75,Вводные!$D$5*INDEX(Вводные!$G$13:$G$64,MATCH($A75,Вводные!$A$13:$A$64,0)),0))</f>
        <v>0.25</v>
      </c>
      <c r="FZ75" s="32" t="n">
        <f aca="false">INDEX(Вводные!$D$13:$F$64,MATCH($A75,Вводные!$A$13:$A$64,0),MATCH(FZ$3,Вводные!$D$11:$F$11,0))*(1+IF(FZ$4=$A75,Вводные!$D$5*INDEX(Вводные!$G$13:$G$64,MATCH($A75,Вводные!$A$13:$A$64,0)),0))</f>
        <v>0.25</v>
      </c>
      <c r="GA75" s="32" t="n">
        <f aca="false">INDEX(Вводные!$D$13:$F$64,MATCH($A75,Вводные!$A$13:$A$64,0),MATCH(GA$3,Вводные!$D$11:$F$11,0))*(1+IF(GA$4=$A75,Вводные!$D$5*INDEX(Вводные!$G$13:$G$64,MATCH($A75,Вводные!$A$13:$A$64,0)),0))</f>
        <v>0.25</v>
      </c>
      <c r="GB75" s="32" t="n">
        <f aca="false">INDEX(Вводные!$D$13:$F$64,MATCH($A75,Вводные!$A$13:$A$64,0),MATCH(GB$3,Вводные!$D$11:$F$11,0))*(1+IF(GB$4=$A75,Вводные!$D$5*INDEX(Вводные!$G$13:$G$64,MATCH($A75,Вводные!$A$13:$A$64,0)),0))</f>
        <v>0.25</v>
      </c>
      <c r="GC75" s="32" t="n">
        <f aca="false">INDEX(Вводные!$D$13:$F$64,MATCH($A75,Вводные!$A$13:$A$64,0),MATCH(GC$3,Вводные!$D$11:$F$11,0))*(1+IF(GC$4=$A75,Вводные!$D$5*INDEX(Вводные!$G$13:$G$64,MATCH($A75,Вводные!$A$13:$A$64,0)),0))</f>
        <v>0.25</v>
      </c>
      <c r="GD75" s="32" t="n">
        <f aca="false">INDEX(Вводные!$D$13:$F$64,MATCH($A75,Вводные!$A$13:$A$64,0),MATCH(GD$3,Вводные!$D$11:$F$11,0))*(1+IF(GD$4=$A75,Вводные!$D$5*INDEX(Вводные!$G$13:$G$64,MATCH($A75,Вводные!$A$13:$A$64,0)),0))</f>
        <v>0.25</v>
      </c>
      <c r="GE75" s="32" t="n">
        <f aca="false">INDEX(Вводные!$D$13:$F$64,MATCH($A75,Вводные!$A$13:$A$64,0),MATCH(GE$3,Вводные!$D$11:$F$11,0))*(1+IF(GE$4=$A75,Вводные!$D$5*INDEX(Вводные!$G$13:$G$64,MATCH($A75,Вводные!$A$13:$A$64,0)),0))</f>
        <v>0.25</v>
      </c>
      <c r="GF75" s="32" t="n">
        <f aca="false">INDEX(Вводные!$D$13:$F$64,MATCH($A75,Вводные!$A$13:$A$64,0),MATCH(GF$3,Вводные!$D$11:$F$11,0))*(1+IF(GF$4=$A75,Вводные!$D$5*INDEX(Вводные!$G$13:$G$64,MATCH($A75,Вводные!$A$13:$A$64,0)),0))</f>
        <v>0.25</v>
      </c>
      <c r="GG75" s="32" t="n">
        <f aca="false">INDEX(Вводные!$D$13:$F$64,MATCH($A75,Вводные!$A$13:$A$64,0),MATCH(GG$3,Вводные!$D$11:$F$11,0))*(1+IF(GG$4=$A75,Вводные!$D$5*INDEX(Вводные!$G$13:$G$64,MATCH($A75,Вводные!$A$13:$A$64,0)),0))</f>
        <v>0.25</v>
      </c>
      <c r="GH75" s="32" t="n">
        <f aca="false">INDEX(Вводные!$D$13:$F$64,MATCH($A75,Вводные!$A$13:$A$64,0),MATCH(GH$3,Вводные!$D$11:$F$11,0))*(1+IF(GH$4=$A75,Вводные!$D$5*INDEX(Вводные!$G$13:$G$64,MATCH($A75,Вводные!$A$13:$A$64,0)),0))</f>
        <v>0.25</v>
      </c>
      <c r="GI75" s="32" t="n">
        <f aca="false">INDEX(Вводные!$D$13:$F$64,MATCH($A75,Вводные!$A$13:$A$64,0),MATCH(GI$3,Вводные!$D$11:$F$11,0))*(1+IF(GI$4=$A75,Вводные!$D$5*INDEX(Вводные!$G$13:$G$64,MATCH($A75,Вводные!$A$13:$A$64,0)),0))</f>
        <v>0.25</v>
      </c>
      <c r="GJ75" s="32" t="n">
        <f aca="false">INDEX(Вводные!$D$13:$F$64,MATCH($A75,Вводные!$A$13:$A$64,0),MATCH(GJ$3,Вводные!$D$11:$F$11,0))*(1+IF(GJ$4=$A75,Вводные!$D$5*INDEX(Вводные!$G$13:$G$64,MATCH($A75,Вводные!$A$13:$A$64,0)),0))</f>
        <v>0.25</v>
      </c>
      <c r="GK75" s="32" t="n">
        <f aca="false">INDEX(Вводные!$D$13:$F$64,MATCH($A75,Вводные!$A$13:$A$64,0),MATCH(GK$3,Вводные!$D$11:$F$11,0))*(1+IF(GK$4=$A75,Вводные!$D$5*INDEX(Вводные!$G$13:$G$64,MATCH($A75,Вводные!$A$13:$A$64,0)),0))</f>
        <v>0.25</v>
      </c>
      <c r="GL75" s="32" t="n">
        <f aca="false">INDEX(Вводные!$D$13:$F$64,MATCH($A75,Вводные!$A$13:$A$64,0),MATCH(GL$3,Вводные!$D$11:$F$11,0))*(1+IF(GL$4=$A75,Вводные!$D$5*INDEX(Вводные!$G$13:$G$64,MATCH($A75,Вводные!$A$13:$A$64,0)),0))</f>
        <v>0.25</v>
      </c>
      <c r="GM75" s="32" t="n">
        <f aca="false">INDEX(Вводные!$D$13:$F$64,MATCH($A75,Вводные!$A$13:$A$64,0),MATCH(GM$3,Вводные!$D$11:$F$11,0))*(1+IF(GM$4=$A75,Вводные!$D$5*INDEX(Вводные!$G$13:$G$64,MATCH($A75,Вводные!$A$13:$A$64,0)),0))</f>
        <v>0.25</v>
      </c>
      <c r="GN75" s="32" t="n">
        <f aca="false">INDEX(Вводные!$D$13:$F$64,MATCH($A75,Вводные!$A$13:$A$64,0),MATCH(GN$3,Вводные!$D$11:$F$11,0))*(1+IF(GN$4=$A75,Вводные!$D$5*INDEX(Вводные!$G$13:$G$64,MATCH($A75,Вводные!$A$13:$A$64,0)),0))</f>
        <v>0.25</v>
      </c>
      <c r="GO75" s="32" t="n">
        <f aca="false">INDEX(Вводные!$D$13:$F$64,MATCH($A75,Вводные!$A$13:$A$64,0),MATCH(GO$3,Вводные!$D$11:$F$11,0))*(1+IF(GO$4=$A75,Вводные!$D$5*INDEX(Вводные!$G$13:$G$64,MATCH($A75,Вводные!$A$13:$A$64,0)),0))</f>
        <v>0.25</v>
      </c>
      <c r="GP75" s="32" t="n">
        <f aca="false">INDEX(Вводные!$D$13:$F$64,MATCH($A75,Вводные!$A$13:$A$64,0),MATCH(GP$3,Вводные!$D$11:$F$11,0))*(1+IF(GP$4=$A75,Вводные!$D$5*INDEX(Вводные!$G$13:$G$64,MATCH($A75,Вводные!$A$13:$A$64,0)),0))</f>
        <v>0.25</v>
      </c>
      <c r="GQ75" s="32" t="n">
        <f aca="false">INDEX(Вводные!$D$13:$F$64,MATCH($A75,Вводные!$A$13:$A$64,0),MATCH(GQ$3,Вводные!$D$11:$F$11,0))*(1+IF(GQ$4=$A75,Вводные!$D$5*INDEX(Вводные!$G$13:$G$64,MATCH($A75,Вводные!$A$13:$A$64,0)),0))</f>
        <v>0.25</v>
      </c>
      <c r="GR75" s="32" t="n">
        <f aca="false">INDEX(Вводные!$D$13:$F$64,MATCH($A75,Вводные!$A$13:$A$64,0),MATCH(GR$3,Вводные!$D$11:$F$11,0))*(1+IF(GR$4=$A75,Вводные!$D$5*INDEX(Вводные!$G$13:$G$64,MATCH($A75,Вводные!$A$13:$A$64,0)),0))</f>
        <v>0.25</v>
      </c>
      <c r="GS75" s="32" t="n">
        <f aca="false">INDEX(Вводные!$D$13:$F$64,MATCH($A75,Вводные!$A$13:$A$64,0),MATCH(GS$3,Вводные!$D$11:$F$11,0))*(1+IF(GS$4=$A75,Вводные!$D$5*INDEX(Вводные!$G$13:$G$64,MATCH($A75,Вводные!$A$13:$A$64,0)),0))</f>
        <v>0.25</v>
      </c>
      <c r="GT75" s="32" t="n">
        <f aca="false">INDEX(Вводные!$D$13:$F$64,MATCH($A75,Вводные!$A$13:$A$64,0),MATCH(GT$3,Вводные!$D$11:$F$11,0))*(1+IF(GT$4=$A75,Вводные!$D$5*INDEX(Вводные!$G$13:$G$64,MATCH($A75,Вводные!$A$13:$A$64,0)),0))</f>
        <v>0.25</v>
      </c>
      <c r="GU75" s="32" t="n">
        <f aca="false">INDEX(Вводные!$D$13:$F$64,MATCH($A75,Вводные!$A$13:$A$64,0),MATCH(GU$3,Вводные!$D$11:$F$11,0))*(1+IF(GU$4=$A75,Вводные!$D$5*INDEX(Вводные!$G$13:$G$64,MATCH($A75,Вводные!$A$13:$A$64,0)),0))</f>
        <v>0.25</v>
      </c>
      <c r="GV75" s="32" t="n">
        <f aca="false">INDEX(Вводные!$D$13:$F$64,MATCH($A75,Вводные!$A$13:$A$64,0),MATCH(GV$3,Вводные!$D$11:$F$11,0))*(1+IF(GV$4=$A75,Вводные!$D$5*INDEX(Вводные!$G$13:$G$64,MATCH($A75,Вводные!$A$13:$A$64,0)),0))</f>
        <v>0.25</v>
      </c>
      <c r="GW75" s="32" t="n">
        <f aca="false">INDEX(Вводные!$D$13:$F$64,MATCH($A75,Вводные!$A$13:$A$64,0),MATCH(GW$3,Вводные!$D$11:$F$11,0))*(1+IF(GW$4=$A75,Вводные!$D$5*INDEX(Вводные!$G$13:$G$64,MATCH($A75,Вводные!$A$13:$A$64,0)),0))</f>
        <v>0.25</v>
      </c>
      <c r="GX75" s="32" t="n">
        <f aca="false">INDEX(Вводные!$D$13:$F$64,MATCH($A75,Вводные!$A$13:$A$64,0),MATCH(GX$3,Вводные!$D$11:$F$11,0))*(1+IF(GX$4=$A75,Вводные!$D$5*INDEX(Вводные!$G$13:$G$64,MATCH($A75,Вводные!$A$13:$A$64,0)),0))</f>
        <v>0.25</v>
      </c>
      <c r="GY75" s="32" t="n">
        <f aca="false">INDEX(Вводные!$D$13:$F$64,MATCH($A75,Вводные!$A$13:$A$64,0),MATCH(GY$3,Вводные!$D$11:$F$11,0))*(1+IF(GY$4=$A75,Вводные!$D$5*INDEX(Вводные!$G$13:$G$64,MATCH($A75,Вводные!$A$13:$A$64,0)),0))</f>
        <v>0.25</v>
      </c>
      <c r="GZ75" s="32" t="n">
        <f aca="false">INDEX(Вводные!$D$13:$F$64,MATCH($A75,Вводные!$A$13:$A$64,0),MATCH(GZ$3,Вводные!$D$11:$F$11,0))*(1+IF(GZ$4=$A75,Вводные!$D$5*INDEX(Вводные!$G$13:$G$64,MATCH($A75,Вводные!$A$13:$A$64,0)),0))</f>
        <v>0.25</v>
      </c>
      <c r="HA75" s="32" t="n">
        <f aca="false">INDEX(Вводные!$D$13:$F$64,MATCH($A75,Вводные!$A$13:$A$64,0),MATCH(HA$3,Вводные!$D$11:$F$11,0))*(1+IF(HA$4=$A75,Вводные!$D$5*INDEX(Вводные!$G$13:$G$64,MATCH($A75,Вводные!$A$13:$A$64,0)),0))</f>
        <v>0.25</v>
      </c>
      <c r="HB75" s="32" t="n">
        <f aca="false">INDEX(Вводные!$D$13:$F$64,MATCH($A75,Вводные!$A$13:$A$64,0),MATCH(HB$3,Вводные!$D$11:$F$11,0))*(1+IF(HB$4=$A75,Вводные!$D$5*INDEX(Вводные!$G$13:$G$64,MATCH($A75,Вводные!$A$13:$A$64,0)),0))</f>
        <v>0.25</v>
      </c>
      <c r="HC75" s="32" t="n">
        <f aca="false">INDEX(Вводные!$D$13:$F$64,MATCH($A75,Вводные!$A$13:$A$64,0),MATCH(HC$3,Вводные!$D$11:$F$11,0))*(1+IF(HC$4=$A75,Вводные!$D$5*INDEX(Вводные!$G$13:$G$64,MATCH($A75,Вводные!$A$13:$A$64,0)),0))</f>
        <v>0.25</v>
      </c>
      <c r="HD75" s="32" t="n">
        <f aca="false">INDEX(Вводные!$D$13:$F$64,MATCH($A75,Вводные!$A$13:$A$64,0),MATCH(HD$3,Вводные!$D$11:$F$11,0))*(1+IF(HD$4=$A75,Вводные!$D$5*INDEX(Вводные!$G$13:$G$64,MATCH($A75,Вводные!$A$13:$A$64,0)),0))</f>
        <v>0.25</v>
      </c>
      <c r="HE75" s="32" t="n">
        <f aca="false">INDEX(Вводные!$D$13:$F$64,MATCH($A75,Вводные!$A$13:$A$64,0),MATCH(HE$3,Вводные!$D$11:$F$11,0))*(1+IF(HE$4=$A75,Вводные!$D$5*INDEX(Вводные!$G$13:$G$64,MATCH($A75,Вводные!$A$13:$A$64,0)),0))</f>
        <v>0.25</v>
      </c>
      <c r="HF75" s="32" t="n">
        <f aca="false">INDEX(Вводные!$D$13:$F$64,MATCH($A75,Вводные!$A$13:$A$64,0),MATCH(HF$3,Вводные!$D$11:$F$11,0))*(1+IF(HF$4=$A75,Вводные!$D$5*INDEX(Вводные!$G$13:$G$64,MATCH($A75,Вводные!$A$13:$A$64,0)),0))</f>
        <v>0.2475</v>
      </c>
      <c r="HG75" s="32" t="n">
        <f aca="false">INDEX(Вводные!$D$13:$F$64,MATCH($A75,Вводные!$A$13:$A$64,0),MATCH(HG$3,Вводные!$D$11:$F$11,0))*(1+IF(HG$4=$A75,Вводные!$D$5*INDEX(Вводные!$G$13:$G$64,MATCH($A75,Вводные!$A$13:$A$64,0)),0))</f>
        <v>0.25</v>
      </c>
      <c r="HH75" s="32" t="n">
        <f aca="false">INDEX(Вводные!$D$13:$F$64,MATCH($A75,Вводные!$A$13:$A$64,0),MATCH(HH$3,Вводные!$D$11:$F$11,0))*(1+IF(HH$4=$A75,Вводные!$D$5*INDEX(Вводные!$G$13:$G$64,MATCH($A75,Вводные!$A$13:$A$64,0)),0))</f>
        <v>0.25</v>
      </c>
      <c r="HI75" s="32" t="n">
        <f aca="false">INDEX(Вводные!$D$13:$F$64,MATCH($A75,Вводные!$A$13:$A$64,0),MATCH(HI$3,Вводные!$D$11:$F$11,0))*(1+IF(HI$4=$A75,Вводные!$D$5*INDEX(Вводные!$G$13:$G$64,MATCH($A75,Вводные!$A$13:$A$64,0)),0))</f>
        <v>0.25</v>
      </c>
      <c r="HJ75" s="32" t="n">
        <f aca="false">INDEX(Вводные!$D$13:$F$64,MATCH($A75,Вводные!$A$13:$A$64,0),MATCH(HJ$3,Вводные!$D$11:$F$11,0))*(1+IF(HJ$4=$A75,Вводные!$D$5*INDEX(Вводные!$G$13:$G$64,MATCH($A75,Вводные!$A$13:$A$64,0)),0))</f>
        <v>0.25</v>
      </c>
      <c r="HK75" s="32" t="n">
        <f aca="false">INDEX(Вводные!$D$13:$F$64,MATCH($A75,Вводные!$A$13:$A$64,0),MATCH(HK$3,Вводные!$D$11:$F$11,0))*(1+IF(HK$4=$A75,Вводные!$D$5*INDEX(Вводные!$G$13:$G$64,MATCH($A75,Вводные!$A$13:$A$64,0)),0))</f>
        <v>0.25</v>
      </c>
      <c r="HL75" s="32" t="n">
        <f aca="false">INDEX(Вводные!$D$13:$F$64,MATCH($A75,Вводные!$A$13:$A$64,0),MATCH(HL$3,Вводные!$D$11:$F$11,0))*(1+IF(HL$4=$A75,Вводные!$D$5*INDEX(Вводные!$G$13:$G$64,MATCH($A75,Вводные!$A$13:$A$64,0)),0))</f>
        <v>0.3</v>
      </c>
      <c r="HM75" s="32" t="n">
        <f aca="false">INDEX(Вводные!$D$13:$F$64,MATCH($A75,Вводные!$A$13:$A$64,0),MATCH(HM$3,Вводные!$D$11:$F$11,0))*(1+IF(HM$4=$A75,Вводные!$D$5*INDEX(Вводные!$G$13:$G$64,MATCH($A75,Вводные!$A$13:$A$64,0)),0))</f>
        <v>0.3</v>
      </c>
      <c r="HN75" s="32" t="n">
        <f aca="false">INDEX(Вводные!$D$13:$F$64,MATCH($A75,Вводные!$A$13:$A$64,0),MATCH(HN$3,Вводные!$D$11:$F$11,0))*(1+IF(HN$4=$A75,Вводные!$D$5*INDEX(Вводные!$G$13:$G$64,MATCH($A75,Вводные!$A$13:$A$64,0)),0))</f>
        <v>0.3</v>
      </c>
      <c r="HO75" s="32" t="n">
        <f aca="false">INDEX(Вводные!$D$13:$F$64,MATCH($A75,Вводные!$A$13:$A$64,0),MATCH(HO$3,Вводные!$D$11:$F$11,0))*(1+IF(HO$4=$A75,Вводные!$D$5*INDEX(Вводные!$G$13:$G$64,MATCH($A75,Вводные!$A$13:$A$64,0)),0))</f>
        <v>0.3</v>
      </c>
      <c r="HP75" s="32" t="n">
        <f aca="false">INDEX(Вводные!$D$13:$F$64,MATCH($A75,Вводные!$A$13:$A$64,0),MATCH(HP$3,Вводные!$D$11:$F$11,0))*(1+IF(HP$4=$A75,Вводные!$D$5*INDEX(Вводные!$G$13:$G$64,MATCH($A75,Вводные!$A$13:$A$64,0)),0))</f>
        <v>0.3</v>
      </c>
      <c r="HQ75" s="32" t="n">
        <f aca="false">INDEX(Вводные!$D$13:$F$64,MATCH($A75,Вводные!$A$13:$A$64,0),MATCH(HQ$3,Вводные!$D$11:$F$11,0))*(1+IF(HQ$4=$A75,Вводные!$D$5*INDEX(Вводные!$G$13:$G$64,MATCH($A75,Вводные!$A$13:$A$64,0)),0))</f>
        <v>0.3</v>
      </c>
      <c r="HR75" s="32" t="n">
        <f aca="false">INDEX(Вводные!$D$13:$F$64,MATCH($A75,Вводные!$A$13:$A$64,0),MATCH(HR$3,Вводные!$D$11:$F$11,0))*(1+IF(HR$4=$A75,Вводные!$D$5*INDEX(Вводные!$G$13:$G$64,MATCH($A75,Вводные!$A$13:$A$64,0)),0))</f>
        <v>0.3</v>
      </c>
      <c r="HS75" s="32" t="n">
        <f aca="false">INDEX(Вводные!$D$13:$F$64,MATCH($A75,Вводные!$A$13:$A$64,0),MATCH(HS$3,Вводные!$D$11:$F$11,0))*(1+IF(HS$4=$A75,Вводные!$D$5*INDEX(Вводные!$G$13:$G$64,MATCH($A75,Вводные!$A$13:$A$64,0)),0))</f>
        <v>0.3</v>
      </c>
      <c r="HT75" s="32" t="n">
        <f aca="false">INDEX(Вводные!$D$13:$F$64,MATCH($A75,Вводные!$A$13:$A$64,0),MATCH(HT$3,Вводные!$D$11:$F$11,0))*(1+IF(HT$4=$A75,Вводные!$D$5*INDEX(Вводные!$G$13:$G$64,MATCH($A75,Вводные!$A$13:$A$64,0)),0))</f>
        <v>0.3</v>
      </c>
      <c r="HU75" s="32" t="n">
        <f aca="false">INDEX(Вводные!$D$13:$F$64,MATCH($A75,Вводные!$A$13:$A$64,0),MATCH(HU$3,Вводные!$D$11:$F$11,0))*(1+IF(HU$4=$A75,Вводные!$D$5*INDEX(Вводные!$G$13:$G$64,MATCH($A75,Вводные!$A$13:$A$64,0)),0))</f>
        <v>0.3</v>
      </c>
      <c r="HV75" s="32" t="n">
        <f aca="false">INDEX(Вводные!$D$13:$F$64,MATCH($A75,Вводные!$A$13:$A$64,0),MATCH(HV$3,Вводные!$D$11:$F$11,0))*(1+IF(HV$4=$A75,Вводные!$D$5*INDEX(Вводные!$G$13:$G$64,MATCH($A75,Вводные!$A$13:$A$64,0)),0))</f>
        <v>0.3</v>
      </c>
      <c r="HW75" s="32" t="n">
        <f aca="false">INDEX(Вводные!$D$13:$F$64,MATCH($A75,Вводные!$A$13:$A$64,0),MATCH(HW$3,Вводные!$D$11:$F$11,0))*(1+IF(HW$4=$A75,Вводные!$D$5*INDEX(Вводные!$G$13:$G$64,MATCH($A75,Вводные!$A$13:$A$64,0)),0))</f>
        <v>0.3</v>
      </c>
      <c r="HX75" s="32" t="n">
        <f aca="false">INDEX(Вводные!$D$13:$F$64,MATCH($A75,Вводные!$A$13:$A$64,0),MATCH(HX$3,Вводные!$D$11:$F$11,0))*(1+IF(HX$4=$A75,Вводные!$D$5*INDEX(Вводные!$G$13:$G$64,MATCH($A75,Вводные!$A$13:$A$64,0)),0))</f>
        <v>0.3</v>
      </c>
      <c r="HY75" s="32" t="n">
        <f aca="false">INDEX(Вводные!$D$13:$F$64,MATCH($A75,Вводные!$A$13:$A$64,0),MATCH(HY$3,Вводные!$D$11:$F$11,0))*(1+IF(HY$4=$A75,Вводные!$D$5*INDEX(Вводные!$G$13:$G$64,MATCH($A75,Вводные!$A$13:$A$64,0)),0))</f>
        <v>0.3</v>
      </c>
      <c r="HZ75" s="32" t="n">
        <f aca="false">INDEX(Вводные!$D$13:$F$64,MATCH($A75,Вводные!$A$13:$A$64,0),MATCH(HZ$3,Вводные!$D$11:$F$11,0))*(1+IF(HZ$4=$A75,Вводные!$D$5*INDEX(Вводные!$G$13:$G$64,MATCH($A75,Вводные!$A$13:$A$64,0)),0))</f>
        <v>0.3</v>
      </c>
      <c r="IA75" s="32" t="n">
        <f aca="false">INDEX(Вводные!$D$13:$F$64,MATCH($A75,Вводные!$A$13:$A$64,0),MATCH(IA$3,Вводные!$D$11:$F$11,0))*(1+IF(IA$4=$A75,Вводные!$D$5*INDEX(Вводные!$G$13:$G$64,MATCH($A75,Вводные!$A$13:$A$64,0)),0))</f>
        <v>0.3</v>
      </c>
      <c r="IB75" s="32" t="n">
        <f aca="false">INDEX(Вводные!$D$13:$F$64,MATCH($A75,Вводные!$A$13:$A$64,0),MATCH(IB$3,Вводные!$D$11:$F$11,0))*(1+IF(IB$4=$A75,Вводные!$D$5*INDEX(Вводные!$G$13:$G$64,MATCH($A75,Вводные!$A$13:$A$64,0)),0))</f>
        <v>0.3</v>
      </c>
      <c r="IC75" s="32" t="n">
        <f aca="false">INDEX(Вводные!$D$13:$F$64,MATCH($A75,Вводные!$A$13:$A$64,0),MATCH(IC$3,Вводные!$D$11:$F$11,0))*(1+IF(IC$4=$A75,Вводные!$D$5*INDEX(Вводные!$G$13:$G$64,MATCH($A75,Вводные!$A$13:$A$64,0)),0))</f>
        <v>0.3</v>
      </c>
      <c r="ID75" s="32" t="n">
        <f aca="false">INDEX(Вводные!$D$13:$F$64,MATCH($A75,Вводные!$A$13:$A$64,0),MATCH(ID$3,Вводные!$D$11:$F$11,0))*(1+IF(ID$4=$A75,Вводные!$D$5*INDEX(Вводные!$G$13:$G$64,MATCH($A75,Вводные!$A$13:$A$64,0)),0))</f>
        <v>0.3</v>
      </c>
      <c r="IE75" s="32" t="n">
        <f aca="false">INDEX(Вводные!$D$13:$F$64,MATCH($A75,Вводные!$A$13:$A$64,0),MATCH(IE$3,Вводные!$D$11:$F$11,0))*(1+IF(IE$4=$A75,Вводные!$D$5*INDEX(Вводные!$G$13:$G$64,MATCH($A75,Вводные!$A$13:$A$64,0)),0))</f>
        <v>0.3</v>
      </c>
      <c r="IF75" s="32" t="n">
        <f aca="false">INDEX(Вводные!$D$13:$F$64,MATCH($A75,Вводные!$A$13:$A$64,0),MATCH(IF$3,Вводные!$D$11:$F$11,0))*(1+IF(IF$4=$A75,Вводные!$D$5*INDEX(Вводные!$G$13:$G$64,MATCH($A75,Вводные!$A$13:$A$64,0)),0))</f>
        <v>0.3</v>
      </c>
      <c r="IG75" s="32" t="n">
        <f aca="false">INDEX(Вводные!$D$13:$F$64,MATCH($A75,Вводные!$A$13:$A$64,0),MATCH(IG$3,Вводные!$D$11:$F$11,0))*(1+IF(IG$4=$A75,Вводные!$D$5*INDEX(Вводные!$G$13:$G$64,MATCH($A75,Вводные!$A$13:$A$64,0)),0))</f>
        <v>0.3</v>
      </c>
      <c r="IH75" s="32" t="n">
        <f aca="false">INDEX(Вводные!$D$13:$F$64,MATCH($A75,Вводные!$A$13:$A$64,0),MATCH(IH$3,Вводные!$D$11:$F$11,0))*(1+IF(IH$4=$A75,Вводные!$D$5*INDEX(Вводные!$G$13:$G$64,MATCH($A75,Вводные!$A$13:$A$64,0)),0))</f>
        <v>0.3</v>
      </c>
      <c r="II75" s="32" t="n">
        <f aca="false">INDEX(Вводные!$D$13:$F$64,MATCH($A75,Вводные!$A$13:$A$64,0),MATCH(II$3,Вводные!$D$11:$F$11,0))*(1+IF(II$4=$A75,Вводные!$D$5*INDEX(Вводные!$G$13:$G$64,MATCH($A75,Вводные!$A$13:$A$64,0)),0))</f>
        <v>0.3</v>
      </c>
      <c r="IJ75" s="32" t="n">
        <f aca="false">INDEX(Вводные!$D$13:$F$64,MATCH($A75,Вводные!$A$13:$A$64,0),MATCH(IJ$3,Вводные!$D$11:$F$11,0))*(1+IF(IJ$4=$A75,Вводные!$D$5*INDEX(Вводные!$G$13:$G$64,MATCH($A75,Вводные!$A$13:$A$64,0)),0))</f>
        <v>0.3</v>
      </c>
      <c r="IK75" s="32" t="n">
        <f aca="false">INDEX(Вводные!$D$13:$F$64,MATCH($A75,Вводные!$A$13:$A$64,0),MATCH(IK$3,Вводные!$D$11:$F$11,0))*(1+IF(IK$4=$A75,Вводные!$D$5*INDEX(Вводные!$G$13:$G$64,MATCH($A75,Вводные!$A$13:$A$64,0)),0))</f>
        <v>0.3</v>
      </c>
      <c r="IL75" s="32" t="n">
        <f aca="false">INDEX(Вводные!$D$13:$F$64,MATCH($A75,Вводные!$A$13:$A$64,0),MATCH(IL$3,Вводные!$D$11:$F$11,0))*(1+IF(IL$4=$A75,Вводные!$D$5*INDEX(Вводные!$G$13:$G$64,MATCH($A75,Вводные!$A$13:$A$64,0)),0))</f>
        <v>0.3</v>
      </c>
      <c r="IM75" s="32" t="n">
        <f aca="false">INDEX(Вводные!$D$13:$F$64,MATCH($A75,Вводные!$A$13:$A$64,0),MATCH(IM$3,Вводные!$D$11:$F$11,0))*(1+IF(IM$4=$A75,Вводные!$D$5*INDEX(Вводные!$G$13:$G$64,MATCH($A75,Вводные!$A$13:$A$64,0)),0))</f>
        <v>0.3</v>
      </c>
      <c r="IN75" s="32" t="n">
        <f aca="false">INDEX(Вводные!$D$13:$F$64,MATCH($A75,Вводные!$A$13:$A$64,0),MATCH(IN$3,Вводные!$D$11:$F$11,0))*(1+IF(IN$4=$A75,Вводные!$D$5*INDEX(Вводные!$G$13:$G$64,MATCH($A75,Вводные!$A$13:$A$64,0)),0))</f>
        <v>0.3</v>
      </c>
      <c r="IO75" s="32" t="n">
        <f aca="false">INDEX(Вводные!$D$13:$F$64,MATCH($A75,Вводные!$A$13:$A$64,0),MATCH(IO$3,Вводные!$D$11:$F$11,0))*(1+IF(IO$4=$A75,Вводные!$D$5*INDEX(Вводные!$G$13:$G$64,MATCH($A75,Вводные!$A$13:$A$64,0)),0))</f>
        <v>0.3</v>
      </c>
      <c r="IP75" s="32" t="n">
        <f aca="false">INDEX(Вводные!$D$13:$F$64,MATCH($A75,Вводные!$A$13:$A$64,0),MATCH(IP$3,Вводные!$D$11:$F$11,0))*(1+IF(IP$4=$A75,Вводные!$D$5*INDEX(Вводные!$G$13:$G$64,MATCH($A75,Вводные!$A$13:$A$64,0)),0))</f>
        <v>0.3</v>
      </c>
      <c r="IQ75" s="32" t="n">
        <f aca="false">INDEX(Вводные!$D$13:$F$64,MATCH($A75,Вводные!$A$13:$A$64,0),MATCH(IQ$3,Вводные!$D$11:$F$11,0))*(1+IF(IQ$4=$A75,Вводные!$D$5*INDEX(Вводные!$G$13:$G$64,MATCH($A75,Вводные!$A$13:$A$64,0)),0))</f>
        <v>0.3</v>
      </c>
      <c r="IR75" s="32" t="n">
        <f aca="false">INDEX(Вводные!$D$13:$F$64,MATCH($A75,Вводные!$A$13:$A$64,0),MATCH(IR$3,Вводные!$D$11:$F$11,0))*(1+IF(IR$4=$A75,Вводные!$D$5*INDEX(Вводные!$G$13:$G$64,MATCH($A75,Вводные!$A$13:$A$64,0)),0))</f>
        <v>0.3</v>
      </c>
      <c r="IS75" s="32" t="n">
        <f aca="false">INDEX(Вводные!$D$13:$F$64,MATCH($A75,Вводные!$A$13:$A$64,0),MATCH(IS$3,Вводные!$D$11:$F$11,0))*(1+IF(IS$4=$A75,Вводные!$D$5*INDEX(Вводные!$G$13:$G$64,MATCH($A75,Вводные!$A$13:$A$64,0)),0))</f>
        <v>0.3</v>
      </c>
      <c r="IT75" s="32" t="n">
        <f aca="false">INDEX(Вводные!$D$13:$F$64,MATCH($A75,Вводные!$A$13:$A$64,0),MATCH(IT$3,Вводные!$D$11:$F$11,0))*(1+IF(IT$4=$A75,Вводные!$D$5*INDEX(Вводные!$G$13:$G$64,MATCH($A75,Вводные!$A$13:$A$64,0)),0))</f>
        <v>0.3</v>
      </c>
      <c r="IU75" s="32" t="n">
        <f aca="false">INDEX(Вводные!$D$13:$F$64,MATCH($A75,Вводные!$A$13:$A$64,0),MATCH(IU$3,Вводные!$D$11:$F$11,0))*(1+IF(IU$4=$A75,Вводные!$D$5*INDEX(Вводные!$G$13:$G$64,MATCH($A75,Вводные!$A$13:$A$64,0)),0))</f>
        <v>0.3</v>
      </c>
      <c r="IV75" s="32" t="n">
        <f aca="false">INDEX(Вводные!$D$13:$F$64,MATCH($A75,Вводные!$A$13:$A$64,0),MATCH(IV$3,Вводные!$D$11:$F$11,0))*(1+IF(IV$4=$A75,Вводные!$D$5*INDEX(Вводные!$G$13:$G$64,MATCH($A75,Вводные!$A$13:$A$64,0)),0))</f>
        <v>0.297</v>
      </c>
      <c r="IW75" s="32" t="n">
        <f aca="false">INDEX(Вводные!$D$13:$F$64,MATCH($A75,Вводные!$A$13:$A$64,0),MATCH(IW$3,Вводные!$D$11:$F$11,0))*(1+IF(IW$4=$A75,Вводные!$D$5*INDEX(Вводные!$G$13:$G$64,MATCH($A75,Вводные!$A$13:$A$64,0)),0))</f>
        <v>0.3</v>
      </c>
      <c r="IX75" s="32" t="n">
        <f aca="false">INDEX(Вводные!$D$13:$F$64,MATCH($A75,Вводные!$A$13:$A$64,0),MATCH(IX$3,Вводные!$D$11:$F$11,0))*(1+IF(IX$4=$A75,Вводные!$D$5*INDEX(Вводные!$G$13:$G$64,MATCH($A75,Вводные!$A$13:$A$64,0)),0))</f>
        <v>0.3</v>
      </c>
      <c r="IY75" s="32" t="n">
        <f aca="false">INDEX(Вводные!$D$13:$F$64,MATCH($A75,Вводные!$A$13:$A$64,0),MATCH(IY$3,Вводные!$D$11:$F$11,0))*(1+IF(IY$4=$A75,Вводные!$D$5*INDEX(Вводные!$G$13:$G$64,MATCH($A75,Вводные!$A$13:$A$64,0)),0))</f>
        <v>0.3</v>
      </c>
      <c r="IZ75" s="32" t="n">
        <f aca="false">INDEX(Вводные!$D$13:$F$64,MATCH($A75,Вводные!$A$13:$A$64,0),MATCH(IZ$3,Вводные!$D$11:$F$11,0))*(1+IF(IZ$4=$A75,Вводные!$D$5*INDEX(Вводные!$G$13:$G$64,MATCH($A75,Вводные!$A$13:$A$64,0)),0))</f>
        <v>0.3</v>
      </c>
      <c r="JA75" s="32" t="n">
        <f aca="false">INDEX(Вводные!$D$13:$F$64,MATCH($A75,Вводные!$A$13:$A$64,0),MATCH(JA$3,Вводные!$D$11:$F$11,0))*(1+IF(JA$4=$A75,Вводные!$D$5*INDEX(Вводные!$G$13:$G$64,MATCH($A75,Вводные!$A$13:$A$64,0)),0))</f>
        <v>0.3</v>
      </c>
    </row>
    <row r="76" customFormat="false" ht="15" hidden="false" customHeight="false" outlineLevel="0" collapsed="false">
      <c r="A76" s="13" t="s">
        <v>282</v>
      </c>
      <c r="B76" s="13" t="s">
        <v>283</v>
      </c>
      <c r="C76" s="13" t="s">
        <v>179</v>
      </c>
      <c r="D76" s="9" t="s">
        <v>36</v>
      </c>
      <c r="E76" s="14" t="n">
        <f aca="false">INDEX(Вводные!$D$13:$F$64,MATCH($A76,Вводные!$A$13:$A$64,0),MATCH(E$3,Вводные!$D$11:$F$11,0))*(1+IF(E$4=$A76,Вводные!$D$5*INDEX(Вводные!$G$13:$G$64,MATCH($A76,Вводные!$A$13:$A$64,0)),0))</f>
        <v>3</v>
      </c>
      <c r="F76" s="14" t="n">
        <f aca="false">INDEX(Вводные!$D$13:$F$64,MATCH($A76,Вводные!$A$13:$A$64,0),MATCH(F$3,Вводные!$D$11:$F$11,0))*(1+IF(F$4=$A76,Вводные!$D$5*INDEX(Вводные!$G$13:$G$64,MATCH($A76,Вводные!$A$13:$A$64,0)),0))</f>
        <v>10</v>
      </c>
      <c r="G76" s="14" t="n">
        <f aca="false">INDEX(Вводные!$D$13:$F$64,MATCH($A76,Вводные!$A$13:$A$64,0),MATCH(G$3,Вводные!$D$11:$F$11,0))*(1+IF(G$4=$A76,Вводные!$D$5*INDEX(Вводные!$G$13:$G$64,MATCH($A76,Вводные!$A$13:$A$64,0)),0))</f>
        <v>25</v>
      </c>
      <c r="H76" s="59"/>
      <c r="J76" s="14" t="n">
        <f aca="false">INDEX(Вводные!$D$13:$F$64,MATCH($A76,Вводные!$A$13:$A$64,0),MATCH(J$3,Вводные!$D$11:$F$11,0))*(1+IF(J$4=$A76,Вводные!$D$5*INDEX(Вводные!$G$13:$G$64,MATCH($A76,Вводные!$A$13:$A$64,0)),0))</f>
        <v>3</v>
      </c>
      <c r="K76" s="14" t="n">
        <f aca="false">INDEX(Вводные!$D$13:$F$64,MATCH($A76,Вводные!$A$13:$A$64,0),MATCH(K$3,Вводные!$D$11:$F$11,0))*(1+IF(K$4=$A76,Вводные!$D$5*INDEX(Вводные!$G$13:$G$64,MATCH($A76,Вводные!$A$13:$A$64,0)),0))</f>
        <v>3</v>
      </c>
      <c r="L76" s="14" t="n">
        <f aca="false">INDEX(Вводные!$D$13:$F$64,MATCH($A76,Вводные!$A$13:$A$64,0),MATCH(L$3,Вводные!$D$11:$F$11,0))*(1+IF(L$4=$A76,Вводные!$D$5*INDEX(Вводные!$G$13:$G$64,MATCH($A76,Вводные!$A$13:$A$64,0)),0))</f>
        <v>3</v>
      </c>
      <c r="M76" s="14" t="n">
        <f aca="false">INDEX(Вводные!$D$13:$F$64,MATCH($A76,Вводные!$A$13:$A$64,0),MATCH(M$3,Вводные!$D$11:$F$11,0))*(1+IF(M$4=$A76,Вводные!$D$5*INDEX(Вводные!$G$13:$G$64,MATCH($A76,Вводные!$A$13:$A$64,0)),0))</f>
        <v>3</v>
      </c>
      <c r="N76" s="14" t="n">
        <f aca="false">INDEX(Вводные!$D$13:$F$64,MATCH($A76,Вводные!$A$13:$A$64,0),MATCH(N$3,Вводные!$D$11:$F$11,0))*(1+IF(N$4=$A76,Вводные!$D$5*INDEX(Вводные!$G$13:$G$64,MATCH($A76,Вводные!$A$13:$A$64,0)),0))</f>
        <v>3</v>
      </c>
      <c r="O76" s="14" t="n">
        <f aca="false">INDEX(Вводные!$D$13:$F$64,MATCH($A76,Вводные!$A$13:$A$64,0),MATCH(O$3,Вводные!$D$11:$F$11,0))*(1+IF(O$4=$A76,Вводные!$D$5*INDEX(Вводные!$G$13:$G$64,MATCH($A76,Вводные!$A$13:$A$64,0)),0))</f>
        <v>3</v>
      </c>
      <c r="P76" s="14" t="n">
        <f aca="false">INDEX(Вводные!$D$13:$F$64,MATCH($A76,Вводные!$A$13:$A$64,0),MATCH(P$3,Вводные!$D$11:$F$11,0))*(1+IF(P$4=$A76,Вводные!$D$5*INDEX(Вводные!$G$13:$G$64,MATCH($A76,Вводные!$A$13:$A$64,0)),0))</f>
        <v>3</v>
      </c>
      <c r="Q76" s="14" t="n">
        <f aca="false">INDEX(Вводные!$D$13:$F$64,MATCH($A76,Вводные!$A$13:$A$64,0),MATCH(Q$3,Вводные!$D$11:$F$11,0))*(1+IF(Q$4=$A76,Вводные!$D$5*INDEX(Вводные!$G$13:$G$64,MATCH($A76,Вводные!$A$13:$A$64,0)),0))</f>
        <v>3</v>
      </c>
      <c r="R76" s="14" t="n">
        <f aca="false">INDEX(Вводные!$D$13:$F$64,MATCH($A76,Вводные!$A$13:$A$64,0),MATCH(R$3,Вводные!$D$11:$F$11,0))*(1+IF(R$4=$A76,Вводные!$D$5*INDEX(Вводные!$G$13:$G$64,MATCH($A76,Вводные!$A$13:$A$64,0)),0))</f>
        <v>3</v>
      </c>
      <c r="S76" s="14" t="n">
        <f aca="false">INDEX(Вводные!$D$13:$F$64,MATCH($A76,Вводные!$A$13:$A$64,0),MATCH(S$3,Вводные!$D$11:$F$11,0))*(1+IF(S$4=$A76,Вводные!$D$5*INDEX(Вводные!$G$13:$G$64,MATCH($A76,Вводные!$A$13:$A$64,0)),0))</f>
        <v>3</v>
      </c>
      <c r="T76" s="14" t="n">
        <f aca="false">INDEX(Вводные!$D$13:$F$64,MATCH($A76,Вводные!$A$13:$A$64,0),MATCH(T$3,Вводные!$D$11:$F$11,0))*(1+IF(T$4=$A76,Вводные!$D$5*INDEX(Вводные!$G$13:$G$64,MATCH($A76,Вводные!$A$13:$A$64,0)),0))</f>
        <v>3</v>
      </c>
      <c r="U76" s="14" t="n">
        <f aca="false">INDEX(Вводные!$D$13:$F$64,MATCH($A76,Вводные!$A$13:$A$64,0),MATCH(U$3,Вводные!$D$11:$F$11,0))*(1+IF(U$4=$A76,Вводные!$D$5*INDEX(Вводные!$G$13:$G$64,MATCH($A76,Вводные!$A$13:$A$64,0)),0))</f>
        <v>3</v>
      </c>
      <c r="V76" s="14" t="n">
        <f aca="false">INDEX(Вводные!$D$13:$F$64,MATCH($A76,Вводные!$A$13:$A$64,0),MATCH(V$3,Вводные!$D$11:$F$11,0))*(1+IF(V$4=$A76,Вводные!$D$5*INDEX(Вводные!$G$13:$G$64,MATCH($A76,Вводные!$A$13:$A$64,0)),0))</f>
        <v>3</v>
      </c>
      <c r="W76" s="14" t="n">
        <f aca="false">INDEX(Вводные!$D$13:$F$64,MATCH($A76,Вводные!$A$13:$A$64,0),MATCH(W$3,Вводные!$D$11:$F$11,0))*(1+IF(W$4=$A76,Вводные!$D$5*INDEX(Вводные!$G$13:$G$64,MATCH($A76,Вводные!$A$13:$A$64,0)),0))</f>
        <v>3</v>
      </c>
      <c r="X76" s="14" t="n">
        <f aca="false">INDEX(Вводные!$D$13:$F$64,MATCH($A76,Вводные!$A$13:$A$64,0),MATCH(X$3,Вводные!$D$11:$F$11,0))*(1+IF(X$4=$A76,Вводные!$D$5*INDEX(Вводные!$G$13:$G$64,MATCH($A76,Вводные!$A$13:$A$64,0)),0))</f>
        <v>3</v>
      </c>
      <c r="Y76" s="14" t="n">
        <f aca="false">INDEX(Вводные!$D$13:$F$64,MATCH($A76,Вводные!$A$13:$A$64,0),MATCH(Y$3,Вводные!$D$11:$F$11,0))*(1+IF(Y$4=$A76,Вводные!$D$5*INDEX(Вводные!$G$13:$G$64,MATCH($A76,Вводные!$A$13:$A$64,0)),0))</f>
        <v>3</v>
      </c>
      <c r="Z76" s="14" t="n">
        <f aca="false">INDEX(Вводные!$D$13:$F$64,MATCH($A76,Вводные!$A$13:$A$64,0),MATCH(Z$3,Вводные!$D$11:$F$11,0))*(1+IF(Z$4=$A76,Вводные!$D$5*INDEX(Вводные!$G$13:$G$64,MATCH($A76,Вводные!$A$13:$A$64,0)),0))</f>
        <v>3</v>
      </c>
      <c r="AA76" s="14" t="n">
        <f aca="false">INDEX(Вводные!$D$13:$F$64,MATCH($A76,Вводные!$A$13:$A$64,0),MATCH(AA$3,Вводные!$D$11:$F$11,0))*(1+IF(AA$4=$A76,Вводные!$D$5*INDEX(Вводные!$G$13:$G$64,MATCH($A76,Вводные!$A$13:$A$64,0)),0))</f>
        <v>3</v>
      </c>
      <c r="AB76" s="14" t="n">
        <f aca="false">INDEX(Вводные!$D$13:$F$64,MATCH($A76,Вводные!$A$13:$A$64,0),MATCH(AB$3,Вводные!$D$11:$F$11,0))*(1+IF(AB$4=$A76,Вводные!$D$5*INDEX(Вводные!$G$13:$G$64,MATCH($A76,Вводные!$A$13:$A$64,0)),0))</f>
        <v>3</v>
      </c>
      <c r="AC76" s="14" t="n">
        <f aca="false">INDEX(Вводные!$D$13:$F$64,MATCH($A76,Вводные!$A$13:$A$64,0),MATCH(AC$3,Вводные!$D$11:$F$11,0))*(1+IF(AC$4=$A76,Вводные!$D$5*INDEX(Вводные!$G$13:$G$64,MATCH($A76,Вводные!$A$13:$A$64,0)),0))</f>
        <v>3</v>
      </c>
      <c r="AD76" s="14" t="n">
        <f aca="false">INDEX(Вводные!$D$13:$F$64,MATCH($A76,Вводные!$A$13:$A$64,0),MATCH(AD$3,Вводные!$D$11:$F$11,0))*(1+IF(AD$4=$A76,Вводные!$D$5*INDEX(Вводные!$G$13:$G$64,MATCH($A76,Вводные!$A$13:$A$64,0)),0))</f>
        <v>3</v>
      </c>
      <c r="AE76" s="14" t="n">
        <f aca="false">INDEX(Вводные!$D$13:$F$64,MATCH($A76,Вводные!$A$13:$A$64,0),MATCH(AE$3,Вводные!$D$11:$F$11,0))*(1+IF(AE$4=$A76,Вводные!$D$5*INDEX(Вводные!$G$13:$G$64,MATCH($A76,Вводные!$A$13:$A$64,0)),0))</f>
        <v>3</v>
      </c>
      <c r="AF76" s="14" t="n">
        <f aca="false">INDEX(Вводные!$D$13:$F$64,MATCH($A76,Вводные!$A$13:$A$64,0),MATCH(AF$3,Вводные!$D$11:$F$11,0))*(1+IF(AF$4=$A76,Вводные!$D$5*INDEX(Вводные!$G$13:$G$64,MATCH($A76,Вводные!$A$13:$A$64,0)),0))</f>
        <v>3</v>
      </c>
      <c r="AG76" s="14" t="n">
        <f aca="false">INDEX(Вводные!$D$13:$F$64,MATCH($A76,Вводные!$A$13:$A$64,0),MATCH(AG$3,Вводные!$D$11:$F$11,0))*(1+IF(AG$4=$A76,Вводные!$D$5*INDEX(Вводные!$G$13:$G$64,MATCH($A76,Вводные!$A$13:$A$64,0)),0))</f>
        <v>3</v>
      </c>
      <c r="AH76" s="14" t="n">
        <f aca="false">INDEX(Вводные!$D$13:$F$64,MATCH($A76,Вводные!$A$13:$A$64,0),MATCH(AH$3,Вводные!$D$11:$F$11,0))*(1+IF(AH$4=$A76,Вводные!$D$5*INDEX(Вводные!$G$13:$G$64,MATCH($A76,Вводные!$A$13:$A$64,0)),0))</f>
        <v>3</v>
      </c>
      <c r="AI76" s="14" t="n">
        <f aca="false">INDEX(Вводные!$D$13:$F$64,MATCH($A76,Вводные!$A$13:$A$64,0),MATCH(AI$3,Вводные!$D$11:$F$11,0))*(1+IF(AI$4=$A76,Вводные!$D$5*INDEX(Вводные!$G$13:$G$64,MATCH($A76,Вводные!$A$13:$A$64,0)),0))</f>
        <v>3</v>
      </c>
      <c r="AJ76" s="14" t="n">
        <f aca="false">INDEX(Вводные!$D$13:$F$64,MATCH($A76,Вводные!$A$13:$A$64,0),MATCH(AJ$3,Вводные!$D$11:$F$11,0))*(1+IF(AJ$4=$A76,Вводные!$D$5*INDEX(Вводные!$G$13:$G$64,MATCH($A76,Вводные!$A$13:$A$64,0)),0))</f>
        <v>3</v>
      </c>
      <c r="AK76" s="14" t="n">
        <f aca="false">INDEX(Вводные!$D$13:$F$64,MATCH($A76,Вводные!$A$13:$A$64,0),MATCH(AK$3,Вводные!$D$11:$F$11,0))*(1+IF(AK$4=$A76,Вводные!$D$5*INDEX(Вводные!$G$13:$G$64,MATCH($A76,Вводные!$A$13:$A$64,0)),0))</f>
        <v>3</v>
      </c>
      <c r="AL76" s="14" t="n">
        <f aca="false">INDEX(Вводные!$D$13:$F$64,MATCH($A76,Вводные!$A$13:$A$64,0),MATCH(AL$3,Вводные!$D$11:$F$11,0))*(1+IF(AL$4=$A76,Вводные!$D$5*INDEX(Вводные!$G$13:$G$64,MATCH($A76,Вводные!$A$13:$A$64,0)),0))</f>
        <v>3</v>
      </c>
      <c r="AM76" s="14" t="n">
        <f aca="false">INDEX(Вводные!$D$13:$F$64,MATCH($A76,Вводные!$A$13:$A$64,0),MATCH(AM$3,Вводные!$D$11:$F$11,0))*(1+IF(AM$4=$A76,Вводные!$D$5*INDEX(Вводные!$G$13:$G$64,MATCH($A76,Вводные!$A$13:$A$64,0)),0))</f>
        <v>3</v>
      </c>
      <c r="AN76" s="14" t="n">
        <f aca="false">INDEX(Вводные!$D$13:$F$64,MATCH($A76,Вводные!$A$13:$A$64,0),MATCH(AN$3,Вводные!$D$11:$F$11,0))*(1+IF(AN$4=$A76,Вводные!$D$5*INDEX(Вводные!$G$13:$G$64,MATCH($A76,Вводные!$A$13:$A$64,0)),0))</f>
        <v>3</v>
      </c>
      <c r="AO76" s="14" t="n">
        <f aca="false">INDEX(Вводные!$D$13:$F$64,MATCH($A76,Вводные!$A$13:$A$64,0),MATCH(AO$3,Вводные!$D$11:$F$11,0))*(1+IF(AO$4=$A76,Вводные!$D$5*INDEX(Вводные!$G$13:$G$64,MATCH($A76,Вводные!$A$13:$A$64,0)),0))</f>
        <v>3</v>
      </c>
      <c r="AP76" s="14" t="n">
        <f aca="false">INDEX(Вводные!$D$13:$F$64,MATCH($A76,Вводные!$A$13:$A$64,0),MATCH(AP$3,Вводные!$D$11:$F$11,0))*(1+IF(AP$4=$A76,Вводные!$D$5*INDEX(Вводные!$G$13:$G$64,MATCH($A76,Вводные!$A$13:$A$64,0)),0))</f>
        <v>3</v>
      </c>
      <c r="AQ76" s="14" t="n">
        <f aca="false">INDEX(Вводные!$D$13:$F$64,MATCH($A76,Вводные!$A$13:$A$64,0),MATCH(AQ$3,Вводные!$D$11:$F$11,0))*(1+IF(AQ$4=$A76,Вводные!$D$5*INDEX(Вводные!$G$13:$G$64,MATCH($A76,Вводные!$A$13:$A$64,0)),0))</f>
        <v>3</v>
      </c>
      <c r="AR76" s="14" t="n">
        <f aca="false">INDEX(Вводные!$D$13:$F$64,MATCH($A76,Вводные!$A$13:$A$64,0),MATCH(AR$3,Вводные!$D$11:$F$11,0))*(1+IF(AR$4=$A76,Вводные!$D$5*INDEX(Вводные!$G$13:$G$64,MATCH($A76,Вводные!$A$13:$A$64,0)),0))</f>
        <v>3</v>
      </c>
      <c r="AS76" s="14" t="n">
        <f aca="false">INDEX(Вводные!$D$13:$F$64,MATCH($A76,Вводные!$A$13:$A$64,0),MATCH(AS$3,Вводные!$D$11:$F$11,0))*(1+IF(AS$4=$A76,Вводные!$D$5*INDEX(Вводные!$G$13:$G$64,MATCH($A76,Вводные!$A$13:$A$64,0)),0))</f>
        <v>3</v>
      </c>
      <c r="AT76" s="14" t="n">
        <f aca="false">INDEX(Вводные!$D$13:$F$64,MATCH($A76,Вводные!$A$13:$A$64,0),MATCH(AT$3,Вводные!$D$11:$F$11,0))*(1+IF(AT$4=$A76,Вводные!$D$5*INDEX(Вводные!$G$13:$G$64,MATCH($A76,Вводные!$A$13:$A$64,0)),0))</f>
        <v>3</v>
      </c>
      <c r="AU76" s="14" t="n">
        <f aca="false">INDEX(Вводные!$D$13:$F$64,MATCH($A76,Вводные!$A$13:$A$64,0),MATCH(AU$3,Вводные!$D$11:$F$11,0))*(1+IF(AU$4=$A76,Вводные!$D$5*INDEX(Вводные!$G$13:$G$64,MATCH($A76,Вводные!$A$13:$A$64,0)),0))</f>
        <v>2.97</v>
      </c>
      <c r="AV76" s="14" t="n">
        <f aca="false">INDEX(Вводные!$D$13:$F$64,MATCH($A76,Вводные!$A$13:$A$64,0),MATCH(AV$3,Вводные!$D$11:$F$11,0))*(1+IF(AV$4=$A76,Вводные!$D$5*INDEX(Вводные!$G$13:$G$64,MATCH($A76,Вводные!$A$13:$A$64,0)),0))</f>
        <v>3</v>
      </c>
      <c r="AW76" s="14" t="n">
        <f aca="false">INDEX(Вводные!$D$13:$F$64,MATCH($A76,Вводные!$A$13:$A$64,0),MATCH(AW$3,Вводные!$D$11:$F$11,0))*(1+IF(AW$4=$A76,Вводные!$D$5*INDEX(Вводные!$G$13:$G$64,MATCH($A76,Вводные!$A$13:$A$64,0)),0))</f>
        <v>3</v>
      </c>
      <c r="AX76" s="14" t="n">
        <f aca="false">INDEX(Вводные!$D$13:$F$64,MATCH($A76,Вводные!$A$13:$A$64,0),MATCH(AX$3,Вводные!$D$11:$F$11,0))*(1+IF(AX$4=$A76,Вводные!$D$5*INDEX(Вводные!$G$13:$G$64,MATCH($A76,Вводные!$A$13:$A$64,0)),0))</f>
        <v>3</v>
      </c>
      <c r="AY76" s="14" t="n">
        <f aca="false">INDEX(Вводные!$D$13:$F$64,MATCH($A76,Вводные!$A$13:$A$64,0),MATCH(AY$3,Вводные!$D$11:$F$11,0))*(1+IF(AY$4=$A76,Вводные!$D$5*INDEX(Вводные!$G$13:$G$64,MATCH($A76,Вводные!$A$13:$A$64,0)),0))</f>
        <v>3</v>
      </c>
      <c r="AZ76" s="14" t="n">
        <f aca="false">INDEX(Вводные!$D$13:$F$64,MATCH($A76,Вводные!$A$13:$A$64,0),MATCH(AZ$3,Вводные!$D$11:$F$11,0))*(1+IF(AZ$4=$A76,Вводные!$D$5*INDEX(Вводные!$G$13:$G$64,MATCH($A76,Вводные!$A$13:$A$64,0)),0))</f>
        <v>10</v>
      </c>
      <c r="BA76" s="14" t="n">
        <f aca="false">INDEX(Вводные!$D$13:$F$64,MATCH($A76,Вводные!$A$13:$A$64,0),MATCH(BA$3,Вводные!$D$11:$F$11,0))*(1+IF(BA$4=$A76,Вводные!$D$5*INDEX(Вводные!$G$13:$G$64,MATCH($A76,Вводные!$A$13:$A$64,0)),0))</f>
        <v>10</v>
      </c>
      <c r="BB76" s="14" t="n">
        <f aca="false">INDEX(Вводные!$D$13:$F$64,MATCH($A76,Вводные!$A$13:$A$64,0),MATCH(BB$3,Вводные!$D$11:$F$11,0))*(1+IF(BB$4=$A76,Вводные!$D$5*INDEX(Вводные!$G$13:$G$64,MATCH($A76,Вводные!$A$13:$A$64,0)),0))</f>
        <v>10</v>
      </c>
      <c r="BC76" s="14" t="n">
        <f aca="false">INDEX(Вводные!$D$13:$F$64,MATCH($A76,Вводные!$A$13:$A$64,0),MATCH(BC$3,Вводные!$D$11:$F$11,0))*(1+IF(BC$4=$A76,Вводные!$D$5*INDEX(Вводные!$G$13:$G$64,MATCH($A76,Вводные!$A$13:$A$64,0)),0))</f>
        <v>10</v>
      </c>
      <c r="BD76" s="14" t="n">
        <f aca="false">INDEX(Вводные!$D$13:$F$64,MATCH($A76,Вводные!$A$13:$A$64,0),MATCH(BD$3,Вводные!$D$11:$F$11,0))*(1+IF(BD$4=$A76,Вводные!$D$5*INDEX(Вводные!$G$13:$G$64,MATCH($A76,Вводные!$A$13:$A$64,0)),0))</f>
        <v>10</v>
      </c>
      <c r="BE76" s="14" t="n">
        <f aca="false">INDEX(Вводные!$D$13:$F$64,MATCH($A76,Вводные!$A$13:$A$64,0),MATCH(BE$3,Вводные!$D$11:$F$11,0))*(1+IF(BE$4=$A76,Вводные!$D$5*INDEX(Вводные!$G$13:$G$64,MATCH($A76,Вводные!$A$13:$A$64,0)),0))</f>
        <v>10</v>
      </c>
      <c r="BF76" s="14" t="n">
        <f aca="false">INDEX(Вводные!$D$13:$F$64,MATCH($A76,Вводные!$A$13:$A$64,0),MATCH(BF$3,Вводные!$D$11:$F$11,0))*(1+IF(BF$4=$A76,Вводные!$D$5*INDEX(Вводные!$G$13:$G$64,MATCH($A76,Вводные!$A$13:$A$64,0)),0))</f>
        <v>10</v>
      </c>
      <c r="BG76" s="14" t="n">
        <f aca="false">INDEX(Вводные!$D$13:$F$64,MATCH($A76,Вводные!$A$13:$A$64,0),MATCH(BG$3,Вводные!$D$11:$F$11,0))*(1+IF(BG$4=$A76,Вводные!$D$5*INDEX(Вводные!$G$13:$G$64,MATCH($A76,Вводные!$A$13:$A$64,0)),0))</f>
        <v>10</v>
      </c>
      <c r="BH76" s="14" t="n">
        <f aca="false">INDEX(Вводные!$D$13:$F$64,MATCH($A76,Вводные!$A$13:$A$64,0),MATCH(BH$3,Вводные!$D$11:$F$11,0))*(1+IF(BH$4=$A76,Вводные!$D$5*INDEX(Вводные!$G$13:$G$64,MATCH($A76,Вводные!$A$13:$A$64,0)),0))</f>
        <v>10</v>
      </c>
      <c r="BI76" s="14" t="n">
        <f aca="false">INDEX(Вводные!$D$13:$F$64,MATCH($A76,Вводные!$A$13:$A$64,0),MATCH(BI$3,Вводные!$D$11:$F$11,0))*(1+IF(BI$4=$A76,Вводные!$D$5*INDEX(Вводные!$G$13:$G$64,MATCH($A76,Вводные!$A$13:$A$64,0)),0))</f>
        <v>10</v>
      </c>
      <c r="BJ76" s="14" t="n">
        <f aca="false">INDEX(Вводные!$D$13:$F$64,MATCH($A76,Вводные!$A$13:$A$64,0),MATCH(BJ$3,Вводные!$D$11:$F$11,0))*(1+IF(BJ$4=$A76,Вводные!$D$5*INDEX(Вводные!$G$13:$G$64,MATCH($A76,Вводные!$A$13:$A$64,0)),0))</f>
        <v>10</v>
      </c>
      <c r="BK76" s="14" t="n">
        <f aca="false">INDEX(Вводные!$D$13:$F$64,MATCH($A76,Вводные!$A$13:$A$64,0),MATCH(BK$3,Вводные!$D$11:$F$11,0))*(1+IF(BK$4=$A76,Вводные!$D$5*INDEX(Вводные!$G$13:$G$64,MATCH($A76,Вводные!$A$13:$A$64,0)),0))</f>
        <v>10</v>
      </c>
      <c r="BL76" s="14" t="n">
        <f aca="false">INDEX(Вводные!$D$13:$F$64,MATCH($A76,Вводные!$A$13:$A$64,0),MATCH(BL$3,Вводные!$D$11:$F$11,0))*(1+IF(BL$4=$A76,Вводные!$D$5*INDEX(Вводные!$G$13:$G$64,MATCH($A76,Вводные!$A$13:$A$64,0)),0))</f>
        <v>10</v>
      </c>
      <c r="BM76" s="14" t="n">
        <f aca="false">INDEX(Вводные!$D$13:$F$64,MATCH($A76,Вводные!$A$13:$A$64,0),MATCH(BM$3,Вводные!$D$11:$F$11,0))*(1+IF(BM$4=$A76,Вводные!$D$5*INDEX(Вводные!$G$13:$G$64,MATCH($A76,Вводные!$A$13:$A$64,0)),0))</f>
        <v>10</v>
      </c>
      <c r="BN76" s="14" t="n">
        <f aca="false">INDEX(Вводные!$D$13:$F$64,MATCH($A76,Вводные!$A$13:$A$64,0),MATCH(BN$3,Вводные!$D$11:$F$11,0))*(1+IF(BN$4=$A76,Вводные!$D$5*INDEX(Вводные!$G$13:$G$64,MATCH($A76,Вводные!$A$13:$A$64,0)),0))</f>
        <v>10</v>
      </c>
      <c r="BO76" s="14" t="n">
        <f aca="false">INDEX(Вводные!$D$13:$F$64,MATCH($A76,Вводные!$A$13:$A$64,0),MATCH(BO$3,Вводные!$D$11:$F$11,0))*(1+IF(BO$4=$A76,Вводные!$D$5*INDEX(Вводные!$G$13:$G$64,MATCH($A76,Вводные!$A$13:$A$64,0)),0))</f>
        <v>10</v>
      </c>
      <c r="BP76" s="14" t="n">
        <f aca="false">INDEX(Вводные!$D$13:$F$64,MATCH($A76,Вводные!$A$13:$A$64,0),MATCH(BP$3,Вводные!$D$11:$F$11,0))*(1+IF(BP$4=$A76,Вводные!$D$5*INDEX(Вводные!$G$13:$G$64,MATCH($A76,Вводные!$A$13:$A$64,0)),0))</f>
        <v>10</v>
      </c>
      <c r="BQ76" s="14" t="n">
        <f aca="false">INDEX(Вводные!$D$13:$F$64,MATCH($A76,Вводные!$A$13:$A$64,0),MATCH(BQ$3,Вводные!$D$11:$F$11,0))*(1+IF(BQ$4=$A76,Вводные!$D$5*INDEX(Вводные!$G$13:$G$64,MATCH($A76,Вводные!$A$13:$A$64,0)),0))</f>
        <v>10</v>
      </c>
      <c r="BR76" s="14" t="n">
        <f aca="false">INDEX(Вводные!$D$13:$F$64,MATCH($A76,Вводные!$A$13:$A$64,0),MATCH(BR$3,Вводные!$D$11:$F$11,0))*(1+IF(BR$4=$A76,Вводные!$D$5*INDEX(Вводные!$G$13:$G$64,MATCH($A76,Вводные!$A$13:$A$64,0)),0))</f>
        <v>10</v>
      </c>
      <c r="BS76" s="14" t="n">
        <f aca="false">INDEX(Вводные!$D$13:$F$64,MATCH($A76,Вводные!$A$13:$A$64,0),MATCH(BS$3,Вводные!$D$11:$F$11,0))*(1+IF(BS$4=$A76,Вводные!$D$5*INDEX(Вводные!$G$13:$G$64,MATCH($A76,Вводные!$A$13:$A$64,0)),0))</f>
        <v>10</v>
      </c>
      <c r="BT76" s="14" t="n">
        <f aca="false">INDEX(Вводные!$D$13:$F$64,MATCH($A76,Вводные!$A$13:$A$64,0),MATCH(BT$3,Вводные!$D$11:$F$11,0))*(1+IF(BT$4=$A76,Вводные!$D$5*INDEX(Вводные!$G$13:$G$64,MATCH($A76,Вводные!$A$13:$A$64,0)),0))</f>
        <v>10</v>
      </c>
      <c r="BU76" s="14" t="n">
        <f aca="false">INDEX(Вводные!$D$13:$F$64,MATCH($A76,Вводные!$A$13:$A$64,0),MATCH(BU$3,Вводные!$D$11:$F$11,0))*(1+IF(BU$4=$A76,Вводные!$D$5*INDEX(Вводные!$G$13:$G$64,MATCH($A76,Вводные!$A$13:$A$64,0)),0))</f>
        <v>10</v>
      </c>
      <c r="BV76" s="14" t="n">
        <f aca="false">INDEX(Вводные!$D$13:$F$64,MATCH($A76,Вводные!$A$13:$A$64,0),MATCH(BV$3,Вводные!$D$11:$F$11,0))*(1+IF(BV$4=$A76,Вводные!$D$5*INDEX(Вводные!$G$13:$G$64,MATCH($A76,Вводные!$A$13:$A$64,0)),0))</f>
        <v>10</v>
      </c>
      <c r="BW76" s="14" t="n">
        <f aca="false">INDEX(Вводные!$D$13:$F$64,MATCH($A76,Вводные!$A$13:$A$64,0),MATCH(BW$3,Вводные!$D$11:$F$11,0))*(1+IF(BW$4=$A76,Вводные!$D$5*INDEX(Вводные!$G$13:$G$64,MATCH($A76,Вводные!$A$13:$A$64,0)),0))</f>
        <v>10</v>
      </c>
      <c r="BX76" s="14" t="n">
        <f aca="false">INDEX(Вводные!$D$13:$F$64,MATCH($A76,Вводные!$A$13:$A$64,0),MATCH(BX$3,Вводные!$D$11:$F$11,0))*(1+IF(BX$4=$A76,Вводные!$D$5*INDEX(Вводные!$G$13:$G$64,MATCH($A76,Вводные!$A$13:$A$64,0)),0))</f>
        <v>10</v>
      </c>
      <c r="BY76" s="14" t="n">
        <f aca="false">INDEX(Вводные!$D$13:$F$64,MATCH($A76,Вводные!$A$13:$A$64,0),MATCH(BY$3,Вводные!$D$11:$F$11,0))*(1+IF(BY$4=$A76,Вводные!$D$5*INDEX(Вводные!$G$13:$G$64,MATCH($A76,Вводные!$A$13:$A$64,0)),0))</f>
        <v>10</v>
      </c>
      <c r="BZ76" s="14" t="n">
        <f aca="false">INDEX(Вводные!$D$13:$F$64,MATCH($A76,Вводные!$A$13:$A$64,0),MATCH(BZ$3,Вводные!$D$11:$F$11,0))*(1+IF(BZ$4=$A76,Вводные!$D$5*INDEX(Вводные!$G$13:$G$64,MATCH($A76,Вводные!$A$13:$A$64,0)),0))</f>
        <v>10</v>
      </c>
      <c r="CA76" s="14" t="n">
        <f aca="false">INDEX(Вводные!$D$13:$F$64,MATCH($A76,Вводные!$A$13:$A$64,0),MATCH(CA$3,Вводные!$D$11:$F$11,0))*(1+IF(CA$4=$A76,Вводные!$D$5*INDEX(Вводные!$G$13:$G$64,MATCH($A76,Вводные!$A$13:$A$64,0)),0))</f>
        <v>10</v>
      </c>
      <c r="CB76" s="14" t="n">
        <f aca="false">INDEX(Вводные!$D$13:$F$64,MATCH($A76,Вводные!$A$13:$A$64,0),MATCH(CB$3,Вводные!$D$11:$F$11,0))*(1+IF(CB$4=$A76,Вводные!$D$5*INDEX(Вводные!$G$13:$G$64,MATCH($A76,Вводные!$A$13:$A$64,0)),0))</f>
        <v>10</v>
      </c>
      <c r="CC76" s="14" t="n">
        <f aca="false">INDEX(Вводные!$D$13:$F$64,MATCH($A76,Вводные!$A$13:$A$64,0),MATCH(CC$3,Вводные!$D$11:$F$11,0))*(1+IF(CC$4=$A76,Вводные!$D$5*INDEX(Вводные!$G$13:$G$64,MATCH($A76,Вводные!$A$13:$A$64,0)),0))</f>
        <v>10</v>
      </c>
      <c r="CD76" s="14" t="n">
        <f aca="false">INDEX(Вводные!$D$13:$F$64,MATCH($A76,Вводные!$A$13:$A$64,0),MATCH(CD$3,Вводные!$D$11:$F$11,0))*(1+IF(CD$4=$A76,Вводные!$D$5*INDEX(Вводные!$G$13:$G$64,MATCH($A76,Вводные!$A$13:$A$64,0)),0))</f>
        <v>10</v>
      </c>
      <c r="CE76" s="14" t="n">
        <f aca="false">INDEX(Вводные!$D$13:$F$64,MATCH($A76,Вводные!$A$13:$A$64,0),MATCH(CE$3,Вводные!$D$11:$F$11,0))*(1+IF(CE$4=$A76,Вводные!$D$5*INDEX(Вводные!$G$13:$G$64,MATCH($A76,Вводные!$A$13:$A$64,0)),0))</f>
        <v>10</v>
      </c>
      <c r="CF76" s="14" t="n">
        <f aca="false">INDEX(Вводные!$D$13:$F$64,MATCH($A76,Вводные!$A$13:$A$64,0),MATCH(CF$3,Вводные!$D$11:$F$11,0))*(1+IF(CF$4=$A76,Вводные!$D$5*INDEX(Вводные!$G$13:$G$64,MATCH($A76,Вводные!$A$13:$A$64,0)),0))</f>
        <v>10</v>
      </c>
      <c r="CG76" s="14" t="n">
        <f aca="false">INDEX(Вводные!$D$13:$F$64,MATCH($A76,Вводные!$A$13:$A$64,0),MATCH(CG$3,Вводные!$D$11:$F$11,0))*(1+IF(CG$4=$A76,Вводные!$D$5*INDEX(Вводные!$G$13:$G$64,MATCH($A76,Вводные!$A$13:$A$64,0)),0))</f>
        <v>10</v>
      </c>
      <c r="CH76" s="14" t="n">
        <f aca="false">INDEX(Вводные!$D$13:$F$64,MATCH($A76,Вводные!$A$13:$A$64,0),MATCH(CH$3,Вводные!$D$11:$F$11,0))*(1+IF(CH$4=$A76,Вводные!$D$5*INDEX(Вводные!$G$13:$G$64,MATCH($A76,Вводные!$A$13:$A$64,0)),0))</f>
        <v>10</v>
      </c>
      <c r="CI76" s="14" t="n">
        <f aca="false">INDEX(Вводные!$D$13:$F$64,MATCH($A76,Вводные!$A$13:$A$64,0),MATCH(CI$3,Вводные!$D$11:$F$11,0))*(1+IF(CI$4=$A76,Вводные!$D$5*INDEX(Вводные!$G$13:$G$64,MATCH($A76,Вводные!$A$13:$A$64,0)),0))</f>
        <v>10</v>
      </c>
      <c r="CJ76" s="14" t="n">
        <f aca="false">INDEX(Вводные!$D$13:$F$64,MATCH($A76,Вводные!$A$13:$A$64,0),MATCH(CJ$3,Вводные!$D$11:$F$11,0))*(1+IF(CJ$4=$A76,Вводные!$D$5*INDEX(Вводные!$G$13:$G$64,MATCH($A76,Вводные!$A$13:$A$64,0)),0))</f>
        <v>10</v>
      </c>
      <c r="CK76" s="14" t="n">
        <f aca="false">INDEX(Вводные!$D$13:$F$64,MATCH($A76,Вводные!$A$13:$A$64,0),MATCH(CK$3,Вводные!$D$11:$F$11,0))*(1+IF(CK$4=$A76,Вводные!$D$5*INDEX(Вводные!$G$13:$G$64,MATCH($A76,Вводные!$A$13:$A$64,0)),0))</f>
        <v>9.9</v>
      </c>
      <c r="CL76" s="14" t="n">
        <f aca="false">INDEX(Вводные!$D$13:$F$64,MATCH($A76,Вводные!$A$13:$A$64,0),MATCH(CL$3,Вводные!$D$11:$F$11,0))*(1+IF(CL$4=$A76,Вводные!$D$5*INDEX(Вводные!$G$13:$G$64,MATCH($A76,Вводные!$A$13:$A$64,0)),0))</f>
        <v>10</v>
      </c>
      <c r="CM76" s="14" t="n">
        <f aca="false">INDEX(Вводные!$D$13:$F$64,MATCH($A76,Вводные!$A$13:$A$64,0),MATCH(CM$3,Вводные!$D$11:$F$11,0))*(1+IF(CM$4=$A76,Вводные!$D$5*INDEX(Вводные!$G$13:$G$64,MATCH($A76,Вводные!$A$13:$A$64,0)),0))</f>
        <v>10</v>
      </c>
      <c r="CN76" s="14" t="n">
        <f aca="false">INDEX(Вводные!$D$13:$F$64,MATCH($A76,Вводные!$A$13:$A$64,0),MATCH(CN$3,Вводные!$D$11:$F$11,0))*(1+IF(CN$4=$A76,Вводные!$D$5*INDEX(Вводные!$G$13:$G$64,MATCH($A76,Вводные!$A$13:$A$64,0)),0))</f>
        <v>10</v>
      </c>
      <c r="CO76" s="14" t="n">
        <f aca="false">INDEX(Вводные!$D$13:$F$64,MATCH($A76,Вводные!$A$13:$A$64,0),MATCH(CO$3,Вводные!$D$11:$F$11,0))*(1+IF(CO$4=$A76,Вводные!$D$5*INDEX(Вводные!$G$13:$G$64,MATCH($A76,Вводные!$A$13:$A$64,0)),0))</f>
        <v>10</v>
      </c>
      <c r="CP76" s="14" t="n">
        <f aca="false">INDEX(Вводные!$D$13:$F$64,MATCH($A76,Вводные!$A$13:$A$64,0),MATCH(CP$3,Вводные!$D$11:$F$11,0))*(1+IF(CP$4=$A76,Вводные!$D$5*INDEX(Вводные!$G$13:$G$64,MATCH($A76,Вводные!$A$13:$A$64,0)),0))</f>
        <v>25</v>
      </c>
      <c r="CQ76" s="14" t="n">
        <f aca="false">INDEX(Вводные!$D$13:$F$64,MATCH($A76,Вводные!$A$13:$A$64,0),MATCH(CQ$3,Вводные!$D$11:$F$11,0))*(1+IF(CQ$4=$A76,Вводные!$D$5*INDEX(Вводные!$G$13:$G$64,MATCH($A76,Вводные!$A$13:$A$64,0)),0))</f>
        <v>25</v>
      </c>
      <c r="CR76" s="14" t="n">
        <f aca="false">INDEX(Вводные!$D$13:$F$64,MATCH($A76,Вводные!$A$13:$A$64,0),MATCH(CR$3,Вводные!$D$11:$F$11,0))*(1+IF(CR$4=$A76,Вводные!$D$5*INDEX(Вводные!$G$13:$G$64,MATCH($A76,Вводные!$A$13:$A$64,0)),0))</f>
        <v>25</v>
      </c>
      <c r="CS76" s="14" t="n">
        <f aca="false">INDEX(Вводные!$D$13:$F$64,MATCH($A76,Вводные!$A$13:$A$64,0),MATCH(CS$3,Вводные!$D$11:$F$11,0))*(1+IF(CS$4=$A76,Вводные!$D$5*INDEX(Вводные!$G$13:$G$64,MATCH($A76,Вводные!$A$13:$A$64,0)),0))</f>
        <v>25</v>
      </c>
      <c r="CT76" s="14" t="n">
        <f aca="false">INDEX(Вводные!$D$13:$F$64,MATCH($A76,Вводные!$A$13:$A$64,0),MATCH(CT$3,Вводные!$D$11:$F$11,0))*(1+IF(CT$4=$A76,Вводные!$D$5*INDEX(Вводные!$G$13:$G$64,MATCH($A76,Вводные!$A$13:$A$64,0)),0))</f>
        <v>25</v>
      </c>
      <c r="CU76" s="14" t="n">
        <f aca="false">INDEX(Вводные!$D$13:$F$64,MATCH($A76,Вводные!$A$13:$A$64,0),MATCH(CU$3,Вводные!$D$11:$F$11,0))*(1+IF(CU$4=$A76,Вводные!$D$5*INDEX(Вводные!$G$13:$G$64,MATCH($A76,Вводные!$A$13:$A$64,0)),0))</f>
        <v>25</v>
      </c>
      <c r="CV76" s="14" t="n">
        <f aca="false">INDEX(Вводные!$D$13:$F$64,MATCH($A76,Вводные!$A$13:$A$64,0),MATCH(CV$3,Вводные!$D$11:$F$11,0))*(1+IF(CV$4=$A76,Вводные!$D$5*INDEX(Вводные!$G$13:$G$64,MATCH($A76,Вводные!$A$13:$A$64,0)),0))</f>
        <v>25</v>
      </c>
      <c r="CW76" s="14" t="n">
        <f aca="false">INDEX(Вводные!$D$13:$F$64,MATCH($A76,Вводные!$A$13:$A$64,0),MATCH(CW$3,Вводные!$D$11:$F$11,0))*(1+IF(CW$4=$A76,Вводные!$D$5*INDEX(Вводные!$G$13:$G$64,MATCH($A76,Вводные!$A$13:$A$64,0)),0))</f>
        <v>25</v>
      </c>
      <c r="CX76" s="14" t="n">
        <f aca="false">INDEX(Вводные!$D$13:$F$64,MATCH($A76,Вводные!$A$13:$A$64,0),MATCH(CX$3,Вводные!$D$11:$F$11,0))*(1+IF(CX$4=$A76,Вводные!$D$5*INDEX(Вводные!$G$13:$G$64,MATCH($A76,Вводные!$A$13:$A$64,0)),0))</f>
        <v>25</v>
      </c>
      <c r="CY76" s="14" t="n">
        <f aca="false">INDEX(Вводные!$D$13:$F$64,MATCH($A76,Вводные!$A$13:$A$64,0),MATCH(CY$3,Вводные!$D$11:$F$11,0))*(1+IF(CY$4=$A76,Вводные!$D$5*INDEX(Вводные!$G$13:$G$64,MATCH($A76,Вводные!$A$13:$A$64,0)),0))</f>
        <v>25</v>
      </c>
      <c r="CZ76" s="14" t="n">
        <f aca="false">INDEX(Вводные!$D$13:$F$64,MATCH($A76,Вводные!$A$13:$A$64,0),MATCH(CZ$3,Вводные!$D$11:$F$11,0))*(1+IF(CZ$4=$A76,Вводные!$D$5*INDEX(Вводные!$G$13:$G$64,MATCH($A76,Вводные!$A$13:$A$64,0)),0))</f>
        <v>25</v>
      </c>
      <c r="DA76" s="14" t="n">
        <f aca="false">INDEX(Вводные!$D$13:$F$64,MATCH($A76,Вводные!$A$13:$A$64,0),MATCH(DA$3,Вводные!$D$11:$F$11,0))*(1+IF(DA$4=$A76,Вводные!$D$5*INDEX(Вводные!$G$13:$G$64,MATCH($A76,Вводные!$A$13:$A$64,0)),0))</f>
        <v>25</v>
      </c>
      <c r="DB76" s="14" t="n">
        <f aca="false">INDEX(Вводные!$D$13:$F$64,MATCH($A76,Вводные!$A$13:$A$64,0),MATCH(DB$3,Вводные!$D$11:$F$11,0))*(1+IF(DB$4=$A76,Вводные!$D$5*INDEX(Вводные!$G$13:$G$64,MATCH($A76,Вводные!$A$13:$A$64,0)),0))</f>
        <v>25</v>
      </c>
      <c r="DC76" s="14" t="n">
        <f aca="false">INDEX(Вводные!$D$13:$F$64,MATCH($A76,Вводные!$A$13:$A$64,0),MATCH(DC$3,Вводные!$D$11:$F$11,0))*(1+IF(DC$4=$A76,Вводные!$D$5*INDEX(Вводные!$G$13:$G$64,MATCH($A76,Вводные!$A$13:$A$64,0)),0))</f>
        <v>25</v>
      </c>
      <c r="DD76" s="14" t="n">
        <f aca="false">INDEX(Вводные!$D$13:$F$64,MATCH($A76,Вводные!$A$13:$A$64,0),MATCH(DD$3,Вводные!$D$11:$F$11,0))*(1+IF(DD$4=$A76,Вводные!$D$5*INDEX(Вводные!$G$13:$G$64,MATCH($A76,Вводные!$A$13:$A$64,0)),0))</f>
        <v>25</v>
      </c>
      <c r="DE76" s="14" t="n">
        <f aca="false">INDEX(Вводные!$D$13:$F$64,MATCH($A76,Вводные!$A$13:$A$64,0),MATCH(DE$3,Вводные!$D$11:$F$11,0))*(1+IF(DE$4=$A76,Вводные!$D$5*INDEX(Вводные!$G$13:$G$64,MATCH($A76,Вводные!$A$13:$A$64,0)),0))</f>
        <v>25</v>
      </c>
      <c r="DF76" s="14" t="n">
        <f aca="false">INDEX(Вводные!$D$13:$F$64,MATCH($A76,Вводные!$A$13:$A$64,0),MATCH(DF$3,Вводные!$D$11:$F$11,0))*(1+IF(DF$4=$A76,Вводные!$D$5*INDEX(Вводные!$G$13:$G$64,MATCH($A76,Вводные!$A$13:$A$64,0)),0))</f>
        <v>25</v>
      </c>
      <c r="DG76" s="14" t="n">
        <f aca="false">INDEX(Вводные!$D$13:$F$64,MATCH($A76,Вводные!$A$13:$A$64,0),MATCH(DG$3,Вводные!$D$11:$F$11,0))*(1+IF(DG$4=$A76,Вводные!$D$5*INDEX(Вводные!$G$13:$G$64,MATCH($A76,Вводные!$A$13:$A$64,0)),0))</f>
        <v>25</v>
      </c>
      <c r="DH76" s="14" t="n">
        <f aca="false">INDEX(Вводные!$D$13:$F$64,MATCH($A76,Вводные!$A$13:$A$64,0),MATCH(DH$3,Вводные!$D$11:$F$11,0))*(1+IF(DH$4=$A76,Вводные!$D$5*INDEX(Вводные!$G$13:$G$64,MATCH($A76,Вводные!$A$13:$A$64,0)),0))</f>
        <v>25</v>
      </c>
      <c r="DI76" s="14" t="n">
        <f aca="false">INDEX(Вводные!$D$13:$F$64,MATCH($A76,Вводные!$A$13:$A$64,0),MATCH(DI$3,Вводные!$D$11:$F$11,0))*(1+IF(DI$4=$A76,Вводные!$D$5*INDEX(Вводные!$G$13:$G$64,MATCH($A76,Вводные!$A$13:$A$64,0)),0))</f>
        <v>25</v>
      </c>
      <c r="DJ76" s="14" t="n">
        <f aca="false">INDEX(Вводные!$D$13:$F$64,MATCH($A76,Вводные!$A$13:$A$64,0),MATCH(DJ$3,Вводные!$D$11:$F$11,0))*(1+IF(DJ$4=$A76,Вводные!$D$5*INDEX(Вводные!$G$13:$G$64,MATCH($A76,Вводные!$A$13:$A$64,0)),0))</f>
        <v>25</v>
      </c>
      <c r="DK76" s="14" t="n">
        <f aca="false">INDEX(Вводные!$D$13:$F$64,MATCH($A76,Вводные!$A$13:$A$64,0),MATCH(DK$3,Вводные!$D$11:$F$11,0))*(1+IF(DK$4=$A76,Вводные!$D$5*INDEX(Вводные!$G$13:$G$64,MATCH($A76,Вводные!$A$13:$A$64,0)),0))</f>
        <v>25</v>
      </c>
      <c r="DL76" s="14" t="n">
        <f aca="false">INDEX(Вводные!$D$13:$F$64,MATCH($A76,Вводные!$A$13:$A$64,0),MATCH(DL$3,Вводные!$D$11:$F$11,0))*(1+IF(DL$4=$A76,Вводные!$D$5*INDEX(Вводные!$G$13:$G$64,MATCH($A76,Вводные!$A$13:$A$64,0)),0))</f>
        <v>25</v>
      </c>
      <c r="DM76" s="14" t="n">
        <f aca="false">INDEX(Вводные!$D$13:$F$64,MATCH($A76,Вводные!$A$13:$A$64,0),MATCH(DM$3,Вводные!$D$11:$F$11,0))*(1+IF(DM$4=$A76,Вводные!$D$5*INDEX(Вводные!$G$13:$G$64,MATCH($A76,Вводные!$A$13:$A$64,0)),0))</f>
        <v>25</v>
      </c>
      <c r="DN76" s="14" t="n">
        <f aca="false">INDEX(Вводные!$D$13:$F$64,MATCH($A76,Вводные!$A$13:$A$64,0),MATCH(DN$3,Вводные!$D$11:$F$11,0))*(1+IF(DN$4=$A76,Вводные!$D$5*INDEX(Вводные!$G$13:$G$64,MATCH($A76,Вводные!$A$13:$A$64,0)),0))</f>
        <v>25</v>
      </c>
      <c r="DO76" s="14" t="n">
        <f aca="false">INDEX(Вводные!$D$13:$F$64,MATCH($A76,Вводные!$A$13:$A$64,0),MATCH(DO$3,Вводные!$D$11:$F$11,0))*(1+IF(DO$4=$A76,Вводные!$D$5*INDEX(Вводные!$G$13:$G$64,MATCH($A76,Вводные!$A$13:$A$64,0)),0))</f>
        <v>25</v>
      </c>
      <c r="DP76" s="14" t="n">
        <f aca="false">INDEX(Вводные!$D$13:$F$64,MATCH($A76,Вводные!$A$13:$A$64,0),MATCH(DP$3,Вводные!$D$11:$F$11,0))*(1+IF(DP$4=$A76,Вводные!$D$5*INDEX(Вводные!$G$13:$G$64,MATCH($A76,Вводные!$A$13:$A$64,0)),0))</f>
        <v>25</v>
      </c>
      <c r="DQ76" s="14" t="n">
        <f aca="false">INDEX(Вводные!$D$13:$F$64,MATCH($A76,Вводные!$A$13:$A$64,0),MATCH(DQ$3,Вводные!$D$11:$F$11,0))*(1+IF(DQ$4=$A76,Вводные!$D$5*INDEX(Вводные!$G$13:$G$64,MATCH($A76,Вводные!$A$13:$A$64,0)),0))</f>
        <v>25</v>
      </c>
      <c r="DR76" s="14" t="n">
        <f aca="false">INDEX(Вводные!$D$13:$F$64,MATCH($A76,Вводные!$A$13:$A$64,0),MATCH(DR$3,Вводные!$D$11:$F$11,0))*(1+IF(DR$4=$A76,Вводные!$D$5*INDEX(Вводные!$G$13:$G$64,MATCH($A76,Вводные!$A$13:$A$64,0)),0))</f>
        <v>25</v>
      </c>
      <c r="DS76" s="14" t="n">
        <f aca="false">INDEX(Вводные!$D$13:$F$64,MATCH($A76,Вводные!$A$13:$A$64,0),MATCH(DS$3,Вводные!$D$11:$F$11,0))*(1+IF(DS$4=$A76,Вводные!$D$5*INDEX(Вводные!$G$13:$G$64,MATCH($A76,Вводные!$A$13:$A$64,0)),0))</f>
        <v>25</v>
      </c>
      <c r="DT76" s="14" t="n">
        <f aca="false">INDEX(Вводные!$D$13:$F$64,MATCH($A76,Вводные!$A$13:$A$64,0),MATCH(DT$3,Вводные!$D$11:$F$11,0))*(1+IF(DT$4=$A76,Вводные!$D$5*INDEX(Вводные!$G$13:$G$64,MATCH($A76,Вводные!$A$13:$A$64,0)),0))</f>
        <v>25</v>
      </c>
      <c r="DU76" s="14" t="n">
        <f aca="false">INDEX(Вводные!$D$13:$F$64,MATCH($A76,Вводные!$A$13:$A$64,0),MATCH(DU$3,Вводные!$D$11:$F$11,0))*(1+IF(DU$4=$A76,Вводные!$D$5*INDEX(Вводные!$G$13:$G$64,MATCH($A76,Вводные!$A$13:$A$64,0)),0))</f>
        <v>25</v>
      </c>
      <c r="DV76" s="14" t="n">
        <f aca="false">INDEX(Вводные!$D$13:$F$64,MATCH($A76,Вводные!$A$13:$A$64,0),MATCH(DV$3,Вводные!$D$11:$F$11,0))*(1+IF(DV$4=$A76,Вводные!$D$5*INDEX(Вводные!$G$13:$G$64,MATCH($A76,Вводные!$A$13:$A$64,0)),0))</f>
        <v>25</v>
      </c>
      <c r="DW76" s="14" t="n">
        <f aca="false">INDEX(Вводные!$D$13:$F$64,MATCH($A76,Вводные!$A$13:$A$64,0),MATCH(DW$3,Вводные!$D$11:$F$11,0))*(1+IF(DW$4=$A76,Вводные!$D$5*INDEX(Вводные!$G$13:$G$64,MATCH($A76,Вводные!$A$13:$A$64,0)),0))</f>
        <v>25</v>
      </c>
      <c r="DX76" s="14" t="n">
        <f aca="false">INDEX(Вводные!$D$13:$F$64,MATCH($A76,Вводные!$A$13:$A$64,0),MATCH(DX$3,Вводные!$D$11:$F$11,0))*(1+IF(DX$4=$A76,Вводные!$D$5*INDEX(Вводные!$G$13:$G$64,MATCH($A76,Вводные!$A$13:$A$64,0)),0))</f>
        <v>25</v>
      </c>
      <c r="DY76" s="14" t="n">
        <f aca="false">INDEX(Вводные!$D$13:$F$64,MATCH($A76,Вводные!$A$13:$A$64,0),MATCH(DY$3,Вводные!$D$11:$F$11,0))*(1+IF(DY$4=$A76,Вводные!$D$5*INDEX(Вводные!$G$13:$G$64,MATCH($A76,Вводные!$A$13:$A$64,0)),0))</f>
        <v>25</v>
      </c>
      <c r="DZ76" s="14" t="n">
        <f aca="false">INDEX(Вводные!$D$13:$F$64,MATCH($A76,Вводные!$A$13:$A$64,0),MATCH(DZ$3,Вводные!$D$11:$F$11,0))*(1+IF(DZ$4=$A76,Вводные!$D$5*INDEX(Вводные!$G$13:$G$64,MATCH($A76,Вводные!$A$13:$A$64,0)),0))</f>
        <v>25</v>
      </c>
      <c r="EA76" s="14" t="n">
        <f aca="false">INDEX(Вводные!$D$13:$F$64,MATCH($A76,Вводные!$A$13:$A$64,0),MATCH(EA$3,Вводные!$D$11:$F$11,0))*(1+IF(EA$4=$A76,Вводные!$D$5*INDEX(Вводные!$G$13:$G$64,MATCH($A76,Вводные!$A$13:$A$64,0)),0))</f>
        <v>24.75</v>
      </c>
      <c r="EB76" s="14" t="n">
        <f aca="false">INDEX(Вводные!$D$13:$F$64,MATCH($A76,Вводные!$A$13:$A$64,0),MATCH(EB$3,Вводные!$D$11:$F$11,0))*(1+IF(EB$4=$A76,Вводные!$D$5*INDEX(Вводные!$G$13:$G$64,MATCH($A76,Вводные!$A$13:$A$64,0)),0))</f>
        <v>25</v>
      </c>
      <c r="EC76" s="14" t="n">
        <f aca="false">INDEX(Вводные!$D$13:$F$64,MATCH($A76,Вводные!$A$13:$A$64,0),MATCH(EC$3,Вводные!$D$11:$F$11,0))*(1+IF(EC$4=$A76,Вводные!$D$5*INDEX(Вводные!$G$13:$G$64,MATCH($A76,Вводные!$A$13:$A$64,0)),0))</f>
        <v>25</v>
      </c>
      <c r="ED76" s="14" t="n">
        <f aca="false">INDEX(Вводные!$D$13:$F$64,MATCH($A76,Вводные!$A$13:$A$64,0),MATCH(ED$3,Вводные!$D$11:$F$11,0))*(1+IF(ED$4=$A76,Вводные!$D$5*INDEX(Вводные!$G$13:$G$64,MATCH($A76,Вводные!$A$13:$A$64,0)),0))</f>
        <v>25</v>
      </c>
      <c r="EE76" s="14" t="n">
        <f aca="false">INDEX(Вводные!$D$13:$F$64,MATCH($A76,Вводные!$A$13:$A$64,0),MATCH(EE$3,Вводные!$D$11:$F$11,0))*(1+IF(EE$4=$A76,Вводные!$D$5*INDEX(Вводные!$G$13:$G$64,MATCH($A76,Вводные!$A$13:$A$64,0)),0))</f>
        <v>25</v>
      </c>
      <c r="EF76" s="14" t="n">
        <f aca="false">INDEX(Вводные!$D$13:$F$64,MATCH($A76,Вводные!$A$13:$A$64,0),MATCH(EF$3,Вводные!$D$11:$F$11,0))*(1+IF(EF$4=$A76,Вводные!$D$5*INDEX(Вводные!$G$13:$G$64,MATCH($A76,Вводные!$A$13:$A$64,0)),0))</f>
        <v>3</v>
      </c>
      <c r="EG76" s="14" t="n">
        <f aca="false">INDEX(Вводные!$D$13:$F$64,MATCH($A76,Вводные!$A$13:$A$64,0),MATCH(EG$3,Вводные!$D$11:$F$11,0))*(1+IF(EG$4=$A76,Вводные!$D$5*INDEX(Вводные!$G$13:$G$64,MATCH($A76,Вводные!$A$13:$A$64,0)),0))</f>
        <v>3</v>
      </c>
      <c r="EH76" s="14" t="n">
        <f aca="false">INDEX(Вводные!$D$13:$F$64,MATCH($A76,Вводные!$A$13:$A$64,0),MATCH(EH$3,Вводные!$D$11:$F$11,0))*(1+IF(EH$4=$A76,Вводные!$D$5*INDEX(Вводные!$G$13:$G$64,MATCH($A76,Вводные!$A$13:$A$64,0)),0))</f>
        <v>3</v>
      </c>
      <c r="EI76" s="14" t="n">
        <f aca="false">INDEX(Вводные!$D$13:$F$64,MATCH($A76,Вводные!$A$13:$A$64,0),MATCH(EI$3,Вводные!$D$11:$F$11,0))*(1+IF(EI$4=$A76,Вводные!$D$5*INDEX(Вводные!$G$13:$G$64,MATCH($A76,Вводные!$A$13:$A$64,0)),0))</f>
        <v>3</v>
      </c>
      <c r="EJ76" s="14" t="n">
        <f aca="false">INDEX(Вводные!$D$13:$F$64,MATCH($A76,Вводные!$A$13:$A$64,0),MATCH(EJ$3,Вводные!$D$11:$F$11,0))*(1+IF(EJ$4=$A76,Вводные!$D$5*INDEX(Вводные!$G$13:$G$64,MATCH($A76,Вводные!$A$13:$A$64,0)),0))</f>
        <v>3</v>
      </c>
      <c r="EK76" s="14" t="n">
        <f aca="false">INDEX(Вводные!$D$13:$F$64,MATCH($A76,Вводные!$A$13:$A$64,0),MATCH(EK$3,Вводные!$D$11:$F$11,0))*(1+IF(EK$4=$A76,Вводные!$D$5*INDEX(Вводные!$G$13:$G$64,MATCH($A76,Вводные!$A$13:$A$64,0)),0))</f>
        <v>3</v>
      </c>
      <c r="EL76" s="14" t="n">
        <f aca="false">INDEX(Вводные!$D$13:$F$64,MATCH($A76,Вводные!$A$13:$A$64,0),MATCH(EL$3,Вводные!$D$11:$F$11,0))*(1+IF(EL$4=$A76,Вводные!$D$5*INDEX(Вводные!$G$13:$G$64,MATCH($A76,Вводные!$A$13:$A$64,0)),0))</f>
        <v>3</v>
      </c>
      <c r="EM76" s="14" t="n">
        <f aca="false">INDEX(Вводные!$D$13:$F$64,MATCH($A76,Вводные!$A$13:$A$64,0),MATCH(EM$3,Вводные!$D$11:$F$11,0))*(1+IF(EM$4=$A76,Вводные!$D$5*INDEX(Вводные!$G$13:$G$64,MATCH($A76,Вводные!$A$13:$A$64,0)),0))</f>
        <v>3</v>
      </c>
      <c r="EN76" s="14" t="n">
        <f aca="false">INDEX(Вводные!$D$13:$F$64,MATCH($A76,Вводные!$A$13:$A$64,0),MATCH(EN$3,Вводные!$D$11:$F$11,0))*(1+IF(EN$4=$A76,Вводные!$D$5*INDEX(Вводные!$G$13:$G$64,MATCH($A76,Вводные!$A$13:$A$64,0)),0))</f>
        <v>3</v>
      </c>
      <c r="EO76" s="14" t="n">
        <f aca="false">INDEX(Вводные!$D$13:$F$64,MATCH($A76,Вводные!$A$13:$A$64,0),MATCH(EO$3,Вводные!$D$11:$F$11,0))*(1+IF(EO$4=$A76,Вводные!$D$5*INDEX(Вводные!$G$13:$G$64,MATCH($A76,Вводные!$A$13:$A$64,0)),0))</f>
        <v>3</v>
      </c>
      <c r="EP76" s="14" t="n">
        <f aca="false">INDEX(Вводные!$D$13:$F$64,MATCH($A76,Вводные!$A$13:$A$64,0),MATCH(EP$3,Вводные!$D$11:$F$11,0))*(1+IF(EP$4=$A76,Вводные!$D$5*INDEX(Вводные!$G$13:$G$64,MATCH($A76,Вводные!$A$13:$A$64,0)),0))</f>
        <v>3</v>
      </c>
      <c r="EQ76" s="14" t="n">
        <f aca="false">INDEX(Вводные!$D$13:$F$64,MATCH($A76,Вводные!$A$13:$A$64,0),MATCH(EQ$3,Вводные!$D$11:$F$11,0))*(1+IF(EQ$4=$A76,Вводные!$D$5*INDEX(Вводные!$G$13:$G$64,MATCH($A76,Вводные!$A$13:$A$64,0)),0))</f>
        <v>3</v>
      </c>
      <c r="ER76" s="14" t="n">
        <f aca="false">INDEX(Вводные!$D$13:$F$64,MATCH($A76,Вводные!$A$13:$A$64,0),MATCH(ER$3,Вводные!$D$11:$F$11,0))*(1+IF(ER$4=$A76,Вводные!$D$5*INDEX(Вводные!$G$13:$G$64,MATCH($A76,Вводные!$A$13:$A$64,0)),0))</f>
        <v>3</v>
      </c>
      <c r="ES76" s="14" t="n">
        <f aca="false">INDEX(Вводные!$D$13:$F$64,MATCH($A76,Вводные!$A$13:$A$64,0),MATCH(ES$3,Вводные!$D$11:$F$11,0))*(1+IF(ES$4=$A76,Вводные!$D$5*INDEX(Вводные!$G$13:$G$64,MATCH($A76,Вводные!$A$13:$A$64,0)),0))</f>
        <v>3</v>
      </c>
      <c r="ET76" s="14" t="n">
        <f aca="false">INDEX(Вводные!$D$13:$F$64,MATCH($A76,Вводные!$A$13:$A$64,0),MATCH(ET$3,Вводные!$D$11:$F$11,0))*(1+IF(ET$4=$A76,Вводные!$D$5*INDEX(Вводные!$G$13:$G$64,MATCH($A76,Вводные!$A$13:$A$64,0)),0))</f>
        <v>3</v>
      </c>
      <c r="EU76" s="14" t="n">
        <f aca="false">INDEX(Вводные!$D$13:$F$64,MATCH($A76,Вводные!$A$13:$A$64,0),MATCH(EU$3,Вводные!$D$11:$F$11,0))*(1+IF(EU$4=$A76,Вводные!$D$5*INDEX(Вводные!$G$13:$G$64,MATCH($A76,Вводные!$A$13:$A$64,0)),0))</f>
        <v>3</v>
      </c>
      <c r="EV76" s="14" t="n">
        <f aca="false">INDEX(Вводные!$D$13:$F$64,MATCH($A76,Вводные!$A$13:$A$64,0),MATCH(EV$3,Вводные!$D$11:$F$11,0))*(1+IF(EV$4=$A76,Вводные!$D$5*INDEX(Вводные!$G$13:$G$64,MATCH($A76,Вводные!$A$13:$A$64,0)),0))</f>
        <v>3</v>
      </c>
      <c r="EW76" s="14" t="n">
        <f aca="false">INDEX(Вводные!$D$13:$F$64,MATCH($A76,Вводные!$A$13:$A$64,0),MATCH(EW$3,Вводные!$D$11:$F$11,0))*(1+IF(EW$4=$A76,Вводные!$D$5*INDEX(Вводные!$G$13:$G$64,MATCH($A76,Вводные!$A$13:$A$64,0)),0))</f>
        <v>3</v>
      </c>
      <c r="EX76" s="14" t="n">
        <f aca="false">INDEX(Вводные!$D$13:$F$64,MATCH($A76,Вводные!$A$13:$A$64,0),MATCH(EX$3,Вводные!$D$11:$F$11,0))*(1+IF(EX$4=$A76,Вводные!$D$5*INDEX(Вводные!$G$13:$G$64,MATCH($A76,Вводные!$A$13:$A$64,0)),0))</f>
        <v>3</v>
      </c>
      <c r="EY76" s="14" t="n">
        <f aca="false">INDEX(Вводные!$D$13:$F$64,MATCH($A76,Вводные!$A$13:$A$64,0),MATCH(EY$3,Вводные!$D$11:$F$11,0))*(1+IF(EY$4=$A76,Вводные!$D$5*INDEX(Вводные!$G$13:$G$64,MATCH($A76,Вводные!$A$13:$A$64,0)),0))</f>
        <v>3</v>
      </c>
      <c r="EZ76" s="14" t="n">
        <f aca="false">INDEX(Вводные!$D$13:$F$64,MATCH($A76,Вводные!$A$13:$A$64,0),MATCH(EZ$3,Вводные!$D$11:$F$11,0))*(1+IF(EZ$4=$A76,Вводные!$D$5*INDEX(Вводные!$G$13:$G$64,MATCH($A76,Вводные!$A$13:$A$64,0)),0))</f>
        <v>3</v>
      </c>
      <c r="FA76" s="14" t="n">
        <f aca="false">INDEX(Вводные!$D$13:$F$64,MATCH($A76,Вводные!$A$13:$A$64,0),MATCH(FA$3,Вводные!$D$11:$F$11,0))*(1+IF(FA$4=$A76,Вводные!$D$5*INDEX(Вводные!$G$13:$G$64,MATCH($A76,Вводные!$A$13:$A$64,0)),0))</f>
        <v>3</v>
      </c>
      <c r="FB76" s="14" t="n">
        <f aca="false">INDEX(Вводные!$D$13:$F$64,MATCH($A76,Вводные!$A$13:$A$64,0),MATCH(FB$3,Вводные!$D$11:$F$11,0))*(1+IF(FB$4=$A76,Вводные!$D$5*INDEX(Вводные!$G$13:$G$64,MATCH($A76,Вводные!$A$13:$A$64,0)),0))</f>
        <v>3</v>
      </c>
      <c r="FC76" s="14" t="n">
        <f aca="false">INDEX(Вводные!$D$13:$F$64,MATCH($A76,Вводные!$A$13:$A$64,0),MATCH(FC$3,Вводные!$D$11:$F$11,0))*(1+IF(FC$4=$A76,Вводные!$D$5*INDEX(Вводные!$G$13:$G$64,MATCH($A76,Вводные!$A$13:$A$64,0)),0))</f>
        <v>3</v>
      </c>
      <c r="FD76" s="14" t="n">
        <f aca="false">INDEX(Вводные!$D$13:$F$64,MATCH($A76,Вводные!$A$13:$A$64,0),MATCH(FD$3,Вводные!$D$11:$F$11,0))*(1+IF(FD$4=$A76,Вводные!$D$5*INDEX(Вводные!$G$13:$G$64,MATCH($A76,Вводные!$A$13:$A$64,0)),0))</f>
        <v>3</v>
      </c>
      <c r="FE76" s="14" t="n">
        <f aca="false">INDEX(Вводные!$D$13:$F$64,MATCH($A76,Вводные!$A$13:$A$64,0),MATCH(FE$3,Вводные!$D$11:$F$11,0))*(1+IF(FE$4=$A76,Вводные!$D$5*INDEX(Вводные!$G$13:$G$64,MATCH($A76,Вводные!$A$13:$A$64,0)),0))</f>
        <v>3</v>
      </c>
      <c r="FF76" s="14" t="n">
        <f aca="false">INDEX(Вводные!$D$13:$F$64,MATCH($A76,Вводные!$A$13:$A$64,0),MATCH(FF$3,Вводные!$D$11:$F$11,0))*(1+IF(FF$4=$A76,Вводные!$D$5*INDEX(Вводные!$G$13:$G$64,MATCH($A76,Вводные!$A$13:$A$64,0)),0))</f>
        <v>3</v>
      </c>
      <c r="FG76" s="14" t="n">
        <f aca="false">INDEX(Вводные!$D$13:$F$64,MATCH($A76,Вводные!$A$13:$A$64,0),MATCH(FG$3,Вводные!$D$11:$F$11,0))*(1+IF(FG$4=$A76,Вводные!$D$5*INDEX(Вводные!$G$13:$G$64,MATCH($A76,Вводные!$A$13:$A$64,0)),0))</f>
        <v>3</v>
      </c>
      <c r="FH76" s="14" t="n">
        <f aca="false">INDEX(Вводные!$D$13:$F$64,MATCH($A76,Вводные!$A$13:$A$64,0),MATCH(FH$3,Вводные!$D$11:$F$11,0))*(1+IF(FH$4=$A76,Вводные!$D$5*INDEX(Вводные!$G$13:$G$64,MATCH($A76,Вводные!$A$13:$A$64,0)),0))</f>
        <v>3</v>
      </c>
      <c r="FI76" s="14" t="n">
        <f aca="false">INDEX(Вводные!$D$13:$F$64,MATCH($A76,Вводные!$A$13:$A$64,0),MATCH(FI$3,Вводные!$D$11:$F$11,0))*(1+IF(FI$4=$A76,Вводные!$D$5*INDEX(Вводные!$G$13:$G$64,MATCH($A76,Вводные!$A$13:$A$64,0)),0))</f>
        <v>3</v>
      </c>
      <c r="FJ76" s="14" t="n">
        <f aca="false">INDEX(Вводные!$D$13:$F$64,MATCH($A76,Вводные!$A$13:$A$64,0),MATCH(FJ$3,Вводные!$D$11:$F$11,0))*(1+IF(FJ$4=$A76,Вводные!$D$5*INDEX(Вводные!$G$13:$G$64,MATCH($A76,Вводные!$A$13:$A$64,0)),0))</f>
        <v>3</v>
      </c>
      <c r="FK76" s="14" t="n">
        <f aca="false">INDEX(Вводные!$D$13:$F$64,MATCH($A76,Вводные!$A$13:$A$64,0),MATCH(FK$3,Вводные!$D$11:$F$11,0))*(1+IF(FK$4=$A76,Вводные!$D$5*INDEX(Вводные!$G$13:$G$64,MATCH($A76,Вводные!$A$13:$A$64,0)),0))</f>
        <v>3</v>
      </c>
      <c r="FL76" s="14" t="n">
        <f aca="false">INDEX(Вводные!$D$13:$F$64,MATCH($A76,Вводные!$A$13:$A$64,0),MATCH(FL$3,Вводные!$D$11:$F$11,0))*(1+IF(FL$4=$A76,Вводные!$D$5*INDEX(Вводные!$G$13:$G$64,MATCH($A76,Вводные!$A$13:$A$64,0)),0))</f>
        <v>3</v>
      </c>
      <c r="FM76" s="14" t="n">
        <f aca="false">INDEX(Вводные!$D$13:$F$64,MATCH($A76,Вводные!$A$13:$A$64,0),MATCH(FM$3,Вводные!$D$11:$F$11,0))*(1+IF(FM$4=$A76,Вводные!$D$5*INDEX(Вводные!$G$13:$G$64,MATCH($A76,Вводные!$A$13:$A$64,0)),0))</f>
        <v>3</v>
      </c>
      <c r="FN76" s="14" t="n">
        <f aca="false">INDEX(Вводные!$D$13:$F$64,MATCH($A76,Вводные!$A$13:$A$64,0),MATCH(FN$3,Вводные!$D$11:$F$11,0))*(1+IF(FN$4=$A76,Вводные!$D$5*INDEX(Вводные!$G$13:$G$64,MATCH($A76,Вводные!$A$13:$A$64,0)),0))</f>
        <v>3</v>
      </c>
      <c r="FO76" s="14" t="n">
        <f aca="false">INDEX(Вводные!$D$13:$F$64,MATCH($A76,Вводные!$A$13:$A$64,0),MATCH(FO$3,Вводные!$D$11:$F$11,0))*(1+IF(FO$4=$A76,Вводные!$D$5*INDEX(Вводные!$G$13:$G$64,MATCH($A76,Вводные!$A$13:$A$64,0)),0))</f>
        <v>3</v>
      </c>
      <c r="FP76" s="14" t="n">
        <f aca="false">INDEX(Вводные!$D$13:$F$64,MATCH($A76,Вводные!$A$13:$A$64,0),MATCH(FP$3,Вводные!$D$11:$F$11,0))*(1+IF(FP$4=$A76,Вводные!$D$5*INDEX(Вводные!$G$13:$G$64,MATCH($A76,Вводные!$A$13:$A$64,0)),0))</f>
        <v>3</v>
      </c>
      <c r="FQ76" s="14" t="n">
        <f aca="false">INDEX(Вводные!$D$13:$F$64,MATCH($A76,Вводные!$A$13:$A$64,0),MATCH(FQ$3,Вводные!$D$11:$F$11,0))*(1+IF(FQ$4=$A76,Вводные!$D$5*INDEX(Вводные!$G$13:$G$64,MATCH($A76,Вводные!$A$13:$A$64,0)),0))</f>
        <v>2.97</v>
      </c>
      <c r="FR76" s="14" t="n">
        <f aca="false">INDEX(Вводные!$D$13:$F$64,MATCH($A76,Вводные!$A$13:$A$64,0),MATCH(FR$3,Вводные!$D$11:$F$11,0))*(1+IF(FR$4=$A76,Вводные!$D$5*INDEX(Вводные!$G$13:$G$64,MATCH($A76,Вводные!$A$13:$A$64,0)),0))</f>
        <v>3</v>
      </c>
      <c r="FS76" s="14" t="n">
        <f aca="false">INDEX(Вводные!$D$13:$F$64,MATCH($A76,Вводные!$A$13:$A$64,0),MATCH(FS$3,Вводные!$D$11:$F$11,0))*(1+IF(FS$4=$A76,Вводные!$D$5*INDEX(Вводные!$G$13:$G$64,MATCH($A76,Вводные!$A$13:$A$64,0)),0))</f>
        <v>3</v>
      </c>
      <c r="FT76" s="14" t="n">
        <f aca="false">INDEX(Вводные!$D$13:$F$64,MATCH($A76,Вводные!$A$13:$A$64,0),MATCH(FT$3,Вводные!$D$11:$F$11,0))*(1+IF(FT$4=$A76,Вводные!$D$5*INDEX(Вводные!$G$13:$G$64,MATCH($A76,Вводные!$A$13:$A$64,0)),0))</f>
        <v>3</v>
      </c>
      <c r="FU76" s="14" t="n">
        <f aca="false">INDEX(Вводные!$D$13:$F$64,MATCH($A76,Вводные!$A$13:$A$64,0),MATCH(FU$3,Вводные!$D$11:$F$11,0))*(1+IF(FU$4=$A76,Вводные!$D$5*INDEX(Вводные!$G$13:$G$64,MATCH($A76,Вводные!$A$13:$A$64,0)),0))</f>
        <v>3</v>
      </c>
      <c r="FV76" s="14" t="n">
        <f aca="false">INDEX(Вводные!$D$13:$F$64,MATCH($A76,Вводные!$A$13:$A$64,0),MATCH(FV$3,Вводные!$D$11:$F$11,0))*(1+IF(FV$4=$A76,Вводные!$D$5*INDEX(Вводные!$G$13:$G$64,MATCH($A76,Вводные!$A$13:$A$64,0)),0))</f>
        <v>10</v>
      </c>
      <c r="FW76" s="14" t="n">
        <f aca="false">INDEX(Вводные!$D$13:$F$64,MATCH($A76,Вводные!$A$13:$A$64,0),MATCH(FW$3,Вводные!$D$11:$F$11,0))*(1+IF(FW$4=$A76,Вводные!$D$5*INDEX(Вводные!$G$13:$G$64,MATCH($A76,Вводные!$A$13:$A$64,0)),0))</f>
        <v>10</v>
      </c>
      <c r="FX76" s="14" t="n">
        <f aca="false">INDEX(Вводные!$D$13:$F$64,MATCH($A76,Вводные!$A$13:$A$64,0),MATCH(FX$3,Вводные!$D$11:$F$11,0))*(1+IF(FX$4=$A76,Вводные!$D$5*INDEX(Вводные!$G$13:$G$64,MATCH($A76,Вводные!$A$13:$A$64,0)),0))</f>
        <v>10</v>
      </c>
      <c r="FY76" s="14" t="n">
        <f aca="false">INDEX(Вводные!$D$13:$F$64,MATCH($A76,Вводные!$A$13:$A$64,0),MATCH(FY$3,Вводные!$D$11:$F$11,0))*(1+IF(FY$4=$A76,Вводные!$D$5*INDEX(Вводные!$G$13:$G$64,MATCH($A76,Вводные!$A$13:$A$64,0)),0))</f>
        <v>10</v>
      </c>
      <c r="FZ76" s="14" t="n">
        <f aca="false">INDEX(Вводные!$D$13:$F$64,MATCH($A76,Вводные!$A$13:$A$64,0),MATCH(FZ$3,Вводные!$D$11:$F$11,0))*(1+IF(FZ$4=$A76,Вводные!$D$5*INDEX(Вводные!$G$13:$G$64,MATCH($A76,Вводные!$A$13:$A$64,0)),0))</f>
        <v>10</v>
      </c>
      <c r="GA76" s="14" t="n">
        <f aca="false">INDEX(Вводные!$D$13:$F$64,MATCH($A76,Вводные!$A$13:$A$64,0),MATCH(GA$3,Вводные!$D$11:$F$11,0))*(1+IF(GA$4=$A76,Вводные!$D$5*INDEX(Вводные!$G$13:$G$64,MATCH($A76,Вводные!$A$13:$A$64,0)),0))</f>
        <v>10</v>
      </c>
      <c r="GB76" s="14" t="n">
        <f aca="false">INDEX(Вводные!$D$13:$F$64,MATCH($A76,Вводные!$A$13:$A$64,0),MATCH(GB$3,Вводные!$D$11:$F$11,0))*(1+IF(GB$4=$A76,Вводные!$D$5*INDEX(Вводные!$G$13:$G$64,MATCH($A76,Вводные!$A$13:$A$64,0)),0))</f>
        <v>10</v>
      </c>
      <c r="GC76" s="14" t="n">
        <f aca="false">INDEX(Вводные!$D$13:$F$64,MATCH($A76,Вводные!$A$13:$A$64,0),MATCH(GC$3,Вводные!$D$11:$F$11,0))*(1+IF(GC$4=$A76,Вводные!$D$5*INDEX(Вводные!$G$13:$G$64,MATCH($A76,Вводные!$A$13:$A$64,0)),0))</f>
        <v>10</v>
      </c>
      <c r="GD76" s="14" t="n">
        <f aca="false">INDEX(Вводные!$D$13:$F$64,MATCH($A76,Вводные!$A$13:$A$64,0),MATCH(GD$3,Вводные!$D$11:$F$11,0))*(1+IF(GD$4=$A76,Вводные!$D$5*INDEX(Вводные!$G$13:$G$64,MATCH($A76,Вводные!$A$13:$A$64,0)),0))</f>
        <v>10</v>
      </c>
      <c r="GE76" s="14" t="n">
        <f aca="false">INDEX(Вводные!$D$13:$F$64,MATCH($A76,Вводные!$A$13:$A$64,0),MATCH(GE$3,Вводные!$D$11:$F$11,0))*(1+IF(GE$4=$A76,Вводные!$D$5*INDEX(Вводные!$G$13:$G$64,MATCH($A76,Вводные!$A$13:$A$64,0)),0))</f>
        <v>10</v>
      </c>
      <c r="GF76" s="14" t="n">
        <f aca="false">INDEX(Вводные!$D$13:$F$64,MATCH($A76,Вводные!$A$13:$A$64,0),MATCH(GF$3,Вводные!$D$11:$F$11,0))*(1+IF(GF$4=$A76,Вводные!$D$5*INDEX(Вводные!$G$13:$G$64,MATCH($A76,Вводные!$A$13:$A$64,0)),0))</f>
        <v>10</v>
      </c>
      <c r="GG76" s="14" t="n">
        <f aca="false">INDEX(Вводные!$D$13:$F$64,MATCH($A76,Вводные!$A$13:$A$64,0),MATCH(GG$3,Вводные!$D$11:$F$11,0))*(1+IF(GG$4=$A76,Вводные!$D$5*INDEX(Вводные!$G$13:$G$64,MATCH($A76,Вводные!$A$13:$A$64,0)),0))</f>
        <v>10</v>
      </c>
      <c r="GH76" s="14" t="n">
        <f aca="false">INDEX(Вводные!$D$13:$F$64,MATCH($A76,Вводные!$A$13:$A$64,0),MATCH(GH$3,Вводные!$D$11:$F$11,0))*(1+IF(GH$4=$A76,Вводные!$D$5*INDEX(Вводные!$G$13:$G$64,MATCH($A76,Вводные!$A$13:$A$64,0)),0))</f>
        <v>10</v>
      </c>
      <c r="GI76" s="14" t="n">
        <f aca="false">INDEX(Вводные!$D$13:$F$64,MATCH($A76,Вводные!$A$13:$A$64,0),MATCH(GI$3,Вводные!$D$11:$F$11,0))*(1+IF(GI$4=$A76,Вводные!$D$5*INDEX(Вводные!$G$13:$G$64,MATCH($A76,Вводные!$A$13:$A$64,0)),0))</f>
        <v>10</v>
      </c>
      <c r="GJ76" s="14" t="n">
        <f aca="false">INDEX(Вводные!$D$13:$F$64,MATCH($A76,Вводные!$A$13:$A$64,0),MATCH(GJ$3,Вводные!$D$11:$F$11,0))*(1+IF(GJ$4=$A76,Вводные!$D$5*INDEX(Вводные!$G$13:$G$64,MATCH($A76,Вводные!$A$13:$A$64,0)),0))</f>
        <v>10</v>
      </c>
      <c r="GK76" s="14" t="n">
        <f aca="false">INDEX(Вводные!$D$13:$F$64,MATCH($A76,Вводные!$A$13:$A$64,0),MATCH(GK$3,Вводные!$D$11:$F$11,0))*(1+IF(GK$4=$A76,Вводные!$D$5*INDEX(Вводные!$G$13:$G$64,MATCH($A76,Вводные!$A$13:$A$64,0)),0))</f>
        <v>10</v>
      </c>
      <c r="GL76" s="14" t="n">
        <f aca="false">INDEX(Вводные!$D$13:$F$64,MATCH($A76,Вводные!$A$13:$A$64,0),MATCH(GL$3,Вводные!$D$11:$F$11,0))*(1+IF(GL$4=$A76,Вводные!$D$5*INDEX(Вводные!$G$13:$G$64,MATCH($A76,Вводные!$A$13:$A$64,0)),0))</f>
        <v>10</v>
      </c>
      <c r="GM76" s="14" t="n">
        <f aca="false">INDEX(Вводные!$D$13:$F$64,MATCH($A76,Вводные!$A$13:$A$64,0),MATCH(GM$3,Вводные!$D$11:$F$11,0))*(1+IF(GM$4=$A76,Вводные!$D$5*INDEX(Вводные!$G$13:$G$64,MATCH($A76,Вводные!$A$13:$A$64,0)),0))</f>
        <v>10</v>
      </c>
      <c r="GN76" s="14" t="n">
        <f aca="false">INDEX(Вводные!$D$13:$F$64,MATCH($A76,Вводные!$A$13:$A$64,0),MATCH(GN$3,Вводные!$D$11:$F$11,0))*(1+IF(GN$4=$A76,Вводные!$D$5*INDEX(Вводные!$G$13:$G$64,MATCH($A76,Вводные!$A$13:$A$64,0)),0))</f>
        <v>10</v>
      </c>
      <c r="GO76" s="14" t="n">
        <f aca="false">INDEX(Вводные!$D$13:$F$64,MATCH($A76,Вводные!$A$13:$A$64,0),MATCH(GO$3,Вводные!$D$11:$F$11,0))*(1+IF(GO$4=$A76,Вводные!$D$5*INDEX(Вводные!$G$13:$G$64,MATCH($A76,Вводные!$A$13:$A$64,0)),0))</f>
        <v>10</v>
      </c>
      <c r="GP76" s="14" t="n">
        <f aca="false">INDEX(Вводные!$D$13:$F$64,MATCH($A76,Вводные!$A$13:$A$64,0),MATCH(GP$3,Вводные!$D$11:$F$11,0))*(1+IF(GP$4=$A76,Вводные!$D$5*INDEX(Вводные!$G$13:$G$64,MATCH($A76,Вводные!$A$13:$A$64,0)),0))</f>
        <v>10</v>
      </c>
      <c r="GQ76" s="14" t="n">
        <f aca="false">INDEX(Вводные!$D$13:$F$64,MATCH($A76,Вводные!$A$13:$A$64,0),MATCH(GQ$3,Вводные!$D$11:$F$11,0))*(1+IF(GQ$4=$A76,Вводные!$D$5*INDEX(Вводные!$G$13:$G$64,MATCH($A76,Вводные!$A$13:$A$64,0)),0))</f>
        <v>10</v>
      </c>
      <c r="GR76" s="14" t="n">
        <f aca="false">INDEX(Вводные!$D$13:$F$64,MATCH($A76,Вводные!$A$13:$A$64,0),MATCH(GR$3,Вводные!$D$11:$F$11,0))*(1+IF(GR$4=$A76,Вводные!$D$5*INDEX(Вводные!$G$13:$G$64,MATCH($A76,Вводные!$A$13:$A$64,0)),0))</f>
        <v>10</v>
      </c>
      <c r="GS76" s="14" t="n">
        <f aca="false">INDEX(Вводные!$D$13:$F$64,MATCH($A76,Вводные!$A$13:$A$64,0),MATCH(GS$3,Вводные!$D$11:$F$11,0))*(1+IF(GS$4=$A76,Вводные!$D$5*INDEX(Вводные!$G$13:$G$64,MATCH($A76,Вводные!$A$13:$A$64,0)),0))</f>
        <v>10</v>
      </c>
      <c r="GT76" s="14" t="n">
        <f aca="false">INDEX(Вводные!$D$13:$F$64,MATCH($A76,Вводные!$A$13:$A$64,0),MATCH(GT$3,Вводные!$D$11:$F$11,0))*(1+IF(GT$4=$A76,Вводные!$D$5*INDEX(Вводные!$G$13:$G$64,MATCH($A76,Вводные!$A$13:$A$64,0)),0))</f>
        <v>10</v>
      </c>
      <c r="GU76" s="14" t="n">
        <f aca="false">INDEX(Вводные!$D$13:$F$64,MATCH($A76,Вводные!$A$13:$A$64,0),MATCH(GU$3,Вводные!$D$11:$F$11,0))*(1+IF(GU$4=$A76,Вводные!$D$5*INDEX(Вводные!$G$13:$G$64,MATCH($A76,Вводные!$A$13:$A$64,0)),0))</f>
        <v>10</v>
      </c>
      <c r="GV76" s="14" t="n">
        <f aca="false">INDEX(Вводные!$D$13:$F$64,MATCH($A76,Вводные!$A$13:$A$64,0),MATCH(GV$3,Вводные!$D$11:$F$11,0))*(1+IF(GV$4=$A76,Вводные!$D$5*INDEX(Вводные!$G$13:$G$64,MATCH($A76,Вводные!$A$13:$A$64,0)),0))</f>
        <v>10</v>
      </c>
      <c r="GW76" s="14" t="n">
        <f aca="false">INDEX(Вводные!$D$13:$F$64,MATCH($A76,Вводные!$A$13:$A$64,0),MATCH(GW$3,Вводные!$D$11:$F$11,0))*(1+IF(GW$4=$A76,Вводные!$D$5*INDEX(Вводные!$G$13:$G$64,MATCH($A76,Вводные!$A$13:$A$64,0)),0))</f>
        <v>10</v>
      </c>
      <c r="GX76" s="14" t="n">
        <f aca="false">INDEX(Вводные!$D$13:$F$64,MATCH($A76,Вводные!$A$13:$A$64,0),MATCH(GX$3,Вводные!$D$11:$F$11,0))*(1+IF(GX$4=$A76,Вводные!$D$5*INDEX(Вводные!$G$13:$G$64,MATCH($A76,Вводные!$A$13:$A$64,0)),0))</f>
        <v>10</v>
      </c>
      <c r="GY76" s="14" t="n">
        <f aca="false">INDEX(Вводные!$D$13:$F$64,MATCH($A76,Вводные!$A$13:$A$64,0),MATCH(GY$3,Вводные!$D$11:$F$11,0))*(1+IF(GY$4=$A76,Вводные!$D$5*INDEX(Вводные!$G$13:$G$64,MATCH($A76,Вводные!$A$13:$A$64,0)),0))</f>
        <v>10</v>
      </c>
      <c r="GZ76" s="14" t="n">
        <f aca="false">INDEX(Вводные!$D$13:$F$64,MATCH($A76,Вводные!$A$13:$A$64,0),MATCH(GZ$3,Вводные!$D$11:$F$11,0))*(1+IF(GZ$4=$A76,Вводные!$D$5*INDEX(Вводные!$G$13:$G$64,MATCH($A76,Вводные!$A$13:$A$64,0)),0))</f>
        <v>10</v>
      </c>
      <c r="HA76" s="14" t="n">
        <f aca="false">INDEX(Вводные!$D$13:$F$64,MATCH($A76,Вводные!$A$13:$A$64,0),MATCH(HA$3,Вводные!$D$11:$F$11,0))*(1+IF(HA$4=$A76,Вводные!$D$5*INDEX(Вводные!$G$13:$G$64,MATCH($A76,Вводные!$A$13:$A$64,0)),0))</f>
        <v>10</v>
      </c>
      <c r="HB76" s="14" t="n">
        <f aca="false">INDEX(Вводные!$D$13:$F$64,MATCH($A76,Вводные!$A$13:$A$64,0),MATCH(HB$3,Вводные!$D$11:$F$11,0))*(1+IF(HB$4=$A76,Вводные!$D$5*INDEX(Вводные!$G$13:$G$64,MATCH($A76,Вводные!$A$13:$A$64,0)),0))</f>
        <v>10</v>
      </c>
      <c r="HC76" s="14" t="n">
        <f aca="false">INDEX(Вводные!$D$13:$F$64,MATCH($A76,Вводные!$A$13:$A$64,0),MATCH(HC$3,Вводные!$D$11:$F$11,0))*(1+IF(HC$4=$A76,Вводные!$D$5*INDEX(Вводные!$G$13:$G$64,MATCH($A76,Вводные!$A$13:$A$64,0)),0))</f>
        <v>10</v>
      </c>
      <c r="HD76" s="14" t="n">
        <f aca="false">INDEX(Вводные!$D$13:$F$64,MATCH($A76,Вводные!$A$13:$A$64,0),MATCH(HD$3,Вводные!$D$11:$F$11,0))*(1+IF(HD$4=$A76,Вводные!$D$5*INDEX(Вводные!$G$13:$G$64,MATCH($A76,Вводные!$A$13:$A$64,0)),0))</f>
        <v>10</v>
      </c>
      <c r="HE76" s="14" t="n">
        <f aca="false">INDEX(Вводные!$D$13:$F$64,MATCH($A76,Вводные!$A$13:$A$64,0),MATCH(HE$3,Вводные!$D$11:$F$11,0))*(1+IF(HE$4=$A76,Вводные!$D$5*INDEX(Вводные!$G$13:$G$64,MATCH($A76,Вводные!$A$13:$A$64,0)),0))</f>
        <v>10</v>
      </c>
      <c r="HF76" s="14" t="n">
        <f aca="false">INDEX(Вводные!$D$13:$F$64,MATCH($A76,Вводные!$A$13:$A$64,0),MATCH(HF$3,Вводные!$D$11:$F$11,0))*(1+IF(HF$4=$A76,Вводные!$D$5*INDEX(Вводные!$G$13:$G$64,MATCH($A76,Вводные!$A$13:$A$64,0)),0))</f>
        <v>10</v>
      </c>
      <c r="HG76" s="14" t="n">
        <f aca="false">INDEX(Вводные!$D$13:$F$64,MATCH($A76,Вводные!$A$13:$A$64,0),MATCH(HG$3,Вводные!$D$11:$F$11,0))*(1+IF(HG$4=$A76,Вводные!$D$5*INDEX(Вводные!$G$13:$G$64,MATCH($A76,Вводные!$A$13:$A$64,0)),0))</f>
        <v>9.9</v>
      </c>
      <c r="HH76" s="14" t="n">
        <f aca="false">INDEX(Вводные!$D$13:$F$64,MATCH($A76,Вводные!$A$13:$A$64,0),MATCH(HH$3,Вводные!$D$11:$F$11,0))*(1+IF(HH$4=$A76,Вводные!$D$5*INDEX(Вводные!$G$13:$G$64,MATCH($A76,Вводные!$A$13:$A$64,0)),0))</f>
        <v>10</v>
      </c>
      <c r="HI76" s="14" t="n">
        <f aca="false">INDEX(Вводные!$D$13:$F$64,MATCH($A76,Вводные!$A$13:$A$64,0),MATCH(HI$3,Вводные!$D$11:$F$11,0))*(1+IF(HI$4=$A76,Вводные!$D$5*INDEX(Вводные!$G$13:$G$64,MATCH($A76,Вводные!$A$13:$A$64,0)),0))</f>
        <v>10</v>
      </c>
      <c r="HJ76" s="14" t="n">
        <f aca="false">INDEX(Вводные!$D$13:$F$64,MATCH($A76,Вводные!$A$13:$A$64,0),MATCH(HJ$3,Вводные!$D$11:$F$11,0))*(1+IF(HJ$4=$A76,Вводные!$D$5*INDEX(Вводные!$G$13:$G$64,MATCH($A76,Вводные!$A$13:$A$64,0)),0))</f>
        <v>10</v>
      </c>
      <c r="HK76" s="14" t="n">
        <f aca="false">INDEX(Вводные!$D$13:$F$64,MATCH($A76,Вводные!$A$13:$A$64,0),MATCH(HK$3,Вводные!$D$11:$F$11,0))*(1+IF(HK$4=$A76,Вводные!$D$5*INDEX(Вводные!$G$13:$G$64,MATCH($A76,Вводные!$A$13:$A$64,0)),0))</f>
        <v>10</v>
      </c>
      <c r="HL76" s="14" t="n">
        <f aca="false">INDEX(Вводные!$D$13:$F$64,MATCH($A76,Вводные!$A$13:$A$64,0),MATCH(HL$3,Вводные!$D$11:$F$11,0))*(1+IF(HL$4=$A76,Вводные!$D$5*INDEX(Вводные!$G$13:$G$64,MATCH($A76,Вводные!$A$13:$A$64,0)),0))</f>
        <v>25</v>
      </c>
      <c r="HM76" s="14" t="n">
        <f aca="false">INDEX(Вводные!$D$13:$F$64,MATCH($A76,Вводные!$A$13:$A$64,0),MATCH(HM$3,Вводные!$D$11:$F$11,0))*(1+IF(HM$4=$A76,Вводные!$D$5*INDEX(Вводные!$G$13:$G$64,MATCH($A76,Вводные!$A$13:$A$64,0)),0))</f>
        <v>25</v>
      </c>
      <c r="HN76" s="14" t="n">
        <f aca="false">INDEX(Вводные!$D$13:$F$64,MATCH($A76,Вводные!$A$13:$A$64,0),MATCH(HN$3,Вводные!$D$11:$F$11,0))*(1+IF(HN$4=$A76,Вводные!$D$5*INDEX(Вводные!$G$13:$G$64,MATCH($A76,Вводные!$A$13:$A$64,0)),0))</f>
        <v>25</v>
      </c>
      <c r="HO76" s="14" t="n">
        <f aca="false">INDEX(Вводные!$D$13:$F$64,MATCH($A76,Вводные!$A$13:$A$64,0),MATCH(HO$3,Вводные!$D$11:$F$11,0))*(1+IF(HO$4=$A76,Вводные!$D$5*INDEX(Вводные!$G$13:$G$64,MATCH($A76,Вводные!$A$13:$A$64,0)),0))</f>
        <v>25</v>
      </c>
      <c r="HP76" s="14" t="n">
        <f aca="false">INDEX(Вводные!$D$13:$F$64,MATCH($A76,Вводные!$A$13:$A$64,0),MATCH(HP$3,Вводные!$D$11:$F$11,0))*(1+IF(HP$4=$A76,Вводные!$D$5*INDEX(Вводные!$G$13:$G$64,MATCH($A76,Вводные!$A$13:$A$64,0)),0))</f>
        <v>25</v>
      </c>
      <c r="HQ76" s="14" t="n">
        <f aca="false">INDEX(Вводные!$D$13:$F$64,MATCH($A76,Вводные!$A$13:$A$64,0),MATCH(HQ$3,Вводные!$D$11:$F$11,0))*(1+IF(HQ$4=$A76,Вводные!$D$5*INDEX(Вводные!$G$13:$G$64,MATCH($A76,Вводные!$A$13:$A$64,0)),0))</f>
        <v>25</v>
      </c>
      <c r="HR76" s="14" t="n">
        <f aca="false">INDEX(Вводные!$D$13:$F$64,MATCH($A76,Вводные!$A$13:$A$64,0),MATCH(HR$3,Вводные!$D$11:$F$11,0))*(1+IF(HR$4=$A76,Вводные!$D$5*INDEX(Вводные!$G$13:$G$64,MATCH($A76,Вводные!$A$13:$A$64,0)),0))</f>
        <v>25</v>
      </c>
      <c r="HS76" s="14" t="n">
        <f aca="false">INDEX(Вводные!$D$13:$F$64,MATCH($A76,Вводные!$A$13:$A$64,0),MATCH(HS$3,Вводные!$D$11:$F$11,0))*(1+IF(HS$4=$A76,Вводные!$D$5*INDEX(Вводные!$G$13:$G$64,MATCH($A76,Вводные!$A$13:$A$64,0)),0))</f>
        <v>25</v>
      </c>
      <c r="HT76" s="14" t="n">
        <f aca="false">INDEX(Вводные!$D$13:$F$64,MATCH($A76,Вводные!$A$13:$A$64,0),MATCH(HT$3,Вводные!$D$11:$F$11,0))*(1+IF(HT$4=$A76,Вводные!$D$5*INDEX(Вводные!$G$13:$G$64,MATCH($A76,Вводные!$A$13:$A$64,0)),0))</f>
        <v>25</v>
      </c>
      <c r="HU76" s="14" t="n">
        <f aca="false">INDEX(Вводные!$D$13:$F$64,MATCH($A76,Вводные!$A$13:$A$64,0),MATCH(HU$3,Вводные!$D$11:$F$11,0))*(1+IF(HU$4=$A76,Вводные!$D$5*INDEX(Вводные!$G$13:$G$64,MATCH($A76,Вводные!$A$13:$A$64,0)),0))</f>
        <v>25</v>
      </c>
      <c r="HV76" s="14" t="n">
        <f aca="false">INDEX(Вводные!$D$13:$F$64,MATCH($A76,Вводные!$A$13:$A$64,0),MATCH(HV$3,Вводные!$D$11:$F$11,0))*(1+IF(HV$4=$A76,Вводные!$D$5*INDEX(Вводные!$G$13:$G$64,MATCH($A76,Вводные!$A$13:$A$64,0)),0))</f>
        <v>25</v>
      </c>
      <c r="HW76" s="14" t="n">
        <f aca="false">INDEX(Вводные!$D$13:$F$64,MATCH($A76,Вводные!$A$13:$A$64,0),MATCH(HW$3,Вводные!$D$11:$F$11,0))*(1+IF(HW$4=$A76,Вводные!$D$5*INDEX(Вводные!$G$13:$G$64,MATCH($A76,Вводные!$A$13:$A$64,0)),0))</f>
        <v>25</v>
      </c>
      <c r="HX76" s="14" t="n">
        <f aca="false">INDEX(Вводные!$D$13:$F$64,MATCH($A76,Вводные!$A$13:$A$64,0),MATCH(HX$3,Вводные!$D$11:$F$11,0))*(1+IF(HX$4=$A76,Вводные!$D$5*INDEX(Вводные!$G$13:$G$64,MATCH($A76,Вводные!$A$13:$A$64,0)),0))</f>
        <v>25</v>
      </c>
      <c r="HY76" s="14" t="n">
        <f aca="false">INDEX(Вводные!$D$13:$F$64,MATCH($A76,Вводные!$A$13:$A$64,0),MATCH(HY$3,Вводные!$D$11:$F$11,0))*(1+IF(HY$4=$A76,Вводные!$D$5*INDEX(Вводные!$G$13:$G$64,MATCH($A76,Вводные!$A$13:$A$64,0)),0))</f>
        <v>25</v>
      </c>
      <c r="HZ76" s="14" t="n">
        <f aca="false">INDEX(Вводные!$D$13:$F$64,MATCH($A76,Вводные!$A$13:$A$64,0),MATCH(HZ$3,Вводные!$D$11:$F$11,0))*(1+IF(HZ$4=$A76,Вводные!$D$5*INDEX(Вводные!$G$13:$G$64,MATCH($A76,Вводные!$A$13:$A$64,0)),0))</f>
        <v>25</v>
      </c>
      <c r="IA76" s="14" t="n">
        <f aca="false">INDEX(Вводные!$D$13:$F$64,MATCH($A76,Вводные!$A$13:$A$64,0),MATCH(IA$3,Вводные!$D$11:$F$11,0))*(1+IF(IA$4=$A76,Вводные!$D$5*INDEX(Вводные!$G$13:$G$64,MATCH($A76,Вводные!$A$13:$A$64,0)),0))</f>
        <v>25</v>
      </c>
      <c r="IB76" s="14" t="n">
        <f aca="false">INDEX(Вводные!$D$13:$F$64,MATCH($A76,Вводные!$A$13:$A$64,0),MATCH(IB$3,Вводные!$D$11:$F$11,0))*(1+IF(IB$4=$A76,Вводные!$D$5*INDEX(Вводные!$G$13:$G$64,MATCH($A76,Вводные!$A$13:$A$64,0)),0))</f>
        <v>25</v>
      </c>
      <c r="IC76" s="14" t="n">
        <f aca="false">INDEX(Вводные!$D$13:$F$64,MATCH($A76,Вводные!$A$13:$A$64,0),MATCH(IC$3,Вводные!$D$11:$F$11,0))*(1+IF(IC$4=$A76,Вводные!$D$5*INDEX(Вводные!$G$13:$G$64,MATCH($A76,Вводные!$A$13:$A$64,0)),0))</f>
        <v>25</v>
      </c>
      <c r="ID76" s="14" t="n">
        <f aca="false">INDEX(Вводные!$D$13:$F$64,MATCH($A76,Вводные!$A$13:$A$64,0),MATCH(ID$3,Вводные!$D$11:$F$11,0))*(1+IF(ID$4=$A76,Вводные!$D$5*INDEX(Вводные!$G$13:$G$64,MATCH($A76,Вводные!$A$13:$A$64,0)),0))</f>
        <v>25</v>
      </c>
      <c r="IE76" s="14" t="n">
        <f aca="false">INDEX(Вводные!$D$13:$F$64,MATCH($A76,Вводные!$A$13:$A$64,0),MATCH(IE$3,Вводные!$D$11:$F$11,0))*(1+IF(IE$4=$A76,Вводные!$D$5*INDEX(Вводные!$G$13:$G$64,MATCH($A76,Вводные!$A$13:$A$64,0)),0))</f>
        <v>25</v>
      </c>
      <c r="IF76" s="14" t="n">
        <f aca="false">INDEX(Вводные!$D$13:$F$64,MATCH($A76,Вводные!$A$13:$A$64,0),MATCH(IF$3,Вводные!$D$11:$F$11,0))*(1+IF(IF$4=$A76,Вводные!$D$5*INDEX(Вводные!$G$13:$G$64,MATCH($A76,Вводные!$A$13:$A$64,0)),0))</f>
        <v>25</v>
      </c>
      <c r="IG76" s="14" t="n">
        <f aca="false">INDEX(Вводные!$D$13:$F$64,MATCH($A76,Вводные!$A$13:$A$64,0),MATCH(IG$3,Вводные!$D$11:$F$11,0))*(1+IF(IG$4=$A76,Вводные!$D$5*INDEX(Вводные!$G$13:$G$64,MATCH($A76,Вводные!$A$13:$A$64,0)),0))</f>
        <v>25</v>
      </c>
      <c r="IH76" s="14" t="n">
        <f aca="false">INDEX(Вводные!$D$13:$F$64,MATCH($A76,Вводные!$A$13:$A$64,0),MATCH(IH$3,Вводные!$D$11:$F$11,0))*(1+IF(IH$4=$A76,Вводные!$D$5*INDEX(Вводные!$G$13:$G$64,MATCH($A76,Вводные!$A$13:$A$64,0)),0))</f>
        <v>25</v>
      </c>
      <c r="II76" s="14" t="n">
        <f aca="false">INDEX(Вводные!$D$13:$F$64,MATCH($A76,Вводные!$A$13:$A$64,0),MATCH(II$3,Вводные!$D$11:$F$11,0))*(1+IF(II$4=$A76,Вводные!$D$5*INDEX(Вводные!$G$13:$G$64,MATCH($A76,Вводные!$A$13:$A$64,0)),0))</f>
        <v>25</v>
      </c>
      <c r="IJ76" s="14" t="n">
        <f aca="false">INDEX(Вводные!$D$13:$F$64,MATCH($A76,Вводные!$A$13:$A$64,0),MATCH(IJ$3,Вводные!$D$11:$F$11,0))*(1+IF(IJ$4=$A76,Вводные!$D$5*INDEX(Вводные!$G$13:$G$64,MATCH($A76,Вводные!$A$13:$A$64,0)),0))</f>
        <v>25</v>
      </c>
      <c r="IK76" s="14" t="n">
        <f aca="false">INDEX(Вводные!$D$13:$F$64,MATCH($A76,Вводные!$A$13:$A$64,0),MATCH(IK$3,Вводные!$D$11:$F$11,0))*(1+IF(IK$4=$A76,Вводные!$D$5*INDEX(Вводные!$G$13:$G$64,MATCH($A76,Вводные!$A$13:$A$64,0)),0))</f>
        <v>25</v>
      </c>
      <c r="IL76" s="14" t="n">
        <f aca="false">INDEX(Вводные!$D$13:$F$64,MATCH($A76,Вводные!$A$13:$A$64,0),MATCH(IL$3,Вводные!$D$11:$F$11,0))*(1+IF(IL$4=$A76,Вводные!$D$5*INDEX(Вводные!$G$13:$G$64,MATCH($A76,Вводные!$A$13:$A$64,0)),0))</f>
        <v>25</v>
      </c>
      <c r="IM76" s="14" t="n">
        <f aca="false">INDEX(Вводные!$D$13:$F$64,MATCH($A76,Вводные!$A$13:$A$64,0),MATCH(IM$3,Вводные!$D$11:$F$11,0))*(1+IF(IM$4=$A76,Вводные!$D$5*INDEX(Вводные!$G$13:$G$64,MATCH($A76,Вводные!$A$13:$A$64,0)),0))</f>
        <v>25</v>
      </c>
      <c r="IN76" s="14" t="n">
        <f aca="false">INDEX(Вводные!$D$13:$F$64,MATCH($A76,Вводные!$A$13:$A$64,0),MATCH(IN$3,Вводные!$D$11:$F$11,0))*(1+IF(IN$4=$A76,Вводные!$D$5*INDEX(Вводные!$G$13:$G$64,MATCH($A76,Вводные!$A$13:$A$64,0)),0))</f>
        <v>25</v>
      </c>
      <c r="IO76" s="14" t="n">
        <f aca="false">INDEX(Вводные!$D$13:$F$64,MATCH($A76,Вводные!$A$13:$A$64,0),MATCH(IO$3,Вводные!$D$11:$F$11,0))*(1+IF(IO$4=$A76,Вводные!$D$5*INDEX(Вводные!$G$13:$G$64,MATCH($A76,Вводные!$A$13:$A$64,0)),0))</f>
        <v>25</v>
      </c>
      <c r="IP76" s="14" t="n">
        <f aca="false">INDEX(Вводные!$D$13:$F$64,MATCH($A76,Вводные!$A$13:$A$64,0),MATCH(IP$3,Вводные!$D$11:$F$11,0))*(1+IF(IP$4=$A76,Вводные!$D$5*INDEX(Вводные!$G$13:$G$64,MATCH($A76,Вводные!$A$13:$A$64,0)),0))</f>
        <v>25</v>
      </c>
      <c r="IQ76" s="14" t="n">
        <f aca="false">INDEX(Вводные!$D$13:$F$64,MATCH($A76,Вводные!$A$13:$A$64,0),MATCH(IQ$3,Вводные!$D$11:$F$11,0))*(1+IF(IQ$4=$A76,Вводные!$D$5*INDEX(Вводные!$G$13:$G$64,MATCH($A76,Вводные!$A$13:$A$64,0)),0))</f>
        <v>25</v>
      </c>
      <c r="IR76" s="14" t="n">
        <f aca="false">INDEX(Вводные!$D$13:$F$64,MATCH($A76,Вводные!$A$13:$A$64,0),MATCH(IR$3,Вводные!$D$11:$F$11,0))*(1+IF(IR$4=$A76,Вводные!$D$5*INDEX(Вводные!$G$13:$G$64,MATCH($A76,Вводные!$A$13:$A$64,0)),0))</f>
        <v>25</v>
      </c>
      <c r="IS76" s="14" t="n">
        <f aca="false">INDEX(Вводные!$D$13:$F$64,MATCH($A76,Вводные!$A$13:$A$64,0),MATCH(IS$3,Вводные!$D$11:$F$11,0))*(1+IF(IS$4=$A76,Вводные!$D$5*INDEX(Вводные!$G$13:$G$64,MATCH($A76,Вводные!$A$13:$A$64,0)),0))</f>
        <v>25</v>
      </c>
      <c r="IT76" s="14" t="n">
        <f aca="false">INDEX(Вводные!$D$13:$F$64,MATCH($A76,Вводные!$A$13:$A$64,0),MATCH(IT$3,Вводные!$D$11:$F$11,0))*(1+IF(IT$4=$A76,Вводные!$D$5*INDEX(Вводные!$G$13:$G$64,MATCH($A76,Вводные!$A$13:$A$64,0)),0))</f>
        <v>25</v>
      </c>
      <c r="IU76" s="14" t="n">
        <f aca="false">INDEX(Вводные!$D$13:$F$64,MATCH($A76,Вводные!$A$13:$A$64,0),MATCH(IU$3,Вводные!$D$11:$F$11,0))*(1+IF(IU$4=$A76,Вводные!$D$5*INDEX(Вводные!$G$13:$G$64,MATCH($A76,Вводные!$A$13:$A$64,0)),0))</f>
        <v>25</v>
      </c>
      <c r="IV76" s="14" t="n">
        <f aca="false">INDEX(Вводные!$D$13:$F$64,MATCH($A76,Вводные!$A$13:$A$64,0),MATCH(IV$3,Вводные!$D$11:$F$11,0))*(1+IF(IV$4=$A76,Вводные!$D$5*INDEX(Вводные!$G$13:$G$64,MATCH($A76,Вводные!$A$13:$A$64,0)),0))</f>
        <v>25</v>
      </c>
      <c r="IW76" s="14" t="n">
        <f aca="false">INDEX(Вводные!$D$13:$F$64,MATCH($A76,Вводные!$A$13:$A$64,0),MATCH(IW$3,Вводные!$D$11:$F$11,0))*(1+IF(IW$4=$A76,Вводные!$D$5*INDEX(Вводные!$G$13:$G$64,MATCH($A76,Вводные!$A$13:$A$64,0)),0))</f>
        <v>24.75</v>
      </c>
      <c r="IX76" s="14" t="n">
        <f aca="false">INDEX(Вводные!$D$13:$F$64,MATCH($A76,Вводные!$A$13:$A$64,0),MATCH(IX$3,Вводные!$D$11:$F$11,0))*(1+IF(IX$4=$A76,Вводные!$D$5*INDEX(Вводные!$G$13:$G$64,MATCH($A76,Вводные!$A$13:$A$64,0)),0))</f>
        <v>25</v>
      </c>
      <c r="IY76" s="14" t="n">
        <f aca="false">INDEX(Вводные!$D$13:$F$64,MATCH($A76,Вводные!$A$13:$A$64,0),MATCH(IY$3,Вводные!$D$11:$F$11,0))*(1+IF(IY$4=$A76,Вводные!$D$5*INDEX(Вводные!$G$13:$G$64,MATCH($A76,Вводные!$A$13:$A$64,0)),0))</f>
        <v>25</v>
      </c>
      <c r="IZ76" s="14" t="n">
        <f aca="false">INDEX(Вводные!$D$13:$F$64,MATCH($A76,Вводные!$A$13:$A$64,0),MATCH(IZ$3,Вводные!$D$11:$F$11,0))*(1+IF(IZ$4=$A76,Вводные!$D$5*INDEX(Вводные!$G$13:$G$64,MATCH($A76,Вводные!$A$13:$A$64,0)),0))</f>
        <v>25</v>
      </c>
      <c r="JA76" s="14" t="n">
        <f aca="false">INDEX(Вводные!$D$13:$F$64,MATCH($A76,Вводные!$A$13:$A$64,0),MATCH(JA$3,Вводные!$D$11:$F$11,0))*(1+IF(JA$4=$A76,Вводные!$D$5*INDEX(Вводные!$G$13:$G$64,MATCH($A76,Вводные!$A$13:$A$64,0)),0))</f>
        <v>25</v>
      </c>
    </row>
    <row r="77" customFormat="false" ht="15" hidden="false" customHeight="false" outlineLevel="0" collapsed="false">
      <c r="A77" s="2" t="s">
        <v>117</v>
      </c>
      <c r="B77" s="13" t="s">
        <v>118</v>
      </c>
      <c r="C77" s="13" t="s">
        <v>179</v>
      </c>
      <c r="D77" s="9" t="s">
        <v>277</v>
      </c>
      <c r="E77" s="59" t="n">
        <f aca="false">E16*E74*E75*E76</f>
        <v>912825</v>
      </c>
      <c r="F77" s="59" t="n">
        <f aca="false">F16*F74*F75*F76</f>
        <v>566625</v>
      </c>
      <c r="G77" s="59" t="n">
        <f aca="false">G16*G74*G75*G76</f>
        <v>603000</v>
      </c>
      <c r="H77" s="59" t="n">
        <f aca="false">SUM(E77:G77)</f>
        <v>2082450</v>
      </c>
      <c r="J77" s="59" t="n">
        <f aca="false">J16*J74*J75*J76</f>
        <v>912825</v>
      </c>
      <c r="K77" s="59" t="n">
        <f aca="false">K16*K74*K75*K76</f>
        <v>913493.25</v>
      </c>
      <c r="L77" s="59" t="n">
        <f aca="false">L16*L74*L75*L76</f>
        <v>913493.25</v>
      </c>
      <c r="M77" s="59" t="n">
        <f aca="false">M16*M74*M75*M76</f>
        <v>913493.25</v>
      </c>
      <c r="N77" s="59" t="n">
        <f aca="false">N16*N74*N75*N76</f>
        <v>913365</v>
      </c>
      <c r="O77" s="59" t="n">
        <f aca="false">O16*O74*O75*O76</f>
        <v>912825</v>
      </c>
      <c r="P77" s="59" t="n">
        <f aca="false">P16*P74*P75*P76</f>
        <v>912825</v>
      </c>
      <c r="Q77" s="59" t="n">
        <f aca="false">Q16*Q74*Q75*Q76</f>
        <v>912825</v>
      </c>
      <c r="R77" s="59" t="n">
        <f aca="false">R16*R74*R75*R76</f>
        <v>912825</v>
      </c>
      <c r="S77" s="59" t="n">
        <f aca="false">S16*S74*S75*S76</f>
        <v>912825</v>
      </c>
      <c r="T77" s="59" t="n">
        <f aca="false">T16*T74*T75*T76</f>
        <v>912825</v>
      </c>
      <c r="U77" s="59" t="n">
        <f aca="false">U16*U74*U75*U76</f>
        <v>912825</v>
      </c>
      <c r="V77" s="59" t="n">
        <f aca="false">V16*V74*V75*V76</f>
        <v>912825</v>
      </c>
      <c r="W77" s="59" t="n">
        <f aca="false">W16*W74*W75*W76</f>
        <v>912825</v>
      </c>
      <c r="X77" s="59" t="n">
        <f aca="false">X16*X74*X75*X76</f>
        <v>912825</v>
      </c>
      <c r="Y77" s="59" t="n">
        <f aca="false">Y16*Y74*Y75*Y76</f>
        <v>912825</v>
      </c>
      <c r="Z77" s="59" t="n">
        <f aca="false">Z16*Z74*Z75*Z76</f>
        <v>912825</v>
      </c>
      <c r="AA77" s="59" t="n">
        <f aca="false">AA16*AA74*AA75*AA76</f>
        <v>912825</v>
      </c>
      <c r="AB77" s="59" t="n">
        <f aca="false">AB16*AB74*AB75*AB76</f>
        <v>912825</v>
      </c>
      <c r="AC77" s="59" t="n">
        <f aca="false">AC16*AC74*AC75*AC76</f>
        <v>912825</v>
      </c>
      <c r="AD77" s="59" t="n">
        <f aca="false">AD16*AD74*AD75*AD76</f>
        <v>912825</v>
      </c>
      <c r="AE77" s="59" t="n">
        <f aca="false">AE16*AE74*AE75*AE76</f>
        <v>912825</v>
      </c>
      <c r="AF77" s="59" t="n">
        <f aca="false">AF16*AF74*AF75*AF76</f>
        <v>912825</v>
      </c>
      <c r="AG77" s="59" t="n">
        <f aca="false">AG16*AG74*AG75*AG76</f>
        <v>912825</v>
      </c>
      <c r="AH77" s="59" t="n">
        <f aca="false">AH16*AH74*AH75*AH76</f>
        <v>912825</v>
      </c>
      <c r="AI77" s="59" t="n">
        <f aca="false">AI16*AI74*AI75*AI76</f>
        <v>912825</v>
      </c>
      <c r="AJ77" s="59" t="n">
        <f aca="false">AJ16*AJ74*AJ75*AJ76</f>
        <v>912825</v>
      </c>
      <c r="AK77" s="59" t="n">
        <f aca="false">AK16*AK74*AK75*AK76</f>
        <v>912825</v>
      </c>
      <c r="AL77" s="59" t="n">
        <f aca="false">AL16*AL74*AL75*AL76</f>
        <v>912825</v>
      </c>
      <c r="AM77" s="59" t="n">
        <f aca="false">AM16*AM74*AM75*AM76</f>
        <v>912825</v>
      </c>
      <c r="AN77" s="59" t="n">
        <f aca="false">AN16*AN74*AN75*AN76</f>
        <v>912825</v>
      </c>
      <c r="AO77" s="59" t="n">
        <f aca="false">AO16*AO74*AO75*AO76</f>
        <v>912825</v>
      </c>
      <c r="AP77" s="59" t="n">
        <f aca="false">AP16*AP74*AP75*AP76</f>
        <v>912825</v>
      </c>
      <c r="AQ77" s="59" t="n">
        <f aca="false">AQ16*AQ74*AQ75*AQ76</f>
        <v>912825</v>
      </c>
      <c r="AR77" s="59" t="n">
        <f aca="false">AR16*AR74*AR75*AR76</f>
        <v>912825</v>
      </c>
      <c r="AS77" s="59" t="n">
        <f aca="false">AS16*AS74*AS75*AS76</f>
        <v>903696.75</v>
      </c>
      <c r="AT77" s="59" t="n">
        <f aca="false">AT16*AT74*AT75*AT76</f>
        <v>903696.75</v>
      </c>
      <c r="AU77" s="59" t="n">
        <f aca="false">AU16*AU74*AU75*AU76</f>
        <v>903696.75</v>
      </c>
      <c r="AV77" s="59" t="n">
        <f aca="false">AV16*AV74*AV75*AV76</f>
        <v>912825</v>
      </c>
      <c r="AW77" s="59" t="n">
        <f aca="false">AW16*AW74*AW75*AW76</f>
        <v>912825</v>
      </c>
      <c r="AX77" s="59" t="n">
        <f aca="false">AX16*AX74*AX75*AX76</f>
        <v>912825</v>
      </c>
      <c r="AY77" s="59" t="n">
        <f aca="false">AY16*AY74*AY75*AY76</f>
        <v>912825</v>
      </c>
      <c r="AZ77" s="59" t="n">
        <f aca="false">AZ16*AZ74*AZ75*AZ76</f>
        <v>566625</v>
      </c>
      <c r="BA77" s="59" t="n">
        <f aca="false">BA16*BA74*BA75*BA76</f>
        <v>566835</v>
      </c>
      <c r="BB77" s="59" t="n">
        <f aca="false">BB16*BB74*BB75*BB76</f>
        <v>566835</v>
      </c>
      <c r="BC77" s="59" t="n">
        <f aca="false">BC16*BC74*BC75*BC76</f>
        <v>566835</v>
      </c>
      <c r="BD77" s="59" t="n">
        <f aca="false">BD16*BD74*BD75*BD76</f>
        <v>566793.75</v>
      </c>
      <c r="BE77" s="59" t="n">
        <f aca="false">BE16*BE74*BE75*BE76</f>
        <v>566625</v>
      </c>
      <c r="BF77" s="59" t="n">
        <f aca="false">BF16*BF74*BF75*BF76</f>
        <v>566625</v>
      </c>
      <c r="BG77" s="59" t="n">
        <f aca="false">BG16*BG74*BG75*BG76</f>
        <v>566625</v>
      </c>
      <c r="BH77" s="59" t="n">
        <f aca="false">BH16*BH74*BH75*BH76</f>
        <v>566625</v>
      </c>
      <c r="BI77" s="59" t="n">
        <f aca="false">BI16*BI74*BI75*BI76</f>
        <v>566625</v>
      </c>
      <c r="BJ77" s="59" t="n">
        <f aca="false">BJ16*BJ74*BJ75*BJ76</f>
        <v>566625</v>
      </c>
      <c r="BK77" s="59" t="n">
        <f aca="false">BK16*BK74*BK75*BK76</f>
        <v>566625</v>
      </c>
      <c r="BL77" s="59" t="n">
        <f aca="false">BL16*BL74*BL75*BL76</f>
        <v>566625</v>
      </c>
      <c r="BM77" s="59" t="n">
        <f aca="false">BM16*BM74*BM75*BM76</f>
        <v>566625</v>
      </c>
      <c r="BN77" s="59" t="n">
        <f aca="false">BN16*BN74*BN75*BN76</f>
        <v>566625</v>
      </c>
      <c r="BO77" s="59" t="n">
        <f aca="false">BO16*BO74*BO75*BO76</f>
        <v>566625</v>
      </c>
      <c r="BP77" s="59" t="n">
        <f aca="false">BP16*BP74*BP75*BP76</f>
        <v>566625</v>
      </c>
      <c r="BQ77" s="59" t="n">
        <f aca="false">BQ16*BQ74*BQ75*BQ76</f>
        <v>566625</v>
      </c>
      <c r="BR77" s="59" t="n">
        <f aca="false">BR16*BR74*BR75*BR76</f>
        <v>566625</v>
      </c>
      <c r="BS77" s="59" t="n">
        <f aca="false">BS16*BS74*BS75*BS76</f>
        <v>566625</v>
      </c>
      <c r="BT77" s="59" t="n">
        <f aca="false">BT16*BT74*BT75*BT76</f>
        <v>566625</v>
      </c>
      <c r="BU77" s="59" t="n">
        <f aca="false">BU16*BU74*BU75*BU76</f>
        <v>566625</v>
      </c>
      <c r="BV77" s="59" t="n">
        <f aca="false">BV16*BV74*BV75*BV76</f>
        <v>566625</v>
      </c>
      <c r="BW77" s="59" t="n">
        <f aca="false">BW16*BW74*BW75*BW76</f>
        <v>566625</v>
      </c>
      <c r="BX77" s="59" t="n">
        <f aca="false">BX16*BX74*BX75*BX76</f>
        <v>566625</v>
      </c>
      <c r="BY77" s="59" t="n">
        <f aca="false">BY16*BY74*BY75*BY76</f>
        <v>566625</v>
      </c>
      <c r="BZ77" s="59" t="n">
        <f aca="false">BZ16*BZ74*BZ75*BZ76</f>
        <v>566625</v>
      </c>
      <c r="CA77" s="59" t="n">
        <f aca="false">CA16*CA74*CA75*CA76</f>
        <v>566625</v>
      </c>
      <c r="CB77" s="59" t="n">
        <f aca="false">CB16*CB74*CB75*CB76</f>
        <v>566625</v>
      </c>
      <c r="CC77" s="59" t="n">
        <f aca="false">CC16*CC74*CC75*CC76</f>
        <v>566625</v>
      </c>
      <c r="CD77" s="59" t="n">
        <f aca="false">CD16*CD74*CD75*CD76</f>
        <v>566625</v>
      </c>
      <c r="CE77" s="59" t="n">
        <f aca="false">CE16*CE74*CE75*CE76</f>
        <v>566625</v>
      </c>
      <c r="CF77" s="59" t="n">
        <f aca="false">CF16*CF74*CF75*CF76</f>
        <v>566625</v>
      </c>
      <c r="CG77" s="59" t="n">
        <f aca="false">CG16*CG74*CG75*CG76</f>
        <v>566625</v>
      </c>
      <c r="CH77" s="59" t="n">
        <f aca="false">CH16*CH74*CH75*CH76</f>
        <v>566625</v>
      </c>
      <c r="CI77" s="59" t="n">
        <f aca="false">CI16*CI74*CI75*CI76</f>
        <v>560958.75</v>
      </c>
      <c r="CJ77" s="59" t="n">
        <f aca="false">CJ16*CJ74*CJ75*CJ76</f>
        <v>560958.75</v>
      </c>
      <c r="CK77" s="59" t="n">
        <f aca="false">CK16*CK74*CK75*CK76</f>
        <v>560958.75</v>
      </c>
      <c r="CL77" s="59" t="n">
        <f aca="false">CL16*CL74*CL75*CL76</f>
        <v>566625</v>
      </c>
      <c r="CM77" s="59" t="n">
        <f aca="false">CM16*CM74*CM75*CM76</f>
        <v>566625</v>
      </c>
      <c r="CN77" s="59" t="n">
        <f aca="false">CN16*CN74*CN75*CN76</f>
        <v>566625</v>
      </c>
      <c r="CO77" s="59" t="n">
        <f aca="false">CO16*CO74*CO75*CO76</f>
        <v>566625</v>
      </c>
      <c r="CP77" s="59" t="n">
        <f aca="false">CP16*CP74*CP75*CP76</f>
        <v>603000</v>
      </c>
      <c r="CQ77" s="59" t="n">
        <f aca="false">CQ16*CQ74*CQ75*CQ76</f>
        <v>603270</v>
      </c>
      <c r="CR77" s="59" t="n">
        <f aca="false">CR16*CR74*CR75*CR76</f>
        <v>603270</v>
      </c>
      <c r="CS77" s="59" t="n">
        <f aca="false">CS16*CS74*CS75*CS76</f>
        <v>603270</v>
      </c>
      <c r="CT77" s="59" t="n">
        <f aca="false">CT16*CT74*CT75*CT76</f>
        <v>603240</v>
      </c>
      <c r="CU77" s="59" t="n">
        <f aca="false">CU16*CU74*CU75*CU76</f>
        <v>603000</v>
      </c>
      <c r="CV77" s="59" t="n">
        <f aca="false">CV16*CV74*CV75*CV76</f>
        <v>603000</v>
      </c>
      <c r="CW77" s="59" t="n">
        <f aca="false">CW16*CW74*CW75*CW76</f>
        <v>603000</v>
      </c>
      <c r="CX77" s="59" t="n">
        <f aca="false">CX16*CX74*CX75*CX76</f>
        <v>603000</v>
      </c>
      <c r="CY77" s="59" t="n">
        <f aca="false">CY16*CY74*CY75*CY76</f>
        <v>603000</v>
      </c>
      <c r="CZ77" s="59" t="n">
        <f aca="false">CZ16*CZ74*CZ75*CZ76</f>
        <v>603000</v>
      </c>
      <c r="DA77" s="59" t="n">
        <f aca="false">DA16*DA74*DA75*DA76</f>
        <v>603000</v>
      </c>
      <c r="DB77" s="59" t="n">
        <f aca="false">DB16*DB74*DB75*DB76</f>
        <v>603000</v>
      </c>
      <c r="DC77" s="59" t="n">
        <f aca="false">DC16*DC74*DC75*DC76</f>
        <v>603000</v>
      </c>
      <c r="DD77" s="59" t="n">
        <f aca="false">DD16*DD74*DD75*DD76</f>
        <v>603000</v>
      </c>
      <c r="DE77" s="59" t="n">
        <f aca="false">DE16*DE74*DE75*DE76</f>
        <v>603000</v>
      </c>
      <c r="DF77" s="59" t="n">
        <f aca="false">DF16*DF74*DF75*DF76</f>
        <v>603000</v>
      </c>
      <c r="DG77" s="59" t="n">
        <f aca="false">DG16*DG74*DG75*DG76</f>
        <v>603000</v>
      </c>
      <c r="DH77" s="59" t="n">
        <f aca="false">DH16*DH74*DH75*DH76</f>
        <v>603000</v>
      </c>
      <c r="DI77" s="59" t="n">
        <f aca="false">DI16*DI74*DI75*DI76</f>
        <v>603000</v>
      </c>
      <c r="DJ77" s="59" t="n">
        <f aca="false">DJ16*DJ74*DJ75*DJ76</f>
        <v>603000</v>
      </c>
      <c r="DK77" s="59" t="n">
        <f aca="false">DK16*DK74*DK75*DK76</f>
        <v>603000</v>
      </c>
      <c r="DL77" s="59" t="n">
        <f aca="false">DL16*DL74*DL75*DL76</f>
        <v>603000</v>
      </c>
      <c r="DM77" s="59" t="n">
        <f aca="false">DM16*DM74*DM75*DM76</f>
        <v>603000</v>
      </c>
      <c r="DN77" s="59" t="n">
        <f aca="false">DN16*DN74*DN75*DN76</f>
        <v>603000</v>
      </c>
      <c r="DO77" s="59" t="n">
        <f aca="false">DO16*DO74*DO75*DO76</f>
        <v>603000</v>
      </c>
      <c r="DP77" s="59" t="n">
        <f aca="false">DP16*DP74*DP75*DP76</f>
        <v>603000</v>
      </c>
      <c r="DQ77" s="59" t="n">
        <f aca="false">DQ16*DQ74*DQ75*DQ76</f>
        <v>603000</v>
      </c>
      <c r="DR77" s="59" t="n">
        <f aca="false">DR16*DR74*DR75*DR76</f>
        <v>603000</v>
      </c>
      <c r="DS77" s="59" t="n">
        <f aca="false">DS16*DS74*DS75*DS76</f>
        <v>603000</v>
      </c>
      <c r="DT77" s="59" t="n">
        <f aca="false">DT16*DT74*DT75*DT76</f>
        <v>603000</v>
      </c>
      <c r="DU77" s="59" t="n">
        <f aca="false">DU16*DU74*DU75*DU76</f>
        <v>603000</v>
      </c>
      <c r="DV77" s="59" t="n">
        <f aca="false">DV16*DV74*DV75*DV76</f>
        <v>603000</v>
      </c>
      <c r="DW77" s="59" t="n">
        <f aca="false">DW16*DW74*DW75*DW76</f>
        <v>603000</v>
      </c>
      <c r="DX77" s="59" t="n">
        <f aca="false">DX16*DX74*DX75*DX76</f>
        <v>603000</v>
      </c>
      <c r="DY77" s="59" t="n">
        <f aca="false">DY16*DY74*DY75*DY76</f>
        <v>596970</v>
      </c>
      <c r="DZ77" s="59" t="n">
        <f aca="false">DZ16*DZ74*DZ75*DZ76</f>
        <v>596970</v>
      </c>
      <c r="EA77" s="59" t="n">
        <f aca="false">EA16*EA74*EA75*EA76</f>
        <v>596970</v>
      </c>
      <c r="EB77" s="59" t="n">
        <f aca="false">EB16*EB74*EB75*EB76</f>
        <v>603000</v>
      </c>
      <c r="EC77" s="59" t="n">
        <f aca="false">EC16*EC74*EC75*EC76</f>
        <v>603000</v>
      </c>
      <c r="ED77" s="59" t="n">
        <f aca="false">ED16*ED74*ED75*ED76</f>
        <v>603000</v>
      </c>
      <c r="EE77" s="59" t="n">
        <f aca="false">EE16*EE74*EE75*EE76</f>
        <v>603000</v>
      </c>
      <c r="EF77" s="59" t="n">
        <f aca="false">EF16*EF74*EF75*EF76</f>
        <v>1113750</v>
      </c>
      <c r="EG77" s="59" t="n">
        <f aca="false">EG16*EG74*EG75*EG76</f>
        <v>1124887.5</v>
      </c>
      <c r="EH77" s="59" t="n">
        <f aca="false">EH16*EH74*EH75*EH76</f>
        <v>1124887.5</v>
      </c>
      <c r="EI77" s="59" t="n">
        <f aca="false">EI16*EI74*EI75*EI76</f>
        <v>1124887.5</v>
      </c>
      <c r="EJ77" s="59" t="n">
        <f aca="false">EJ16*EJ74*EJ75*EJ76</f>
        <v>1125000</v>
      </c>
      <c r="EK77" s="59" t="n">
        <f aca="false">EK16*EK74*EK75*EK76</f>
        <v>1113750</v>
      </c>
      <c r="EL77" s="59" t="n">
        <f aca="false">EL16*EL74*EL75*EL76</f>
        <v>1113750</v>
      </c>
      <c r="EM77" s="59" t="n">
        <f aca="false">EM16*EM74*EM75*EM76</f>
        <v>1113750</v>
      </c>
      <c r="EN77" s="59" t="n">
        <f aca="false">EN16*EN74*EN75*EN76</f>
        <v>1113750</v>
      </c>
      <c r="EO77" s="59" t="n">
        <f aca="false">EO16*EO74*EO75*EO76</f>
        <v>1113750</v>
      </c>
      <c r="EP77" s="59" t="n">
        <f aca="false">EP16*EP74*EP75*EP76</f>
        <v>1113750</v>
      </c>
      <c r="EQ77" s="59" t="n">
        <f aca="false">EQ16*EQ74*EQ75*EQ76</f>
        <v>1113750</v>
      </c>
      <c r="ER77" s="59" t="n">
        <f aca="false">ER16*ER74*ER75*ER76</f>
        <v>1113750</v>
      </c>
      <c r="ES77" s="59" t="n">
        <f aca="false">ES16*ES74*ES75*ES76</f>
        <v>1113750</v>
      </c>
      <c r="ET77" s="59" t="n">
        <f aca="false">ET16*ET74*ET75*ET76</f>
        <v>1113750</v>
      </c>
      <c r="EU77" s="59" t="n">
        <f aca="false">EU16*EU74*EU75*EU76</f>
        <v>1113750</v>
      </c>
      <c r="EV77" s="59" t="n">
        <f aca="false">EV16*EV74*EV75*EV76</f>
        <v>1113750</v>
      </c>
      <c r="EW77" s="59" t="n">
        <f aca="false">EW16*EW74*EW75*EW76</f>
        <v>1113750</v>
      </c>
      <c r="EX77" s="59" t="n">
        <f aca="false">EX16*EX74*EX75*EX76</f>
        <v>1113750</v>
      </c>
      <c r="EY77" s="59" t="n">
        <f aca="false">EY16*EY74*EY75*EY76</f>
        <v>1113750</v>
      </c>
      <c r="EZ77" s="59" t="n">
        <f aca="false">EZ16*EZ74*EZ75*EZ76</f>
        <v>1113750</v>
      </c>
      <c r="FA77" s="59" t="n">
        <f aca="false">FA16*FA74*FA75*FA76</f>
        <v>1113750</v>
      </c>
      <c r="FB77" s="59" t="n">
        <f aca="false">FB16*FB74*FB75*FB76</f>
        <v>1113750</v>
      </c>
      <c r="FC77" s="59" t="n">
        <f aca="false">FC16*FC74*FC75*FC76</f>
        <v>1113750</v>
      </c>
      <c r="FD77" s="59" t="n">
        <f aca="false">FD16*FD74*FD75*FD76</f>
        <v>1113750</v>
      </c>
      <c r="FE77" s="59" t="n">
        <f aca="false">FE16*FE74*FE75*FE76</f>
        <v>1113750</v>
      </c>
      <c r="FF77" s="59" t="n">
        <f aca="false">FF16*FF74*FF75*FF76</f>
        <v>1113750</v>
      </c>
      <c r="FG77" s="59" t="n">
        <f aca="false">FG16*FG74*FG75*FG76</f>
        <v>1113750</v>
      </c>
      <c r="FH77" s="59" t="n">
        <f aca="false">FH16*FH74*FH75*FH76</f>
        <v>1113750</v>
      </c>
      <c r="FI77" s="59" t="n">
        <f aca="false">FI16*FI74*FI75*FI76</f>
        <v>1113750</v>
      </c>
      <c r="FJ77" s="59" t="n">
        <f aca="false">FJ16*FJ74*FJ75*FJ76</f>
        <v>1113750</v>
      </c>
      <c r="FK77" s="59" t="n">
        <f aca="false">FK16*FK74*FK75*FK76</f>
        <v>1113750</v>
      </c>
      <c r="FL77" s="59" t="n">
        <f aca="false">FL16*FL74*FL75*FL76</f>
        <v>1113750</v>
      </c>
      <c r="FM77" s="59" t="n">
        <f aca="false">FM16*FM74*FM75*FM76</f>
        <v>1113750</v>
      </c>
      <c r="FN77" s="59" t="n">
        <f aca="false">FN16*FN74*FN75*FN76</f>
        <v>1113750</v>
      </c>
      <c r="FO77" s="59" t="n">
        <f aca="false">FO16*FO74*FO75*FO76</f>
        <v>1102612.5</v>
      </c>
      <c r="FP77" s="59" t="n">
        <f aca="false">FP16*FP74*FP75*FP76</f>
        <v>1102612.5</v>
      </c>
      <c r="FQ77" s="59" t="n">
        <f aca="false">FQ16*FQ74*FQ75*FQ76</f>
        <v>1102612.5</v>
      </c>
      <c r="FR77" s="59" t="n">
        <f aca="false">FR16*FR74*FR75*FR76</f>
        <v>1113750</v>
      </c>
      <c r="FS77" s="59" t="n">
        <f aca="false">FS16*FS74*FS75*FS76</f>
        <v>1113750</v>
      </c>
      <c r="FT77" s="59" t="n">
        <f aca="false">FT16*FT74*FT75*FT76</f>
        <v>1113750</v>
      </c>
      <c r="FU77" s="59" t="n">
        <f aca="false">FU16*FU74*FU75*FU76</f>
        <v>1113750</v>
      </c>
      <c r="FV77" s="59" t="n">
        <f aca="false">FV16*FV74*FV75*FV76</f>
        <v>700000</v>
      </c>
      <c r="FW77" s="59" t="n">
        <f aca="false">FW16*FW74*FW75*FW76</f>
        <v>707000</v>
      </c>
      <c r="FX77" s="59" t="n">
        <f aca="false">FX16*FX74*FX75*FX76</f>
        <v>707000</v>
      </c>
      <c r="FY77" s="59" t="n">
        <f aca="false">FY16*FY74*FY75*FY76</f>
        <v>707000</v>
      </c>
      <c r="FZ77" s="59" t="n">
        <f aca="false">FZ16*FZ74*FZ75*FZ76</f>
        <v>707070.707070707</v>
      </c>
      <c r="GA77" s="59" t="n">
        <f aca="false">GA16*GA74*GA75*GA76</f>
        <v>700000</v>
      </c>
      <c r="GB77" s="59" t="n">
        <f aca="false">GB16*GB74*GB75*GB76</f>
        <v>700000</v>
      </c>
      <c r="GC77" s="59" t="n">
        <f aca="false">GC16*GC74*GC75*GC76</f>
        <v>700000</v>
      </c>
      <c r="GD77" s="59" t="n">
        <f aca="false">GD16*GD74*GD75*GD76</f>
        <v>700000</v>
      </c>
      <c r="GE77" s="59" t="n">
        <f aca="false">GE16*GE74*GE75*GE76</f>
        <v>700000</v>
      </c>
      <c r="GF77" s="59" t="n">
        <f aca="false">GF16*GF74*GF75*GF76</f>
        <v>700000</v>
      </c>
      <c r="GG77" s="59" t="n">
        <f aca="false">GG16*GG74*GG75*GG76</f>
        <v>700000</v>
      </c>
      <c r="GH77" s="59" t="n">
        <f aca="false">GH16*GH74*GH75*GH76</f>
        <v>700000</v>
      </c>
      <c r="GI77" s="59" t="n">
        <f aca="false">GI16*GI74*GI75*GI76</f>
        <v>700000</v>
      </c>
      <c r="GJ77" s="59" t="n">
        <f aca="false">GJ16*GJ74*GJ75*GJ76</f>
        <v>700000</v>
      </c>
      <c r="GK77" s="59" t="n">
        <f aca="false">GK16*GK74*GK75*GK76</f>
        <v>700000</v>
      </c>
      <c r="GL77" s="59" t="n">
        <f aca="false">GL16*GL74*GL75*GL76</f>
        <v>700000</v>
      </c>
      <c r="GM77" s="59" t="n">
        <f aca="false">GM16*GM74*GM75*GM76</f>
        <v>700000</v>
      </c>
      <c r="GN77" s="59" t="n">
        <f aca="false">GN16*GN74*GN75*GN76</f>
        <v>700000</v>
      </c>
      <c r="GO77" s="59" t="n">
        <f aca="false">GO16*GO74*GO75*GO76</f>
        <v>700000</v>
      </c>
      <c r="GP77" s="59" t="n">
        <f aca="false">GP16*GP74*GP75*GP76</f>
        <v>700000</v>
      </c>
      <c r="GQ77" s="59" t="n">
        <f aca="false">GQ16*GQ74*GQ75*GQ76</f>
        <v>700000</v>
      </c>
      <c r="GR77" s="59" t="n">
        <f aca="false">GR16*GR74*GR75*GR76</f>
        <v>700000</v>
      </c>
      <c r="GS77" s="59" t="n">
        <f aca="false">GS16*GS74*GS75*GS76</f>
        <v>700000</v>
      </c>
      <c r="GT77" s="59" t="n">
        <f aca="false">GT16*GT74*GT75*GT76</f>
        <v>700000</v>
      </c>
      <c r="GU77" s="59" t="n">
        <f aca="false">GU16*GU74*GU75*GU76</f>
        <v>700000</v>
      </c>
      <c r="GV77" s="59" t="n">
        <f aca="false">GV16*GV74*GV75*GV76</f>
        <v>700000</v>
      </c>
      <c r="GW77" s="59" t="n">
        <f aca="false">GW16*GW74*GW75*GW76</f>
        <v>700000</v>
      </c>
      <c r="GX77" s="59" t="n">
        <f aca="false">GX16*GX74*GX75*GX76</f>
        <v>700000</v>
      </c>
      <c r="GY77" s="59" t="n">
        <f aca="false">GY16*GY74*GY75*GY76</f>
        <v>700000</v>
      </c>
      <c r="GZ77" s="59" t="n">
        <f aca="false">GZ16*GZ74*GZ75*GZ76</f>
        <v>700000</v>
      </c>
      <c r="HA77" s="59" t="n">
        <f aca="false">HA16*HA74*HA75*HA76</f>
        <v>700000</v>
      </c>
      <c r="HB77" s="59" t="n">
        <f aca="false">HB16*HB74*HB75*HB76</f>
        <v>700000</v>
      </c>
      <c r="HC77" s="59" t="n">
        <f aca="false">HC16*HC74*HC75*HC76</f>
        <v>700000</v>
      </c>
      <c r="HD77" s="59" t="n">
        <f aca="false">HD16*HD74*HD75*HD76</f>
        <v>700000</v>
      </c>
      <c r="HE77" s="59" t="n">
        <f aca="false">HE16*HE74*HE75*HE76</f>
        <v>693000</v>
      </c>
      <c r="HF77" s="59" t="n">
        <f aca="false">HF16*HF74*HF75*HF76</f>
        <v>693000</v>
      </c>
      <c r="HG77" s="59" t="n">
        <f aca="false">HG16*HG74*HG75*HG76</f>
        <v>693000</v>
      </c>
      <c r="HH77" s="59" t="n">
        <f aca="false">HH16*HH74*HH75*HH76</f>
        <v>700000</v>
      </c>
      <c r="HI77" s="59" t="n">
        <f aca="false">HI16*HI74*HI75*HI76</f>
        <v>700000</v>
      </c>
      <c r="HJ77" s="59" t="n">
        <f aca="false">HJ16*HJ74*HJ75*HJ76</f>
        <v>700000</v>
      </c>
      <c r="HK77" s="59" t="n">
        <f aca="false">HK16*HK74*HK75*HK76</f>
        <v>700000</v>
      </c>
      <c r="HL77" s="59" t="n">
        <f aca="false">HL16*HL74*HL75*HL76</f>
        <v>675000</v>
      </c>
      <c r="HM77" s="59" t="n">
        <f aca="false">HM16*HM74*HM75*HM76</f>
        <v>681750</v>
      </c>
      <c r="HN77" s="59" t="n">
        <f aca="false">HN16*HN74*HN75*HN76</f>
        <v>681750</v>
      </c>
      <c r="HO77" s="59" t="n">
        <f aca="false">HO16*HO74*HO75*HO76</f>
        <v>681750</v>
      </c>
      <c r="HP77" s="59" t="n">
        <f aca="false">HP16*HP74*HP75*HP76</f>
        <v>681818.181818182</v>
      </c>
      <c r="HQ77" s="59" t="n">
        <f aca="false">HQ16*HQ74*HQ75*HQ76</f>
        <v>675000</v>
      </c>
      <c r="HR77" s="59" t="n">
        <f aca="false">HR16*HR74*HR75*HR76</f>
        <v>675000</v>
      </c>
      <c r="HS77" s="59" t="n">
        <f aca="false">HS16*HS74*HS75*HS76</f>
        <v>675000</v>
      </c>
      <c r="HT77" s="59" t="n">
        <f aca="false">HT16*HT74*HT75*HT76</f>
        <v>675000</v>
      </c>
      <c r="HU77" s="59" t="n">
        <f aca="false">HU16*HU74*HU75*HU76</f>
        <v>675000</v>
      </c>
      <c r="HV77" s="59" t="n">
        <f aca="false">HV16*HV74*HV75*HV76</f>
        <v>675000</v>
      </c>
      <c r="HW77" s="59" t="n">
        <f aca="false">HW16*HW74*HW75*HW76</f>
        <v>675000</v>
      </c>
      <c r="HX77" s="59" t="n">
        <f aca="false">HX16*HX74*HX75*HX76</f>
        <v>675000</v>
      </c>
      <c r="HY77" s="59" t="n">
        <f aca="false">HY16*HY74*HY75*HY76</f>
        <v>675000</v>
      </c>
      <c r="HZ77" s="59" t="n">
        <f aca="false">HZ16*HZ74*HZ75*HZ76</f>
        <v>675000</v>
      </c>
      <c r="IA77" s="59" t="n">
        <f aca="false">IA16*IA74*IA75*IA76</f>
        <v>675000</v>
      </c>
      <c r="IB77" s="59" t="n">
        <f aca="false">IB16*IB74*IB75*IB76</f>
        <v>675000</v>
      </c>
      <c r="IC77" s="59" t="n">
        <f aca="false">IC16*IC74*IC75*IC76</f>
        <v>675000</v>
      </c>
      <c r="ID77" s="59" t="n">
        <f aca="false">ID16*ID74*ID75*ID76</f>
        <v>675000</v>
      </c>
      <c r="IE77" s="59" t="n">
        <f aca="false">IE16*IE74*IE75*IE76</f>
        <v>675000</v>
      </c>
      <c r="IF77" s="59" t="n">
        <f aca="false">IF16*IF74*IF75*IF76</f>
        <v>675000</v>
      </c>
      <c r="IG77" s="59" t="n">
        <f aca="false">IG16*IG74*IG75*IG76</f>
        <v>675000</v>
      </c>
      <c r="IH77" s="59" t="n">
        <f aca="false">IH16*IH74*IH75*IH76</f>
        <v>675000</v>
      </c>
      <c r="II77" s="59" t="n">
        <f aca="false">II16*II74*II75*II76</f>
        <v>675000</v>
      </c>
      <c r="IJ77" s="59" t="n">
        <f aca="false">IJ16*IJ74*IJ75*IJ76</f>
        <v>675000</v>
      </c>
      <c r="IK77" s="59" t="n">
        <f aca="false">IK16*IK74*IK75*IK76</f>
        <v>675000</v>
      </c>
      <c r="IL77" s="59" t="n">
        <f aca="false">IL16*IL74*IL75*IL76</f>
        <v>675000</v>
      </c>
      <c r="IM77" s="59" t="n">
        <f aca="false">IM16*IM74*IM75*IM76</f>
        <v>675000</v>
      </c>
      <c r="IN77" s="59" t="n">
        <f aca="false">IN16*IN74*IN75*IN76</f>
        <v>675000</v>
      </c>
      <c r="IO77" s="59" t="n">
        <f aca="false">IO16*IO74*IO75*IO76</f>
        <v>675000</v>
      </c>
      <c r="IP77" s="59" t="n">
        <f aca="false">IP16*IP74*IP75*IP76</f>
        <v>675000</v>
      </c>
      <c r="IQ77" s="59" t="n">
        <f aca="false">IQ16*IQ74*IQ75*IQ76</f>
        <v>675000</v>
      </c>
      <c r="IR77" s="59" t="n">
        <f aca="false">IR16*IR74*IR75*IR76</f>
        <v>675000</v>
      </c>
      <c r="IS77" s="59" t="n">
        <f aca="false">IS16*IS74*IS75*IS76</f>
        <v>675000</v>
      </c>
      <c r="IT77" s="59" t="n">
        <f aca="false">IT16*IT74*IT75*IT76</f>
        <v>675000</v>
      </c>
      <c r="IU77" s="59" t="n">
        <f aca="false">IU16*IU74*IU75*IU76</f>
        <v>668250</v>
      </c>
      <c r="IV77" s="59" t="n">
        <f aca="false">IV16*IV74*IV75*IV76</f>
        <v>668250</v>
      </c>
      <c r="IW77" s="59" t="n">
        <f aca="false">IW16*IW74*IW75*IW76</f>
        <v>668250</v>
      </c>
      <c r="IX77" s="59" t="n">
        <f aca="false">IX16*IX74*IX75*IX76</f>
        <v>675000</v>
      </c>
      <c r="IY77" s="59" t="n">
        <f aca="false">IY16*IY74*IY75*IY76</f>
        <v>675000</v>
      </c>
      <c r="IZ77" s="59" t="n">
        <f aca="false">IZ16*IZ74*IZ75*IZ76</f>
        <v>675000</v>
      </c>
      <c r="JA77" s="59" t="n">
        <f aca="false">JA16*JA74*JA75*JA76</f>
        <v>675000</v>
      </c>
    </row>
    <row r="78" customFormat="false" ht="15" hidden="false" customHeight="false" outlineLevel="0" collapsed="false">
      <c r="A78" s="13" t="s">
        <v>285</v>
      </c>
      <c r="B78" s="13" t="s">
        <v>286</v>
      </c>
      <c r="C78" s="13" t="s">
        <v>185</v>
      </c>
      <c r="D78" s="9" t="s">
        <v>36</v>
      </c>
      <c r="E78" s="14" t="n">
        <f aca="false">INDEX(Вводные!$D$13:$F$64,MATCH($A78,Вводные!$A$13:$A$64,0),MATCH(E$3,Вводные!$D$11:$F$11,0))*(1+IF(E$4=$A78,Вводные!$D$5*INDEX(Вводные!$G$13:$G$64,MATCH($A78,Вводные!$A$13:$A$64,0)),0))</f>
        <v>0</v>
      </c>
      <c r="F78" s="14" t="n">
        <f aca="false">INDEX(Вводные!$D$13:$F$64,MATCH($A78,Вводные!$A$13:$A$64,0),MATCH(F$3,Вводные!$D$11:$F$11,0))*(1+IF(F$4=$A78,Вводные!$D$5*INDEX(Вводные!$G$13:$G$64,MATCH($A78,Вводные!$A$13:$A$64,0)),0))</f>
        <v>150</v>
      </c>
      <c r="G78" s="14" t="n">
        <f aca="false">INDEX(Вводные!$D$13:$F$64,MATCH($A78,Вводные!$A$13:$A$64,0),MATCH(G$3,Вводные!$D$11:$F$11,0))*(1+IF(G$4=$A78,Вводные!$D$5*INDEX(Вводные!$G$13:$G$64,MATCH($A78,Вводные!$A$13:$A$64,0)),0))</f>
        <v>15</v>
      </c>
      <c r="H78" s="59"/>
      <c r="J78" s="14" t="n">
        <f aca="false">INDEX(Вводные!$D$13:$F$64,MATCH($A78,Вводные!$A$13:$A$64,0),MATCH(J$3,Вводные!$D$11:$F$11,0))*(1+IF(J$4=$A78,Вводные!$D$5*INDEX(Вводные!$G$13:$G$64,MATCH($A78,Вводные!$A$13:$A$64,0)),0))</f>
        <v>0</v>
      </c>
      <c r="K78" s="14" t="n">
        <f aca="false">INDEX(Вводные!$D$13:$F$64,MATCH($A78,Вводные!$A$13:$A$64,0),MATCH(K$3,Вводные!$D$11:$F$11,0))*(1+IF(K$4=$A78,Вводные!$D$5*INDEX(Вводные!$G$13:$G$64,MATCH($A78,Вводные!$A$13:$A$64,0)),0))</f>
        <v>0</v>
      </c>
      <c r="L78" s="14" t="n">
        <f aca="false">INDEX(Вводные!$D$13:$F$64,MATCH($A78,Вводные!$A$13:$A$64,0),MATCH(L$3,Вводные!$D$11:$F$11,0))*(1+IF(L$4=$A78,Вводные!$D$5*INDEX(Вводные!$G$13:$G$64,MATCH($A78,Вводные!$A$13:$A$64,0)),0))</f>
        <v>0</v>
      </c>
      <c r="M78" s="14" t="n">
        <f aca="false">INDEX(Вводные!$D$13:$F$64,MATCH($A78,Вводные!$A$13:$A$64,0),MATCH(M$3,Вводные!$D$11:$F$11,0))*(1+IF(M$4=$A78,Вводные!$D$5*INDEX(Вводные!$G$13:$G$64,MATCH($A78,Вводные!$A$13:$A$64,0)),0))</f>
        <v>0</v>
      </c>
      <c r="N78" s="14" t="n">
        <f aca="false">INDEX(Вводные!$D$13:$F$64,MATCH($A78,Вводные!$A$13:$A$64,0),MATCH(N$3,Вводные!$D$11:$F$11,0))*(1+IF(N$4=$A78,Вводные!$D$5*INDEX(Вводные!$G$13:$G$64,MATCH($A78,Вводные!$A$13:$A$64,0)),0))</f>
        <v>0</v>
      </c>
      <c r="O78" s="14" t="n">
        <f aca="false">INDEX(Вводные!$D$13:$F$64,MATCH($A78,Вводные!$A$13:$A$64,0),MATCH(O$3,Вводные!$D$11:$F$11,0))*(1+IF(O$4=$A78,Вводные!$D$5*INDEX(Вводные!$G$13:$G$64,MATCH($A78,Вводные!$A$13:$A$64,0)),0))</f>
        <v>0</v>
      </c>
      <c r="P78" s="14" t="n">
        <f aca="false">INDEX(Вводные!$D$13:$F$64,MATCH($A78,Вводные!$A$13:$A$64,0),MATCH(P$3,Вводные!$D$11:$F$11,0))*(1+IF(P$4=$A78,Вводные!$D$5*INDEX(Вводные!$G$13:$G$64,MATCH($A78,Вводные!$A$13:$A$64,0)),0))</f>
        <v>0</v>
      </c>
      <c r="Q78" s="14" t="n">
        <f aca="false">INDEX(Вводные!$D$13:$F$64,MATCH($A78,Вводные!$A$13:$A$64,0),MATCH(Q$3,Вводные!$D$11:$F$11,0))*(1+IF(Q$4=$A78,Вводные!$D$5*INDEX(Вводные!$G$13:$G$64,MATCH($A78,Вводные!$A$13:$A$64,0)),0))</f>
        <v>0</v>
      </c>
      <c r="R78" s="14" t="n">
        <f aca="false">INDEX(Вводные!$D$13:$F$64,MATCH($A78,Вводные!$A$13:$A$64,0),MATCH(R$3,Вводные!$D$11:$F$11,0))*(1+IF(R$4=$A78,Вводные!$D$5*INDEX(Вводные!$G$13:$G$64,MATCH($A78,Вводные!$A$13:$A$64,0)),0))</f>
        <v>0</v>
      </c>
      <c r="S78" s="14" t="n">
        <f aca="false">INDEX(Вводные!$D$13:$F$64,MATCH($A78,Вводные!$A$13:$A$64,0),MATCH(S$3,Вводные!$D$11:$F$11,0))*(1+IF(S$4=$A78,Вводные!$D$5*INDEX(Вводные!$G$13:$G$64,MATCH($A78,Вводные!$A$13:$A$64,0)),0))</f>
        <v>0</v>
      </c>
      <c r="T78" s="14" t="n">
        <f aca="false">INDEX(Вводные!$D$13:$F$64,MATCH($A78,Вводные!$A$13:$A$64,0),MATCH(T$3,Вводные!$D$11:$F$11,0))*(1+IF(T$4=$A78,Вводные!$D$5*INDEX(Вводные!$G$13:$G$64,MATCH($A78,Вводные!$A$13:$A$64,0)),0))</f>
        <v>0</v>
      </c>
      <c r="U78" s="14" t="n">
        <f aca="false">INDEX(Вводные!$D$13:$F$64,MATCH($A78,Вводные!$A$13:$A$64,0),MATCH(U$3,Вводные!$D$11:$F$11,0))*(1+IF(U$4=$A78,Вводные!$D$5*INDEX(Вводные!$G$13:$G$64,MATCH($A78,Вводные!$A$13:$A$64,0)),0))</f>
        <v>0</v>
      </c>
      <c r="V78" s="14" t="n">
        <f aca="false">INDEX(Вводные!$D$13:$F$64,MATCH($A78,Вводные!$A$13:$A$64,0),MATCH(V$3,Вводные!$D$11:$F$11,0))*(1+IF(V$4=$A78,Вводные!$D$5*INDEX(Вводные!$G$13:$G$64,MATCH($A78,Вводные!$A$13:$A$64,0)),0))</f>
        <v>0</v>
      </c>
      <c r="W78" s="14" t="n">
        <f aca="false">INDEX(Вводные!$D$13:$F$64,MATCH($A78,Вводные!$A$13:$A$64,0),MATCH(W$3,Вводные!$D$11:$F$11,0))*(1+IF(W$4=$A78,Вводные!$D$5*INDEX(Вводные!$G$13:$G$64,MATCH($A78,Вводные!$A$13:$A$64,0)),0))</f>
        <v>0</v>
      </c>
      <c r="X78" s="14" t="n">
        <f aca="false">INDEX(Вводные!$D$13:$F$64,MATCH($A78,Вводные!$A$13:$A$64,0),MATCH(X$3,Вводные!$D$11:$F$11,0))*(1+IF(X$4=$A78,Вводные!$D$5*INDEX(Вводные!$G$13:$G$64,MATCH($A78,Вводные!$A$13:$A$64,0)),0))</f>
        <v>0</v>
      </c>
      <c r="Y78" s="14" t="n">
        <f aca="false">INDEX(Вводные!$D$13:$F$64,MATCH($A78,Вводные!$A$13:$A$64,0),MATCH(Y$3,Вводные!$D$11:$F$11,0))*(1+IF(Y$4=$A78,Вводные!$D$5*INDEX(Вводные!$G$13:$G$64,MATCH($A78,Вводные!$A$13:$A$64,0)),0))</f>
        <v>0</v>
      </c>
      <c r="Z78" s="14" t="n">
        <f aca="false">INDEX(Вводные!$D$13:$F$64,MATCH($A78,Вводные!$A$13:$A$64,0),MATCH(Z$3,Вводные!$D$11:$F$11,0))*(1+IF(Z$4=$A78,Вводные!$D$5*INDEX(Вводные!$G$13:$G$64,MATCH($A78,Вводные!$A$13:$A$64,0)),0))</f>
        <v>0</v>
      </c>
      <c r="AA78" s="14" t="n">
        <f aca="false">INDEX(Вводные!$D$13:$F$64,MATCH($A78,Вводные!$A$13:$A$64,0),MATCH(AA$3,Вводные!$D$11:$F$11,0))*(1+IF(AA$4=$A78,Вводные!$D$5*INDEX(Вводные!$G$13:$G$64,MATCH($A78,Вводные!$A$13:$A$64,0)),0))</f>
        <v>0</v>
      </c>
      <c r="AB78" s="14" t="n">
        <f aca="false">INDEX(Вводные!$D$13:$F$64,MATCH($A78,Вводные!$A$13:$A$64,0),MATCH(AB$3,Вводные!$D$11:$F$11,0))*(1+IF(AB$4=$A78,Вводные!$D$5*INDEX(Вводные!$G$13:$G$64,MATCH($A78,Вводные!$A$13:$A$64,0)),0))</f>
        <v>0</v>
      </c>
      <c r="AC78" s="14" t="n">
        <f aca="false">INDEX(Вводные!$D$13:$F$64,MATCH($A78,Вводные!$A$13:$A$64,0),MATCH(AC$3,Вводные!$D$11:$F$11,0))*(1+IF(AC$4=$A78,Вводные!$D$5*INDEX(Вводные!$G$13:$G$64,MATCH($A78,Вводные!$A$13:$A$64,0)),0))</f>
        <v>0</v>
      </c>
      <c r="AD78" s="14" t="n">
        <f aca="false">INDEX(Вводные!$D$13:$F$64,MATCH($A78,Вводные!$A$13:$A$64,0),MATCH(AD$3,Вводные!$D$11:$F$11,0))*(1+IF(AD$4=$A78,Вводные!$D$5*INDEX(Вводные!$G$13:$G$64,MATCH($A78,Вводные!$A$13:$A$64,0)),0))</f>
        <v>0</v>
      </c>
      <c r="AE78" s="14" t="n">
        <f aca="false">INDEX(Вводные!$D$13:$F$64,MATCH($A78,Вводные!$A$13:$A$64,0),MATCH(AE$3,Вводные!$D$11:$F$11,0))*(1+IF(AE$4=$A78,Вводные!$D$5*INDEX(Вводные!$G$13:$G$64,MATCH($A78,Вводные!$A$13:$A$64,0)),0))</f>
        <v>0</v>
      </c>
      <c r="AF78" s="14" t="n">
        <f aca="false">INDEX(Вводные!$D$13:$F$64,MATCH($A78,Вводные!$A$13:$A$64,0),MATCH(AF$3,Вводные!$D$11:$F$11,0))*(1+IF(AF$4=$A78,Вводные!$D$5*INDEX(Вводные!$G$13:$G$64,MATCH($A78,Вводные!$A$13:$A$64,0)),0))</f>
        <v>0</v>
      </c>
      <c r="AG78" s="14" t="n">
        <f aca="false">INDEX(Вводные!$D$13:$F$64,MATCH($A78,Вводные!$A$13:$A$64,0),MATCH(AG$3,Вводные!$D$11:$F$11,0))*(1+IF(AG$4=$A78,Вводные!$D$5*INDEX(Вводные!$G$13:$G$64,MATCH($A78,Вводные!$A$13:$A$64,0)),0))</f>
        <v>0</v>
      </c>
      <c r="AH78" s="14" t="n">
        <f aca="false">INDEX(Вводные!$D$13:$F$64,MATCH($A78,Вводные!$A$13:$A$64,0),MATCH(AH$3,Вводные!$D$11:$F$11,0))*(1+IF(AH$4=$A78,Вводные!$D$5*INDEX(Вводные!$G$13:$G$64,MATCH($A78,Вводные!$A$13:$A$64,0)),0))</f>
        <v>0</v>
      </c>
      <c r="AI78" s="14" t="n">
        <f aca="false">INDEX(Вводные!$D$13:$F$64,MATCH($A78,Вводные!$A$13:$A$64,0),MATCH(AI$3,Вводные!$D$11:$F$11,0))*(1+IF(AI$4=$A78,Вводные!$D$5*INDEX(Вводные!$G$13:$G$64,MATCH($A78,Вводные!$A$13:$A$64,0)),0))</f>
        <v>0</v>
      </c>
      <c r="AJ78" s="14" t="n">
        <f aca="false">INDEX(Вводные!$D$13:$F$64,MATCH($A78,Вводные!$A$13:$A$64,0),MATCH(AJ$3,Вводные!$D$11:$F$11,0))*(1+IF(AJ$4=$A78,Вводные!$D$5*INDEX(Вводные!$G$13:$G$64,MATCH($A78,Вводные!$A$13:$A$64,0)),0))</f>
        <v>0</v>
      </c>
      <c r="AK78" s="14" t="n">
        <f aca="false">INDEX(Вводные!$D$13:$F$64,MATCH($A78,Вводные!$A$13:$A$64,0),MATCH(AK$3,Вводные!$D$11:$F$11,0))*(1+IF(AK$4=$A78,Вводные!$D$5*INDEX(Вводные!$G$13:$G$64,MATCH($A78,Вводные!$A$13:$A$64,0)),0))</f>
        <v>0</v>
      </c>
      <c r="AL78" s="14" t="n">
        <f aca="false">INDEX(Вводные!$D$13:$F$64,MATCH($A78,Вводные!$A$13:$A$64,0),MATCH(AL$3,Вводные!$D$11:$F$11,0))*(1+IF(AL$4=$A78,Вводные!$D$5*INDEX(Вводные!$G$13:$G$64,MATCH($A78,Вводные!$A$13:$A$64,0)),0))</f>
        <v>0</v>
      </c>
      <c r="AM78" s="14" t="n">
        <f aca="false">INDEX(Вводные!$D$13:$F$64,MATCH($A78,Вводные!$A$13:$A$64,0),MATCH(AM$3,Вводные!$D$11:$F$11,0))*(1+IF(AM$4=$A78,Вводные!$D$5*INDEX(Вводные!$G$13:$G$64,MATCH($A78,Вводные!$A$13:$A$64,0)),0))</f>
        <v>0</v>
      </c>
      <c r="AN78" s="14" t="n">
        <f aca="false">INDEX(Вводные!$D$13:$F$64,MATCH($A78,Вводные!$A$13:$A$64,0),MATCH(AN$3,Вводные!$D$11:$F$11,0))*(1+IF(AN$4=$A78,Вводные!$D$5*INDEX(Вводные!$G$13:$G$64,MATCH($A78,Вводные!$A$13:$A$64,0)),0))</f>
        <v>0</v>
      </c>
      <c r="AO78" s="14" t="n">
        <f aca="false">INDEX(Вводные!$D$13:$F$64,MATCH($A78,Вводные!$A$13:$A$64,0),MATCH(AO$3,Вводные!$D$11:$F$11,0))*(1+IF(AO$4=$A78,Вводные!$D$5*INDEX(Вводные!$G$13:$G$64,MATCH($A78,Вводные!$A$13:$A$64,0)),0))</f>
        <v>0</v>
      </c>
      <c r="AP78" s="14" t="n">
        <f aca="false">INDEX(Вводные!$D$13:$F$64,MATCH($A78,Вводные!$A$13:$A$64,0),MATCH(AP$3,Вводные!$D$11:$F$11,0))*(1+IF(AP$4=$A78,Вводные!$D$5*INDEX(Вводные!$G$13:$G$64,MATCH($A78,Вводные!$A$13:$A$64,0)),0))</f>
        <v>0</v>
      </c>
      <c r="AQ78" s="14" t="n">
        <f aca="false">INDEX(Вводные!$D$13:$F$64,MATCH($A78,Вводные!$A$13:$A$64,0),MATCH(AQ$3,Вводные!$D$11:$F$11,0))*(1+IF(AQ$4=$A78,Вводные!$D$5*INDEX(Вводные!$G$13:$G$64,MATCH($A78,Вводные!$A$13:$A$64,0)),0))</f>
        <v>0</v>
      </c>
      <c r="AR78" s="14" t="n">
        <f aca="false">INDEX(Вводные!$D$13:$F$64,MATCH($A78,Вводные!$A$13:$A$64,0),MATCH(AR$3,Вводные!$D$11:$F$11,0))*(1+IF(AR$4=$A78,Вводные!$D$5*INDEX(Вводные!$G$13:$G$64,MATCH($A78,Вводные!$A$13:$A$64,0)),0))</f>
        <v>0</v>
      </c>
      <c r="AS78" s="14" t="n">
        <f aca="false">INDEX(Вводные!$D$13:$F$64,MATCH($A78,Вводные!$A$13:$A$64,0),MATCH(AS$3,Вводные!$D$11:$F$11,0))*(1+IF(AS$4=$A78,Вводные!$D$5*INDEX(Вводные!$G$13:$G$64,MATCH($A78,Вводные!$A$13:$A$64,0)),0))</f>
        <v>0</v>
      </c>
      <c r="AT78" s="14" t="n">
        <f aca="false">INDEX(Вводные!$D$13:$F$64,MATCH($A78,Вводные!$A$13:$A$64,0),MATCH(AT$3,Вводные!$D$11:$F$11,0))*(1+IF(AT$4=$A78,Вводные!$D$5*INDEX(Вводные!$G$13:$G$64,MATCH($A78,Вводные!$A$13:$A$64,0)),0))</f>
        <v>0</v>
      </c>
      <c r="AU78" s="14" t="n">
        <f aca="false">INDEX(Вводные!$D$13:$F$64,MATCH($A78,Вводные!$A$13:$A$64,0),MATCH(AU$3,Вводные!$D$11:$F$11,0))*(1+IF(AU$4=$A78,Вводные!$D$5*INDEX(Вводные!$G$13:$G$64,MATCH($A78,Вводные!$A$13:$A$64,0)),0))</f>
        <v>0</v>
      </c>
      <c r="AV78" s="14" t="n">
        <f aca="false">INDEX(Вводные!$D$13:$F$64,MATCH($A78,Вводные!$A$13:$A$64,0),MATCH(AV$3,Вводные!$D$11:$F$11,0))*(1+IF(AV$4=$A78,Вводные!$D$5*INDEX(Вводные!$G$13:$G$64,MATCH($A78,Вводные!$A$13:$A$64,0)),0))</f>
        <v>0</v>
      </c>
      <c r="AW78" s="14" t="n">
        <f aca="false">INDEX(Вводные!$D$13:$F$64,MATCH($A78,Вводные!$A$13:$A$64,0),MATCH(AW$3,Вводные!$D$11:$F$11,0))*(1+IF(AW$4=$A78,Вводные!$D$5*INDEX(Вводные!$G$13:$G$64,MATCH($A78,Вводные!$A$13:$A$64,0)),0))</f>
        <v>0</v>
      </c>
      <c r="AX78" s="14" t="n">
        <f aca="false">INDEX(Вводные!$D$13:$F$64,MATCH($A78,Вводные!$A$13:$A$64,0),MATCH(AX$3,Вводные!$D$11:$F$11,0))*(1+IF(AX$4=$A78,Вводные!$D$5*INDEX(Вводные!$G$13:$G$64,MATCH($A78,Вводные!$A$13:$A$64,0)),0))</f>
        <v>0</v>
      </c>
      <c r="AY78" s="14" t="n">
        <f aca="false">INDEX(Вводные!$D$13:$F$64,MATCH($A78,Вводные!$A$13:$A$64,0),MATCH(AY$3,Вводные!$D$11:$F$11,0))*(1+IF(AY$4=$A78,Вводные!$D$5*INDEX(Вводные!$G$13:$G$64,MATCH($A78,Вводные!$A$13:$A$64,0)),0))</f>
        <v>0</v>
      </c>
      <c r="AZ78" s="14" t="n">
        <f aca="false">INDEX(Вводные!$D$13:$F$64,MATCH($A78,Вводные!$A$13:$A$64,0),MATCH(AZ$3,Вводные!$D$11:$F$11,0))*(1+IF(AZ$4=$A78,Вводные!$D$5*INDEX(Вводные!$G$13:$G$64,MATCH($A78,Вводные!$A$13:$A$64,0)),0))</f>
        <v>150</v>
      </c>
      <c r="BA78" s="14" t="n">
        <f aca="false">INDEX(Вводные!$D$13:$F$64,MATCH($A78,Вводные!$A$13:$A$64,0),MATCH(BA$3,Вводные!$D$11:$F$11,0))*(1+IF(BA$4=$A78,Вводные!$D$5*INDEX(Вводные!$G$13:$G$64,MATCH($A78,Вводные!$A$13:$A$64,0)),0))</f>
        <v>150</v>
      </c>
      <c r="BB78" s="14" t="n">
        <f aca="false">INDEX(Вводные!$D$13:$F$64,MATCH($A78,Вводные!$A$13:$A$64,0),MATCH(BB$3,Вводные!$D$11:$F$11,0))*(1+IF(BB$4=$A78,Вводные!$D$5*INDEX(Вводные!$G$13:$G$64,MATCH($A78,Вводные!$A$13:$A$64,0)),0))</f>
        <v>150</v>
      </c>
      <c r="BC78" s="14" t="n">
        <f aca="false">INDEX(Вводные!$D$13:$F$64,MATCH($A78,Вводные!$A$13:$A$64,0),MATCH(BC$3,Вводные!$D$11:$F$11,0))*(1+IF(BC$4=$A78,Вводные!$D$5*INDEX(Вводные!$G$13:$G$64,MATCH($A78,Вводные!$A$13:$A$64,0)),0))</f>
        <v>150</v>
      </c>
      <c r="BD78" s="14" t="n">
        <f aca="false">INDEX(Вводные!$D$13:$F$64,MATCH($A78,Вводные!$A$13:$A$64,0),MATCH(BD$3,Вводные!$D$11:$F$11,0))*(1+IF(BD$4=$A78,Вводные!$D$5*INDEX(Вводные!$G$13:$G$64,MATCH($A78,Вводные!$A$13:$A$64,0)),0))</f>
        <v>150</v>
      </c>
      <c r="BE78" s="14" t="n">
        <f aca="false">INDEX(Вводные!$D$13:$F$64,MATCH($A78,Вводные!$A$13:$A$64,0),MATCH(BE$3,Вводные!$D$11:$F$11,0))*(1+IF(BE$4=$A78,Вводные!$D$5*INDEX(Вводные!$G$13:$G$64,MATCH($A78,Вводные!$A$13:$A$64,0)),0))</f>
        <v>150</v>
      </c>
      <c r="BF78" s="14" t="n">
        <f aca="false">INDEX(Вводные!$D$13:$F$64,MATCH($A78,Вводные!$A$13:$A$64,0),MATCH(BF$3,Вводные!$D$11:$F$11,0))*(1+IF(BF$4=$A78,Вводные!$D$5*INDEX(Вводные!$G$13:$G$64,MATCH($A78,Вводные!$A$13:$A$64,0)),0))</f>
        <v>150</v>
      </c>
      <c r="BG78" s="14" t="n">
        <f aca="false">INDEX(Вводные!$D$13:$F$64,MATCH($A78,Вводные!$A$13:$A$64,0),MATCH(BG$3,Вводные!$D$11:$F$11,0))*(1+IF(BG$4=$A78,Вводные!$D$5*INDEX(Вводные!$G$13:$G$64,MATCH($A78,Вводные!$A$13:$A$64,0)),0))</f>
        <v>150</v>
      </c>
      <c r="BH78" s="14" t="n">
        <f aca="false">INDEX(Вводные!$D$13:$F$64,MATCH($A78,Вводные!$A$13:$A$64,0),MATCH(BH$3,Вводные!$D$11:$F$11,0))*(1+IF(BH$4=$A78,Вводные!$D$5*INDEX(Вводные!$G$13:$G$64,MATCH($A78,Вводные!$A$13:$A$64,0)),0))</f>
        <v>150</v>
      </c>
      <c r="BI78" s="14" t="n">
        <f aca="false">INDEX(Вводные!$D$13:$F$64,MATCH($A78,Вводные!$A$13:$A$64,0),MATCH(BI$3,Вводные!$D$11:$F$11,0))*(1+IF(BI$4=$A78,Вводные!$D$5*INDEX(Вводные!$G$13:$G$64,MATCH($A78,Вводные!$A$13:$A$64,0)),0))</f>
        <v>150</v>
      </c>
      <c r="BJ78" s="14" t="n">
        <f aca="false">INDEX(Вводные!$D$13:$F$64,MATCH($A78,Вводные!$A$13:$A$64,0),MATCH(BJ$3,Вводные!$D$11:$F$11,0))*(1+IF(BJ$4=$A78,Вводные!$D$5*INDEX(Вводные!$G$13:$G$64,MATCH($A78,Вводные!$A$13:$A$64,0)),0))</f>
        <v>150</v>
      </c>
      <c r="BK78" s="14" t="n">
        <f aca="false">INDEX(Вводные!$D$13:$F$64,MATCH($A78,Вводные!$A$13:$A$64,0),MATCH(BK$3,Вводные!$D$11:$F$11,0))*(1+IF(BK$4=$A78,Вводные!$D$5*INDEX(Вводные!$G$13:$G$64,MATCH($A78,Вводные!$A$13:$A$64,0)),0))</f>
        <v>150</v>
      </c>
      <c r="BL78" s="14" t="n">
        <f aca="false">INDEX(Вводные!$D$13:$F$64,MATCH($A78,Вводные!$A$13:$A$64,0),MATCH(BL$3,Вводные!$D$11:$F$11,0))*(1+IF(BL$4=$A78,Вводные!$D$5*INDEX(Вводные!$G$13:$G$64,MATCH($A78,Вводные!$A$13:$A$64,0)),0))</f>
        <v>150</v>
      </c>
      <c r="BM78" s="14" t="n">
        <f aca="false">INDEX(Вводные!$D$13:$F$64,MATCH($A78,Вводные!$A$13:$A$64,0),MATCH(BM$3,Вводные!$D$11:$F$11,0))*(1+IF(BM$4=$A78,Вводные!$D$5*INDEX(Вводные!$G$13:$G$64,MATCH($A78,Вводные!$A$13:$A$64,0)),0))</f>
        <v>150</v>
      </c>
      <c r="BN78" s="14" t="n">
        <f aca="false">INDEX(Вводные!$D$13:$F$64,MATCH($A78,Вводные!$A$13:$A$64,0),MATCH(BN$3,Вводные!$D$11:$F$11,0))*(1+IF(BN$4=$A78,Вводные!$D$5*INDEX(Вводные!$G$13:$G$64,MATCH($A78,Вводные!$A$13:$A$64,0)),0))</f>
        <v>150</v>
      </c>
      <c r="BO78" s="14" t="n">
        <f aca="false">INDEX(Вводные!$D$13:$F$64,MATCH($A78,Вводные!$A$13:$A$64,0),MATCH(BO$3,Вводные!$D$11:$F$11,0))*(1+IF(BO$4=$A78,Вводные!$D$5*INDEX(Вводные!$G$13:$G$64,MATCH($A78,Вводные!$A$13:$A$64,0)),0))</f>
        <v>150</v>
      </c>
      <c r="BP78" s="14" t="n">
        <f aca="false">INDEX(Вводные!$D$13:$F$64,MATCH($A78,Вводные!$A$13:$A$64,0),MATCH(BP$3,Вводные!$D$11:$F$11,0))*(1+IF(BP$4=$A78,Вводные!$D$5*INDEX(Вводные!$G$13:$G$64,MATCH($A78,Вводные!$A$13:$A$64,0)),0))</f>
        <v>150</v>
      </c>
      <c r="BQ78" s="14" t="n">
        <f aca="false">INDEX(Вводные!$D$13:$F$64,MATCH($A78,Вводные!$A$13:$A$64,0),MATCH(BQ$3,Вводные!$D$11:$F$11,0))*(1+IF(BQ$4=$A78,Вводные!$D$5*INDEX(Вводные!$G$13:$G$64,MATCH($A78,Вводные!$A$13:$A$64,0)),0))</f>
        <v>150</v>
      </c>
      <c r="BR78" s="14" t="n">
        <f aca="false">INDEX(Вводные!$D$13:$F$64,MATCH($A78,Вводные!$A$13:$A$64,0),MATCH(BR$3,Вводные!$D$11:$F$11,0))*(1+IF(BR$4=$A78,Вводные!$D$5*INDEX(Вводные!$G$13:$G$64,MATCH($A78,Вводные!$A$13:$A$64,0)),0))</f>
        <v>150</v>
      </c>
      <c r="BS78" s="14" t="n">
        <f aca="false">INDEX(Вводные!$D$13:$F$64,MATCH($A78,Вводные!$A$13:$A$64,0),MATCH(BS$3,Вводные!$D$11:$F$11,0))*(1+IF(BS$4=$A78,Вводные!$D$5*INDEX(Вводные!$G$13:$G$64,MATCH($A78,Вводные!$A$13:$A$64,0)),0))</f>
        <v>150</v>
      </c>
      <c r="BT78" s="14" t="n">
        <f aca="false">INDEX(Вводные!$D$13:$F$64,MATCH($A78,Вводные!$A$13:$A$64,0),MATCH(BT$3,Вводные!$D$11:$F$11,0))*(1+IF(BT$4=$A78,Вводные!$D$5*INDEX(Вводные!$G$13:$G$64,MATCH($A78,Вводные!$A$13:$A$64,0)),0))</f>
        <v>150</v>
      </c>
      <c r="BU78" s="14" t="n">
        <f aca="false">INDEX(Вводные!$D$13:$F$64,MATCH($A78,Вводные!$A$13:$A$64,0),MATCH(BU$3,Вводные!$D$11:$F$11,0))*(1+IF(BU$4=$A78,Вводные!$D$5*INDEX(Вводные!$G$13:$G$64,MATCH($A78,Вводные!$A$13:$A$64,0)),0))</f>
        <v>150</v>
      </c>
      <c r="BV78" s="14" t="n">
        <f aca="false">INDEX(Вводные!$D$13:$F$64,MATCH($A78,Вводные!$A$13:$A$64,0),MATCH(BV$3,Вводные!$D$11:$F$11,0))*(1+IF(BV$4=$A78,Вводные!$D$5*INDEX(Вводные!$G$13:$G$64,MATCH($A78,Вводные!$A$13:$A$64,0)),0))</f>
        <v>150</v>
      </c>
      <c r="BW78" s="14" t="n">
        <f aca="false">INDEX(Вводные!$D$13:$F$64,MATCH($A78,Вводные!$A$13:$A$64,0),MATCH(BW$3,Вводные!$D$11:$F$11,0))*(1+IF(BW$4=$A78,Вводные!$D$5*INDEX(Вводные!$G$13:$G$64,MATCH($A78,Вводные!$A$13:$A$64,0)),0))</f>
        <v>150</v>
      </c>
      <c r="BX78" s="14" t="n">
        <f aca="false">INDEX(Вводные!$D$13:$F$64,MATCH($A78,Вводные!$A$13:$A$64,0),MATCH(BX$3,Вводные!$D$11:$F$11,0))*(1+IF(BX$4=$A78,Вводные!$D$5*INDEX(Вводные!$G$13:$G$64,MATCH($A78,Вводные!$A$13:$A$64,0)),0))</f>
        <v>150</v>
      </c>
      <c r="BY78" s="14" t="n">
        <f aca="false">INDEX(Вводные!$D$13:$F$64,MATCH($A78,Вводные!$A$13:$A$64,0),MATCH(BY$3,Вводные!$D$11:$F$11,0))*(1+IF(BY$4=$A78,Вводные!$D$5*INDEX(Вводные!$G$13:$G$64,MATCH($A78,Вводные!$A$13:$A$64,0)),0))</f>
        <v>150</v>
      </c>
      <c r="BZ78" s="14" t="n">
        <f aca="false">INDEX(Вводные!$D$13:$F$64,MATCH($A78,Вводные!$A$13:$A$64,0),MATCH(BZ$3,Вводные!$D$11:$F$11,0))*(1+IF(BZ$4=$A78,Вводные!$D$5*INDEX(Вводные!$G$13:$G$64,MATCH($A78,Вводные!$A$13:$A$64,0)),0))</f>
        <v>150</v>
      </c>
      <c r="CA78" s="14" t="n">
        <f aca="false">INDEX(Вводные!$D$13:$F$64,MATCH($A78,Вводные!$A$13:$A$64,0),MATCH(CA$3,Вводные!$D$11:$F$11,0))*(1+IF(CA$4=$A78,Вводные!$D$5*INDEX(Вводные!$G$13:$G$64,MATCH($A78,Вводные!$A$13:$A$64,0)),0))</f>
        <v>150</v>
      </c>
      <c r="CB78" s="14" t="n">
        <f aca="false">INDEX(Вводные!$D$13:$F$64,MATCH($A78,Вводные!$A$13:$A$64,0),MATCH(CB$3,Вводные!$D$11:$F$11,0))*(1+IF(CB$4=$A78,Вводные!$D$5*INDEX(Вводные!$G$13:$G$64,MATCH($A78,Вводные!$A$13:$A$64,0)),0))</f>
        <v>150</v>
      </c>
      <c r="CC78" s="14" t="n">
        <f aca="false">INDEX(Вводные!$D$13:$F$64,MATCH($A78,Вводные!$A$13:$A$64,0),MATCH(CC$3,Вводные!$D$11:$F$11,0))*(1+IF(CC$4=$A78,Вводные!$D$5*INDEX(Вводные!$G$13:$G$64,MATCH($A78,Вводные!$A$13:$A$64,0)),0))</f>
        <v>150</v>
      </c>
      <c r="CD78" s="14" t="n">
        <f aca="false">INDEX(Вводные!$D$13:$F$64,MATCH($A78,Вводные!$A$13:$A$64,0),MATCH(CD$3,Вводные!$D$11:$F$11,0))*(1+IF(CD$4=$A78,Вводные!$D$5*INDEX(Вводные!$G$13:$G$64,MATCH($A78,Вводные!$A$13:$A$64,0)),0))</f>
        <v>150</v>
      </c>
      <c r="CE78" s="14" t="n">
        <f aca="false">INDEX(Вводные!$D$13:$F$64,MATCH($A78,Вводные!$A$13:$A$64,0),MATCH(CE$3,Вводные!$D$11:$F$11,0))*(1+IF(CE$4=$A78,Вводные!$D$5*INDEX(Вводные!$G$13:$G$64,MATCH($A78,Вводные!$A$13:$A$64,0)),0))</f>
        <v>150</v>
      </c>
      <c r="CF78" s="14" t="n">
        <f aca="false">INDEX(Вводные!$D$13:$F$64,MATCH($A78,Вводные!$A$13:$A$64,0),MATCH(CF$3,Вводные!$D$11:$F$11,0))*(1+IF(CF$4=$A78,Вводные!$D$5*INDEX(Вводные!$G$13:$G$64,MATCH($A78,Вводные!$A$13:$A$64,0)),0))</f>
        <v>150</v>
      </c>
      <c r="CG78" s="14" t="n">
        <f aca="false">INDEX(Вводные!$D$13:$F$64,MATCH($A78,Вводные!$A$13:$A$64,0),MATCH(CG$3,Вводные!$D$11:$F$11,0))*(1+IF(CG$4=$A78,Вводные!$D$5*INDEX(Вводные!$G$13:$G$64,MATCH($A78,Вводные!$A$13:$A$64,0)),0))</f>
        <v>150</v>
      </c>
      <c r="CH78" s="14" t="n">
        <f aca="false">INDEX(Вводные!$D$13:$F$64,MATCH($A78,Вводные!$A$13:$A$64,0),MATCH(CH$3,Вводные!$D$11:$F$11,0))*(1+IF(CH$4=$A78,Вводные!$D$5*INDEX(Вводные!$G$13:$G$64,MATCH($A78,Вводные!$A$13:$A$64,0)),0))</f>
        <v>150</v>
      </c>
      <c r="CI78" s="14" t="n">
        <f aca="false">INDEX(Вводные!$D$13:$F$64,MATCH($A78,Вводные!$A$13:$A$64,0),MATCH(CI$3,Вводные!$D$11:$F$11,0))*(1+IF(CI$4=$A78,Вводные!$D$5*INDEX(Вводные!$G$13:$G$64,MATCH($A78,Вводные!$A$13:$A$64,0)),0))</f>
        <v>150</v>
      </c>
      <c r="CJ78" s="14" t="n">
        <f aca="false">INDEX(Вводные!$D$13:$F$64,MATCH($A78,Вводные!$A$13:$A$64,0),MATCH(CJ$3,Вводные!$D$11:$F$11,0))*(1+IF(CJ$4=$A78,Вводные!$D$5*INDEX(Вводные!$G$13:$G$64,MATCH($A78,Вводные!$A$13:$A$64,0)),0))</f>
        <v>150</v>
      </c>
      <c r="CK78" s="14" t="n">
        <f aca="false">INDEX(Вводные!$D$13:$F$64,MATCH($A78,Вводные!$A$13:$A$64,0),MATCH(CK$3,Вводные!$D$11:$F$11,0))*(1+IF(CK$4=$A78,Вводные!$D$5*INDEX(Вводные!$G$13:$G$64,MATCH($A78,Вводные!$A$13:$A$64,0)),0))</f>
        <v>150</v>
      </c>
      <c r="CL78" s="14" t="n">
        <f aca="false">INDEX(Вводные!$D$13:$F$64,MATCH($A78,Вводные!$A$13:$A$64,0),MATCH(CL$3,Вводные!$D$11:$F$11,0))*(1+IF(CL$4=$A78,Вводные!$D$5*INDEX(Вводные!$G$13:$G$64,MATCH($A78,Вводные!$A$13:$A$64,0)),0))</f>
        <v>151.5</v>
      </c>
      <c r="CM78" s="14" t="n">
        <f aca="false">INDEX(Вводные!$D$13:$F$64,MATCH($A78,Вводные!$A$13:$A$64,0),MATCH(CM$3,Вводные!$D$11:$F$11,0))*(1+IF(CM$4=$A78,Вводные!$D$5*INDEX(Вводные!$G$13:$G$64,MATCH($A78,Вводные!$A$13:$A$64,0)),0))</f>
        <v>150</v>
      </c>
      <c r="CN78" s="14" t="n">
        <f aca="false">INDEX(Вводные!$D$13:$F$64,MATCH($A78,Вводные!$A$13:$A$64,0),MATCH(CN$3,Вводные!$D$11:$F$11,0))*(1+IF(CN$4=$A78,Вводные!$D$5*INDEX(Вводные!$G$13:$G$64,MATCH($A78,Вводные!$A$13:$A$64,0)),0))</f>
        <v>150</v>
      </c>
      <c r="CO78" s="14" t="n">
        <f aca="false">INDEX(Вводные!$D$13:$F$64,MATCH($A78,Вводные!$A$13:$A$64,0),MATCH(CO$3,Вводные!$D$11:$F$11,0))*(1+IF(CO$4=$A78,Вводные!$D$5*INDEX(Вводные!$G$13:$G$64,MATCH($A78,Вводные!$A$13:$A$64,0)),0))</f>
        <v>150</v>
      </c>
      <c r="CP78" s="14" t="n">
        <f aca="false">INDEX(Вводные!$D$13:$F$64,MATCH($A78,Вводные!$A$13:$A$64,0),MATCH(CP$3,Вводные!$D$11:$F$11,0))*(1+IF(CP$4=$A78,Вводные!$D$5*INDEX(Вводные!$G$13:$G$64,MATCH($A78,Вводные!$A$13:$A$64,0)),0))</f>
        <v>15</v>
      </c>
      <c r="CQ78" s="14" t="n">
        <f aca="false">INDEX(Вводные!$D$13:$F$64,MATCH($A78,Вводные!$A$13:$A$64,0),MATCH(CQ$3,Вводные!$D$11:$F$11,0))*(1+IF(CQ$4=$A78,Вводные!$D$5*INDEX(Вводные!$G$13:$G$64,MATCH($A78,Вводные!$A$13:$A$64,0)),0))</f>
        <v>15</v>
      </c>
      <c r="CR78" s="14" t="n">
        <f aca="false">INDEX(Вводные!$D$13:$F$64,MATCH($A78,Вводные!$A$13:$A$64,0),MATCH(CR$3,Вводные!$D$11:$F$11,0))*(1+IF(CR$4=$A78,Вводные!$D$5*INDEX(Вводные!$G$13:$G$64,MATCH($A78,Вводные!$A$13:$A$64,0)),0))</f>
        <v>15</v>
      </c>
      <c r="CS78" s="14" t="n">
        <f aca="false">INDEX(Вводные!$D$13:$F$64,MATCH($A78,Вводные!$A$13:$A$64,0),MATCH(CS$3,Вводные!$D$11:$F$11,0))*(1+IF(CS$4=$A78,Вводные!$D$5*INDEX(Вводные!$G$13:$G$64,MATCH($A78,Вводные!$A$13:$A$64,0)),0))</f>
        <v>15</v>
      </c>
      <c r="CT78" s="14" t="n">
        <f aca="false">INDEX(Вводные!$D$13:$F$64,MATCH($A78,Вводные!$A$13:$A$64,0),MATCH(CT$3,Вводные!$D$11:$F$11,0))*(1+IF(CT$4=$A78,Вводные!$D$5*INDEX(Вводные!$G$13:$G$64,MATCH($A78,Вводные!$A$13:$A$64,0)),0))</f>
        <v>15</v>
      </c>
      <c r="CU78" s="14" t="n">
        <f aca="false">INDEX(Вводные!$D$13:$F$64,MATCH($A78,Вводные!$A$13:$A$64,0),MATCH(CU$3,Вводные!$D$11:$F$11,0))*(1+IF(CU$4=$A78,Вводные!$D$5*INDEX(Вводные!$G$13:$G$64,MATCH($A78,Вводные!$A$13:$A$64,0)),0))</f>
        <v>15</v>
      </c>
      <c r="CV78" s="14" t="n">
        <f aca="false">INDEX(Вводные!$D$13:$F$64,MATCH($A78,Вводные!$A$13:$A$64,0),MATCH(CV$3,Вводные!$D$11:$F$11,0))*(1+IF(CV$4=$A78,Вводные!$D$5*INDEX(Вводные!$G$13:$G$64,MATCH($A78,Вводные!$A$13:$A$64,0)),0))</f>
        <v>15</v>
      </c>
      <c r="CW78" s="14" t="n">
        <f aca="false">INDEX(Вводные!$D$13:$F$64,MATCH($A78,Вводные!$A$13:$A$64,0),MATCH(CW$3,Вводные!$D$11:$F$11,0))*(1+IF(CW$4=$A78,Вводные!$D$5*INDEX(Вводные!$G$13:$G$64,MATCH($A78,Вводные!$A$13:$A$64,0)),0))</f>
        <v>15</v>
      </c>
      <c r="CX78" s="14" t="n">
        <f aca="false">INDEX(Вводные!$D$13:$F$64,MATCH($A78,Вводные!$A$13:$A$64,0),MATCH(CX$3,Вводные!$D$11:$F$11,0))*(1+IF(CX$4=$A78,Вводные!$D$5*INDEX(Вводные!$G$13:$G$64,MATCH($A78,Вводные!$A$13:$A$64,0)),0))</f>
        <v>15</v>
      </c>
      <c r="CY78" s="14" t="n">
        <f aca="false">INDEX(Вводные!$D$13:$F$64,MATCH($A78,Вводные!$A$13:$A$64,0),MATCH(CY$3,Вводные!$D$11:$F$11,0))*(1+IF(CY$4=$A78,Вводные!$D$5*INDEX(Вводные!$G$13:$G$64,MATCH($A78,Вводные!$A$13:$A$64,0)),0))</f>
        <v>15</v>
      </c>
      <c r="CZ78" s="14" t="n">
        <f aca="false">INDEX(Вводные!$D$13:$F$64,MATCH($A78,Вводные!$A$13:$A$64,0),MATCH(CZ$3,Вводные!$D$11:$F$11,0))*(1+IF(CZ$4=$A78,Вводные!$D$5*INDEX(Вводные!$G$13:$G$64,MATCH($A78,Вводные!$A$13:$A$64,0)),0))</f>
        <v>15</v>
      </c>
      <c r="DA78" s="14" t="n">
        <f aca="false">INDEX(Вводные!$D$13:$F$64,MATCH($A78,Вводные!$A$13:$A$64,0),MATCH(DA$3,Вводные!$D$11:$F$11,0))*(1+IF(DA$4=$A78,Вводные!$D$5*INDEX(Вводные!$G$13:$G$64,MATCH($A78,Вводные!$A$13:$A$64,0)),0))</f>
        <v>15</v>
      </c>
      <c r="DB78" s="14" t="n">
        <f aca="false">INDEX(Вводные!$D$13:$F$64,MATCH($A78,Вводные!$A$13:$A$64,0),MATCH(DB$3,Вводные!$D$11:$F$11,0))*(1+IF(DB$4=$A78,Вводные!$D$5*INDEX(Вводные!$G$13:$G$64,MATCH($A78,Вводные!$A$13:$A$64,0)),0))</f>
        <v>15</v>
      </c>
      <c r="DC78" s="14" t="n">
        <f aca="false">INDEX(Вводные!$D$13:$F$64,MATCH($A78,Вводные!$A$13:$A$64,0),MATCH(DC$3,Вводные!$D$11:$F$11,0))*(1+IF(DC$4=$A78,Вводные!$D$5*INDEX(Вводные!$G$13:$G$64,MATCH($A78,Вводные!$A$13:$A$64,0)),0))</f>
        <v>15</v>
      </c>
      <c r="DD78" s="14" t="n">
        <f aca="false">INDEX(Вводные!$D$13:$F$64,MATCH($A78,Вводные!$A$13:$A$64,0),MATCH(DD$3,Вводные!$D$11:$F$11,0))*(1+IF(DD$4=$A78,Вводные!$D$5*INDEX(Вводные!$G$13:$G$64,MATCH($A78,Вводные!$A$13:$A$64,0)),0))</f>
        <v>15</v>
      </c>
      <c r="DE78" s="14" t="n">
        <f aca="false">INDEX(Вводные!$D$13:$F$64,MATCH($A78,Вводные!$A$13:$A$64,0),MATCH(DE$3,Вводные!$D$11:$F$11,0))*(1+IF(DE$4=$A78,Вводные!$D$5*INDEX(Вводные!$G$13:$G$64,MATCH($A78,Вводные!$A$13:$A$64,0)),0))</f>
        <v>15</v>
      </c>
      <c r="DF78" s="14" t="n">
        <f aca="false">INDEX(Вводные!$D$13:$F$64,MATCH($A78,Вводные!$A$13:$A$64,0),MATCH(DF$3,Вводные!$D$11:$F$11,0))*(1+IF(DF$4=$A78,Вводные!$D$5*INDEX(Вводные!$G$13:$G$64,MATCH($A78,Вводные!$A$13:$A$64,0)),0))</f>
        <v>15</v>
      </c>
      <c r="DG78" s="14" t="n">
        <f aca="false">INDEX(Вводные!$D$13:$F$64,MATCH($A78,Вводные!$A$13:$A$64,0),MATCH(DG$3,Вводные!$D$11:$F$11,0))*(1+IF(DG$4=$A78,Вводные!$D$5*INDEX(Вводные!$G$13:$G$64,MATCH($A78,Вводные!$A$13:$A$64,0)),0))</f>
        <v>15</v>
      </c>
      <c r="DH78" s="14" t="n">
        <f aca="false">INDEX(Вводные!$D$13:$F$64,MATCH($A78,Вводные!$A$13:$A$64,0),MATCH(DH$3,Вводные!$D$11:$F$11,0))*(1+IF(DH$4=$A78,Вводные!$D$5*INDEX(Вводные!$G$13:$G$64,MATCH($A78,Вводные!$A$13:$A$64,0)),0))</f>
        <v>15</v>
      </c>
      <c r="DI78" s="14" t="n">
        <f aca="false">INDEX(Вводные!$D$13:$F$64,MATCH($A78,Вводные!$A$13:$A$64,0),MATCH(DI$3,Вводные!$D$11:$F$11,0))*(1+IF(DI$4=$A78,Вводные!$D$5*INDEX(Вводные!$G$13:$G$64,MATCH($A78,Вводные!$A$13:$A$64,0)),0))</f>
        <v>15</v>
      </c>
      <c r="DJ78" s="14" t="n">
        <f aca="false">INDEX(Вводные!$D$13:$F$64,MATCH($A78,Вводные!$A$13:$A$64,0),MATCH(DJ$3,Вводные!$D$11:$F$11,0))*(1+IF(DJ$4=$A78,Вводные!$D$5*INDEX(Вводные!$G$13:$G$64,MATCH($A78,Вводные!$A$13:$A$64,0)),0))</f>
        <v>15</v>
      </c>
      <c r="DK78" s="14" t="n">
        <f aca="false">INDEX(Вводные!$D$13:$F$64,MATCH($A78,Вводные!$A$13:$A$64,0),MATCH(DK$3,Вводные!$D$11:$F$11,0))*(1+IF(DK$4=$A78,Вводные!$D$5*INDEX(Вводные!$G$13:$G$64,MATCH($A78,Вводные!$A$13:$A$64,0)),0))</f>
        <v>15</v>
      </c>
      <c r="DL78" s="14" t="n">
        <f aca="false">INDEX(Вводные!$D$13:$F$64,MATCH($A78,Вводные!$A$13:$A$64,0),MATCH(DL$3,Вводные!$D$11:$F$11,0))*(1+IF(DL$4=$A78,Вводные!$D$5*INDEX(Вводные!$G$13:$G$64,MATCH($A78,Вводные!$A$13:$A$64,0)),0))</f>
        <v>15</v>
      </c>
      <c r="DM78" s="14" t="n">
        <f aca="false">INDEX(Вводные!$D$13:$F$64,MATCH($A78,Вводные!$A$13:$A$64,0),MATCH(DM$3,Вводные!$D$11:$F$11,0))*(1+IF(DM$4=$A78,Вводные!$D$5*INDEX(Вводные!$G$13:$G$64,MATCH($A78,Вводные!$A$13:$A$64,0)),0))</f>
        <v>15</v>
      </c>
      <c r="DN78" s="14" t="n">
        <f aca="false">INDEX(Вводные!$D$13:$F$64,MATCH($A78,Вводные!$A$13:$A$64,0),MATCH(DN$3,Вводные!$D$11:$F$11,0))*(1+IF(DN$4=$A78,Вводные!$D$5*INDEX(Вводные!$G$13:$G$64,MATCH($A78,Вводные!$A$13:$A$64,0)),0))</f>
        <v>15</v>
      </c>
      <c r="DO78" s="14" t="n">
        <f aca="false">INDEX(Вводные!$D$13:$F$64,MATCH($A78,Вводные!$A$13:$A$64,0),MATCH(DO$3,Вводные!$D$11:$F$11,0))*(1+IF(DO$4=$A78,Вводные!$D$5*INDEX(Вводные!$G$13:$G$64,MATCH($A78,Вводные!$A$13:$A$64,0)),0))</f>
        <v>15</v>
      </c>
      <c r="DP78" s="14" t="n">
        <f aca="false">INDEX(Вводные!$D$13:$F$64,MATCH($A78,Вводные!$A$13:$A$64,0),MATCH(DP$3,Вводные!$D$11:$F$11,0))*(1+IF(DP$4=$A78,Вводные!$D$5*INDEX(Вводные!$G$13:$G$64,MATCH($A78,Вводные!$A$13:$A$64,0)),0))</f>
        <v>15</v>
      </c>
      <c r="DQ78" s="14" t="n">
        <f aca="false">INDEX(Вводные!$D$13:$F$64,MATCH($A78,Вводные!$A$13:$A$64,0),MATCH(DQ$3,Вводные!$D$11:$F$11,0))*(1+IF(DQ$4=$A78,Вводные!$D$5*INDEX(Вводные!$G$13:$G$64,MATCH($A78,Вводные!$A$13:$A$64,0)),0))</f>
        <v>15</v>
      </c>
      <c r="DR78" s="14" t="n">
        <f aca="false">INDEX(Вводные!$D$13:$F$64,MATCH($A78,Вводные!$A$13:$A$64,0),MATCH(DR$3,Вводные!$D$11:$F$11,0))*(1+IF(DR$4=$A78,Вводные!$D$5*INDEX(Вводные!$G$13:$G$64,MATCH($A78,Вводные!$A$13:$A$64,0)),0))</f>
        <v>15</v>
      </c>
      <c r="DS78" s="14" t="n">
        <f aca="false">INDEX(Вводные!$D$13:$F$64,MATCH($A78,Вводные!$A$13:$A$64,0),MATCH(DS$3,Вводные!$D$11:$F$11,0))*(1+IF(DS$4=$A78,Вводные!$D$5*INDEX(Вводные!$G$13:$G$64,MATCH($A78,Вводные!$A$13:$A$64,0)),0))</f>
        <v>15</v>
      </c>
      <c r="DT78" s="14" t="n">
        <f aca="false">INDEX(Вводные!$D$13:$F$64,MATCH($A78,Вводные!$A$13:$A$64,0),MATCH(DT$3,Вводные!$D$11:$F$11,0))*(1+IF(DT$4=$A78,Вводные!$D$5*INDEX(Вводные!$G$13:$G$64,MATCH($A78,Вводные!$A$13:$A$64,0)),0))</f>
        <v>15</v>
      </c>
      <c r="DU78" s="14" t="n">
        <f aca="false">INDEX(Вводные!$D$13:$F$64,MATCH($A78,Вводные!$A$13:$A$64,0),MATCH(DU$3,Вводные!$D$11:$F$11,0))*(1+IF(DU$4=$A78,Вводные!$D$5*INDEX(Вводные!$G$13:$G$64,MATCH($A78,Вводные!$A$13:$A$64,0)),0))</f>
        <v>15</v>
      </c>
      <c r="DV78" s="14" t="n">
        <f aca="false">INDEX(Вводные!$D$13:$F$64,MATCH($A78,Вводные!$A$13:$A$64,0),MATCH(DV$3,Вводные!$D$11:$F$11,0))*(1+IF(DV$4=$A78,Вводные!$D$5*INDEX(Вводные!$G$13:$G$64,MATCH($A78,Вводные!$A$13:$A$64,0)),0))</f>
        <v>15</v>
      </c>
      <c r="DW78" s="14" t="n">
        <f aca="false">INDEX(Вводные!$D$13:$F$64,MATCH($A78,Вводные!$A$13:$A$64,0),MATCH(DW$3,Вводные!$D$11:$F$11,0))*(1+IF(DW$4=$A78,Вводные!$D$5*INDEX(Вводные!$G$13:$G$64,MATCH($A78,Вводные!$A$13:$A$64,0)),0))</f>
        <v>15</v>
      </c>
      <c r="DX78" s="14" t="n">
        <f aca="false">INDEX(Вводные!$D$13:$F$64,MATCH($A78,Вводные!$A$13:$A$64,0),MATCH(DX$3,Вводные!$D$11:$F$11,0))*(1+IF(DX$4=$A78,Вводные!$D$5*INDEX(Вводные!$G$13:$G$64,MATCH($A78,Вводные!$A$13:$A$64,0)),0))</f>
        <v>15</v>
      </c>
      <c r="DY78" s="14" t="n">
        <f aca="false">INDEX(Вводные!$D$13:$F$64,MATCH($A78,Вводные!$A$13:$A$64,0),MATCH(DY$3,Вводные!$D$11:$F$11,0))*(1+IF(DY$4=$A78,Вводные!$D$5*INDEX(Вводные!$G$13:$G$64,MATCH($A78,Вводные!$A$13:$A$64,0)),0))</f>
        <v>15</v>
      </c>
      <c r="DZ78" s="14" t="n">
        <f aca="false">INDEX(Вводные!$D$13:$F$64,MATCH($A78,Вводные!$A$13:$A$64,0),MATCH(DZ$3,Вводные!$D$11:$F$11,0))*(1+IF(DZ$4=$A78,Вводные!$D$5*INDEX(Вводные!$G$13:$G$64,MATCH($A78,Вводные!$A$13:$A$64,0)),0))</f>
        <v>15</v>
      </c>
      <c r="EA78" s="14" t="n">
        <f aca="false">INDEX(Вводные!$D$13:$F$64,MATCH($A78,Вводные!$A$13:$A$64,0),MATCH(EA$3,Вводные!$D$11:$F$11,0))*(1+IF(EA$4=$A78,Вводные!$D$5*INDEX(Вводные!$G$13:$G$64,MATCH($A78,Вводные!$A$13:$A$64,0)),0))</f>
        <v>15</v>
      </c>
      <c r="EB78" s="14" t="n">
        <f aca="false">INDEX(Вводные!$D$13:$F$64,MATCH($A78,Вводные!$A$13:$A$64,0),MATCH(EB$3,Вводные!$D$11:$F$11,0))*(1+IF(EB$4=$A78,Вводные!$D$5*INDEX(Вводные!$G$13:$G$64,MATCH($A78,Вводные!$A$13:$A$64,0)),0))</f>
        <v>15.15</v>
      </c>
      <c r="EC78" s="14" t="n">
        <f aca="false">INDEX(Вводные!$D$13:$F$64,MATCH($A78,Вводные!$A$13:$A$64,0),MATCH(EC$3,Вводные!$D$11:$F$11,0))*(1+IF(EC$4=$A78,Вводные!$D$5*INDEX(Вводные!$G$13:$G$64,MATCH($A78,Вводные!$A$13:$A$64,0)),0))</f>
        <v>15</v>
      </c>
      <c r="ED78" s="14" t="n">
        <f aca="false">INDEX(Вводные!$D$13:$F$64,MATCH($A78,Вводные!$A$13:$A$64,0),MATCH(ED$3,Вводные!$D$11:$F$11,0))*(1+IF(ED$4=$A78,Вводные!$D$5*INDEX(Вводные!$G$13:$G$64,MATCH($A78,Вводные!$A$13:$A$64,0)),0))</f>
        <v>15</v>
      </c>
      <c r="EE78" s="14" t="n">
        <f aca="false">INDEX(Вводные!$D$13:$F$64,MATCH($A78,Вводные!$A$13:$A$64,0),MATCH(EE$3,Вводные!$D$11:$F$11,0))*(1+IF(EE$4=$A78,Вводные!$D$5*INDEX(Вводные!$G$13:$G$64,MATCH($A78,Вводные!$A$13:$A$64,0)),0))</f>
        <v>15</v>
      </c>
      <c r="EF78" s="14" t="n">
        <f aca="false">INDEX(Вводные!$D$13:$F$64,MATCH($A78,Вводные!$A$13:$A$64,0),MATCH(EF$3,Вводные!$D$11:$F$11,0))*(1+IF(EF$4=$A78,Вводные!$D$5*INDEX(Вводные!$G$13:$G$64,MATCH($A78,Вводные!$A$13:$A$64,0)),0))</f>
        <v>0</v>
      </c>
      <c r="EG78" s="14" t="n">
        <f aca="false">INDEX(Вводные!$D$13:$F$64,MATCH($A78,Вводные!$A$13:$A$64,0),MATCH(EG$3,Вводные!$D$11:$F$11,0))*(1+IF(EG$4=$A78,Вводные!$D$5*INDEX(Вводные!$G$13:$G$64,MATCH($A78,Вводные!$A$13:$A$64,0)),0))</f>
        <v>0</v>
      </c>
      <c r="EH78" s="14" t="n">
        <f aca="false">INDEX(Вводные!$D$13:$F$64,MATCH($A78,Вводные!$A$13:$A$64,0),MATCH(EH$3,Вводные!$D$11:$F$11,0))*(1+IF(EH$4=$A78,Вводные!$D$5*INDEX(Вводные!$G$13:$G$64,MATCH($A78,Вводные!$A$13:$A$64,0)),0))</f>
        <v>0</v>
      </c>
      <c r="EI78" s="14" t="n">
        <f aca="false">INDEX(Вводные!$D$13:$F$64,MATCH($A78,Вводные!$A$13:$A$64,0),MATCH(EI$3,Вводные!$D$11:$F$11,0))*(1+IF(EI$4=$A78,Вводные!$D$5*INDEX(Вводные!$G$13:$G$64,MATCH($A78,Вводные!$A$13:$A$64,0)),0))</f>
        <v>0</v>
      </c>
      <c r="EJ78" s="14" t="n">
        <f aca="false">INDEX(Вводные!$D$13:$F$64,MATCH($A78,Вводные!$A$13:$A$64,0),MATCH(EJ$3,Вводные!$D$11:$F$11,0))*(1+IF(EJ$4=$A78,Вводные!$D$5*INDEX(Вводные!$G$13:$G$64,MATCH($A78,Вводные!$A$13:$A$64,0)),0))</f>
        <v>0</v>
      </c>
      <c r="EK78" s="14" t="n">
        <f aca="false">INDEX(Вводные!$D$13:$F$64,MATCH($A78,Вводные!$A$13:$A$64,0),MATCH(EK$3,Вводные!$D$11:$F$11,0))*(1+IF(EK$4=$A78,Вводные!$D$5*INDEX(Вводные!$G$13:$G$64,MATCH($A78,Вводные!$A$13:$A$64,0)),0))</f>
        <v>0</v>
      </c>
      <c r="EL78" s="14" t="n">
        <f aca="false">INDEX(Вводные!$D$13:$F$64,MATCH($A78,Вводные!$A$13:$A$64,0),MATCH(EL$3,Вводные!$D$11:$F$11,0))*(1+IF(EL$4=$A78,Вводные!$D$5*INDEX(Вводные!$G$13:$G$64,MATCH($A78,Вводные!$A$13:$A$64,0)),0))</f>
        <v>0</v>
      </c>
      <c r="EM78" s="14" t="n">
        <f aca="false">INDEX(Вводные!$D$13:$F$64,MATCH($A78,Вводные!$A$13:$A$64,0),MATCH(EM$3,Вводные!$D$11:$F$11,0))*(1+IF(EM$4=$A78,Вводные!$D$5*INDEX(Вводные!$G$13:$G$64,MATCH($A78,Вводные!$A$13:$A$64,0)),0))</f>
        <v>0</v>
      </c>
      <c r="EN78" s="14" t="n">
        <f aca="false">INDEX(Вводные!$D$13:$F$64,MATCH($A78,Вводные!$A$13:$A$64,0),MATCH(EN$3,Вводные!$D$11:$F$11,0))*(1+IF(EN$4=$A78,Вводные!$D$5*INDEX(Вводные!$G$13:$G$64,MATCH($A78,Вводные!$A$13:$A$64,0)),0))</f>
        <v>0</v>
      </c>
      <c r="EO78" s="14" t="n">
        <f aca="false">INDEX(Вводные!$D$13:$F$64,MATCH($A78,Вводные!$A$13:$A$64,0),MATCH(EO$3,Вводные!$D$11:$F$11,0))*(1+IF(EO$4=$A78,Вводные!$D$5*INDEX(Вводные!$G$13:$G$64,MATCH($A78,Вводные!$A$13:$A$64,0)),0))</f>
        <v>0</v>
      </c>
      <c r="EP78" s="14" t="n">
        <f aca="false">INDEX(Вводные!$D$13:$F$64,MATCH($A78,Вводные!$A$13:$A$64,0),MATCH(EP$3,Вводные!$D$11:$F$11,0))*(1+IF(EP$4=$A78,Вводные!$D$5*INDEX(Вводные!$G$13:$G$64,MATCH($A78,Вводные!$A$13:$A$64,0)),0))</f>
        <v>0</v>
      </c>
      <c r="EQ78" s="14" t="n">
        <f aca="false">INDEX(Вводные!$D$13:$F$64,MATCH($A78,Вводные!$A$13:$A$64,0),MATCH(EQ$3,Вводные!$D$11:$F$11,0))*(1+IF(EQ$4=$A78,Вводные!$D$5*INDEX(Вводные!$G$13:$G$64,MATCH($A78,Вводные!$A$13:$A$64,0)),0))</f>
        <v>0</v>
      </c>
      <c r="ER78" s="14" t="n">
        <f aca="false">INDEX(Вводные!$D$13:$F$64,MATCH($A78,Вводные!$A$13:$A$64,0),MATCH(ER$3,Вводные!$D$11:$F$11,0))*(1+IF(ER$4=$A78,Вводные!$D$5*INDEX(Вводные!$G$13:$G$64,MATCH($A78,Вводные!$A$13:$A$64,0)),0))</f>
        <v>0</v>
      </c>
      <c r="ES78" s="14" t="n">
        <f aca="false">INDEX(Вводные!$D$13:$F$64,MATCH($A78,Вводные!$A$13:$A$64,0),MATCH(ES$3,Вводные!$D$11:$F$11,0))*(1+IF(ES$4=$A78,Вводные!$D$5*INDEX(Вводные!$G$13:$G$64,MATCH($A78,Вводные!$A$13:$A$64,0)),0))</f>
        <v>0</v>
      </c>
      <c r="ET78" s="14" t="n">
        <f aca="false">INDEX(Вводные!$D$13:$F$64,MATCH($A78,Вводные!$A$13:$A$64,0),MATCH(ET$3,Вводные!$D$11:$F$11,0))*(1+IF(ET$4=$A78,Вводные!$D$5*INDEX(Вводные!$G$13:$G$64,MATCH($A78,Вводные!$A$13:$A$64,0)),0))</f>
        <v>0</v>
      </c>
      <c r="EU78" s="14" t="n">
        <f aca="false">INDEX(Вводные!$D$13:$F$64,MATCH($A78,Вводные!$A$13:$A$64,0),MATCH(EU$3,Вводные!$D$11:$F$11,0))*(1+IF(EU$4=$A78,Вводные!$D$5*INDEX(Вводные!$G$13:$G$64,MATCH($A78,Вводные!$A$13:$A$64,0)),0))</f>
        <v>0</v>
      </c>
      <c r="EV78" s="14" t="n">
        <f aca="false">INDEX(Вводные!$D$13:$F$64,MATCH($A78,Вводные!$A$13:$A$64,0),MATCH(EV$3,Вводные!$D$11:$F$11,0))*(1+IF(EV$4=$A78,Вводные!$D$5*INDEX(Вводные!$G$13:$G$64,MATCH($A78,Вводные!$A$13:$A$64,0)),0))</f>
        <v>0</v>
      </c>
      <c r="EW78" s="14" t="n">
        <f aca="false">INDEX(Вводные!$D$13:$F$64,MATCH($A78,Вводные!$A$13:$A$64,0),MATCH(EW$3,Вводные!$D$11:$F$11,0))*(1+IF(EW$4=$A78,Вводные!$D$5*INDEX(Вводные!$G$13:$G$64,MATCH($A78,Вводные!$A$13:$A$64,0)),0))</f>
        <v>0</v>
      </c>
      <c r="EX78" s="14" t="n">
        <f aca="false">INDEX(Вводные!$D$13:$F$64,MATCH($A78,Вводные!$A$13:$A$64,0),MATCH(EX$3,Вводные!$D$11:$F$11,0))*(1+IF(EX$4=$A78,Вводные!$D$5*INDEX(Вводные!$G$13:$G$64,MATCH($A78,Вводные!$A$13:$A$64,0)),0))</f>
        <v>0</v>
      </c>
      <c r="EY78" s="14" t="n">
        <f aca="false">INDEX(Вводные!$D$13:$F$64,MATCH($A78,Вводные!$A$13:$A$64,0),MATCH(EY$3,Вводные!$D$11:$F$11,0))*(1+IF(EY$4=$A78,Вводные!$D$5*INDEX(Вводные!$G$13:$G$64,MATCH($A78,Вводные!$A$13:$A$64,0)),0))</f>
        <v>0</v>
      </c>
      <c r="EZ78" s="14" t="n">
        <f aca="false">INDEX(Вводные!$D$13:$F$64,MATCH($A78,Вводные!$A$13:$A$64,0),MATCH(EZ$3,Вводные!$D$11:$F$11,0))*(1+IF(EZ$4=$A78,Вводные!$D$5*INDEX(Вводные!$G$13:$G$64,MATCH($A78,Вводные!$A$13:$A$64,0)),0))</f>
        <v>0</v>
      </c>
      <c r="FA78" s="14" t="n">
        <f aca="false">INDEX(Вводные!$D$13:$F$64,MATCH($A78,Вводные!$A$13:$A$64,0),MATCH(FA$3,Вводные!$D$11:$F$11,0))*(1+IF(FA$4=$A78,Вводные!$D$5*INDEX(Вводные!$G$13:$G$64,MATCH($A78,Вводные!$A$13:$A$64,0)),0))</f>
        <v>0</v>
      </c>
      <c r="FB78" s="14" t="n">
        <f aca="false">INDEX(Вводные!$D$13:$F$64,MATCH($A78,Вводные!$A$13:$A$64,0),MATCH(FB$3,Вводные!$D$11:$F$11,0))*(1+IF(FB$4=$A78,Вводные!$D$5*INDEX(Вводные!$G$13:$G$64,MATCH($A78,Вводные!$A$13:$A$64,0)),0))</f>
        <v>0</v>
      </c>
      <c r="FC78" s="14" t="n">
        <f aca="false">INDEX(Вводные!$D$13:$F$64,MATCH($A78,Вводные!$A$13:$A$64,0),MATCH(FC$3,Вводные!$D$11:$F$11,0))*(1+IF(FC$4=$A78,Вводные!$D$5*INDEX(Вводные!$G$13:$G$64,MATCH($A78,Вводные!$A$13:$A$64,0)),0))</f>
        <v>0</v>
      </c>
      <c r="FD78" s="14" t="n">
        <f aca="false">INDEX(Вводные!$D$13:$F$64,MATCH($A78,Вводные!$A$13:$A$64,0),MATCH(FD$3,Вводные!$D$11:$F$11,0))*(1+IF(FD$4=$A78,Вводные!$D$5*INDEX(Вводные!$G$13:$G$64,MATCH($A78,Вводные!$A$13:$A$64,0)),0))</f>
        <v>0</v>
      </c>
      <c r="FE78" s="14" t="n">
        <f aca="false">INDEX(Вводные!$D$13:$F$64,MATCH($A78,Вводные!$A$13:$A$64,0),MATCH(FE$3,Вводные!$D$11:$F$11,0))*(1+IF(FE$4=$A78,Вводные!$D$5*INDEX(Вводные!$G$13:$G$64,MATCH($A78,Вводные!$A$13:$A$64,0)),0))</f>
        <v>0</v>
      </c>
      <c r="FF78" s="14" t="n">
        <f aca="false">INDEX(Вводные!$D$13:$F$64,MATCH($A78,Вводные!$A$13:$A$64,0),MATCH(FF$3,Вводные!$D$11:$F$11,0))*(1+IF(FF$4=$A78,Вводные!$D$5*INDEX(Вводные!$G$13:$G$64,MATCH($A78,Вводные!$A$13:$A$64,0)),0))</f>
        <v>0</v>
      </c>
      <c r="FG78" s="14" t="n">
        <f aca="false">INDEX(Вводные!$D$13:$F$64,MATCH($A78,Вводные!$A$13:$A$64,0),MATCH(FG$3,Вводные!$D$11:$F$11,0))*(1+IF(FG$4=$A78,Вводные!$D$5*INDEX(Вводные!$G$13:$G$64,MATCH($A78,Вводные!$A$13:$A$64,0)),0))</f>
        <v>0</v>
      </c>
      <c r="FH78" s="14" t="n">
        <f aca="false">INDEX(Вводные!$D$13:$F$64,MATCH($A78,Вводные!$A$13:$A$64,0),MATCH(FH$3,Вводные!$D$11:$F$11,0))*(1+IF(FH$4=$A78,Вводные!$D$5*INDEX(Вводные!$G$13:$G$64,MATCH($A78,Вводные!$A$13:$A$64,0)),0))</f>
        <v>0</v>
      </c>
      <c r="FI78" s="14" t="n">
        <f aca="false">INDEX(Вводные!$D$13:$F$64,MATCH($A78,Вводные!$A$13:$A$64,0),MATCH(FI$3,Вводные!$D$11:$F$11,0))*(1+IF(FI$4=$A78,Вводные!$D$5*INDEX(Вводные!$G$13:$G$64,MATCH($A78,Вводные!$A$13:$A$64,0)),0))</f>
        <v>0</v>
      </c>
      <c r="FJ78" s="14" t="n">
        <f aca="false">INDEX(Вводные!$D$13:$F$64,MATCH($A78,Вводные!$A$13:$A$64,0),MATCH(FJ$3,Вводные!$D$11:$F$11,0))*(1+IF(FJ$4=$A78,Вводные!$D$5*INDEX(Вводные!$G$13:$G$64,MATCH($A78,Вводные!$A$13:$A$64,0)),0))</f>
        <v>0</v>
      </c>
      <c r="FK78" s="14" t="n">
        <f aca="false">INDEX(Вводные!$D$13:$F$64,MATCH($A78,Вводные!$A$13:$A$64,0),MATCH(FK$3,Вводные!$D$11:$F$11,0))*(1+IF(FK$4=$A78,Вводные!$D$5*INDEX(Вводные!$G$13:$G$64,MATCH($A78,Вводные!$A$13:$A$64,0)),0))</f>
        <v>0</v>
      </c>
      <c r="FL78" s="14" t="n">
        <f aca="false">INDEX(Вводные!$D$13:$F$64,MATCH($A78,Вводные!$A$13:$A$64,0),MATCH(FL$3,Вводные!$D$11:$F$11,0))*(1+IF(FL$4=$A78,Вводные!$D$5*INDEX(Вводные!$G$13:$G$64,MATCH($A78,Вводные!$A$13:$A$64,0)),0))</f>
        <v>0</v>
      </c>
      <c r="FM78" s="14" t="n">
        <f aca="false">INDEX(Вводные!$D$13:$F$64,MATCH($A78,Вводные!$A$13:$A$64,0),MATCH(FM$3,Вводные!$D$11:$F$11,0))*(1+IF(FM$4=$A78,Вводные!$D$5*INDEX(Вводные!$G$13:$G$64,MATCH($A78,Вводные!$A$13:$A$64,0)),0))</f>
        <v>0</v>
      </c>
      <c r="FN78" s="14" t="n">
        <f aca="false">INDEX(Вводные!$D$13:$F$64,MATCH($A78,Вводные!$A$13:$A$64,0),MATCH(FN$3,Вводные!$D$11:$F$11,0))*(1+IF(FN$4=$A78,Вводные!$D$5*INDEX(Вводные!$G$13:$G$64,MATCH($A78,Вводные!$A$13:$A$64,0)),0))</f>
        <v>0</v>
      </c>
      <c r="FO78" s="14" t="n">
        <f aca="false">INDEX(Вводные!$D$13:$F$64,MATCH($A78,Вводные!$A$13:$A$64,0),MATCH(FO$3,Вводные!$D$11:$F$11,0))*(1+IF(FO$4=$A78,Вводные!$D$5*INDEX(Вводные!$G$13:$G$64,MATCH($A78,Вводные!$A$13:$A$64,0)),0))</f>
        <v>0</v>
      </c>
      <c r="FP78" s="14" t="n">
        <f aca="false">INDEX(Вводные!$D$13:$F$64,MATCH($A78,Вводные!$A$13:$A$64,0),MATCH(FP$3,Вводные!$D$11:$F$11,0))*(1+IF(FP$4=$A78,Вводные!$D$5*INDEX(Вводные!$G$13:$G$64,MATCH($A78,Вводные!$A$13:$A$64,0)),0))</f>
        <v>0</v>
      </c>
      <c r="FQ78" s="14" t="n">
        <f aca="false">INDEX(Вводные!$D$13:$F$64,MATCH($A78,Вводные!$A$13:$A$64,0),MATCH(FQ$3,Вводные!$D$11:$F$11,0))*(1+IF(FQ$4=$A78,Вводные!$D$5*INDEX(Вводные!$G$13:$G$64,MATCH($A78,Вводные!$A$13:$A$64,0)),0))</f>
        <v>0</v>
      </c>
      <c r="FR78" s="14" t="n">
        <f aca="false">INDEX(Вводные!$D$13:$F$64,MATCH($A78,Вводные!$A$13:$A$64,0),MATCH(FR$3,Вводные!$D$11:$F$11,0))*(1+IF(FR$4=$A78,Вводные!$D$5*INDEX(Вводные!$G$13:$G$64,MATCH($A78,Вводные!$A$13:$A$64,0)),0))</f>
        <v>0</v>
      </c>
      <c r="FS78" s="14" t="n">
        <f aca="false">INDEX(Вводные!$D$13:$F$64,MATCH($A78,Вводные!$A$13:$A$64,0),MATCH(FS$3,Вводные!$D$11:$F$11,0))*(1+IF(FS$4=$A78,Вводные!$D$5*INDEX(Вводные!$G$13:$G$64,MATCH($A78,Вводные!$A$13:$A$64,0)),0))</f>
        <v>0</v>
      </c>
      <c r="FT78" s="14" t="n">
        <f aca="false">INDEX(Вводные!$D$13:$F$64,MATCH($A78,Вводные!$A$13:$A$64,0),MATCH(FT$3,Вводные!$D$11:$F$11,0))*(1+IF(FT$4=$A78,Вводные!$D$5*INDEX(Вводные!$G$13:$G$64,MATCH($A78,Вводные!$A$13:$A$64,0)),0))</f>
        <v>0</v>
      </c>
      <c r="FU78" s="14" t="n">
        <f aca="false">INDEX(Вводные!$D$13:$F$64,MATCH($A78,Вводные!$A$13:$A$64,0),MATCH(FU$3,Вводные!$D$11:$F$11,0))*(1+IF(FU$4=$A78,Вводные!$D$5*INDEX(Вводные!$G$13:$G$64,MATCH($A78,Вводные!$A$13:$A$64,0)),0))</f>
        <v>0</v>
      </c>
      <c r="FV78" s="14" t="n">
        <f aca="false">INDEX(Вводные!$D$13:$F$64,MATCH($A78,Вводные!$A$13:$A$64,0),MATCH(FV$3,Вводные!$D$11:$F$11,0))*(1+IF(FV$4=$A78,Вводные!$D$5*INDEX(Вводные!$G$13:$G$64,MATCH($A78,Вводные!$A$13:$A$64,0)),0))</f>
        <v>150</v>
      </c>
      <c r="FW78" s="14" t="n">
        <f aca="false">INDEX(Вводные!$D$13:$F$64,MATCH($A78,Вводные!$A$13:$A$64,0),MATCH(FW$3,Вводные!$D$11:$F$11,0))*(1+IF(FW$4=$A78,Вводные!$D$5*INDEX(Вводные!$G$13:$G$64,MATCH($A78,Вводные!$A$13:$A$64,0)),0))</f>
        <v>150</v>
      </c>
      <c r="FX78" s="14" t="n">
        <f aca="false">INDEX(Вводные!$D$13:$F$64,MATCH($A78,Вводные!$A$13:$A$64,0),MATCH(FX$3,Вводные!$D$11:$F$11,0))*(1+IF(FX$4=$A78,Вводные!$D$5*INDEX(Вводные!$G$13:$G$64,MATCH($A78,Вводные!$A$13:$A$64,0)),0))</f>
        <v>150</v>
      </c>
      <c r="FY78" s="14" t="n">
        <f aca="false">INDEX(Вводные!$D$13:$F$64,MATCH($A78,Вводные!$A$13:$A$64,0),MATCH(FY$3,Вводные!$D$11:$F$11,0))*(1+IF(FY$4=$A78,Вводные!$D$5*INDEX(Вводные!$G$13:$G$64,MATCH($A78,Вводные!$A$13:$A$64,0)),0))</f>
        <v>150</v>
      </c>
      <c r="FZ78" s="14" t="n">
        <f aca="false">INDEX(Вводные!$D$13:$F$64,MATCH($A78,Вводные!$A$13:$A$64,0),MATCH(FZ$3,Вводные!$D$11:$F$11,0))*(1+IF(FZ$4=$A78,Вводные!$D$5*INDEX(Вводные!$G$13:$G$64,MATCH($A78,Вводные!$A$13:$A$64,0)),0))</f>
        <v>150</v>
      </c>
      <c r="GA78" s="14" t="n">
        <f aca="false">INDEX(Вводные!$D$13:$F$64,MATCH($A78,Вводные!$A$13:$A$64,0),MATCH(GA$3,Вводные!$D$11:$F$11,0))*(1+IF(GA$4=$A78,Вводные!$D$5*INDEX(Вводные!$G$13:$G$64,MATCH($A78,Вводные!$A$13:$A$64,0)),0))</f>
        <v>150</v>
      </c>
      <c r="GB78" s="14" t="n">
        <f aca="false">INDEX(Вводные!$D$13:$F$64,MATCH($A78,Вводные!$A$13:$A$64,0),MATCH(GB$3,Вводные!$D$11:$F$11,0))*(1+IF(GB$4=$A78,Вводные!$D$5*INDEX(Вводные!$G$13:$G$64,MATCH($A78,Вводные!$A$13:$A$64,0)),0))</f>
        <v>150</v>
      </c>
      <c r="GC78" s="14" t="n">
        <f aca="false">INDEX(Вводные!$D$13:$F$64,MATCH($A78,Вводные!$A$13:$A$64,0),MATCH(GC$3,Вводные!$D$11:$F$11,0))*(1+IF(GC$4=$A78,Вводные!$D$5*INDEX(Вводные!$G$13:$G$64,MATCH($A78,Вводные!$A$13:$A$64,0)),0))</f>
        <v>150</v>
      </c>
      <c r="GD78" s="14" t="n">
        <f aca="false">INDEX(Вводные!$D$13:$F$64,MATCH($A78,Вводные!$A$13:$A$64,0),MATCH(GD$3,Вводные!$D$11:$F$11,0))*(1+IF(GD$4=$A78,Вводные!$D$5*INDEX(Вводные!$G$13:$G$64,MATCH($A78,Вводные!$A$13:$A$64,0)),0))</f>
        <v>150</v>
      </c>
      <c r="GE78" s="14" t="n">
        <f aca="false">INDEX(Вводные!$D$13:$F$64,MATCH($A78,Вводные!$A$13:$A$64,0),MATCH(GE$3,Вводные!$D$11:$F$11,0))*(1+IF(GE$4=$A78,Вводные!$D$5*INDEX(Вводные!$G$13:$G$64,MATCH($A78,Вводные!$A$13:$A$64,0)),0))</f>
        <v>150</v>
      </c>
      <c r="GF78" s="14" t="n">
        <f aca="false">INDEX(Вводные!$D$13:$F$64,MATCH($A78,Вводные!$A$13:$A$64,0),MATCH(GF$3,Вводные!$D$11:$F$11,0))*(1+IF(GF$4=$A78,Вводные!$D$5*INDEX(Вводные!$G$13:$G$64,MATCH($A78,Вводные!$A$13:$A$64,0)),0))</f>
        <v>150</v>
      </c>
      <c r="GG78" s="14" t="n">
        <f aca="false">INDEX(Вводные!$D$13:$F$64,MATCH($A78,Вводные!$A$13:$A$64,0),MATCH(GG$3,Вводные!$D$11:$F$11,0))*(1+IF(GG$4=$A78,Вводные!$D$5*INDEX(Вводные!$G$13:$G$64,MATCH($A78,Вводные!$A$13:$A$64,0)),0))</f>
        <v>150</v>
      </c>
      <c r="GH78" s="14" t="n">
        <f aca="false">INDEX(Вводные!$D$13:$F$64,MATCH($A78,Вводные!$A$13:$A$64,0),MATCH(GH$3,Вводные!$D$11:$F$11,0))*(1+IF(GH$4=$A78,Вводные!$D$5*INDEX(Вводные!$G$13:$G$64,MATCH($A78,Вводные!$A$13:$A$64,0)),0))</f>
        <v>150</v>
      </c>
      <c r="GI78" s="14" t="n">
        <f aca="false">INDEX(Вводные!$D$13:$F$64,MATCH($A78,Вводные!$A$13:$A$64,0),MATCH(GI$3,Вводные!$D$11:$F$11,0))*(1+IF(GI$4=$A78,Вводные!$D$5*INDEX(Вводные!$G$13:$G$64,MATCH($A78,Вводные!$A$13:$A$64,0)),0))</f>
        <v>150</v>
      </c>
      <c r="GJ78" s="14" t="n">
        <f aca="false">INDEX(Вводные!$D$13:$F$64,MATCH($A78,Вводные!$A$13:$A$64,0),MATCH(GJ$3,Вводные!$D$11:$F$11,0))*(1+IF(GJ$4=$A78,Вводные!$D$5*INDEX(Вводные!$G$13:$G$64,MATCH($A78,Вводные!$A$13:$A$64,0)),0))</f>
        <v>150</v>
      </c>
      <c r="GK78" s="14" t="n">
        <f aca="false">INDEX(Вводные!$D$13:$F$64,MATCH($A78,Вводные!$A$13:$A$64,0),MATCH(GK$3,Вводные!$D$11:$F$11,0))*(1+IF(GK$4=$A78,Вводные!$D$5*INDEX(Вводные!$G$13:$G$64,MATCH($A78,Вводные!$A$13:$A$64,0)),0))</f>
        <v>150</v>
      </c>
      <c r="GL78" s="14" t="n">
        <f aca="false">INDEX(Вводные!$D$13:$F$64,MATCH($A78,Вводные!$A$13:$A$64,0),MATCH(GL$3,Вводные!$D$11:$F$11,0))*(1+IF(GL$4=$A78,Вводные!$D$5*INDEX(Вводные!$G$13:$G$64,MATCH($A78,Вводные!$A$13:$A$64,0)),0))</f>
        <v>150</v>
      </c>
      <c r="GM78" s="14" t="n">
        <f aca="false">INDEX(Вводные!$D$13:$F$64,MATCH($A78,Вводные!$A$13:$A$64,0),MATCH(GM$3,Вводные!$D$11:$F$11,0))*(1+IF(GM$4=$A78,Вводные!$D$5*INDEX(Вводные!$G$13:$G$64,MATCH($A78,Вводные!$A$13:$A$64,0)),0))</f>
        <v>150</v>
      </c>
      <c r="GN78" s="14" t="n">
        <f aca="false">INDEX(Вводные!$D$13:$F$64,MATCH($A78,Вводные!$A$13:$A$64,0),MATCH(GN$3,Вводные!$D$11:$F$11,0))*(1+IF(GN$4=$A78,Вводные!$D$5*INDEX(Вводные!$G$13:$G$64,MATCH($A78,Вводные!$A$13:$A$64,0)),0))</f>
        <v>150</v>
      </c>
      <c r="GO78" s="14" t="n">
        <f aca="false">INDEX(Вводные!$D$13:$F$64,MATCH($A78,Вводные!$A$13:$A$64,0),MATCH(GO$3,Вводные!$D$11:$F$11,0))*(1+IF(GO$4=$A78,Вводные!$D$5*INDEX(Вводные!$G$13:$G$64,MATCH($A78,Вводные!$A$13:$A$64,0)),0))</f>
        <v>150</v>
      </c>
      <c r="GP78" s="14" t="n">
        <f aca="false">INDEX(Вводные!$D$13:$F$64,MATCH($A78,Вводные!$A$13:$A$64,0),MATCH(GP$3,Вводные!$D$11:$F$11,0))*(1+IF(GP$4=$A78,Вводные!$D$5*INDEX(Вводные!$G$13:$G$64,MATCH($A78,Вводные!$A$13:$A$64,0)),0))</f>
        <v>150</v>
      </c>
      <c r="GQ78" s="14" t="n">
        <f aca="false">INDEX(Вводные!$D$13:$F$64,MATCH($A78,Вводные!$A$13:$A$64,0),MATCH(GQ$3,Вводные!$D$11:$F$11,0))*(1+IF(GQ$4=$A78,Вводные!$D$5*INDEX(Вводные!$G$13:$G$64,MATCH($A78,Вводные!$A$13:$A$64,0)),0))</f>
        <v>150</v>
      </c>
      <c r="GR78" s="14" t="n">
        <f aca="false">INDEX(Вводные!$D$13:$F$64,MATCH($A78,Вводные!$A$13:$A$64,0),MATCH(GR$3,Вводные!$D$11:$F$11,0))*(1+IF(GR$4=$A78,Вводные!$D$5*INDEX(Вводные!$G$13:$G$64,MATCH($A78,Вводные!$A$13:$A$64,0)),0))</f>
        <v>150</v>
      </c>
      <c r="GS78" s="14" t="n">
        <f aca="false">INDEX(Вводные!$D$13:$F$64,MATCH($A78,Вводные!$A$13:$A$64,0),MATCH(GS$3,Вводные!$D$11:$F$11,0))*(1+IF(GS$4=$A78,Вводные!$D$5*INDEX(Вводные!$G$13:$G$64,MATCH($A78,Вводные!$A$13:$A$64,0)),0))</f>
        <v>150</v>
      </c>
      <c r="GT78" s="14" t="n">
        <f aca="false">INDEX(Вводные!$D$13:$F$64,MATCH($A78,Вводные!$A$13:$A$64,0),MATCH(GT$3,Вводные!$D$11:$F$11,0))*(1+IF(GT$4=$A78,Вводные!$D$5*INDEX(Вводные!$G$13:$G$64,MATCH($A78,Вводные!$A$13:$A$64,0)),0))</f>
        <v>150</v>
      </c>
      <c r="GU78" s="14" t="n">
        <f aca="false">INDEX(Вводные!$D$13:$F$64,MATCH($A78,Вводные!$A$13:$A$64,0),MATCH(GU$3,Вводные!$D$11:$F$11,0))*(1+IF(GU$4=$A78,Вводные!$D$5*INDEX(Вводные!$G$13:$G$64,MATCH($A78,Вводные!$A$13:$A$64,0)),0))</f>
        <v>150</v>
      </c>
      <c r="GV78" s="14" t="n">
        <f aca="false">INDEX(Вводные!$D$13:$F$64,MATCH($A78,Вводные!$A$13:$A$64,0),MATCH(GV$3,Вводные!$D$11:$F$11,0))*(1+IF(GV$4=$A78,Вводные!$D$5*INDEX(Вводные!$G$13:$G$64,MATCH($A78,Вводные!$A$13:$A$64,0)),0))</f>
        <v>150</v>
      </c>
      <c r="GW78" s="14" t="n">
        <f aca="false">INDEX(Вводные!$D$13:$F$64,MATCH($A78,Вводные!$A$13:$A$64,0),MATCH(GW$3,Вводные!$D$11:$F$11,0))*(1+IF(GW$4=$A78,Вводные!$D$5*INDEX(Вводные!$G$13:$G$64,MATCH($A78,Вводные!$A$13:$A$64,0)),0))</f>
        <v>150</v>
      </c>
      <c r="GX78" s="14" t="n">
        <f aca="false">INDEX(Вводные!$D$13:$F$64,MATCH($A78,Вводные!$A$13:$A$64,0),MATCH(GX$3,Вводные!$D$11:$F$11,0))*(1+IF(GX$4=$A78,Вводные!$D$5*INDEX(Вводные!$G$13:$G$64,MATCH($A78,Вводные!$A$13:$A$64,0)),0))</f>
        <v>150</v>
      </c>
      <c r="GY78" s="14" t="n">
        <f aca="false">INDEX(Вводные!$D$13:$F$64,MATCH($A78,Вводные!$A$13:$A$64,0),MATCH(GY$3,Вводные!$D$11:$F$11,0))*(1+IF(GY$4=$A78,Вводные!$D$5*INDEX(Вводные!$G$13:$G$64,MATCH($A78,Вводные!$A$13:$A$64,0)),0))</f>
        <v>150</v>
      </c>
      <c r="GZ78" s="14" t="n">
        <f aca="false">INDEX(Вводные!$D$13:$F$64,MATCH($A78,Вводные!$A$13:$A$64,0),MATCH(GZ$3,Вводные!$D$11:$F$11,0))*(1+IF(GZ$4=$A78,Вводные!$D$5*INDEX(Вводные!$G$13:$G$64,MATCH($A78,Вводные!$A$13:$A$64,0)),0))</f>
        <v>150</v>
      </c>
      <c r="HA78" s="14" t="n">
        <f aca="false">INDEX(Вводные!$D$13:$F$64,MATCH($A78,Вводные!$A$13:$A$64,0),MATCH(HA$3,Вводные!$D$11:$F$11,0))*(1+IF(HA$4=$A78,Вводные!$D$5*INDEX(Вводные!$G$13:$G$64,MATCH($A78,Вводные!$A$13:$A$64,0)),0))</f>
        <v>150</v>
      </c>
      <c r="HB78" s="14" t="n">
        <f aca="false">INDEX(Вводные!$D$13:$F$64,MATCH($A78,Вводные!$A$13:$A$64,0),MATCH(HB$3,Вводные!$D$11:$F$11,0))*(1+IF(HB$4=$A78,Вводные!$D$5*INDEX(Вводные!$G$13:$G$64,MATCH($A78,Вводные!$A$13:$A$64,0)),0))</f>
        <v>150</v>
      </c>
      <c r="HC78" s="14" t="n">
        <f aca="false">INDEX(Вводные!$D$13:$F$64,MATCH($A78,Вводные!$A$13:$A$64,0),MATCH(HC$3,Вводные!$D$11:$F$11,0))*(1+IF(HC$4=$A78,Вводные!$D$5*INDEX(Вводные!$G$13:$G$64,MATCH($A78,Вводные!$A$13:$A$64,0)),0))</f>
        <v>150</v>
      </c>
      <c r="HD78" s="14" t="n">
        <f aca="false">INDEX(Вводные!$D$13:$F$64,MATCH($A78,Вводные!$A$13:$A$64,0),MATCH(HD$3,Вводные!$D$11:$F$11,0))*(1+IF(HD$4=$A78,Вводные!$D$5*INDEX(Вводные!$G$13:$G$64,MATCH($A78,Вводные!$A$13:$A$64,0)),0))</f>
        <v>150</v>
      </c>
      <c r="HE78" s="14" t="n">
        <f aca="false">INDEX(Вводные!$D$13:$F$64,MATCH($A78,Вводные!$A$13:$A$64,0),MATCH(HE$3,Вводные!$D$11:$F$11,0))*(1+IF(HE$4=$A78,Вводные!$D$5*INDEX(Вводные!$G$13:$G$64,MATCH($A78,Вводные!$A$13:$A$64,0)),0))</f>
        <v>150</v>
      </c>
      <c r="HF78" s="14" t="n">
        <f aca="false">INDEX(Вводные!$D$13:$F$64,MATCH($A78,Вводные!$A$13:$A$64,0),MATCH(HF$3,Вводные!$D$11:$F$11,0))*(1+IF(HF$4=$A78,Вводные!$D$5*INDEX(Вводные!$G$13:$G$64,MATCH($A78,Вводные!$A$13:$A$64,0)),0))</f>
        <v>150</v>
      </c>
      <c r="HG78" s="14" t="n">
        <f aca="false">INDEX(Вводные!$D$13:$F$64,MATCH($A78,Вводные!$A$13:$A$64,0),MATCH(HG$3,Вводные!$D$11:$F$11,0))*(1+IF(HG$4=$A78,Вводные!$D$5*INDEX(Вводные!$G$13:$G$64,MATCH($A78,Вводные!$A$13:$A$64,0)),0))</f>
        <v>150</v>
      </c>
      <c r="HH78" s="14" t="n">
        <f aca="false">INDEX(Вводные!$D$13:$F$64,MATCH($A78,Вводные!$A$13:$A$64,0),MATCH(HH$3,Вводные!$D$11:$F$11,0))*(1+IF(HH$4=$A78,Вводные!$D$5*INDEX(Вводные!$G$13:$G$64,MATCH($A78,Вводные!$A$13:$A$64,0)),0))</f>
        <v>151.5</v>
      </c>
      <c r="HI78" s="14" t="n">
        <f aca="false">INDEX(Вводные!$D$13:$F$64,MATCH($A78,Вводные!$A$13:$A$64,0),MATCH(HI$3,Вводные!$D$11:$F$11,0))*(1+IF(HI$4=$A78,Вводные!$D$5*INDEX(Вводные!$G$13:$G$64,MATCH($A78,Вводные!$A$13:$A$64,0)),0))</f>
        <v>150</v>
      </c>
      <c r="HJ78" s="14" t="n">
        <f aca="false">INDEX(Вводные!$D$13:$F$64,MATCH($A78,Вводные!$A$13:$A$64,0),MATCH(HJ$3,Вводные!$D$11:$F$11,0))*(1+IF(HJ$4=$A78,Вводные!$D$5*INDEX(Вводные!$G$13:$G$64,MATCH($A78,Вводные!$A$13:$A$64,0)),0))</f>
        <v>150</v>
      </c>
      <c r="HK78" s="14" t="n">
        <f aca="false">INDEX(Вводные!$D$13:$F$64,MATCH($A78,Вводные!$A$13:$A$64,0),MATCH(HK$3,Вводные!$D$11:$F$11,0))*(1+IF(HK$4=$A78,Вводные!$D$5*INDEX(Вводные!$G$13:$G$64,MATCH($A78,Вводные!$A$13:$A$64,0)),0))</f>
        <v>150</v>
      </c>
      <c r="HL78" s="14" t="n">
        <f aca="false">INDEX(Вводные!$D$13:$F$64,MATCH($A78,Вводные!$A$13:$A$64,0),MATCH(HL$3,Вводные!$D$11:$F$11,0))*(1+IF(HL$4=$A78,Вводные!$D$5*INDEX(Вводные!$G$13:$G$64,MATCH($A78,Вводные!$A$13:$A$64,0)),0))</f>
        <v>15</v>
      </c>
      <c r="HM78" s="14" t="n">
        <f aca="false">INDEX(Вводные!$D$13:$F$64,MATCH($A78,Вводные!$A$13:$A$64,0),MATCH(HM$3,Вводные!$D$11:$F$11,0))*(1+IF(HM$4=$A78,Вводные!$D$5*INDEX(Вводные!$G$13:$G$64,MATCH($A78,Вводные!$A$13:$A$64,0)),0))</f>
        <v>15</v>
      </c>
      <c r="HN78" s="14" t="n">
        <f aca="false">INDEX(Вводные!$D$13:$F$64,MATCH($A78,Вводные!$A$13:$A$64,0),MATCH(HN$3,Вводные!$D$11:$F$11,0))*(1+IF(HN$4=$A78,Вводные!$D$5*INDEX(Вводные!$G$13:$G$64,MATCH($A78,Вводные!$A$13:$A$64,0)),0))</f>
        <v>15</v>
      </c>
      <c r="HO78" s="14" t="n">
        <f aca="false">INDEX(Вводные!$D$13:$F$64,MATCH($A78,Вводные!$A$13:$A$64,0),MATCH(HO$3,Вводные!$D$11:$F$11,0))*(1+IF(HO$4=$A78,Вводные!$D$5*INDEX(Вводные!$G$13:$G$64,MATCH($A78,Вводные!$A$13:$A$64,0)),0))</f>
        <v>15</v>
      </c>
      <c r="HP78" s="14" t="n">
        <f aca="false">INDEX(Вводные!$D$13:$F$64,MATCH($A78,Вводные!$A$13:$A$64,0),MATCH(HP$3,Вводные!$D$11:$F$11,0))*(1+IF(HP$4=$A78,Вводные!$D$5*INDEX(Вводные!$G$13:$G$64,MATCH($A78,Вводные!$A$13:$A$64,0)),0))</f>
        <v>15</v>
      </c>
      <c r="HQ78" s="14" t="n">
        <f aca="false">INDEX(Вводные!$D$13:$F$64,MATCH($A78,Вводные!$A$13:$A$64,0),MATCH(HQ$3,Вводные!$D$11:$F$11,0))*(1+IF(HQ$4=$A78,Вводные!$D$5*INDEX(Вводные!$G$13:$G$64,MATCH($A78,Вводные!$A$13:$A$64,0)),0))</f>
        <v>15</v>
      </c>
      <c r="HR78" s="14" t="n">
        <f aca="false">INDEX(Вводные!$D$13:$F$64,MATCH($A78,Вводные!$A$13:$A$64,0),MATCH(HR$3,Вводные!$D$11:$F$11,0))*(1+IF(HR$4=$A78,Вводные!$D$5*INDEX(Вводные!$G$13:$G$64,MATCH($A78,Вводные!$A$13:$A$64,0)),0))</f>
        <v>15</v>
      </c>
      <c r="HS78" s="14" t="n">
        <f aca="false">INDEX(Вводные!$D$13:$F$64,MATCH($A78,Вводные!$A$13:$A$64,0),MATCH(HS$3,Вводные!$D$11:$F$11,0))*(1+IF(HS$4=$A78,Вводные!$D$5*INDEX(Вводные!$G$13:$G$64,MATCH($A78,Вводные!$A$13:$A$64,0)),0))</f>
        <v>15</v>
      </c>
      <c r="HT78" s="14" t="n">
        <f aca="false">INDEX(Вводные!$D$13:$F$64,MATCH($A78,Вводные!$A$13:$A$64,0),MATCH(HT$3,Вводные!$D$11:$F$11,0))*(1+IF(HT$4=$A78,Вводные!$D$5*INDEX(Вводные!$G$13:$G$64,MATCH($A78,Вводные!$A$13:$A$64,0)),0))</f>
        <v>15</v>
      </c>
      <c r="HU78" s="14" t="n">
        <f aca="false">INDEX(Вводные!$D$13:$F$64,MATCH($A78,Вводные!$A$13:$A$64,0),MATCH(HU$3,Вводные!$D$11:$F$11,0))*(1+IF(HU$4=$A78,Вводные!$D$5*INDEX(Вводные!$G$13:$G$64,MATCH($A78,Вводные!$A$13:$A$64,0)),0))</f>
        <v>15</v>
      </c>
      <c r="HV78" s="14" t="n">
        <f aca="false">INDEX(Вводные!$D$13:$F$64,MATCH($A78,Вводные!$A$13:$A$64,0),MATCH(HV$3,Вводные!$D$11:$F$11,0))*(1+IF(HV$4=$A78,Вводные!$D$5*INDEX(Вводные!$G$13:$G$64,MATCH($A78,Вводные!$A$13:$A$64,0)),0))</f>
        <v>15</v>
      </c>
      <c r="HW78" s="14" t="n">
        <f aca="false">INDEX(Вводные!$D$13:$F$64,MATCH($A78,Вводные!$A$13:$A$64,0),MATCH(HW$3,Вводные!$D$11:$F$11,0))*(1+IF(HW$4=$A78,Вводные!$D$5*INDEX(Вводные!$G$13:$G$64,MATCH($A78,Вводные!$A$13:$A$64,0)),0))</f>
        <v>15</v>
      </c>
      <c r="HX78" s="14" t="n">
        <f aca="false">INDEX(Вводные!$D$13:$F$64,MATCH($A78,Вводные!$A$13:$A$64,0),MATCH(HX$3,Вводные!$D$11:$F$11,0))*(1+IF(HX$4=$A78,Вводные!$D$5*INDEX(Вводные!$G$13:$G$64,MATCH($A78,Вводные!$A$13:$A$64,0)),0))</f>
        <v>15</v>
      </c>
      <c r="HY78" s="14" t="n">
        <f aca="false">INDEX(Вводные!$D$13:$F$64,MATCH($A78,Вводные!$A$13:$A$64,0),MATCH(HY$3,Вводные!$D$11:$F$11,0))*(1+IF(HY$4=$A78,Вводные!$D$5*INDEX(Вводные!$G$13:$G$64,MATCH($A78,Вводные!$A$13:$A$64,0)),0))</f>
        <v>15</v>
      </c>
      <c r="HZ78" s="14" t="n">
        <f aca="false">INDEX(Вводные!$D$13:$F$64,MATCH($A78,Вводные!$A$13:$A$64,0),MATCH(HZ$3,Вводные!$D$11:$F$11,0))*(1+IF(HZ$4=$A78,Вводные!$D$5*INDEX(Вводные!$G$13:$G$64,MATCH($A78,Вводные!$A$13:$A$64,0)),0))</f>
        <v>15</v>
      </c>
      <c r="IA78" s="14" t="n">
        <f aca="false">INDEX(Вводные!$D$13:$F$64,MATCH($A78,Вводные!$A$13:$A$64,0),MATCH(IA$3,Вводные!$D$11:$F$11,0))*(1+IF(IA$4=$A78,Вводные!$D$5*INDEX(Вводные!$G$13:$G$64,MATCH($A78,Вводные!$A$13:$A$64,0)),0))</f>
        <v>15</v>
      </c>
      <c r="IB78" s="14" t="n">
        <f aca="false">INDEX(Вводные!$D$13:$F$64,MATCH($A78,Вводные!$A$13:$A$64,0),MATCH(IB$3,Вводные!$D$11:$F$11,0))*(1+IF(IB$4=$A78,Вводные!$D$5*INDEX(Вводные!$G$13:$G$64,MATCH($A78,Вводные!$A$13:$A$64,0)),0))</f>
        <v>15</v>
      </c>
      <c r="IC78" s="14" t="n">
        <f aca="false">INDEX(Вводные!$D$13:$F$64,MATCH($A78,Вводные!$A$13:$A$64,0),MATCH(IC$3,Вводные!$D$11:$F$11,0))*(1+IF(IC$4=$A78,Вводные!$D$5*INDEX(Вводные!$G$13:$G$64,MATCH($A78,Вводные!$A$13:$A$64,0)),0))</f>
        <v>15</v>
      </c>
      <c r="ID78" s="14" t="n">
        <f aca="false">INDEX(Вводные!$D$13:$F$64,MATCH($A78,Вводные!$A$13:$A$64,0),MATCH(ID$3,Вводные!$D$11:$F$11,0))*(1+IF(ID$4=$A78,Вводные!$D$5*INDEX(Вводные!$G$13:$G$64,MATCH($A78,Вводные!$A$13:$A$64,0)),0))</f>
        <v>15</v>
      </c>
      <c r="IE78" s="14" t="n">
        <f aca="false">INDEX(Вводные!$D$13:$F$64,MATCH($A78,Вводные!$A$13:$A$64,0),MATCH(IE$3,Вводные!$D$11:$F$11,0))*(1+IF(IE$4=$A78,Вводные!$D$5*INDEX(Вводные!$G$13:$G$64,MATCH($A78,Вводные!$A$13:$A$64,0)),0))</f>
        <v>15</v>
      </c>
      <c r="IF78" s="14" t="n">
        <f aca="false">INDEX(Вводные!$D$13:$F$64,MATCH($A78,Вводные!$A$13:$A$64,0),MATCH(IF$3,Вводные!$D$11:$F$11,0))*(1+IF(IF$4=$A78,Вводные!$D$5*INDEX(Вводные!$G$13:$G$64,MATCH($A78,Вводные!$A$13:$A$64,0)),0))</f>
        <v>15</v>
      </c>
      <c r="IG78" s="14" t="n">
        <f aca="false">INDEX(Вводные!$D$13:$F$64,MATCH($A78,Вводные!$A$13:$A$64,0),MATCH(IG$3,Вводные!$D$11:$F$11,0))*(1+IF(IG$4=$A78,Вводные!$D$5*INDEX(Вводные!$G$13:$G$64,MATCH($A78,Вводные!$A$13:$A$64,0)),0))</f>
        <v>15</v>
      </c>
      <c r="IH78" s="14" t="n">
        <f aca="false">INDEX(Вводные!$D$13:$F$64,MATCH($A78,Вводные!$A$13:$A$64,0),MATCH(IH$3,Вводные!$D$11:$F$11,0))*(1+IF(IH$4=$A78,Вводные!$D$5*INDEX(Вводные!$G$13:$G$64,MATCH($A78,Вводные!$A$13:$A$64,0)),0))</f>
        <v>15</v>
      </c>
      <c r="II78" s="14" t="n">
        <f aca="false">INDEX(Вводные!$D$13:$F$64,MATCH($A78,Вводные!$A$13:$A$64,0),MATCH(II$3,Вводные!$D$11:$F$11,0))*(1+IF(II$4=$A78,Вводные!$D$5*INDEX(Вводные!$G$13:$G$64,MATCH($A78,Вводные!$A$13:$A$64,0)),0))</f>
        <v>15</v>
      </c>
      <c r="IJ78" s="14" t="n">
        <f aca="false">INDEX(Вводные!$D$13:$F$64,MATCH($A78,Вводные!$A$13:$A$64,0),MATCH(IJ$3,Вводные!$D$11:$F$11,0))*(1+IF(IJ$4=$A78,Вводные!$D$5*INDEX(Вводные!$G$13:$G$64,MATCH($A78,Вводные!$A$13:$A$64,0)),0))</f>
        <v>15</v>
      </c>
      <c r="IK78" s="14" t="n">
        <f aca="false">INDEX(Вводные!$D$13:$F$64,MATCH($A78,Вводные!$A$13:$A$64,0),MATCH(IK$3,Вводные!$D$11:$F$11,0))*(1+IF(IK$4=$A78,Вводные!$D$5*INDEX(Вводные!$G$13:$G$64,MATCH($A78,Вводные!$A$13:$A$64,0)),0))</f>
        <v>15</v>
      </c>
      <c r="IL78" s="14" t="n">
        <f aca="false">INDEX(Вводные!$D$13:$F$64,MATCH($A78,Вводные!$A$13:$A$64,0),MATCH(IL$3,Вводные!$D$11:$F$11,0))*(1+IF(IL$4=$A78,Вводные!$D$5*INDEX(Вводные!$G$13:$G$64,MATCH($A78,Вводные!$A$13:$A$64,0)),0))</f>
        <v>15</v>
      </c>
      <c r="IM78" s="14" t="n">
        <f aca="false">INDEX(Вводные!$D$13:$F$64,MATCH($A78,Вводные!$A$13:$A$64,0),MATCH(IM$3,Вводные!$D$11:$F$11,0))*(1+IF(IM$4=$A78,Вводные!$D$5*INDEX(Вводные!$G$13:$G$64,MATCH($A78,Вводные!$A$13:$A$64,0)),0))</f>
        <v>15</v>
      </c>
      <c r="IN78" s="14" t="n">
        <f aca="false">INDEX(Вводные!$D$13:$F$64,MATCH($A78,Вводные!$A$13:$A$64,0),MATCH(IN$3,Вводные!$D$11:$F$11,0))*(1+IF(IN$4=$A78,Вводные!$D$5*INDEX(Вводные!$G$13:$G$64,MATCH($A78,Вводные!$A$13:$A$64,0)),0))</f>
        <v>15</v>
      </c>
      <c r="IO78" s="14" t="n">
        <f aca="false">INDEX(Вводные!$D$13:$F$64,MATCH($A78,Вводные!$A$13:$A$64,0),MATCH(IO$3,Вводные!$D$11:$F$11,0))*(1+IF(IO$4=$A78,Вводные!$D$5*INDEX(Вводные!$G$13:$G$64,MATCH($A78,Вводные!$A$13:$A$64,0)),0))</f>
        <v>15</v>
      </c>
      <c r="IP78" s="14" t="n">
        <f aca="false">INDEX(Вводные!$D$13:$F$64,MATCH($A78,Вводные!$A$13:$A$64,0),MATCH(IP$3,Вводные!$D$11:$F$11,0))*(1+IF(IP$4=$A78,Вводные!$D$5*INDEX(Вводные!$G$13:$G$64,MATCH($A78,Вводные!$A$13:$A$64,0)),0))</f>
        <v>15</v>
      </c>
      <c r="IQ78" s="14" t="n">
        <f aca="false">INDEX(Вводные!$D$13:$F$64,MATCH($A78,Вводные!$A$13:$A$64,0),MATCH(IQ$3,Вводные!$D$11:$F$11,0))*(1+IF(IQ$4=$A78,Вводные!$D$5*INDEX(Вводные!$G$13:$G$64,MATCH($A78,Вводные!$A$13:$A$64,0)),0))</f>
        <v>15</v>
      </c>
      <c r="IR78" s="14" t="n">
        <f aca="false">INDEX(Вводные!$D$13:$F$64,MATCH($A78,Вводные!$A$13:$A$64,0),MATCH(IR$3,Вводные!$D$11:$F$11,0))*(1+IF(IR$4=$A78,Вводные!$D$5*INDEX(Вводные!$G$13:$G$64,MATCH($A78,Вводные!$A$13:$A$64,0)),0))</f>
        <v>15</v>
      </c>
      <c r="IS78" s="14" t="n">
        <f aca="false">INDEX(Вводные!$D$13:$F$64,MATCH($A78,Вводные!$A$13:$A$64,0),MATCH(IS$3,Вводные!$D$11:$F$11,0))*(1+IF(IS$4=$A78,Вводные!$D$5*INDEX(Вводные!$G$13:$G$64,MATCH($A78,Вводные!$A$13:$A$64,0)),0))</f>
        <v>15</v>
      </c>
      <c r="IT78" s="14" t="n">
        <f aca="false">INDEX(Вводные!$D$13:$F$64,MATCH($A78,Вводные!$A$13:$A$64,0),MATCH(IT$3,Вводные!$D$11:$F$11,0))*(1+IF(IT$4=$A78,Вводные!$D$5*INDEX(Вводные!$G$13:$G$64,MATCH($A78,Вводные!$A$13:$A$64,0)),0))</f>
        <v>15</v>
      </c>
      <c r="IU78" s="14" t="n">
        <f aca="false">INDEX(Вводные!$D$13:$F$64,MATCH($A78,Вводные!$A$13:$A$64,0),MATCH(IU$3,Вводные!$D$11:$F$11,0))*(1+IF(IU$4=$A78,Вводные!$D$5*INDEX(Вводные!$G$13:$G$64,MATCH($A78,Вводные!$A$13:$A$64,0)),0))</f>
        <v>15</v>
      </c>
      <c r="IV78" s="14" t="n">
        <f aca="false">INDEX(Вводные!$D$13:$F$64,MATCH($A78,Вводные!$A$13:$A$64,0),MATCH(IV$3,Вводные!$D$11:$F$11,0))*(1+IF(IV$4=$A78,Вводные!$D$5*INDEX(Вводные!$G$13:$G$64,MATCH($A78,Вводные!$A$13:$A$64,0)),0))</f>
        <v>15</v>
      </c>
      <c r="IW78" s="14" t="n">
        <f aca="false">INDEX(Вводные!$D$13:$F$64,MATCH($A78,Вводные!$A$13:$A$64,0),MATCH(IW$3,Вводные!$D$11:$F$11,0))*(1+IF(IW$4=$A78,Вводные!$D$5*INDEX(Вводные!$G$13:$G$64,MATCH($A78,Вводные!$A$13:$A$64,0)),0))</f>
        <v>15</v>
      </c>
      <c r="IX78" s="14" t="n">
        <f aca="false">INDEX(Вводные!$D$13:$F$64,MATCH($A78,Вводные!$A$13:$A$64,0),MATCH(IX$3,Вводные!$D$11:$F$11,0))*(1+IF(IX$4=$A78,Вводные!$D$5*INDEX(Вводные!$G$13:$G$64,MATCH($A78,Вводные!$A$13:$A$64,0)),0))</f>
        <v>15.15</v>
      </c>
      <c r="IY78" s="14" t="n">
        <f aca="false">INDEX(Вводные!$D$13:$F$64,MATCH($A78,Вводные!$A$13:$A$64,0),MATCH(IY$3,Вводные!$D$11:$F$11,0))*(1+IF(IY$4=$A78,Вводные!$D$5*INDEX(Вводные!$G$13:$G$64,MATCH($A78,Вводные!$A$13:$A$64,0)),0))</f>
        <v>15</v>
      </c>
      <c r="IZ78" s="14" t="n">
        <f aca="false">INDEX(Вводные!$D$13:$F$64,MATCH($A78,Вводные!$A$13:$A$64,0),MATCH(IZ$3,Вводные!$D$11:$F$11,0))*(1+IF(IZ$4=$A78,Вводные!$D$5*INDEX(Вводные!$G$13:$G$64,MATCH($A78,Вводные!$A$13:$A$64,0)),0))</f>
        <v>15</v>
      </c>
      <c r="JA78" s="14" t="n">
        <f aca="false">INDEX(Вводные!$D$13:$F$64,MATCH($A78,Вводные!$A$13:$A$64,0),MATCH(JA$3,Вводные!$D$11:$F$11,0))*(1+IF(JA$4=$A78,Вводные!$D$5*INDEX(Вводные!$G$13:$G$64,MATCH($A78,Вводные!$A$13:$A$64,0)),0))</f>
        <v>15</v>
      </c>
    </row>
    <row r="79" customFormat="false" ht="15" hidden="false" customHeight="false" outlineLevel="0" collapsed="false">
      <c r="A79" s="13" t="s">
        <v>287</v>
      </c>
      <c r="B79" s="13" t="s">
        <v>288</v>
      </c>
      <c r="C79" s="13" t="s">
        <v>179</v>
      </c>
      <c r="D79" s="9" t="s">
        <v>36</v>
      </c>
      <c r="E79" s="14" t="n">
        <f aca="false">INDEX(Вводные!$D$13:$F$64,MATCH($A79,Вводные!$A$13:$A$64,0),MATCH(E$3,Вводные!$D$11:$F$11,0))*(1+IF(E$4=$A79,Вводные!$D$5*INDEX(Вводные!$G$13:$G$64,MATCH($A79,Вводные!$A$13:$A$64,0)),0))</f>
        <v>0</v>
      </c>
      <c r="F79" s="14" t="n">
        <f aca="false">INDEX(Вводные!$D$13:$F$64,MATCH($A79,Вводные!$A$13:$A$64,0),MATCH(F$3,Вводные!$D$11:$F$11,0))*(1+IF(F$4=$A79,Вводные!$D$5*INDEX(Вводные!$G$13:$G$64,MATCH($A79,Вводные!$A$13:$A$64,0)),0))</f>
        <v>60000</v>
      </c>
      <c r="G79" s="14" t="n">
        <f aca="false">INDEX(Вводные!$D$13:$F$64,MATCH($A79,Вводные!$A$13:$A$64,0),MATCH(G$3,Вводные!$D$11:$F$11,0))*(1+IF(G$4=$A79,Вводные!$D$5*INDEX(Вводные!$G$13:$G$64,MATCH($A79,Вводные!$A$13:$A$64,0)),0))</f>
        <v>150000</v>
      </c>
      <c r="H79" s="59"/>
      <c r="J79" s="14" t="n">
        <f aca="false">INDEX(Вводные!$D$13:$F$64,MATCH($A79,Вводные!$A$13:$A$64,0),MATCH(J$3,Вводные!$D$11:$F$11,0))*(1+IF(J$4=$A79,Вводные!$D$5*INDEX(Вводные!$G$13:$G$64,MATCH($A79,Вводные!$A$13:$A$64,0)),0))</f>
        <v>0</v>
      </c>
      <c r="K79" s="14" t="n">
        <f aca="false">INDEX(Вводные!$D$13:$F$64,MATCH($A79,Вводные!$A$13:$A$64,0),MATCH(K$3,Вводные!$D$11:$F$11,0))*(1+IF(K$4=$A79,Вводные!$D$5*INDEX(Вводные!$G$13:$G$64,MATCH($A79,Вводные!$A$13:$A$64,0)),0))</f>
        <v>0</v>
      </c>
      <c r="L79" s="14" t="n">
        <f aca="false">INDEX(Вводные!$D$13:$F$64,MATCH($A79,Вводные!$A$13:$A$64,0),MATCH(L$3,Вводные!$D$11:$F$11,0))*(1+IF(L$4=$A79,Вводные!$D$5*INDEX(Вводные!$G$13:$G$64,MATCH($A79,Вводные!$A$13:$A$64,0)),0))</f>
        <v>0</v>
      </c>
      <c r="M79" s="14" t="n">
        <f aca="false">INDEX(Вводные!$D$13:$F$64,MATCH($A79,Вводные!$A$13:$A$64,0),MATCH(M$3,Вводные!$D$11:$F$11,0))*(1+IF(M$4=$A79,Вводные!$D$5*INDEX(Вводные!$G$13:$G$64,MATCH($A79,Вводные!$A$13:$A$64,0)),0))</f>
        <v>0</v>
      </c>
      <c r="N79" s="14" t="n">
        <f aca="false">INDEX(Вводные!$D$13:$F$64,MATCH($A79,Вводные!$A$13:$A$64,0),MATCH(N$3,Вводные!$D$11:$F$11,0))*(1+IF(N$4=$A79,Вводные!$D$5*INDEX(Вводные!$G$13:$G$64,MATCH($A79,Вводные!$A$13:$A$64,0)),0))</f>
        <v>0</v>
      </c>
      <c r="O79" s="14" t="n">
        <f aca="false">INDEX(Вводные!$D$13:$F$64,MATCH($A79,Вводные!$A$13:$A$64,0),MATCH(O$3,Вводные!$D$11:$F$11,0))*(1+IF(O$4=$A79,Вводные!$D$5*INDEX(Вводные!$G$13:$G$64,MATCH($A79,Вводные!$A$13:$A$64,0)),0))</f>
        <v>0</v>
      </c>
      <c r="P79" s="14" t="n">
        <f aca="false">INDEX(Вводные!$D$13:$F$64,MATCH($A79,Вводные!$A$13:$A$64,0),MATCH(P$3,Вводные!$D$11:$F$11,0))*(1+IF(P$4=$A79,Вводные!$D$5*INDEX(Вводные!$G$13:$G$64,MATCH($A79,Вводные!$A$13:$A$64,0)),0))</f>
        <v>0</v>
      </c>
      <c r="Q79" s="14" t="n">
        <f aca="false">INDEX(Вводные!$D$13:$F$64,MATCH($A79,Вводные!$A$13:$A$64,0),MATCH(Q$3,Вводные!$D$11:$F$11,0))*(1+IF(Q$4=$A79,Вводные!$D$5*INDEX(Вводные!$G$13:$G$64,MATCH($A79,Вводные!$A$13:$A$64,0)),0))</f>
        <v>0</v>
      </c>
      <c r="R79" s="14" t="n">
        <f aca="false">INDEX(Вводные!$D$13:$F$64,MATCH($A79,Вводные!$A$13:$A$64,0),MATCH(R$3,Вводные!$D$11:$F$11,0))*(1+IF(R$4=$A79,Вводные!$D$5*INDEX(Вводные!$G$13:$G$64,MATCH($A79,Вводные!$A$13:$A$64,0)),0))</f>
        <v>0</v>
      </c>
      <c r="S79" s="14" t="n">
        <f aca="false">INDEX(Вводные!$D$13:$F$64,MATCH($A79,Вводные!$A$13:$A$64,0),MATCH(S$3,Вводные!$D$11:$F$11,0))*(1+IF(S$4=$A79,Вводные!$D$5*INDEX(Вводные!$G$13:$G$64,MATCH($A79,Вводные!$A$13:$A$64,0)),0))</f>
        <v>0</v>
      </c>
      <c r="T79" s="14" t="n">
        <f aca="false">INDEX(Вводные!$D$13:$F$64,MATCH($A79,Вводные!$A$13:$A$64,0),MATCH(T$3,Вводные!$D$11:$F$11,0))*(1+IF(T$4=$A79,Вводные!$D$5*INDEX(Вводные!$G$13:$G$64,MATCH($A79,Вводные!$A$13:$A$64,0)),0))</f>
        <v>0</v>
      </c>
      <c r="U79" s="14" t="n">
        <f aca="false">INDEX(Вводные!$D$13:$F$64,MATCH($A79,Вводные!$A$13:$A$64,0),MATCH(U$3,Вводные!$D$11:$F$11,0))*(1+IF(U$4=$A79,Вводные!$D$5*INDEX(Вводные!$G$13:$G$64,MATCH($A79,Вводные!$A$13:$A$64,0)),0))</f>
        <v>0</v>
      </c>
      <c r="V79" s="14" t="n">
        <f aca="false">INDEX(Вводные!$D$13:$F$64,MATCH($A79,Вводные!$A$13:$A$64,0),MATCH(V$3,Вводные!$D$11:$F$11,0))*(1+IF(V$4=$A79,Вводные!$D$5*INDEX(Вводные!$G$13:$G$64,MATCH($A79,Вводные!$A$13:$A$64,0)),0))</f>
        <v>0</v>
      </c>
      <c r="W79" s="14" t="n">
        <f aca="false">INDEX(Вводные!$D$13:$F$64,MATCH($A79,Вводные!$A$13:$A$64,0),MATCH(W$3,Вводные!$D$11:$F$11,0))*(1+IF(W$4=$A79,Вводные!$D$5*INDEX(Вводные!$G$13:$G$64,MATCH($A79,Вводные!$A$13:$A$64,0)),0))</f>
        <v>0</v>
      </c>
      <c r="X79" s="14" t="n">
        <f aca="false">INDEX(Вводные!$D$13:$F$64,MATCH($A79,Вводные!$A$13:$A$64,0),MATCH(X$3,Вводные!$D$11:$F$11,0))*(1+IF(X$4=$A79,Вводные!$D$5*INDEX(Вводные!$G$13:$G$64,MATCH($A79,Вводные!$A$13:$A$64,0)),0))</f>
        <v>0</v>
      </c>
      <c r="Y79" s="14" t="n">
        <f aca="false">INDEX(Вводные!$D$13:$F$64,MATCH($A79,Вводные!$A$13:$A$64,0),MATCH(Y$3,Вводные!$D$11:$F$11,0))*(1+IF(Y$4=$A79,Вводные!$D$5*INDEX(Вводные!$G$13:$G$64,MATCH($A79,Вводные!$A$13:$A$64,0)),0))</f>
        <v>0</v>
      </c>
      <c r="Z79" s="14" t="n">
        <f aca="false">INDEX(Вводные!$D$13:$F$64,MATCH($A79,Вводные!$A$13:$A$64,0),MATCH(Z$3,Вводные!$D$11:$F$11,0))*(1+IF(Z$4=$A79,Вводные!$D$5*INDEX(Вводные!$G$13:$G$64,MATCH($A79,Вводные!$A$13:$A$64,0)),0))</f>
        <v>0</v>
      </c>
      <c r="AA79" s="14" t="n">
        <f aca="false">INDEX(Вводные!$D$13:$F$64,MATCH($A79,Вводные!$A$13:$A$64,0),MATCH(AA$3,Вводные!$D$11:$F$11,0))*(1+IF(AA$4=$A79,Вводные!$D$5*INDEX(Вводные!$G$13:$G$64,MATCH($A79,Вводные!$A$13:$A$64,0)),0))</f>
        <v>0</v>
      </c>
      <c r="AB79" s="14" t="n">
        <f aca="false">INDEX(Вводные!$D$13:$F$64,MATCH($A79,Вводные!$A$13:$A$64,0),MATCH(AB$3,Вводные!$D$11:$F$11,0))*(1+IF(AB$4=$A79,Вводные!$D$5*INDEX(Вводные!$G$13:$G$64,MATCH($A79,Вводные!$A$13:$A$64,0)),0))</f>
        <v>0</v>
      </c>
      <c r="AC79" s="14" t="n">
        <f aca="false">INDEX(Вводные!$D$13:$F$64,MATCH($A79,Вводные!$A$13:$A$64,0),MATCH(AC$3,Вводные!$D$11:$F$11,0))*(1+IF(AC$4=$A79,Вводные!$D$5*INDEX(Вводные!$G$13:$G$64,MATCH($A79,Вводные!$A$13:$A$64,0)),0))</f>
        <v>0</v>
      </c>
      <c r="AD79" s="14" t="n">
        <f aca="false">INDEX(Вводные!$D$13:$F$64,MATCH($A79,Вводные!$A$13:$A$64,0),MATCH(AD$3,Вводные!$D$11:$F$11,0))*(1+IF(AD$4=$A79,Вводные!$D$5*INDEX(Вводные!$G$13:$G$64,MATCH($A79,Вводные!$A$13:$A$64,0)),0))</f>
        <v>0</v>
      </c>
      <c r="AE79" s="14" t="n">
        <f aca="false">INDEX(Вводные!$D$13:$F$64,MATCH($A79,Вводные!$A$13:$A$64,0),MATCH(AE$3,Вводные!$D$11:$F$11,0))*(1+IF(AE$4=$A79,Вводные!$D$5*INDEX(Вводные!$G$13:$G$64,MATCH($A79,Вводные!$A$13:$A$64,0)),0))</f>
        <v>0</v>
      </c>
      <c r="AF79" s="14" t="n">
        <f aca="false">INDEX(Вводные!$D$13:$F$64,MATCH($A79,Вводные!$A$13:$A$64,0),MATCH(AF$3,Вводные!$D$11:$F$11,0))*(1+IF(AF$4=$A79,Вводные!$D$5*INDEX(Вводные!$G$13:$G$64,MATCH($A79,Вводные!$A$13:$A$64,0)),0))</f>
        <v>0</v>
      </c>
      <c r="AG79" s="14" t="n">
        <f aca="false">INDEX(Вводные!$D$13:$F$64,MATCH($A79,Вводные!$A$13:$A$64,0),MATCH(AG$3,Вводные!$D$11:$F$11,0))*(1+IF(AG$4=$A79,Вводные!$D$5*INDEX(Вводные!$G$13:$G$64,MATCH($A79,Вводные!$A$13:$A$64,0)),0))</f>
        <v>0</v>
      </c>
      <c r="AH79" s="14" t="n">
        <f aca="false">INDEX(Вводные!$D$13:$F$64,MATCH($A79,Вводные!$A$13:$A$64,0),MATCH(AH$3,Вводные!$D$11:$F$11,0))*(1+IF(AH$4=$A79,Вводные!$D$5*INDEX(Вводные!$G$13:$G$64,MATCH($A79,Вводные!$A$13:$A$64,0)),0))</f>
        <v>0</v>
      </c>
      <c r="AI79" s="14" t="n">
        <f aca="false">INDEX(Вводные!$D$13:$F$64,MATCH($A79,Вводные!$A$13:$A$64,0),MATCH(AI$3,Вводные!$D$11:$F$11,0))*(1+IF(AI$4=$A79,Вводные!$D$5*INDEX(Вводные!$G$13:$G$64,MATCH($A79,Вводные!$A$13:$A$64,0)),0))</f>
        <v>0</v>
      </c>
      <c r="AJ79" s="14" t="n">
        <f aca="false">INDEX(Вводные!$D$13:$F$64,MATCH($A79,Вводные!$A$13:$A$64,0),MATCH(AJ$3,Вводные!$D$11:$F$11,0))*(1+IF(AJ$4=$A79,Вводные!$D$5*INDEX(Вводные!$G$13:$G$64,MATCH($A79,Вводные!$A$13:$A$64,0)),0))</f>
        <v>0</v>
      </c>
      <c r="AK79" s="14" t="n">
        <f aca="false">INDEX(Вводные!$D$13:$F$64,MATCH($A79,Вводные!$A$13:$A$64,0),MATCH(AK$3,Вводные!$D$11:$F$11,0))*(1+IF(AK$4=$A79,Вводные!$D$5*INDEX(Вводные!$G$13:$G$64,MATCH($A79,Вводные!$A$13:$A$64,0)),0))</f>
        <v>0</v>
      </c>
      <c r="AL79" s="14" t="n">
        <f aca="false">INDEX(Вводные!$D$13:$F$64,MATCH($A79,Вводные!$A$13:$A$64,0),MATCH(AL$3,Вводные!$D$11:$F$11,0))*(1+IF(AL$4=$A79,Вводные!$D$5*INDEX(Вводные!$G$13:$G$64,MATCH($A79,Вводные!$A$13:$A$64,0)),0))</f>
        <v>0</v>
      </c>
      <c r="AM79" s="14" t="n">
        <f aca="false">INDEX(Вводные!$D$13:$F$64,MATCH($A79,Вводные!$A$13:$A$64,0),MATCH(AM$3,Вводные!$D$11:$F$11,0))*(1+IF(AM$4=$A79,Вводные!$D$5*INDEX(Вводные!$G$13:$G$64,MATCH($A79,Вводные!$A$13:$A$64,0)),0))</f>
        <v>0</v>
      </c>
      <c r="AN79" s="14" t="n">
        <f aca="false">INDEX(Вводные!$D$13:$F$64,MATCH($A79,Вводные!$A$13:$A$64,0),MATCH(AN$3,Вводные!$D$11:$F$11,0))*(1+IF(AN$4=$A79,Вводные!$D$5*INDEX(Вводные!$G$13:$G$64,MATCH($A79,Вводные!$A$13:$A$64,0)),0))</f>
        <v>0</v>
      </c>
      <c r="AO79" s="14" t="n">
        <f aca="false">INDEX(Вводные!$D$13:$F$64,MATCH($A79,Вводные!$A$13:$A$64,0),MATCH(AO$3,Вводные!$D$11:$F$11,0))*(1+IF(AO$4=$A79,Вводные!$D$5*INDEX(Вводные!$G$13:$G$64,MATCH($A79,Вводные!$A$13:$A$64,0)),0))</f>
        <v>0</v>
      </c>
      <c r="AP79" s="14" t="n">
        <f aca="false">INDEX(Вводные!$D$13:$F$64,MATCH($A79,Вводные!$A$13:$A$64,0),MATCH(AP$3,Вводные!$D$11:$F$11,0))*(1+IF(AP$4=$A79,Вводные!$D$5*INDEX(Вводные!$G$13:$G$64,MATCH($A79,Вводные!$A$13:$A$64,0)),0))</f>
        <v>0</v>
      </c>
      <c r="AQ79" s="14" t="n">
        <f aca="false">INDEX(Вводные!$D$13:$F$64,MATCH($A79,Вводные!$A$13:$A$64,0),MATCH(AQ$3,Вводные!$D$11:$F$11,0))*(1+IF(AQ$4=$A79,Вводные!$D$5*INDEX(Вводные!$G$13:$G$64,MATCH($A79,Вводные!$A$13:$A$64,0)),0))</f>
        <v>0</v>
      </c>
      <c r="AR79" s="14" t="n">
        <f aca="false">INDEX(Вводные!$D$13:$F$64,MATCH($A79,Вводные!$A$13:$A$64,0),MATCH(AR$3,Вводные!$D$11:$F$11,0))*(1+IF(AR$4=$A79,Вводные!$D$5*INDEX(Вводные!$G$13:$G$64,MATCH($A79,Вводные!$A$13:$A$64,0)),0))</f>
        <v>0</v>
      </c>
      <c r="AS79" s="14" t="n">
        <f aca="false">INDEX(Вводные!$D$13:$F$64,MATCH($A79,Вводные!$A$13:$A$64,0),MATCH(AS$3,Вводные!$D$11:$F$11,0))*(1+IF(AS$4=$A79,Вводные!$D$5*INDEX(Вводные!$G$13:$G$64,MATCH($A79,Вводные!$A$13:$A$64,0)),0))</f>
        <v>0</v>
      </c>
      <c r="AT79" s="14" t="n">
        <f aca="false">INDEX(Вводные!$D$13:$F$64,MATCH($A79,Вводные!$A$13:$A$64,0),MATCH(AT$3,Вводные!$D$11:$F$11,0))*(1+IF(AT$4=$A79,Вводные!$D$5*INDEX(Вводные!$G$13:$G$64,MATCH($A79,Вводные!$A$13:$A$64,0)),0))</f>
        <v>0</v>
      </c>
      <c r="AU79" s="14" t="n">
        <f aca="false">INDEX(Вводные!$D$13:$F$64,MATCH($A79,Вводные!$A$13:$A$64,0),MATCH(AU$3,Вводные!$D$11:$F$11,0))*(1+IF(AU$4=$A79,Вводные!$D$5*INDEX(Вводные!$G$13:$G$64,MATCH($A79,Вводные!$A$13:$A$64,0)),0))</f>
        <v>0</v>
      </c>
      <c r="AV79" s="14" t="n">
        <f aca="false">INDEX(Вводные!$D$13:$F$64,MATCH($A79,Вводные!$A$13:$A$64,0),MATCH(AV$3,Вводные!$D$11:$F$11,0))*(1+IF(AV$4=$A79,Вводные!$D$5*INDEX(Вводные!$G$13:$G$64,MATCH($A79,Вводные!$A$13:$A$64,0)),0))</f>
        <v>0</v>
      </c>
      <c r="AW79" s="14" t="n">
        <f aca="false">INDEX(Вводные!$D$13:$F$64,MATCH($A79,Вводные!$A$13:$A$64,0),MATCH(AW$3,Вводные!$D$11:$F$11,0))*(1+IF(AW$4=$A79,Вводные!$D$5*INDEX(Вводные!$G$13:$G$64,MATCH($A79,Вводные!$A$13:$A$64,0)),0))</f>
        <v>0</v>
      </c>
      <c r="AX79" s="14" t="n">
        <f aca="false">INDEX(Вводные!$D$13:$F$64,MATCH($A79,Вводные!$A$13:$A$64,0),MATCH(AX$3,Вводные!$D$11:$F$11,0))*(1+IF(AX$4=$A79,Вводные!$D$5*INDEX(Вводные!$G$13:$G$64,MATCH($A79,Вводные!$A$13:$A$64,0)),0))</f>
        <v>0</v>
      </c>
      <c r="AY79" s="14" t="n">
        <f aca="false">INDEX(Вводные!$D$13:$F$64,MATCH($A79,Вводные!$A$13:$A$64,0),MATCH(AY$3,Вводные!$D$11:$F$11,0))*(1+IF(AY$4=$A79,Вводные!$D$5*INDEX(Вводные!$G$13:$G$64,MATCH($A79,Вводные!$A$13:$A$64,0)),0))</f>
        <v>0</v>
      </c>
      <c r="AZ79" s="14" t="n">
        <f aca="false">INDEX(Вводные!$D$13:$F$64,MATCH($A79,Вводные!$A$13:$A$64,0),MATCH(AZ$3,Вводные!$D$11:$F$11,0))*(1+IF(AZ$4=$A79,Вводные!$D$5*INDEX(Вводные!$G$13:$G$64,MATCH($A79,Вводные!$A$13:$A$64,0)),0))</f>
        <v>60000</v>
      </c>
      <c r="BA79" s="14" t="n">
        <f aca="false">INDEX(Вводные!$D$13:$F$64,MATCH($A79,Вводные!$A$13:$A$64,0),MATCH(BA$3,Вводные!$D$11:$F$11,0))*(1+IF(BA$4=$A79,Вводные!$D$5*INDEX(Вводные!$G$13:$G$64,MATCH($A79,Вводные!$A$13:$A$64,0)),0))</f>
        <v>60000</v>
      </c>
      <c r="BB79" s="14" t="n">
        <f aca="false">INDEX(Вводные!$D$13:$F$64,MATCH($A79,Вводные!$A$13:$A$64,0),MATCH(BB$3,Вводные!$D$11:$F$11,0))*(1+IF(BB$4=$A79,Вводные!$D$5*INDEX(Вводные!$G$13:$G$64,MATCH($A79,Вводные!$A$13:$A$64,0)),0))</f>
        <v>60000</v>
      </c>
      <c r="BC79" s="14" t="n">
        <f aca="false">INDEX(Вводные!$D$13:$F$64,MATCH($A79,Вводные!$A$13:$A$64,0),MATCH(BC$3,Вводные!$D$11:$F$11,0))*(1+IF(BC$4=$A79,Вводные!$D$5*INDEX(Вводные!$G$13:$G$64,MATCH($A79,Вводные!$A$13:$A$64,0)),0))</f>
        <v>60000</v>
      </c>
      <c r="BD79" s="14" t="n">
        <f aca="false">INDEX(Вводные!$D$13:$F$64,MATCH($A79,Вводные!$A$13:$A$64,0),MATCH(BD$3,Вводные!$D$11:$F$11,0))*(1+IF(BD$4=$A79,Вводные!$D$5*INDEX(Вводные!$G$13:$G$64,MATCH($A79,Вводные!$A$13:$A$64,0)),0))</f>
        <v>60000</v>
      </c>
      <c r="BE79" s="14" t="n">
        <f aca="false">INDEX(Вводные!$D$13:$F$64,MATCH($A79,Вводные!$A$13:$A$64,0),MATCH(BE$3,Вводные!$D$11:$F$11,0))*(1+IF(BE$4=$A79,Вводные!$D$5*INDEX(Вводные!$G$13:$G$64,MATCH($A79,Вводные!$A$13:$A$64,0)),0))</f>
        <v>60000</v>
      </c>
      <c r="BF79" s="14" t="n">
        <f aca="false">INDEX(Вводные!$D$13:$F$64,MATCH($A79,Вводные!$A$13:$A$64,0),MATCH(BF$3,Вводные!$D$11:$F$11,0))*(1+IF(BF$4=$A79,Вводные!$D$5*INDEX(Вводные!$G$13:$G$64,MATCH($A79,Вводные!$A$13:$A$64,0)),0))</f>
        <v>60000</v>
      </c>
      <c r="BG79" s="14" t="n">
        <f aca="false">INDEX(Вводные!$D$13:$F$64,MATCH($A79,Вводные!$A$13:$A$64,0),MATCH(BG$3,Вводные!$D$11:$F$11,0))*(1+IF(BG$4=$A79,Вводные!$D$5*INDEX(Вводные!$G$13:$G$64,MATCH($A79,Вводные!$A$13:$A$64,0)),0))</f>
        <v>60000</v>
      </c>
      <c r="BH79" s="14" t="n">
        <f aca="false">INDEX(Вводные!$D$13:$F$64,MATCH($A79,Вводные!$A$13:$A$64,0),MATCH(BH$3,Вводные!$D$11:$F$11,0))*(1+IF(BH$4=$A79,Вводные!$D$5*INDEX(Вводные!$G$13:$G$64,MATCH($A79,Вводные!$A$13:$A$64,0)),0))</f>
        <v>60000</v>
      </c>
      <c r="BI79" s="14" t="n">
        <f aca="false">INDEX(Вводные!$D$13:$F$64,MATCH($A79,Вводные!$A$13:$A$64,0),MATCH(BI$3,Вводные!$D$11:$F$11,0))*(1+IF(BI$4=$A79,Вводные!$D$5*INDEX(Вводные!$G$13:$G$64,MATCH($A79,Вводные!$A$13:$A$64,0)),0))</f>
        <v>60000</v>
      </c>
      <c r="BJ79" s="14" t="n">
        <f aca="false">INDEX(Вводные!$D$13:$F$64,MATCH($A79,Вводные!$A$13:$A$64,0),MATCH(BJ$3,Вводные!$D$11:$F$11,0))*(1+IF(BJ$4=$A79,Вводные!$D$5*INDEX(Вводные!$G$13:$G$64,MATCH($A79,Вводные!$A$13:$A$64,0)),0))</f>
        <v>60000</v>
      </c>
      <c r="BK79" s="14" t="n">
        <f aca="false">INDEX(Вводные!$D$13:$F$64,MATCH($A79,Вводные!$A$13:$A$64,0),MATCH(BK$3,Вводные!$D$11:$F$11,0))*(1+IF(BK$4=$A79,Вводные!$D$5*INDEX(Вводные!$G$13:$G$64,MATCH($A79,Вводные!$A$13:$A$64,0)),0))</f>
        <v>60000</v>
      </c>
      <c r="BL79" s="14" t="n">
        <f aca="false">INDEX(Вводные!$D$13:$F$64,MATCH($A79,Вводные!$A$13:$A$64,0),MATCH(BL$3,Вводные!$D$11:$F$11,0))*(1+IF(BL$4=$A79,Вводные!$D$5*INDEX(Вводные!$G$13:$G$64,MATCH($A79,Вводные!$A$13:$A$64,0)),0))</f>
        <v>60000</v>
      </c>
      <c r="BM79" s="14" t="n">
        <f aca="false">INDEX(Вводные!$D$13:$F$64,MATCH($A79,Вводные!$A$13:$A$64,0),MATCH(BM$3,Вводные!$D$11:$F$11,0))*(1+IF(BM$4=$A79,Вводные!$D$5*INDEX(Вводные!$G$13:$G$64,MATCH($A79,Вводные!$A$13:$A$64,0)),0))</f>
        <v>60000</v>
      </c>
      <c r="BN79" s="14" t="n">
        <f aca="false">INDEX(Вводные!$D$13:$F$64,MATCH($A79,Вводные!$A$13:$A$64,0),MATCH(BN$3,Вводные!$D$11:$F$11,0))*(1+IF(BN$4=$A79,Вводные!$D$5*INDEX(Вводные!$G$13:$G$64,MATCH($A79,Вводные!$A$13:$A$64,0)),0))</f>
        <v>60000</v>
      </c>
      <c r="BO79" s="14" t="n">
        <f aca="false">INDEX(Вводные!$D$13:$F$64,MATCH($A79,Вводные!$A$13:$A$64,0),MATCH(BO$3,Вводные!$D$11:$F$11,0))*(1+IF(BO$4=$A79,Вводные!$D$5*INDEX(Вводные!$G$13:$G$64,MATCH($A79,Вводные!$A$13:$A$64,0)),0))</f>
        <v>60000</v>
      </c>
      <c r="BP79" s="14" t="n">
        <f aca="false">INDEX(Вводные!$D$13:$F$64,MATCH($A79,Вводные!$A$13:$A$64,0),MATCH(BP$3,Вводные!$D$11:$F$11,0))*(1+IF(BP$4=$A79,Вводные!$D$5*INDEX(Вводные!$G$13:$G$64,MATCH($A79,Вводные!$A$13:$A$64,0)),0))</f>
        <v>60000</v>
      </c>
      <c r="BQ79" s="14" t="n">
        <f aca="false">INDEX(Вводные!$D$13:$F$64,MATCH($A79,Вводные!$A$13:$A$64,0),MATCH(BQ$3,Вводные!$D$11:$F$11,0))*(1+IF(BQ$4=$A79,Вводные!$D$5*INDEX(Вводные!$G$13:$G$64,MATCH($A79,Вводные!$A$13:$A$64,0)),0))</f>
        <v>60000</v>
      </c>
      <c r="BR79" s="14" t="n">
        <f aca="false">INDEX(Вводные!$D$13:$F$64,MATCH($A79,Вводные!$A$13:$A$64,0),MATCH(BR$3,Вводные!$D$11:$F$11,0))*(1+IF(BR$4=$A79,Вводные!$D$5*INDEX(Вводные!$G$13:$G$64,MATCH($A79,Вводные!$A$13:$A$64,0)),0))</f>
        <v>60000</v>
      </c>
      <c r="BS79" s="14" t="n">
        <f aca="false">INDEX(Вводные!$D$13:$F$64,MATCH($A79,Вводные!$A$13:$A$64,0),MATCH(BS$3,Вводные!$D$11:$F$11,0))*(1+IF(BS$4=$A79,Вводные!$D$5*INDEX(Вводные!$G$13:$G$64,MATCH($A79,Вводные!$A$13:$A$64,0)),0))</f>
        <v>60000</v>
      </c>
      <c r="BT79" s="14" t="n">
        <f aca="false">INDEX(Вводные!$D$13:$F$64,MATCH($A79,Вводные!$A$13:$A$64,0),MATCH(BT$3,Вводные!$D$11:$F$11,0))*(1+IF(BT$4=$A79,Вводные!$D$5*INDEX(Вводные!$G$13:$G$64,MATCH($A79,Вводные!$A$13:$A$64,0)),0))</f>
        <v>60000</v>
      </c>
      <c r="BU79" s="14" t="n">
        <f aca="false">INDEX(Вводные!$D$13:$F$64,MATCH($A79,Вводные!$A$13:$A$64,0),MATCH(BU$3,Вводные!$D$11:$F$11,0))*(1+IF(BU$4=$A79,Вводные!$D$5*INDEX(Вводные!$G$13:$G$64,MATCH($A79,Вводные!$A$13:$A$64,0)),0))</f>
        <v>60000</v>
      </c>
      <c r="BV79" s="14" t="n">
        <f aca="false">INDEX(Вводные!$D$13:$F$64,MATCH($A79,Вводные!$A$13:$A$64,0),MATCH(BV$3,Вводные!$D$11:$F$11,0))*(1+IF(BV$4=$A79,Вводные!$D$5*INDEX(Вводные!$G$13:$G$64,MATCH($A79,Вводные!$A$13:$A$64,0)),0))</f>
        <v>60000</v>
      </c>
      <c r="BW79" s="14" t="n">
        <f aca="false">INDEX(Вводные!$D$13:$F$64,MATCH($A79,Вводные!$A$13:$A$64,0),MATCH(BW$3,Вводные!$D$11:$F$11,0))*(1+IF(BW$4=$A79,Вводные!$D$5*INDEX(Вводные!$G$13:$G$64,MATCH($A79,Вводные!$A$13:$A$64,0)),0))</f>
        <v>60000</v>
      </c>
      <c r="BX79" s="14" t="n">
        <f aca="false">INDEX(Вводные!$D$13:$F$64,MATCH($A79,Вводные!$A$13:$A$64,0),MATCH(BX$3,Вводные!$D$11:$F$11,0))*(1+IF(BX$4=$A79,Вводные!$D$5*INDEX(Вводные!$G$13:$G$64,MATCH($A79,Вводные!$A$13:$A$64,0)),0))</f>
        <v>60000</v>
      </c>
      <c r="BY79" s="14" t="n">
        <f aca="false">INDEX(Вводные!$D$13:$F$64,MATCH($A79,Вводные!$A$13:$A$64,0),MATCH(BY$3,Вводные!$D$11:$F$11,0))*(1+IF(BY$4=$A79,Вводные!$D$5*INDEX(Вводные!$G$13:$G$64,MATCH($A79,Вводные!$A$13:$A$64,0)),0))</f>
        <v>60000</v>
      </c>
      <c r="BZ79" s="14" t="n">
        <f aca="false">INDEX(Вводные!$D$13:$F$64,MATCH($A79,Вводные!$A$13:$A$64,0),MATCH(BZ$3,Вводные!$D$11:$F$11,0))*(1+IF(BZ$4=$A79,Вводные!$D$5*INDEX(Вводные!$G$13:$G$64,MATCH($A79,Вводные!$A$13:$A$64,0)),0))</f>
        <v>60000</v>
      </c>
      <c r="CA79" s="14" t="n">
        <f aca="false">INDEX(Вводные!$D$13:$F$64,MATCH($A79,Вводные!$A$13:$A$64,0),MATCH(CA$3,Вводные!$D$11:$F$11,0))*(1+IF(CA$4=$A79,Вводные!$D$5*INDEX(Вводные!$G$13:$G$64,MATCH($A79,Вводные!$A$13:$A$64,0)),0))</f>
        <v>60000</v>
      </c>
      <c r="CB79" s="14" t="n">
        <f aca="false">INDEX(Вводные!$D$13:$F$64,MATCH($A79,Вводные!$A$13:$A$64,0),MATCH(CB$3,Вводные!$D$11:$F$11,0))*(1+IF(CB$4=$A79,Вводные!$D$5*INDEX(Вводные!$G$13:$G$64,MATCH($A79,Вводные!$A$13:$A$64,0)),0))</f>
        <v>60000</v>
      </c>
      <c r="CC79" s="14" t="n">
        <f aca="false">INDEX(Вводные!$D$13:$F$64,MATCH($A79,Вводные!$A$13:$A$64,0),MATCH(CC$3,Вводные!$D$11:$F$11,0))*(1+IF(CC$4=$A79,Вводные!$D$5*INDEX(Вводные!$G$13:$G$64,MATCH($A79,Вводные!$A$13:$A$64,0)),0))</f>
        <v>60000</v>
      </c>
      <c r="CD79" s="14" t="n">
        <f aca="false">INDEX(Вводные!$D$13:$F$64,MATCH($A79,Вводные!$A$13:$A$64,0),MATCH(CD$3,Вводные!$D$11:$F$11,0))*(1+IF(CD$4=$A79,Вводные!$D$5*INDEX(Вводные!$G$13:$G$64,MATCH($A79,Вводные!$A$13:$A$64,0)),0))</f>
        <v>60000</v>
      </c>
      <c r="CE79" s="14" t="n">
        <f aca="false">INDEX(Вводные!$D$13:$F$64,MATCH($A79,Вводные!$A$13:$A$64,0),MATCH(CE$3,Вводные!$D$11:$F$11,0))*(1+IF(CE$4=$A79,Вводные!$D$5*INDEX(Вводные!$G$13:$G$64,MATCH($A79,Вводные!$A$13:$A$64,0)),0))</f>
        <v>60000</v>
      </c>
      <c r="CF79" s="14" t="n">
        <f aca="false">INDEX(Вводные!$D$13:$F$64,MATCH($A79,Вводные!$A$13:$A$64,0),MATCH(CF$3,Вводные!$D$11:$F$11,0))*(1+IF(CF$4=$A79,Вводные!$D$5*INDEX(Вводные!$G$13:$G$64,MATCH($A79,Вводные!$A$13:$A$64,0)),0))</f>
        <v>60000</v>
      </c>
      <c r="CG79" s="14" t="n">
        <f aca="false">INDEX(Вводные!$D$13:$F$64,MATCH($A79,Вводные!$A$13:$A$64,0),MATCH(CG$3,Вводные!$D$11:$F$11,0))*(1+IF(CG$4=$A79,Вводные!$D$5*INDEX(Вводные!$G$13:$G$64,MATCH($A79,Вводные!$A$13:$A$64,0)),0))</f>
        <v>60000</v>
      </c>
      <c r="CH79" s="14" t="n">
        <f aca="false">INDEX(Вводные!$D$13:$F$64,MATCH($A79,Вводные!$A$13:$A$64,0),MATCH(CH$3,Вводные!$D$11:$F$11,0))*(1+IF(CH$4=$A79,Вводные!$D$5*INDEX(Вводные!$G$13:$G$64,MATCH($A79,Вводные!$A$13:$A$64,0)),0))</f>
        <v>60000</v>
      </c>
      <c r="CI79" s="14" t="n">
        <f aca="false">INDEX(Вводные!$D$13:$F$64,MATCH($A79,Вводные!$A$13:$A$64,0),MATCH(CI$3,Вводные!$D$11:$F$11,0))*(1+IF(CI$4=$A79,Вводные!$D$5*INDEX(Вводные!$G$13:$G$64,MATCH($A79,Вводные!$A$13:$A$64,0)),0))</f>
        <v>60000</v>
      </c>
      <c r="CJ79" s="14" t="n">
        <f aca="false">INDEX(Вводные!$D$13:$F$64,MATCH($A79,Вводные!$A$13:$A$64,0),MATCH(CJ$3,Вводные!$D$11:$F$11,0))*(1+IF(CJ$4=$A79,Вводные!$D$5*INDEX(Вводные!$G$13:$G$64,MATCH($A79,Вводные!$A$13:$A$64,0)),0))</f>
        <v>60000</v>
      </c>
      <c r="CK79" s="14" t="n">
        <f aca="false">INDEX(Вводные!$D$13:$F$64,MATCH($A79,Вводные!$A$13:$A$64,0),MATCH(CK$3,Вводные!$D$11:$F$11,0))*(1+IF(CK$4=$A79,Вводные!$D$5*INDEX(Вводные!$G$13:$G$64,MATCH($A79,Вводные!$A$13:$A$64,0)),0))</f>
        <v>60000</v>
      </c>
      <c r="CL79" s="14" t="n">
        <f aca="false">INDEX(Вводные!$D$13:$F$64,MATCH($A79,Вводные!$A$13:$A$64,0),MATCH(CL$3,Вводные!$D$11:$F$11,0))*(1+IF(CL$4=$A79,Вводные!$D$5*INDEX(Вводные!$G$13:$G$64,MATCH($A79,Вводные!$A$13:$A$64,0)),0))</f>
        <v>60000</v>
      </c>
      <c r="CM79" s="14" t="n">
        <f aca="false">INDEX(Вводные!$D$13:$F$64,MATCH($A79,Вводные!$A$13:$A$64,0),MATCH(CM$3,Вводные!$D$11:$F$11,0))*(1+IF(CM$4=$A79,Вводные!$D$5*INDEX(Вводные!$G$13:$G$64,MATCH($A79,Вводные!$A$13:$A$64,0)),0))</f>
        <v>59400</v>
      </c>
      <c r="CN79" s="14" t="n">
        <f aca="false">INDEX(Вводные!$D$13:$F$64,MATCH($A79,Вводные!$A$13:$A$64,0),MATCH(CN$3,Вводные!$D$11:$F$11,0))*(1+IF(CN$4=$A79,Вводные!$D$5*INDEX(Вводные!$G$13:$G$64,MATCH($A79,Вводные!$A$13:$A$64,0)),0))</f>
        <v>60000</v>
      </c>
      <c r="CO79" s="14" t="n">
        <f aca="false">INDEX(Вводные!$D$13:$F$64,MATCH($A79,Вводные!$A$13:$A$64,0),MATCH(CO$3,Вводные!$D$11:$F$11,0))*(1+IF(CO$4=$A79,Вводные!$D$5*INDEX(Вводные!$G$13:$G$64,MATCH($A79,Вводные!$A$13:$A$64,0)),0))</f>
        <v>60000</v>
      </c>
      <c r="CP79" s="14" t="n">
        <f aca="false">INDEX(Вводные!$D$13:$F$64,MATCH($A79,Вводные!$A$13:$A$64,0),MATCH(CP$3,Вводные!$D$11:$F$11,0))*(1+IF(CP$4=$A79,Вводные!$D$5*INDEX(Вводные!$G$13:$G$64,MATCH($A79,Вводные!$A$13:$A$64,0)),0))</f>
        <v>150000</v>
      </c>
      <c r="CQ79" s="14" t="n">
        <f aca="false">INDEX(Вводные!$D$13:$F$64,MATCH($A79,Вводные!$A$13:$A$64,0),MATCH(CQ$3,Вводные!$D$11:$F$11,0))*(1+IF(CQ$4=$A79,Вводные!$D$5*INDEX(Вводные!$G$13:$G$64,MATCH($A79,Вводные!$A$13:$A$64,0)),0))</f>
        <v>150000</v>
      </c>
      <c r="CR79" s="14" t="n">
        <f aca="false">INDEX(Вводные!$D$13:$F$64,MATCH($A79,Вводные!$A$13:$A$64,0),MATCH(CR$3,Вводные!$D$11:$F$11,0))*(1+IF(CR$4=$A79,Вводные!$D$5*INDEX(Вводные!$G$13:$G$64,MATCH($A79,Вводные!$A$13:$A$64,0)),0))</f>
        <v>150000</v>
      </c>
      <c r="CS79" s="14" t="n">
        <f aca="false">INDEX(Вводные!$D$13:$F$64,MATCH($A79,Вводные!$A$13:$A$64,0),MATCH(CS$3,Вводные!$D$11:$F$11,0))*(1+IF(CS$4=$A79,Вводные!$D$5*INDEX(Вводные!$G$13:$G$64,MATCH($A79,Вводные!$A$13:$A$64,0)),0))</f>
        <v>150000</v>
      </c>
      <c r="CT79" s="14" t="n">
        <f aca="false">INDEX(Вводные!$D$13:$F$64,MATCH($A79,Вводные!$A$13:$A$64,0),MATCH(CT$3,Вводные!$D$11:$F$11,0))*(1+IF(CT$4=$A79,Вводные!$D$5*INDEX(Вводные!$G$13:$G$64,MATCH($A79,Вводные!$A$13:$A$64,0)),0))</f>
        <v>150000</v>
      </c>
      <c r="CU79" s="14" t="n">
        <f aca="false">INDEX(Вводные!$D$13:$F$64,MATCH($A79,Вводные!$A$13:$A$64,0),MATCH(CU$3,Вводные!$D$11:$F$11,0))*(1+IF(CU$4=$A79,Вводные!$D$5*INDEX(Вводные!$G$13:$G$64,MATCH($A79,Вводные!$A$13:$A$64,0)),0))</f>
        <v>150000</v>
      </c>
      <c r="CV79" s="14" t="n">
        <f aca="false">INDEX(Вводные!$D$13:$F$64,MATCH($A79,Вводные!$A$13:$A$64,0),MATCH(CV$3,Вводные!$D$11:$F$11,0))*(1+IF(CV$4=$A79,Вводные!$D$5*INDEX(Вводные!$G$13:$G$64,MATCH($A79,Вводные!$A$13:$A$64,0)),0))</f>
        <v>150000</v>
      </c>
      <c r="CW79" s="14" t="n">
        <f aca="false">INDEX(Вводные!$D$13:$F$64,MATCH($A79,Вводные!$A$13:$A$64,0),MATCH(CW$3,Вводные!$D$11:$F$11,0))*(1+IF(CW$4=$A79,Вводные!$D$5*INDEX(Вводные!$G$13:$G$64,MATCH($A79,Вводные!$A$13:$A$64,0)),0))</f>
        <v>150000</v>
      </c>
      <c r="CX79" s="14" t="n">
        <f aca="false">INDEX(Вводные!$D$13:$F$64,MATCH($A79,Вводные!$A$13:$A$64,0),MATCH(CX$3,Вводные!$D$11:$F$11,0))*(1+IF(CX$4=$A79,Вводные!$D$5*INDEX(Вводные!$G$13:$G$64,MATCH($A79,Вводные!$A$13:$A$64,0)),0))</f>
        <v>150000</v>
      </c>
      <c r="CY79" s="14" t="n">
        <f aca="false">INDEX(Вводные!$D$13:$F$64,MATCH($A79,Вводные!$A$13:$A$64,0),MATCH(CY$3,Вводные!$D$11:$F$11,0))*(1+IF(CY$4=$A79,Вводные!$D$5*INDEX(Вводные!$G$13:$G$64,MATCH($A79,Вводные!$A$13:$A$64,0)),0))</f>
        <v>150000</v>
      </c>
      <c r="CZ79" s="14" t="n">
        <f aca="false">INDEX(Вводные!$D$13:$F$64,MATCH($A79,Вводные!$A$13:$A$64,0),MATCH(CZ$3,Вводные!$D$11:$F$11,0))*(1+IF(CZ$4=$A79,Вводные!$D$5*INDEX(Вводные!$G$13:$G$64,MATCH($A79,Вводные!$A$13:$A$64,0)),0))</f>
        <v>150000</v>
      </c>
      <c r="DA79" s="14" t="n">
        <f aca="false">INDEX(Вводные!$D$13:$F$64,MATCH($A79,Вводные!$A$13:$A$64,0),MATCH(DA$3,Вводные!$D$11:$F$11,0))*(1+IF(DA$4=$A79,Вводные!$D$5*INDEX(Вводные!$G$13:$G$64,MATCH($A79,Вводные!$A$13:$A$64,0)),0))</f>
        <v>150000</v>
      </c>
      <c r="DB79" s="14" t="n">
        <f aca="false">INDEX(Вводные!$D$13:$F$64,MATCH($A79,Вводные!$A$13:$A$64,0),MATCH(DB$3,Вводные!$D$11:$F$11,0))*(1+IF(DB$4=$A79,Вводные!$D$5*INDEX(Вводные!$G$13:$G$64,MATCH($A79,Вводные!$A$13:$A$64,0)),0))</f>
        <v>150000</v>
      </c>
      <c r="DC79" s="14" t="n">
        <f aca="false">INDEX(Вводные!$D$13:$F$64,MATCH($A79,Вводные!$A$13:$A$64,0),MATCH(DC$3,Вводные!$D$11:$F$11,0))*(1+IF(DC$4=$A79,Вводные!$D$5*INDEX(Вводные!$G$13:$G$64,MATCH($A79,Вводные!$A$13:$A$64,0)),0))</f>
        <v>150000</v>
      </c>
      <c r="DD79" s="14" t="n">
        <f aca="false">INDEX(Вводные!$D$13:$F$64,MATCH($A79,Вводные!$A$13:$A$64,0),MATCH(DD$3,Вводные!$D$11:$F$11,0))*(1+IF(DD$4=$A79,Вводные!$D$5*INDEX(Вводные!$G$13:$G$64,MATCH($A79,Вводные!$A$13:$A$64,0)),0))</f>
        <v>150000</v>
      </c>
      <c r="DE79" s="14" t="n">
        <f aca="false">INDEX(Вводные!$D$13:$F$64,MATCH($A79,Вводные!$A$13:$A$64,0),MATCH(DE$3,Вводные!$D$11:$F$11,0))*(1+IF(DE$4=$A79,Вводные!$D$5*INDEX(Вводные!$G$13:$G$64,MATCH($A79,Вводные!$A$13:$A$64,0)),0))</f>
        <v>150000</v>
      </c>
      <c r="DF79" s="14" t="n">
        <f aca="false">INDEX(Вводные!$D$13:$F$64,MATCH($A79,Вводные!$A$13:$A$64,0),MATCH(DF$3,Вводные!$D$11:$F$11,0))*(1+IF(DF$4=$A79,Вводные!$D$5*INDEX(Вводные!$G$13:$G$64,MATCH($A79,Вводные!$A$13:$A$64,0)),0))</f>
        <v>150000</v>
      </c>
      <c r="DG79" s="14" t="n">
        <f aca="false">INDEX(Вводные!$D$13:$F$64,MATCH($A79,Вводные!$A$13:$A$64,0),MATCH(DG$3,Вводные!$D$11:$F$11,0))*(1+IF(DG$4=$A79,Вводные!$D$5*INDEX(Вводные!$G$13:$G$64,MATCH($A79,Вводные!$A$13:$A$64,0)),0))</f>
        <v>150000</v>
      </c>
      <c r="DH79" s="14" t="n">
        <f aca="false">INDEX(Вводные!$D$13:$F$64,MATCH($A79,Вводные!$A$13:$A$64,0),MATCH(DH$3,Вводные!$D$11:$F$11,0))*(1+IF(DH$4=$A79,Вводные!$D$5*INDEX(Вводные!$G$13:$G$64,MATCH($A79,Вводные!$A$13:$A$64,0)),0))</f>
        <v>150000</v>
      </c>
      <c r="DI79" s="14" t="n">
        <f aca="false">INDEX(Вводные!$D$13:$F$64,MATCH($A79,Вводные!$A$13:$A$64,0),MATCH(DI$3,Вводные!$D$11:$F$11,0))*(1+IF(DI$4=$A79,Вводные!$D$5*INDEX(Вводные!$G$13:$G$64,MATCH($A79,Вводные!$A$13:$A$64,0)),0))</f>
        <v>150000</v>
      </c>
      <c r="DJ79" s="14" t="n">
        <f aca="false">INDEX(Вводные!$D$13:$F$64,MATCH($A79,Вводные!$A$13:$A$64,0),MATCH(DJ$3,Вводные!$D$11:$F$11,0))*(1+IF(DJ$4=$A79,Вводные!$D$5*INDEX(Вводные!$G$13:$G$64,MATCH($A79,Вводные!$A$13:$A$64,0)),0))</f>
        <v>150000</v>
      </c>
      <c r="DK79" s="14" t="n">
        <f aca="false">INDEX(Вводные!$D$13:$F$64,MATCH($A79,Вводные!$A$13:$A$64,0),MATCH(DK$3,Вводные!$D$11:$F$11,0))*(1+IF(DK$4=$A79,Вводные!$D$5*INDEX(Вводные!$G$13:$G$64,MATCH($A79,Вводные!$A$13:$A$64,0)),0))</f>
        <v>150000</v>
      </c>
      <c r="DL79" s="14" t="n">
        <f aca="false">INDEX(Вводные!$D$13:$F$64,MATCH($A79,Вводные!$A$13:$A$64,0),MATCH(DL$3,Вводные!$D$11:$F$11,0))*(1+IF(DL$4=$A79,Вводные!$D$5*INDEX(Вводные!$G$13:$G$64,MATCH($A79,Вводные!$A$13:$A$64,0)),0))</f>
        <v>150000</v>
      </c>
      <c r="DM79" s="14" t="n">
        <f aca="false">INDEX(Вводные!$D$13:$F$64,MATCH($A79,Вводные!$A$13:$A$64,0),MATCH(DM$3,Вводные!$D$11:$F$11,0))*(1+IF(DM$4=$A79,Вводные!$D$5*INDEX(Вводные!$G$13:$G$64,MATCH($A79,Вводные!$A$13:$A$64,0)),0))</f>
        <v>150000</v>
      </c>
      <c r="DN79" s="14" t="n">
        <f aca="false">INDEX(Вводные!$D$13:$F$64,MATCH($A79,Вводные!$A$13:$A$64,0),MATCH(DN$3,Вводные!$D$11:$F$11,0))*(1+IF(DN$4=$A79,Вводные!$D$5*INDEX(Вводные!$G$13:$G$64,MATCH($A79,Вводные!$A$13:$A$64,0)),0))</f>
        <v>150000</v>
      </c>
      <c r="DO79" s="14" t="n">
        <f aca="false">INDEX(Вводные!$D$13:$F$64,MATCH($A79,Вводные!$A$13:$A$64,0),MATCH(DO$3,Вводные!$D$11:$F$11,0))*(1+IF(DO$4=$A79,Вводные!$D$5*INDEX(Вводные!$G$13:$G$64,MATCH($A79,Вводные!$A$13:$A$64,0)),0))</f>
        <v>150000</v>
      </c>
      <c r="DP79" s="14" t="n">
        <f aca="false">INDEX(Вводные!$D$13:$F$64,MATCH($A79,Вводные!$A$13:$A$64,0),MATCH(DP$3,Вводные!$D$11:$F$11,0))*(1+IF(DP$4=$A79,Вводные!$D$5*INDEX(Вводные!$G$13:$G$64,MATCH($A79,Вводные!$A$13:$A$64,0)),0))</f>
        <v>150000</v>
      </c>
      <c r="DQ79" s="14" t="n">
        <f aca="false">INDEX(Вводные!$D$13:$F$64,MATCH($A79,Вводные!$A$13:$A$64,0),MATCH(DQ$3,Вводные!$D$11:$F$11,0))*(1+IF(DQ$4=$A79,Вводные!$D$5*INDEX(Вводные!$G$13:$G$64,MATCH($A79,Вводные!$A$13:$A$64,0)),0))</f>
        <v>150000</v>
      </c>
      <c r="DR79" s="14" t="n">
        <f aca="false">INDEX(Вводные!$D$13:$F$64,MATCH($A79,Вводные!$A$13:$A$64,0),MATCH(DR$3,Вводные!$D$11:$F$11,0))*(1+IF(DR$4=$A79,Вводные!$D$5*INDEX(Вводные!$G$13:$G$64,MATCH($A79,Вводные!$A$13:$A$64,0)),0))</f>
        <v>150000</v>
      </c>
      <c r="DS79" s="14" t="n">
        <f aca="false">INDEX(Вводные!$D$13:$F$64,MATCH($A79,Вводные!$A$13:$A$64,0),MATCH(DS$3,Вводные!$D$11:$F$11,0))*(1+IF(DS$4=$A79,Вводные!$D$5*INDEX(Вводные!$G$13:$G$64,MATCH($A79,Вводные!$A$13:$A$64,0)),0))</f>
        <v>150000</v>
      </c>
      <c r="DT79" s="14" t="n">
        <f aca="false">INDEX(Вводные!$D$13:$F$64,MATCH($A79,Вводные!$A$13:$A$64,0),MATCH(DT$3,Вводные!$D$11:$F$11,0))*(1+IF(DT$4=$A79,Вводные!$D$5*INDEX(Вводные!$G$13:$G$64,MATCH($A79,Вводные!$A$13:$A$64,0)),0))</f>
        <v>150000</v>
      </c>
      <c r="DU79" s="14" t="n">
        <f aca="false">INDEX(Вводные!$D$13:$F$64,MATCH($A79,Вводные!$A$13:$A$64,0),MATCH(DU$3,Вводные!$D$11:$F$11,0))*(1+IF(DU$4=$A79,Вводные!$D$5*INDEX(Вводные!$G$13:$G$64,MATCH($A79,Вводные!$A$13:$A$64,0)),0))</f>
        <v>150000</v>
      </c>
      <c r="DV79" s="14" t="n">
        <f aca="false">INDEX(Вводные!$D$13:$F$64,MATCH($A79,Вводные!$A$13:$A$64,0),MATCH(DV$3,Вводные!$D$11:$F$11,0))*(1+IF(DV$4=$A79,Вводные!$D$5*INDEX(Вводные!$G$13:$G$64,MATCH($A79,Вводные!$A$13:$A$64,0)),0))</f>
        <v>150000</v>
      </c>
      <c r="DW79" s="14" t="n">
        <f aca="false">INDEX(Вводные!$D$13:$F$64,MATCH($A79,Вводные!$A$13:$A$64,0),MATCH(DW$3,Вводные!$D$11:$F$11,0))*(1+IF(DW$4=$A79,Вводные!$D$5*INDEX(Вводные!$G$13:$G$64,MATCH($A79,Вводные!$A$13:$A$64,0)),0))</f>
        <v>150000</v>
      </c>
      <c r="DX79" s="14" t="n">
        <f aca="false">INDEX(Вводные!$D$13:$F$64,MATCH($A79,Вводные!$A$13:$A$64,0),MATCH(DX$3,Вводные!$D$11:$F$11,0))*(1+IF(DX$4=$A79,Вводные!$D$5*INDEX(Вводные!$G$13:$G$64,MATCH($A79,Вводные!$A$13:$A$64,0)),0))</f>
        <v>150000</v>
      </c>
      <c r="DY79" s="14" t="n">
        <f aca="false">INDEX(Вводные!$D$13:$F$64,MATCH($A79,Вводные!$A$13:$A$64,0),MATCH(DY$3,Вводные!$D$11:$F$11,0))*(1+IF(DY$4=$A79,Вводные!$D$5*INDEX(Вводные!$G$13:$G$64,MATCH($A79,Вводные!$A$13:$A$64,0)),0))</f>
        <v>150000</v>
      </c>
      <c r="DZ79" s="14" t="n">
        <f aca="false">INDEX(Вводные!$D$13:$F$64,MATCH($A79,Вводные!$A$13:$A$64,0),MATCH(DZ$3,Вводные!$D$11:$F$11,0))*(1+IF(DZ$4=$A79,Вводные!$D$5*INDEX(Вводные!$G$13:$G$64,MATCH($A79,Вводные!$A$13:$A$64,0)),0))</f>
        <v>150000</v>
      </c>
      <c r="EA79" s="14" t="n">
        <f aca="false">INDEX(Вводные!$D$13:$F$64,MATCH($A79,Вводные!$A$13:$A$64,0),MATCH(EA$3,Вводные!$D$11:$F$11,0))*(1+IF(EA$4=$A79,Вводные!$D$5*INDEX(Вводные!$G$13:$G$64,MATCH($A79,Вводные!$A$13:$A$64,0)),0))</f>
        <v>150000</v>
      </c>
      <c r="EB79" s="14" t="n">
        <f aca="false">INDEX(Вводные!$D$13:$F$64,MATCH($A79,Вводные!$A$13:$A$64,0),MATCH(EB$3,Вводные!$D$11:$F$11,0))*(1+IF(EB$4=$A79,Вводные!$D$5*INDEX(Вводные!$G$13:$G$64,MATCH($A79,Вводные!$A$13:$A$64,0)),0))</f>
        <v>150000</v>
      </c>
      <c r="EC79" s="14" t="n">
        <f aca="false">INDEX(Вводные!$D$13:$F$64,MATCH($A79,Вводные!$A$13:$A$64,0),MATCH(EC$3,Вводные!$D$11:$F$11,0))*(1+IF(EC$4=$A79,Вводные!$D$5*INDEX(Вводные!$G$13:$G$64,MATCH($A79,Вводные!$A$13:$A$64,0)),0))</f>
        <v>148500</v>
      </c>
      <c r="ED79" s="14" t="n">
        <f aca="false">INDEX(Вводные!$D$13:$F$64,MATCH($A79,Вводные!$A$13:$A$64,0),MATCH(ED$3,Вводные!$D$11:$F$11,0))*(1+IF(ED$4=$A79,Вводные!$D$5*INDEX(Вводные!$G$13:$G$64,MATCH($A79,Вводные!$A$13:$A$64,0)),0))</f>
        <v>150000</v>
      </c>
      <c r="EE79" s="14" t="n">
        <f aca="false">INDEX(Вводные!$D$13:$F$64,MATCH($A79,Вводные!$A$13:$A$64,0),MATCH(EE$3,Вводные!$D$11:$F$11,0))*(1+IF(EE$4=$A79,Вводные!$D$5*INDEX(Вводные!$G$13:$G$64,MATCH($A79,Вводные!$A$13:$A$64,0)),0))</f>
        <v>150000</v>
      </c>
      <c r="EF79" s="14" t="n">
        <f aca="false">INDEX(Вводные!$D$13:$F$64,MATCH($A79,Вводные!$A$13:$A$64,0),MATCH(EF$3,Вводные!$D$11:$F$11,0))*(1+IF(EF$4=$A79,Вводные!$D$5*INDEX(Вводные!$G$13:$G$64,MATCH($A79,Вводные!$A$13:$A$64,0)),0))</f>
        <v>0</v>
      </c>
      <c r="EG79" s="14" t="n">
        <f aca="false">INDEX(Вводные!$D$13:$F$64,MATCH($A79,Вводные!$A$13:$A$64,0),MATCH(EG$3,Вводные!$D$11:$F$11,0))*(1+IF(EG$4=$A79,Вводные!$D$5*INDEX(Вводные!$G$13:$G$64,MATCH($A79,Вводные!$A$13:$A$64,0)),0))</f>
        <v>0</v>
      </c>
      <c r="EH79" s="14" t="n">
        <f aca="false">INDEX(Вводные!$D$13:$F$64,MATCH($A79,Вводные!$A$13:$A$64,0),MATCH(EH$3,Вводные!$D$11:$F$11,0))*(1+IF(EH$4=$A79,Вводные!$D$5*INDEX(Вводные!$G$13:$G$64,MATCH($A79,Вводные!$A$13:$A$64,0)),0))</f>
        <v>0</v>
      </c>
      <c r="EI79" s="14" t="n">
        <f aca="false">INDEX(Вводные!$D$13:$F$64,MATCH($A79,Вводные!$A$13:$A$64,0),MATCH(EI$3,Вводные!$D$11:$F$11,0))*(1+IF(EI$4=$A79,Вводные!$D$5*INDEX(Вводные!$G$13:$G$64,MATCH($A79,Вводные!$A$13:$A$64,0)),0))</f>
        <v>0</v>
      </c>
      <c r="EJ79" s="14" t="n">
        <f aca="false">INDEX(Вводные!$D$13:$F$64,MATCH($A79,Вводные!$A$13:$A$64,0),MATCH(EJ$3,Вводные!$D$11:$F$11,0))*(1+IF(EJ$4=$A79,Вводные!$D$5*INDEX(Вводные!$G$13:$G$64,MATCH($A79,Вводные!$A$13:$A$64,0)),0))</f>
        <v>0</v>
      </c>
      <c r="EK79" s="14" t="n">
        <f aca="false">INDEX(Вводные!$D$13:$F$64,MATCH($A79,Вводные!$A$13:$A$64,0),MATCH(EK$3,Вводные!$D$11:$F$11,0))*(1+IF(EK$4=$A79,Вводные!$D$5*INDEX(Вводные!$G$13:$G$64,MATCH($A79,Вводные!$A$13:$A$64,0)),0))</f>
        <v>0</v>
      </c>
      <c r="EL79" s="14" t="n">
        <f aca="false">INDEX(Вводные!$D$13:$F$64,MATCH($A79,Вводные!$A$13:$A$64,0),MATCH(EL$3,Вводные!$D$11:$F$11,0))*(1+IF(EL$4=$A79,Вводные!$D$5*INDEX(Вводные!$G$13:$G$64,MATCH($A79,Вводные!$A$13:$A$64,0)),0))</f>
        <v>0</v>
      </c>
      <c r="EM79" s="14" t="n">
        <f aca="false">INDEX(Вводные!$D$13:$F$64,MATCH($A79,Вводные!$A$13:$A$64,0),MATCH(EM$3,Вводные!$D$11:$F$11,0))*(1+IF(EM$4=$A79,Вводные!$D$5*INDEX(Вводные!$G$13:$G$64,MATCH($A79,Вводные!$A$13:$A$64,0)),0))</f>
        <v>0</v>
      </c>
      <c r="EN79" s="14" t="n">
        <f aca="false">INDEX(Вводные!$D$13:$F$64,MATCH($A79,Вводные!$A$13:$A$64,0),MATCH(EN$3,Вводные!$D$11:$F$11,0))*(1+IF(EN$4=$A79,Вводные!$D$5*INDEX(Вводные!$G$13:$G$64,MATCH($A79,Вводные!$A$13:$A$64,0)),0))</f>
        <v>0</v>
      </c>
      <c r="EO79" s="14" t="n">
        <f aca="false">INDEX(Вводные!$D$13:$F$64,MATCH($A79,Вводные!$A$13:$A$64,0),MATCH(EO$3,Вводные!$D$11:$F$11,0))*(1+IF(EO$4=$A79,Вводные!$D$5*INDEX(Вводные!$G$13:$G$64,MATCH($A79,Вводные!$A$13:$A$64,0)),0))</f>
        <v>0</v>
      </c>
      <c r="EP79" s="14" t="n">
        <f aca="false">INDEX(Вводные!$D$13:$F$64,MATCH($A79,Вводные!$A$13:$A$64,0),MATCH(EP$3,Вводные!$D$11:$F$11,0))*(1+IF(EP$4=$A79,Вводные!$D$5*INDEX(Вводные!$G$13:$G$64,MATCH($A79,Вводные!$A$13:$A$64,0)),0))</f>
        <v>0</v>
      </c>
      <c r="EQ79" s="14" t="n">
        <f aca="false">INDEX(Вводные!$D$13:$F$64,MATCH($A79,Вводные!$A$13:$A$64,0),MATCH(EQ$3,Вводные!$D$11:$F$11,0))*(1+IF(EQ$4=$A79,Вводные!$D$5*INDEX(Вводные!$G$13:$G$64,MATCH($A79,Вводные!$A$13:$A$64,0)),0))</f>
        <v>0</v>
      </c>
      <c r="ER79" s="14" t="n">
        <f aca="false">INDEX(Вводные!$D$13:$F$64,MATCH($A79,Вводные!$A$13:$A$64,0),MATCH(ER$3,Вводные!$D$11:$F$11,0))*(1+IF(ER$4=$A79,Вводные!$D$5*INDEX(Вводные!$G$13:$G$64,MATCH($A79,Вводные!$A$13:$A$64,0)),0))</f>
        <v>0</v>
      </c>
      <c r="ES79" s="14" t="n">
        <f aca="false">INDEX(Вводные!$D$13:$F$64,MATCH($A79,Вводные!$A$13:$A$64,0),MATCH(ES$3,Вводные!$D$11:$F$11,0))*(1+IF(ES$4=$A79,Вводные!$D$5*INDEX(Вводные!$G$13:$G$64,MATCH($A79,Вводные!$A$13:$A$64,0)),0))</f>
        <v>0</v>
      </c>
      <c r="ET79" s="14" t="n">
        <f aca="false">INDEX(Вводные!$D$13:$F$64,MATCH($A79,Вводные!$A$13:$A$64,0),MATCH(ET$3,Вводные!$D$11:$F$11,0))*(1+IF(ET$4=$A79,Вводные!$D$5*INDEX(Вводные!$G$13:$G$64,MATCH($A79,Вводные!$A$13:$A$64,0)),0))</f>
        <v>0</v>
      </c>
      <c r="EU79" s="14" t="n">
        <f aca="false">INDEX(Вводные!$D$13:$F$64,MATCH($A79,Вводные!$A$13:$A$64,0),MATCH(EU$3,Вводные!$D$11:$F$11,0))*(1+IF(EU$4=$A79,Вводные!$D$5*INDEX(Вводные!$G$13:$G$64,MATCH($A79,Вводные!$A$13:$A$64,0)),0))</f>
        <v>0</v>
      </c>
      <c r="EV79" s="14" t="n">
        <f aca="false">INDEX(Вводные!$D$13:$F$64,MATCH($A79,Вводные!$A$13:$A$64,0),MATCH(EV$3,Вводные!$D$11:$F$11,0))*(1+IF(EV$4=$A79,Вводные!$D$5*INDEX(Вводные!$G$13:$G$64,MATCH($A79,Вводные!$A$13:$A$64,0)),0))</f>
        <v>0</v>
      </c>
      <c r="EW79" s="14" t="n">
        <f aca="false">INDEX(Вводные!$D$13:$F$64,MATCH($A79,Вводные!$A$13:$A$64,0),MATCH(EW$3,Вводные!$D$11:$F$11,0))*(1+IF(EW$4=$A79,Вводные!$D$5*INDEX(Вводные!$G$13:$G$64,MATCH($A79,Вводные!$A$13:$A$64,0)),0))</f>
        <v>0</v>
      </c>
      <c r="EX79" s="14" t="n">
        <f aca="false">INDEX(Вводные!$D$13:$F$64,MATCH($A79,Вводные!$A$13:$A$64,0),MATCH(EX$3,Вводные!$D$11:$F$11,0))*(1+IF(EX$4=$A79,Вводные!$D$5*INDEX(Вводные!$G$13:$G$64,MATCH($A79,Вводные!$A$13:$A$64,0)),0))</f>
        <v>0</v>
      </c>
      <c r="EY79" s="14" t="n">
        <f aca="false">INDEX(Вводные!$D$13:$F$64,MATCH($A79,Вводные!$A$13:$A$64,0),MATCH(EY$3,Вводные!$D$11:$F$11,0))*(1+IF(EY$4=$A79,Вводные!$D$5*INDEX(Вводные!$G$13:$G$64,MATCH($A79,Вводные!$A$13:$A$64,0)),0))</f>
        <v>0</v>
      </c>
      <c r="EZ79" s="14" t="n">
        <f aca="false">INDEX(Вводные!$D$13:$F$64,MATCH($A79,Вводные!$A$13:$A$64,0),MATCH(EZ$3,Вводные!$D$11:$F$11,0))*(1+IF(EZ$4=$A79,Вводные!$D$5*INDEX(Вводные!$G$13:$G$64,MATCH($A79,Вводные!$A$13:$A$64,0)),0))</f>
        <v>0</v>
      </c>
      <c r="FA79" s="14" t="n">
        <f aca="false">INDEX(Вводные!$D$13:$F$64,MATCH($A79,Вводные!$A$13:$A$64,0),MATCH(FA$3,Вводные!$D$11:$F$11,0))*(1+IF(FA$4=$A79,Вводные!$D$5*INDEX(Вводные!$G$13:$G$64,MATCH($A79,Вводные!$A$13:$A$64,0)),0))</f>
        <v>0</v>
      </c>
      <c r="FB79" s="14" t="n">
        <f aca="false">INDEX(Вводные!$D$13:$F$64,MATCH($A79,Вводные!$A$13:$A$64,0),MATCH(FB$3,Вводные!$D$11:$F$11,0))*(1+IF(FB$4=$A79,Вводные!$D$5*INDEX(Вводные!$G$13:$G$64,MATCH($A79,Вводные!$A$13:$A$64,0)),0))</f>
        <v>0</v>
      </c>
      <c r="FC79" s="14" t="n">
        <f aca="false">INDEX(Вводные!$D$13:$F$64,MATCH($A79,Вводные!$A$13:$A$64,0),MATCH(FC$3,Вводные!$D$11:$F$11,0))*(1+IF(FC$4=$A79,Вводные!$D$5*INDEX(Вводные!$G$13:$G$64,MATCH($A79,Вводные!$A$13:$A$64,0)),0))</f>
        <v>0</v>
      </c>
      <c r="FD79" s="14" t="n">
        <f aca="false">INDEX(Вводные!$D$13:$F$64,MATCH($A79,Вводные!$A$13:$A$64,0),MATCH(FD$3,Вводные!$D$11:$F$11,0))*(1+IF(FD$4=$A79,Вводные!$D$5*INDEX(Вводные!$G$13:$G$64,MATCH($A79,Вводные!$A$13:$A$64,0)),0))</f>
        <v>0</v>
      </c>
      <c r="FE79" s="14" t="n">
        <f aca="false">INDEX(Вводные!$D$13:$F$64,MATCH($A79,Вводные!$A$13:$A$64,0),MATCH(FE$3,Вводные!$D$11:$F$11,0))*(1+IF(FE$4=$A79,Вводные!$D$5*INDEX(Вводные!$G$13:$G$64,MATCH($A79,Вводные!$A$13:$A$64,0)),0))</f>
        <v>0</v>
      </c>
      <c r="FF79" s="14" t="n">
        <f aca="false">INDEX(Вводные!$D$13:$F$64,MATCH($A79,Вводные!$A$13:$A$64,0),MATCH(FF$3,Вводные!$D$11:$F$11,0))*(1+IF(FF$4=$A79,Вводные!$D$5*INDEX(Вводные!$G$13:$G$64,MATCH($A79,Вводные!$A$13:$A$64,0)),0))</f>
        <v>0</v>
      </c>
      <c r="FG79" s="14" t="n">
        <f aca="false">INDEX(Вводные!$D$13:$F$64,MATCH($A79,Вводные!$A$13:$A$64,0),MATCH(FG$3,Вводные!$D$11:$F$11,0))*(1+IF(FG$4=$A79,Вводные!$D$5*INDEX(Вводные!$G$13:$G$64,MATCH($A79,Вводные!$A$13:$A$64,0)),0))</f>
        <v>0</v>
      </c>
      <c r="FH79" s="14" t="n">
        <f aca="false">INDEX(Вводные!$D$13:$F$64,MATCH($A79,Вводные!$A$13:$A$64,0),MATCH(FH$3,Вводные!$D$11:$F$11,0))*(1+IF(FH$4=$A79,Вводные!$D$5*INDEX(Вводные!$G$13:$G$64,MATCH($A79,Вводные!$A$13:$A$64,0)),0))</f>
        <v>0</v>
      </c>
      <c r="FI79" s="14" t="n">
        <f aca="false">INDEX(Вводные!$D$13:$F$64,MATCH($A79,Вводные!$A$13:$A$64,0),MATCH(FI$3,Вводные!$D$11:$F$11,0))*(1+IF(FI$4=$A79,Вводные!$D$5*INDEX(Вводные!$G$13:$G$64,MATCH($A79,Вводные!$A$13:$A$64,0)),0))</f>
        <v>0</v>
      </c>
      <c r="FJ79" s="14" t="n">
        <f aca="false">INDEX(Вводные!$D$13:$F$64,MATCH($A79,Вводные!$A$13:$A$64,0),MATCH(FJ$3,Вводные!$D$11:$F$11,0))*(1+IF(FJ$4=$A79,Вводные!$D$5*INDEX(Вводные!$G$13:$G$64,MATCH($A79,Вводные!$A$13:$A$64,0)),0))</f>
        <v>0</v>
      </c>
      <c r="FK79" s="14" t="n">
        <f aca="false">INDEX(Вводные!$D$13:$F$64,MATCH($A79,Вводные!$A$13:$A$64,0),MATCH(FK$3,Вводные!$D$11:$F$11,0))*(1+IF(FK$4=$A79,Вводные!$D$5*INDEX(Вводные!$G$13:$G$64,MATCH($A79,Вводные!$A$13:$A$64,0)),0))</f>
        <v>0</v>
      </c>
      <c r="FL79" s="14" t="n">
        <f aca="false">INDEX(Вводные!$D$13:$F$64,MATCH($A79,Вводные!$A$13:$A$64,0),MATCH(FL$3,Вводные!$D$11:$F$11,0))*(1+IF(FL$4=$A79,Вводные!$D$5*INDEX(Вводные!$G$13:$G$64,MATCH($A79,Вводные!$A$13:$A$64,0)),0))</f>
        <v>0</v>
      </c>
      <c r="FM79" s="14" t="n">
        <f aca="false">INDEX(Вводные!$D$13:$F$64,MATCH($A79,Вводные!$A$13:$A$64,0),MATCH(FM$3,Вводные!$D$11:$F$11,0))*(1+IF(FM$4=$A79,Вводные!$D$5*INDEX(Вводные!$G$13:$G$64,MATCH($A79,Вводные!$A$13:$A$64,0)),0))</f>
        <v>0</v>
      </c>
      <c r="FN79" s="14" t="n">
        <f aca="false">INDEX(Вводные!$D$13:$F$64,MATCH($A79,Вводные!$A$13:$A$64,0),MATCH(FN$3,Вводные!$D$11:$F$11,0))*(1+IF(FN$4=$A79,Вводные!$D$5*INDEX(Вводные!$G$13:$G$64,MATCH($A79,Вводные!$A$13:$A$64,0)),0))</f>
        <v>0</v>
      </c>
      <c r="FO79" s="14" t="n">
        <f aca="false">INDEX(Вводные!$D$13:$F$64,MATCH($A79,Вводные!$A$13:$A$64,0),MATCH(FO$3,Вводные!$D$11:$F$11,0))*(1+IF(FO$4=$A79,Вводные!$D$5*INDEX(Вводные!$G$13:$G$64,MATCH($A79,Вводные!$A$13:$A$64,0)),0))</f>
        <v>0</v>
      </c>
      <c r="FP79" s="14" t="n">
        <f aca="false">INDEX(Вводные!$D$13:$F$64,MATCH($A79,Вводные!$A$13:$A$64,0),MATCH(FP$3,Вводные!$D$11:$F$11,0))*(1+IF(FP$4=$A79,Вводные!$D$5*INDEX(Вводные!$G$13:$G$64,MATCH($A79,Вводные!$A$13:$A$64,0)),0))</f>
        <v>0</v>
      </c>
      <c r="FQ79" s="14" t="n">
        <f aca="false">INDEX(Вводные!$D$13:$F$64,MATCH($A79,Вводные!$A$13:$A$64,0),MATCH(FQ$3,Вводные!$D$11:$F$11,0))*(1+IF(FQ$4=$A79,Вводные!$D$5*INDEX(Вводные!$G$13:$G$64,MATCH($A79,Вводные!$A$13:$A$64,0)),0))</f>
        <v>0</v>
      </c>
      <c r="FR79" s="14" t="n">
        <f aca="false">INDEX(Вводные!$D$13:$F$64,MATCH($A79,Вводные!$A$13:$A$64,0),MATCH(FR$3,Вводные!$D$11:$F$11,0))*(1+IF(FR$4=$A79,Вводные!$D$5*INDEX(Вводные!$G$13:$G$64,MATCH($A79,Вводные!$A$13:$A$64,0)),0))</f>
        <v>0</v>
      </c>
      <c r="FS79" s="14" t="n">
        <f aca="false">INDEX(Вводные!$D$13:$F$64,MATCH($A79,Вводные!$A$13:$A$64,0),MATCH(FS$3,Вводные!$D$11:$F$11,0))*(1+IF(FS$4=$A79,Вводные!$D$5*INDEX(Вводные!$G$13:$G$64,MATCH($A79,Вводные!$A$13:$A$64,0)),0))</f>
        <v>0</v>
      </c>
      <c r="FT79" s="14" t="n">
        <f aca="false">INDEX(Вводные!$D$13:$F$64,MATCH($A79,Вводные!$A$13:$A$64,0),MATCH(FT$3,Вводные!$D$11:$F$11,0))*(1+IF(FT$4=$A79,Вводные!$D$5*INDEX(Вводные!$G$13:$G$64,MATCH($A79,Вводные!$A$13:$A$64,0)),0))</f>
        <v>0</v>
      </c>
      <c r="FU79" s="14" t="n">
        <f aca="false">INDEX(Вводные!$D$13:$F$64,MATCH($A79,Вводные!$A$13:$A$64,0),MATCH(FU$3,Вводные!$D$11:$F$11,0))*(1+IF(FU$4=$A79,Вводные!$D$5*INDEX(Вводные!$G$13:$G$64,MATCH($A79,Вводные!$A$13:$A$64,0)),0))</f>
        <v>0</v>
      </c>
      <c r="FV79" s="14" t="n">
        <f aca="false">INDEX(Вводные!$D$13:$F$64,MATCH($A79,Вводные!$A$13:$A$64,0),MATCH(FV$3,Вводные!$D$11:$F$11,0))*(1+IF(FV$4=$A79,Вводные!$D$5*INDEX(Вводные!$G$13:$G$64,MATCH($A79,Вводные!$A$13:$A$64,0)),0))</f>
        <v>60000</v>
      </c>
      <c r="FW79" s="14" t="n">
        <f aca="false">INDEX(Вводные!$D$13:$F$64,MATCH($A79,Вводные!$A$13:$A$64,0),MATCH(FW$3,Вводные!$D$11:$F$11,0))*(1+IF(FW$4=$A79,Вводные!$D$5*INDEX(Вводные!$G$13:$G$64,MATCH($A79,Вводные!$A$13:$A$64,0)),0))</f>
        <v>60000</v>
      </c>
      <c r="FX79" s="14" t="n">
        <f aca="false">INDEX(Вводные!$D$13:$F$64,MATCH($A79,Вводные!$A$13:$A$64,0),MATCH(FX$3,Вводные!$D$11:$F$11,0))*(1+IF(FX$4=$A79,Вводные!$D$5*INDEX(Вводные!$G$13:$G$64,MATCH($A79,Вводные!$A$13:$A$64,0)),0))</f>
        <v>60000</v>
      </c>
      <c r="FY79" s="14" t="n">
        <f aca="false">INDEX(Вводные!$D$13:$F$64,MATCH($A79,Вводные!$A$13:$A$64,0),MATCH(FY$3,Вводные!$D$11:$F$11,0))*(1+IF(FY$4=$A79,Вводные!$D$5*INDEX(Вводные!$G$13:$G$64,MATCH($A79,Вводные!$A$13:$A$64,0)),0))</f>
        <v>60000</v>
      </c>
      <c r="FZ79" s="14" t="n">
        <f aca="false">INDEX(Вводные!$D$13:$F$64,MATCH($A79,Вводные!$A$13:$A$64,0),MATCH(FZ$3,Вводные!$D$11:$F$11,0))*(1+IF(FZ$4=$A79,Вводные!$D$5*INDEX(Вводные!$G$13:$G$64,MATCH($A79,Вводные!$A$13:$A$64,0)),0))</f>
        <v>60000</v>
      </c>
      <c r="GA79" s="14" t="n">
        <f aca="false">INDEX(Вводные!$D$13:$F$64,MATCH($A79,Вводные!$A$13:$A$64,0),MATCH(GA$3,Вводные!$D$11:$F$11,0))*(1+IF(GA$4=$A79,Вводные!$D$5*INDEX(Вводные!$G$13:$G$64,MATCH($A79,Вводные!$A$13:$A$64,0)),0))</f>
        <v>60000</v>
      </c>
      <c r="GB79" s="14" t="n">
        <f aca="false">INDEX(Вводные!$D$13:$F$64,MATCH($A79,Вводные!$A$13:$A$64,0),MATCH(GB$3,Вводные!$D$11:$F$11,0))*(1+IF(GB$4=$A79,Вводные!$D$5*INDEX(Вводные!$G$13:$G$64,MATCH($A79,Вводные!$A$13:$A$64,0)),0))</f>
        <v>60000</v>
      </c>
      <c r="GC79" s="14" t="n">
        <f aca="false">INDEX(Вводные!$D$13:$F$64,MATCH($A79,Вводные!$A$13:$A$64,0),MATCH(GC$3,Вводные!$D$11:$F$11,0))*(1+IF(GC$4=$A79,Вводные!$D$5*INDEX(Вводные!$G$13:$G$64,MATCH($A79,Вводные!$A$13:$A$64,0)),0))</f>
        <v>60000</v>
      </c>
      <c r="GD79" s="14" t="n">
        <f aca="false">INDEX(Вводные!$D$13:$F$64,MATCH($A79,Вводные!$A$13:$A$64,0),MATCH(GD$3,Вводные!$D$11:$F$11,0))*(1+IF(GD$4=$A79,Вводные!$D$5*INDEX(Вводные!$G$13:$G$64,MATCH($A79,Вводные!$A$13:$A$64,0)),0))</f>
        <v>60000</v>
      </c>
      <c r="GE79" s="14" t="n">
        <f aca="false">INDEX(Вводные!$D$13:$F$64,MATCH($A79,Вводные!$A$13:$A$64,0),MATCH(GE$3,Вводные!$D$11:$F$11,0))*(1+IF(GE$4=$A79,Вводные!$D$5*INDEX(Вводные!$G$13:$G$64,MATCH($A79,Вводные!$A$13:$A$64,0)),0))</f>
        <v>60000</v>
      </c>
      <c r="GF79" s="14" t="n">
        <f aca="false">INDEX(Вводные!$D$13:$F$64,MATCH($A79,Вводные!$A$13:$A$64,0),MATCH(GF$3,Вводные!$D$11:$F$11,0))*(1+IF(GF$4=$A79,Вводные!$D$5*INDEX(Вводные!$G$13:$G$64,MATCH($A79,Вводные!$A$13:$A$64,0)),0))</f>
        <v>60000</v>
      </c>
      <c r="GG79" s="14" t="n">
        <f aca="false">INDEX(Вводные!$D$13:$F$64,MATCH($A79,Вводные!$A$13:$A$64,0),MATCH(GG$3,Вводные!$D$11:$F$11,0))*(1+IF(GG$4=$A79,Вводные!$D$5*INDEX(Вводные!$G$13:$G$64,MATCH($A79,Вводные!$A$13:$A$64,0)),0))</f>
        <v>60000</v>
      </c>
      <c r="GH79" s="14" t="n">
        <f aca="false">INDEX(Вводные!$D$13:$F$64,MATCH($A79,Вводные!$A$13:$A$64,0),MATCH(GH$3,Вводные!$D$11:$F$11,0))*(1+IF(GH$4=$A79,Вводные!$D$5*INDEX(Вводные!$G$13:$G$64,MATCH($A79,Вводные!$A$13:$A$64,0)),0))</f>
        <v>60000</v>
      </c>
      <c r="GI79" s="14" t="n">
        <f aca="false">INDEX(Вводные!$D$13:$F$64,MATCH($A79,Вводные!$A$13:$A$64,0),MATCH(GI$3,Вводные!$D$11:$F$11,0))*(1+IF(GI$4=$A79,Вводные!$D$5*INDEX(Вводные!$G$13:$G$64,MATCH($A79,Вводные!$A$13:$A$64,0)),0))</f>
        <v>60000</v>
      </c>
      <c r="GJ79" s="14" t="n">
        <f aca="false">INDEX(Вводные!$D$13:$F$64,MATCH($A79,Вводные!$A$13:$A$64,0),MATCH(GJ$3,Вводные!$D$11:$F$11,0))*(1+IF(GJ$4=$A79,Вводные!$D$5*INDEX(Вводные!$G$13:$G$64,MATCH($A79,Вводные!$A$13:$A$64,0)),0))</f>
        <v>60000</v>
      </c>
      <c r="GK79" s="14" t="n">
        <f aca="false">INDEX(Вводные!$D$13:$F$64,MATCH($A79,Вводные!$A$13:$A$64,0),MATCH(GK$3,Вводные!$D$11:$F$11,0))*(1+IF(GK$4=$A79,Вводные!$D$5*INDEX(Вводные!$G$13:$G$64,MATCH($A79,Вводные!$A$13:$A$64,0)),0))</f>
        <v>60000</v>
      </c>
      <c r="GL79" s="14" t="n">
        <f aca="false">INDEX(Вводные!$D$13:$F$64,MATCH($A79,Вводные!$A$13:$A$64,0),MATCH(GL$3,Вводные!$D$11:$F$11,0))*(1+IF(GL$4=$A79,Вводные!$D$5*INDEX(Вводные!$G$13:$G$64,MATCH($A79,Вводные!$A$13:$A$64,0)),0))</f>
        <v>60000</v>
      </c>
      <c r="GM79" s="14" t="n">
        <f aca="false">INDEX(Вводные!$D$13:$F$64,MATCH($A79,Вводные!$A$13:$A$64,0),MATCH(GM$3,Вводные!$D$11:$F$11,0))*(1+IF(GM$4=$A79,Вводные!$D$5*INDEX(Вводные!$G$13:$G$64,MATCH($A79,Вводные!$A$13:$A$64,0)),0))</f>
        <v>60000</v>
      </c>
      <c r="GN79" s="14" t="n">
        <f aca="false">INDEX(Вводные!$D$13:$F$64,MATCH($A79,Вводные!$A$13:$A$64,0),MATCH(GN$3,Вводные!$D$11:$F$11,0))*(1+IF(GN$4=$A79,Вводные!$D$5*INDEX(Вводные!$G$13:$G$64,MATCH($A79,Вводные!$A$13:$A$64,0)),0))</f>
        <v>60000</v>
      </c>
      <c r="GO79" s="14" t="n">
        <f aca="false">INDEX(Вводные!$D$13:$F$64,MATCH($A79,Вводные!$A$13:$A$64,0),MATCH(GO$3,Вводные!$D$11:$F$11,0))*(1+IF(GO$4=$A79,Вводные!$D$5*INDEX(Вводные!$G$13:$G$64,MATCH($A79,Вводные!$A$13:$A$64,0)),0))</f>
        <v>60000</v>
      </c>
      <c r="GP79" s="14" t="n">
        <f aca="false">INDEX(Вводные!$D$13:$F$64,MATCH($A79,Вводные!$A$13:$A$64,0),MATCH(GP$3,Вводные!$D$11:$F$11,0))*(1+IF(GP$4=$A79,Вводные!$D$5*INDEX(Вводные!$G$13:$G$64,MATCH($A79,Вводные!$A$13:$A$64,0)),0))</f>
        <v>60000</v>
      </c>
      <c r="GQ79" s="14" t="n">
        <f aca="false">INDEX(Вводные!$D$13:$F$64,MATCH($A79,Вводные!$A$13:$A$64,0),MATCH(GQ$3,Вводные!$D$11:$F$11,0))*(1+IF(GQ$4=$A79,Вводные!$D$5*INDEX(Вводные!$G$13:$G$64,MATCH($A79,Вводные!$A$13:$A$64,0)),0))</f>
        <v>60000</v>
      </c>
      <c r="GR79" s="14" t="n">
        <f aca="false">INDEX(Вводные!$D$13:$F$64,MATCH($A79,Вводные!$A$13:$A$64,0),MATCH(GR$3,Вводные!$D$11:$F$11,0))*(1+IF(GR$4=$A79,Вводные!$D$5*INDEX(Вводные!$G$13:$G$64,MATCH($A79,Вводные!$A$13:$A$64,0)),0))</f>
        <v>60000</v>
      </c>
      <c r="GS79" s="14" t="n">
        <f aca="false">INDEX(Вводные!$D$13:$F$64,MATCH($A79,Вводные!$A$13:$A$64,0),MATCH(GS$3,Вводные!$D$11:$F$11,0))*(1+IF(GS$4=$A79,Вводные!$D$5*INDEX(Вводные!$G$13:$G$64,MATCH($A79,Вводные!$A$13:$A$64,0)),0))</f>
        <v>60000</v>
      </c>
      <c r="GT79" s="14" t="n">
        <f aca="false">INDEX(Вводные!$D$13:$F$64,MATCH($A79,Вводные!$A$13:$A$64,0),MATCH(GT$3,Вводные!$D$11:$F$11,0))*(1+IF(GT$4=$A79,Вводные!$D$5*INDEX(Вводные!$G$13:$G$64,MATCH($A79,Вводные!$A$13:$A$64,0)),0))</f>
        <v>60000</v>
      </c>
      <c r="GU79" s="14" t="n">
        <f aca="false">INDEX(Вводные!$D$13:$F$64,MATCH($A79,Вводные!$A$13:$A$64,0),MATCH(GU$3,Вводные!$D$11:$F$11,0))*(1+IF(GU$4=$A79,Вводные!$D$5*INDEX(Вводные!$G$13:$G$64,MATCH($A79,Вводные!$A$13:$A$64,0)),0))</f>
        <v>60000</v>
      </c>
      <c r="GV79" s="14" t="n">
        <f aca="false">INDEX(Вводные!$D$13:$F$64,MATCH($A79,Вводные!$A$13:$A$64,0),MATCH(GV$3,Вводные!$D$11:$F$11,0))*(1+IF(GV$4=$A79,Вводные!$D$5*INDEX(Вводные!$G$13:$G$64,MATCH($A79,Вводные!$A$13:$A$64,0)),0))</f>
        <v>60000</v>
      </c>
      <c r="GW79" s="14" t="n">
        <f aca="false">INDEX(Вводные!$D$13:$F$64,MATCH($A79,Вводные!$A$13:$A$64,0),MATCH(GW$3,Вводные!$D$11:$F$11,0))*(1+IF(GW$4=$A79,Вводные!$D$5*INDEX(Вводные!$G$13:$G$64,MATCH($A79,Вводные!$A$13:$A$64,0)),0))</f>
        <v>60000</v>
      </c>
      <c r="GX79" s="14" t="n">
        <f aca="false">INDEX(Вводные!$D$13:$F$64,MATCH($A79,Вводные!$A$13:$A$64,0),MATCH(GX$3,Вводные!$D$11:$F$11,0))*(1+IF(GX$4=$A79,Вводные!$D$5*INDEX(Вводные!$G$13:$G$64,MATCH($A79,Вводные!$A$13:$A$64,0)),0))</f>
        <v>60000</v>
      </c>
      <c r="GY79" s="14" t="n">
        <f aca="false">INDEX(Вводные!$D$13:$F$64,MATCH($A79,Вводные!$A$13:$A$64,0),MATCH(GY$3,Вводные!$D$11:$F$11,0))*(1+IF(GY$4=$A79,Вводные!$D$5*INDEX(Вводные!$G$13:$G$64,MATCH($A79,Вводные!$A$13:$A$64,0)),0))</f>
        <v>60000</v>
      </c>
      <c r="GZ79" s="14" t="n">
        <f aca="false">INDEX(Вводные!$D$13:$F$64,MATCH($A79,Вводные!$A$13:$A$64,0),MATCH(GZ$3,Вводные!$D$11:$F$11,0))*(1+IF(GZ$4=$A79,Вводные!$D$5*INDEX(Вводные!$G$13:$G$64,MATCH($A79,Вводные!$A$13:$A$64,0)),0))</f>
        <v>60000</v>
      </c>
      <c r="HA79" s="14" t="n">
        <f aca="false">INDEX(Вводные!$D$13:$F$64,MATCH($A79,Вводные!$A$13:$A$64,0),MATCH(HA$3,Вводные!$D$11:$F$11,0))*(1+IF(HA$4=$A79,Вводные!$D$5*INDEX(Вводные!$G$13:$G$64,MATCH($A79,Вводные!$A$13:$A$64,0)),0))</f>
        <v>60000</v>
      </c>
      <c r="HB79" s="14" t="n">
        <f aca="false">INDEX(Вводные!$D$13:$F$64,MATCH($A79,Вводные!$A$13:$A$64,0),MATCH(HB$3,Вводные!$D$11:$F$11,0))*(1+IF(HB$4=$A79,Вводные!$D$5*INDEX(Вводные!$G$13:$G$64,MATCH($A79,Вводные!$A$13:$A$64,0)),0))</f>
        <v>60000</v>
      </c>
      <c r="HC79" s="14" t="n">
        <f aca="false">INDEX(Вводные!$D$13:$F$64,MATCH($A79,Вводные!$A$13:$A$64,0),MATCH(HC$3,Вводные!$D$11:$F$11,0))*(1+IF(HC$4=$A79,Вводные!$D$5*INDEX(Вводные!$G$13:$G$64,MATCH($A79,Вводные!$A$13:$A$64,0)),0))</f>
        <v>60000</v>
      </c>
      <c r="HD79" s="14" t="n">
        <f aca="false">INDEX(Вводные!$D$13:$F$64,MATCH($A79,Вводные!$A$13:$A$64,0),MATCH(HD$3,Вводные!$D$11:$F$11,0))*(1+IF(HD$4=$A79,Вводные!$D$5*INDEX(Вводные!$G$13:$G$64,MATCH($A79,Вводные!$A$13:$A$64,0)),0))</f>
        <v>60000</v>
      </c>
      <c r="HE79" s="14" t="n">
        <f aca="false">INDEX(Вводные!$D$13:$F$64,MATCH($A79,Вводные!$A$13:$A$64,0),MATCH(HE$3,Вводные!$D$11:$F$11,0))*(1+IF(HE$4=$A79,Вводные!$D$5*INDEX(Вводные!$G$13:$G$64,MATCH($A79,Вводные!$A$13:$A$64,0)),0))</f>
        <v>60000</v>
      </c>
      <c r="HF79" s="14" t="n">
        <f aca="false">INDEX(Вводные!$D$13:$F$64,MATCH($A79,Вводные!$A$13:$A$64,0),MATCH(HF$3,Вводные!$D$11:$F$11,0))*(1+IF(HF$4=$A79,Вводные!$D$5*INDEX(Вводные!$G$13:$G$64,MATCH($A79,Вводные!$A$13:$A$64,0)),0))</f>
        <v>60000</v>
      </c>
      <c r="HG79" s="14" t="n">
        <f aca="false">INDEX(Вводные!$D$13:$F$64,MATCH($A79,Вводные!$A$13:$A$64,0),MATCH(HG$3,Вводные!$D$11:$F$11,0))*(1+IF(HG$4=$A79,Вводные!$D$5*INDEX(Вводные!$G$13:$G$64,MATCH($A79,Вводные!$A$13:$A$64,0)),0))</f>
        <v>60000</v>
      </c>
      <c r="HH79" s="14" t="n">
        <f aca="false">INDEX(Вводные!$D$13:$F$64,MATCH($A79,Вводные!$A$13:$A$64,0),MATCH(HH$3,Вводные!$D$11:$F$11,0))*(1+IF(HH$4=$A79,Вводные!$D$5*INDEX(Вводные!$G$13:$G$64,MATCH($A79,Вводные!$A$13:$A$64,0)),0))</f>
        <v>60000</v>
      </c>
      <c r="HI79" s="14" t="n">
        <f aca="false">INDEX(Вводные!$D$13:$F$64,MATCH($A79,Вводные!$A$13:$A$64,0),MATCH(HI$3,Вводные!$D$11:$F$11,0))*(1+IF(HI$4=$A79,Вводные!$D$5*INDEX(Вводные!$G$13:$G$64,MATCH($A79,Вводные!$A$13:$A$64,0)),0))</f>
        <v>59400</v>
      </c>
      <c r="HJ79" s="14" t="n">
        <f aca="false">INDEX(Вводные!$D$13:$F$64,MATCH($A79,Вводные!$A$13:$A$64,0),MATCH(HJ$3,Вводные!$D$11:$F$11,0))*(1+IF(HJ$4=$A79,Вводные!$D$5*INDEX(Вводные!$G$13:$G$64,MATCH($A79,Вводные!$A$13:$A$64,0)),0))</f>
        <v>60000</v>
      </c>
      <c r="HK79" s="14" t="n">
        <f aca="false">INDEX(Вводные!$D$13:$F$64,MATCH($A79,Вводные!$A$13:$A$64,0),MATCH(HK$3,Вводные!$D$11:$F$11,0))*(1+IF(HK$4=$A79,Вводные!$D$5*INDEX(Вводные!$G$13:$G$64,MATCH($A79,Вводные!$A$13:$A$64,0)),0))</f>
        <v>60000</v>
      </c>
      <c r="HL79" s="14" t="n">
        <f aca="false">INDEX(Вводные!$D$13:$F$64,MATCH($A79,Вводные!$A$13:$A$64,0),MATCH(HL$3,Вводные!$D$11:$F$11,0))*(1+IF(HL$4=$A79,Вводные!$D$5*INDEX(Вводные!$G$13:$G$64,MATCH($A79,Вводные!$A$13:$A$64,0)),0))</f>
        <v>150000</v>
      </c>
      <c r="HM79" s="14" t="n">
        <f aca="false">INDEX(Вводные!$D$13:$F$64,MATCH($A79,Вводные!$A$13:$A$64,0),MATCH(HM$3,Вводные!$D$11:$F$11,0))*(1+IF(HM$4=$A79,Вводные!$D$5*INDEX(Вводные!$G$13:$G$64,MATCH($A79,Вводные!$A$13:$A$64,0)),0))</f>
        <v>150000</v>
      </c>
      <c r="HN79" s="14" t="n">
        <f aca="false">INDEX(Вводные!$D$13:$F$64,MATCH($A79,Вводные!$A$13:$A$64,0),MATCH(HN$3,Вводные!$D$11:$F$11,0))*(1+IF(HN$4=$A79,Вводные!$D$5*INDEX(Вводные!$G$13:$G$64,MATCH($A79,Вводные!$A$13:$A$64,0)),0))</f>
        <v>150000</v>
      </c>
      <c r="HO79" s="14" t="n">
        <f aca="false">INDEX(Вводные!$D$13:$F$64,MATCH($A79,Вводные!$A$13:$A$64,0),MATCH(HO$3,Вводные!$D$11:$F$11,0))*(1+IF(HO$4=$A79,Вводные!$D$5*INDEX(Вводные!$G$13:$G$64,MATCH($A79,Вводные!$A$13:$A$64,0)),0))</f>
        <v>150000</v>
      </c>
      <c r="HP79" s="14" t="n">
        <f aca="false">INDEX(Вводные!$D$13:$F$64,MATCH($A79,Вводные!$A$13:$A$64,0),MATCH(HP$3,Вводные!$D$11:$F$11,0))*(1+IF(HP$4=$A79,Вводные!$D$5*INDEX(Вводные!$G$13:$G$64,MATCH($A79,Вводные!$A$13:$A$64,0)),0))</f>
        <v>150000</v>
      </c>
      <c r="HQ79" s="14" t="n">
        <f aca="false">INDEX(Вводные!$D$13:$F$64,MATCH($A79,Вводные!$A$13:$A$64,0),MATCH(HQ$3,Вводные!$D$11:$F$11,0))*(1+IF(HQ$4=$A79,Вводные!$D$5*INDEX(Вводные!$G$13:$G$64,MATCH($A79,Вводные!$A$13:$A$64,0)),0))</f>
        <v>150000</v>
      </c>
      <c r="HR79" s="14" t="n">
        <f aca="false">INDEX(Вводные!$D$13:$F$64,MATCH($A79,Вводные!$A$13:$A$64,0),MATCH(HR$3,Вводные!$D$11:$F$11,0))*(1+IF(HR$4=$A79,Вводные!$D$5*INDEX(Вводные!$G$13:$G$64,MATCH($A79,Вводные!$A$13:$A$64,0)),0))</f>
        <v>150000</v>
      </c>
      <c r="HS79" s="14" t="n">
        <f aca="false">INDEX(Вводные!$D$13:$F$64,MATCH($A79,Вводные!$A$13:$A$64,0),MATCH(HS$3,Вводные!$D$11:$F$11,0))*(1+IF(HS$4=$A79,Вводные!$D$5*INDEX(Вводные!$G$13:$G$64,MATCH($A79,Вводные!$A$13:$A$64,0)),0))</f>
        <v>150000</v>
      </c>
      <c r="HT79" s="14" t="n">
        <f aca="false">INDEX(Вводные!$D$13:$F$64,MATCH($A79,Вводные!$A$13:$A$64,0),MATCH(HT$3,Вводные!$D$11:$F$11,0))*(1+IF(HT$4=$A79,Вводные!$D$5*INDEX(Вводные!$G$13:$G$64,MATCH($A79,Вводные!$A$13:$A$64,0)),0))</f>
        <v>150000</v>
      </c>
      <c r="HU79" s="14" t="n">
        <f aca="false">INDEX(Вводные!$D$13:$F$64,MATCH($A79,Вводные!$A$13:$A$64,0),MATCH(HU$3,Вводные!$D$11:$F$11,0))*(1+IF(HU$4=$A79,Вводные!$D$5*INDEX(Вводные!$G$13:$G$64,MATCH($A79,Вводные!$A$13:$A$64,0)),0))</f>
        <v>150000</v>
      </c>
      <c r="HV79" s="14" t="n">
        <f aca="false">INDEX(Вводные!$D$13:$F$64,MATCH($A79,Вводные!$A$13:$A$64,0),MATCH(HV$3,Вводные!$D$11:$F$11,0))*(1+IF(HV$4=$A79,Вводные!$D$5*INDEX(Вводные!$G$13:$G$64,MATCH($A79,Вводные!$A$13:$A$64,0)),0))</f>
        <v>150000</v>
      </c>
      <c r="HW79" s="14" t="n">
        <f aca="false">INDEX(Вводные!$D$13:$F$64,MATCH($A79,Вводные!$A$13:$A$64,0),MATCH(HW$3,Вводные!$D$11:$F$11,0))*(1+IF(HW$4=$A79,Вводные!$D$5*INDEX(Вводные!$G$13:$G$64,MATCH($A79,Вводные!$A$13:$A$64,0)),0))</f>
        <v>150000</v>
      </c>
      <c r="HX79" s="14" t="n">
        <f aca="false">INDEX(Вводные!$D$13:$F$64,MATCH($A79,Вводные!$A$13:$A$64,0),MATCH(HX$3,Вводные!$D$11:$F$11,0))*(1+IF(HX$4=$A79,Вводные!$D$5*INDEX(Вводные!$G$13:$G$64,MATCH($A79,Вводные!$A$13:$A$64,0)),0))</f>
        <v>150000</v>
      </c>
      <c r="HY79" s="14" t="n">
        <f aca="false">INDEX(Вводные!$D$13:$F$64,MATCH($A79,Вводные!$A$13:$A$64,0),MATCH(HY$3,Вводные!$D$11:$F$11,0))*(1+IF(HY$4=$A79,Вводные!$D$5*INDEX(Вводные!$G$13:$G$64,MATCH($A79,Вводные!$A$13:$A$64,0)),0))</f>
        <v>150000</v>
      </c>
      <c r="HZ79" s="14" t="n">
        <f aca="false">INDEX(Вводные!$D$13:$F$64,MATCH($A79,Вводные!$A$13:$A$64,0),MATCH(HZ$3,Вводные!$D$11:$F$11,0))*(1+IF(HZ$4=$A79,Вводные!$D$5*INDEX(Вводные!$G$13:$G$64,MATCH($A79,Вводные!$A$13:$A$64,0)),0))</f>
        <v>150000</v>
      </c>
      <c r="IA79" s="14" t="n">
        <f aca="false">INDEX(Вводные!$D$13:$F$64,MATCH($A79,Вводные!$A$13:$A$64,0),MATCH(IA$3,Вводные!$D$11:$F$11,0))*(1+IF(IA$4=$A79,Вводные!$D$5*INDEX(Вводные!$G$13:$G$64,MATCH($A79,Вводные!$A$13:$A$64,0)),0))</f>
        <v>150000</v>
      </c>
      <c r="IB79" s="14" t="n">
        <f aca="false">INDEX(Вводные!$D$13:$F$64,MATCH($A79,Вводные!$A$13:$A$64,0),MATCH(IB$3,Вводные!$D$11:$F$11,0))*(1+IF(IB$4=$A79,Вводные!$D$5*INDEX(Вводные!$G$13:$G$64,MATCH($A79,Вводные!$A$13:$A$64,0)),0))</f>
        <v>150000</v>
      </c>
      <c r="IC79" s="14" t="n">
        <f aca="false">INDEX(Вводные!$D$13:$F$64,MATCH($A79,Вводные!$A$13:$A$64,0),MATCH(IC$3,Вводные!$D$11:$F$11,0))*(1+IF(IC$4=$A79,Вводные!$D$5*INDEX(Вводные!$G$13:$G$64,MATCH($A79,Вводные!$A$13:$A$64,0)),0))</f>
        <v>150000</v>
      </c>
      <c r="ID79" s="14" t="n">
        <f aca="false">INDEX(Вводные!$D$13:$F$64,MATCH($A79,Вводные!$A$13:$A$64,0),MATCH(ID$3,Вводные!$D$11:$F$11,0))*(1+IF(ID$4=$A79,Вводные!$D$5*INDEX(Вводные!$G$13:$G$64,MATCH($A79,Вводные!$A$13:$A$64,0)),0))</f>
        <v>150000</v>
      </c>
      <c r="IE79" s="14" t="n">
        <f aca="false">INDEX(Вводные!$D$13:$F$64,MATCH($A79,Вводные!$A$13:$A$64,0),MATCH(IE$3,Вводные!$D$11:$F$11,0))*(1+IF(IE$4=$A79,Вводные!$D$5*INDEX(Вводные!$G$13:$G$64,MATCH($A79,Вводные!$A$13:$A$64,0)),0))</f>
        <v>150000</v>
      </c>
      <c r="IF79" s="14" t="n">
        <f aca="false">INDEX(Вводные!$D$13:$F$64,MATCH($A79,Вводные!$A$13:$A$64,0),MATCH(IF$3,Вводные!$D$11:$F$11,0))*(1+IF(IF$4=$A79,Вводные!$D$5*INDEX(Вводные!$G$13:$G$64,MATCH($A79,Вводные!$A$13:$A$64,0)),0))</f>
        <v>150000</v>
      </c>
      <c r="IG79" s="14" t="n">
        <f aca="false">INDEX(Вводные!$D$13:$F$64,MATCH($A79,Вводные!$A$13:$A$64,0),MATCH(IG$3,Вводные!$D$11:$F$11,0))*(1+IF(IG$4=$A79,Вводные!$D$5*INDEX(Вводные!$G$13:$G$64,MATCH($A79,Вводные!$A$13:$A$64,0)),0))</f>
        <v>150000</v>
      </c>
      <c r="IH79" s="14" t="n">
        <f aca="false">INDEX(Вводные!$D$13:$F$64,MATCH($A79,Вводные!$A$13:$A$64,0),MATCH(IH$3,Вводные!$D$11:$F$11,0))*(1+IF(IH$4=$A79,Вводные!$D$5*INDEX(Вводные!$G$13:$G$64,MATCH($A79,Вводные!$A$13:$A$64,0)),0))</f>
        <v>150000</v>
      </c>
      <c r="II79" s="14" t="n">
        <f aca="false">INDEX(Вводные!$D$13:$F$64,MATCH($A79,Вводные!$A$13:$A$64,0),MATCH(II$3,Вводные!$D$11:$F$11,0))*(1+IF(II$4=$A79,Вводные!$D$5*INDEX(Вводные!$G$13:$G$64,MATCH($A79,Вводные!$A$13:$A$64,0)),0))</f>
        <v>150000</v>
      </c>
      <c r="IJ79" s="14" t="n">
        <f aca="false">INDEX(Вводные!$D$13:$F$64,MATCH($A79,Вводные!$A$13:$A$64,0),MATCH(IJ$3,Вводные!$D$11:$F$11,0))*(1+IF(IJ$4=$A79,Вводные!$D$5*INDEX(Вводные!$G$13:$G$64,MATCH($A79,Вводные!$A$13:$A$64,0)),0))</f>
        <v>150000</v>
      </c>
      <c r="IK79" s="14" t="n">
        <f aca="false">INDEX(Вводные!$D$13:$F$64,MATCH($A79,Вводные!$A$13:$A$64,0),MATCH(IK$3,Вводные!$D$11:$F$11,0))*(1+IF(IK$4=$A79,Вводные!$D$5*INDEX(Вводные!$G$13:$G$64,MATCH($A79,Вводные!$A$13:$A$64,0)),0))</f>
        <v>150000</v>
      </c>
      <c r="IL79" s="14" t="n">
        <f aca="false">INDEX(Вводные!$D$13:$F$64,MATCH($A79,Вводные!$A$13:$A$64,0),MATCH(IL$3,Вводные!$D$11:$F$11,0))*(1+IF(IL$4=$A79,Вводные!$D$5*INDEX(Вводные!$G$13:$G$64,MATCH($A79,Вводные!$A$13:$A$64,0)),0))</f>
        <v>150000</v>
      </c>
      <c r="IM79" s="14" t="n">
        <f aca="false">INDEX(Вводные!$D$13:$F$64,MATCH($A79,Вводные!$A$13:$A$64,0),MATCH(IM$3,Вводные!$D$11:$F$11,0))*(1+IF(IM$4=$A79,Вводные!$D$5*INDEX(Вводные!$G$13:$G$64,MATCH($A79,Вводные!$A$13:$A$64,0)),0))</f>
        <v>150000</v>
      </c>
      <c r="IN79" s="14" t="n">
        <f aca="false">INDEX(Вводные!$D$13:$F$64,MATCH($A79,Вводные!$A$13:$A$64,0),MATCH(IN$3,Вводные!$D$11:$F$11,0))*(1+IF(IN$4=$A79,Вводные!$D$5*INDEX(Вводные!$G$13:$G$64,MATCH($A79,Вводные!$A$13:$A$64,0)),0))</f>
        <v>150000</v>
      </c>
      <c r="IO79" s="14" t="n">
        <f aca="false">INDEX(Вводные!$D$13:$F$64,MATCH($A79,Вводные!$A$13:$A$64,0),MATCH(IO$3,Вводные!$D$11:$F$11,0))*(1+IF(IO$4=$A79,Вводные!$D$5*INDEX(Вводные!$G$13:$G$64,MATCH($A79,Вводные!$A$13:$A$64,0)),0))</f>
        <v>150000</v>
      </c>
      <c r="IP79" s="14" t="n">
        <f aca="false">INDEX(Вводные!$D$13:$F$64,MATCH($A79,Вводные!$A$13:$A$64,0),MATCH(IP$3,Вводные!$D$11:$F$11,0))*(1+IF(IP$4=$A79,Вводные!$D$5*INDEX(Вводные!$G$13:$G$64,MATCH($A79,Вводные!$A$13:$A$64,0)),0))</f>
        <v>150000</v>
      </c>
      <c r="IQ79" s="14" t="n">
        <f aca="false">INDEX(Вводные!$D$13:$F$64,MATCH($A79,Вводные!$A$13:$A$64,0),MATCH(IQ$3,Вводные!$D$11:$F$11,0))*(1+IF(IQ$4=$A79,Вводные!$D$5*INDEX(Вводные!$G$13:$G$64,MATCH($A79,Вводные!$A$13:$A$64,0)),0))</f>
        <v>150000</v>
      </c>
      <c r="IR79" s="14" t="n">
        <f aca="false">INDEX(Вводные!$D$13:$F$64,MATCH($A79,Вводные!$A$13:$A$64,0),MATCH(IR$3,Вводные!$D$11:$F$11,0))*(1+IF(IR$4=$A79,Вводные!$D$5*INDEX(Вводные!$G$13:$G$64,MATCH($A79,Вводные!$A$13:$A$64,0)),0))</f>
        <v>150000</v>
      </c>
      <c r="IS79" s="14" t="n">
        <f aca="false">INDEX(Вводные!$D$13:$F$64,MATCH($A79,Вводные!$A$13:$A$64,0),MATCH(IS$3,Вводные!$D$11:$F$11,0))*(1+IF(IS$4=$A79,Вводные!$D$5*INDEX(Вводные!$G$13:$G$64,MATCH($A79,Вводные!$A$13:$A$64,0)),0))</f>
        <v>150000</v>
      </c>
      <c r="IT79" s="14" t="n">
        <f aca="false">INDEX(Вводные!$D$13:$F$64,MATCH($A79,Вводные!$A$13:$A$64,0),MATCH(IT$3,Вводные!$D$11:$F$11,0))*(1+IF(IT$4=$A79,Вводные!$D$5*INDEX(Вводные!$G$13:$G$64,MATCH($A79,Вводные!$A$13:$A$64,0)),0))</f>
        <v>150000</v>
      </c>
      <c r="IU79" s="14" t="n">
        <f aca="false">INDEX(Вводные!$D$13:$F$64,MATCH($A79,Вводные!$A$13:$A$64,0),MATCH(IU$3,Вводные!$D$11:$F$11,0))*(1+IF(IU$4=$A79,Вводные!$D$5*INDEX(Вводные!$G$13:$G$64,MATCH($A79,Вводные!$A$13:$A$64,0)),0))</f>
        <v>150000</v>
      </c>
      <c r="IV79" s="14" t="n">
        <f aca="false">INDEX(Вводные!$D$13:$F$64,MATCH($A79,Вводные!$A$13:$A$64,0),MATCH(IV$3,Вводные!$D$11:$F$11,0))*(1+IF(IV$4=$A79,Вводные!$D$5*INDEX(Вводные!$G$13:$G$64,MATCH($A79,Вводные!$A$13:$A$64,0)),0))</f>
        <v>150000</v>
      </c>
      <c r="IW79" s="14" t="n">
        <f aca="false">INDEX(Вводные!$D$13:$F$64,MATCH($A79,Вводные!$A$13:$A$64,0),MATCH(IW$3,Вводные!$D$11:$F$11,0))*(1+IF(IW$4=$A79,Вводные!$D$5*INDEX(Вводные!$G$13:$G$64,MATCH($A79,Вводные!$A$13:$A$64,0)),0))</f>
        <v>150000</v>
      </c>
      <c r="IX79" s="14" t="n">
        <f aca="false">INDEX(Вводные!$D$13:$F$64,MATCH($A79,Вводные!$A$13:$A$64,0),MATCH(IX$3,Вводные!$D$11:$F$11,0))*(1+IF(IX$4=$A79,Вводные!$D$5*INDEX(Вводные!$G$13:$G$64,MATCH($A79,Вводные!$A$13:$A$64,0)),0))</f>
        <v>150000</v>
      </c>
      <c r="IY79" s="14" t="n">
        <f aca="false">INDEX(Вводные!$D$13:$F$64,MATCH($A79,Вводные!$A$13:$A$64,0),MATCH(IY$3,Вводные!$D$11:$F$11,0))*(1+IF(IY$4=$A79,Вводные!$D$5*INDEX(Вводные!$G$13:$G$64,MATCH($A79,Вводные!$A$13:$A$64,0)),0))</f>
        <v>148500</v>
      </c>
      <c r="IZ79" s="14" t="n">
        <f aca="false">INDEX(Вводные!$D$13:$F$64,MATCH($A79,Вводные!$A$13:$A$64,0),MATCH(IZ$3,Вводные!$D$11:$F$11,0))*(1+IF(IZ$4=$A79,Вводные!$D$5*INDEX(Вводные!$G$13:$G$64,MATCH($A79,Вводные!$A$13:$A$64,0)),0))</f>
        <v>150000</v>
      </c>
      <c r="JA79" s="14" t="n">
        <f aca="false">INDEX(Вводные!$D$13:$F$64,MATCH($A79,Вводные!$A$13:$A$64,0),MATCH(JA$3,Вводные!$D$11:$F$11,0))*(1+IF(JA$4=$A79,Вводные!$D$5*INDEX(Вводные!$G$13:$G$64,MATCH($A79,Вводные!$A$13:$A$64,0)),0))</f>
        <v>150000</v>
      </c>
    </row>
    <row r="80" customFormat="false" ht="15" hidden="false" customHeight="false" outlineLevel="0" collapsed="false">
      <c r="A80" s="2" t="s">
        <v>119</v>
      </c>
      <c r="B80" s="13" t="s">
        <v>120</v>
      </c>
      <c r="C80" s="13" t="s">
        <v>179</v>
      </c>
      <c r="D80" s="9" t="s">
        <v>284</v>
      </c>
      <c r="E80" s="59" t="n">
        <f aca="false">IF(E78&gt;0,E16/E78*E79,0)</f>
        <v>0</v>
      </c>
      <c r="F80" s="59" t="n">
        <f aca="false">IF(F78&gt;0,F16/F78*F79,0)</f>
        <v>6044000</v>
      </c>
      <c r="G80" s="59" t="n">
        <f aca="false">IF(G78&gt;0,G16/G78*G79,0)</f>
        <v>4020000</v>
      </c>
      <c r="H80" s="59" t="n">
        <f aca="false">SUM(E80:G80)</f>
        <v>10064000</v>
      </c>
      <c r="J80" s="59" t="n">
        <f aca="false">IF(J78&gt;0,J16/J78*J79,0)</f>
        <v>0</v>
      </c>
      <c r="K80" s="59" t="n">
        <f aca="false">IF(K78&gt;0,K16/K78*K79,0)</f>
        <v>0</v>
      </c>
      <c r="L80" s="59" t="n">
        <f aca="false">IF(L78&gt;0,L16/L78*L79,0)</f>
        <v>0</v>
      </c>
      <c r="M80" s="59" t="n">
        <f aca="false">IF(M78&gt;0,M16/M78*M79,0)</f>
        <v>0</v>
      </c>
      <c r="N80" s="59" t="n">
        <f aca="false">IF(N78&gt;0,N16/N78*N79,0)</f>
        <v>0</v>
      </c>
      <c r="O80" s="59" t="n">
        <f aca="false">IF(O78&gt;0,O16/O78*O79,0)</f>
        <v>0</v>
      </c>
      <c r="P80" s="59" t="n">
        <f aca="false">IF(P78&gt;0,P16/P78*P79,0)</f>
        <v>0</v>
      </c>
      <c r="Q80" s="59" t="n">
        <f aca="false">IF(Q78&gt;0,Q16/Q78*Q79,0)</f>
        <v>0</v>
      </c>
      <c r="R80" s="59" t="n">
        <f aca="false">IF(R78&gt;0,R16/R78*R79,0)</f>
        <v>0</v>
      </c>
      <c r="S80" s="59" t="n">
        <f aca="false">IF(S78&gt;0,S16/S78*S79,0)</f>
        <v>0</v>
      </c>
      <c r="T80" s="59" t="n">
        <f aca="false">IF(T78&gt;0,T16/T78*T79,0)</f>
        <v>0</v>
      </c>
      <c r="U80" s="59" t="n">
        <f aca="false">IF(U78&gt;0,U16/U78*U79,0)</f>
        <v>0</v>
      </c>
      <c r="V80" s="59" t="n">
        <f aca="false">IF(V78&gt;0,V16/V78*V79,0)</f>
        <v>0</v>
      </c>
      <c r="W80" s="59" t="n">
        <f aca="false">IF(W78&gt;0,W16/W78*W79,0)</f>
        <v>0</v>
      </c>
      <c r="X80" s="59" t="n">
        <f aca="false">IF(X78&gt;0,X16/X78*X79,0)</f>
        <v>0</v>
      </c>
      <c r="Y80" s="59" t="n">
        <f aca="false">IF(Y78&gt;0,Y16/Y78*Y79,0)</f>
        <v>0</v>
      </c>
      <c r="Z80" s="59" t="n">
        <f aca="false">IF(Z78&gt;0,Z16/Z78*Z79,0)</f>
        <v>0</v>
      </c>
      <c r="AA80" s="59" t="n">
        <f aca="false">IF(AA78&gt;0,AA16/AA78*AA79,0)</f>
        <v>0</v>
      </c>
      <c r="AB80" s="59" t="n">
        <f aca="false">IF(AB78&gt;0,AB16/AB78*AB79,0)</f>
        <v>0</v>
      </c>
      <c r="AC80" s="59" t="n">
        <f aca="false">IF(AC78&gt;0,AC16/AC78*AC79,0)</f>
        <v>0</v>
      </c>
      <c r="AD80" s="59" t="n">
        <f aca="false">IF(AD78&gt;0,AD16/AD78*AD79,0)</f>
        <v>0</v>
      </c>
      <c r="AE80" s="59" t="n">
        <f aca="false">IF(AE78&gt;0,AE16/AE78*AE79,0)</f>
        <v>0</v>
      </c>
      <c r="AF80" s="59" t="n">
        <f aca="false">IF(AF78&gt;0,AF16/AF78*AF79,0)</f>
        <v>0</v>
      </c>
      <c r="AG80" s="59" t="n">
        <f aca="false">IF(AG78&gt;0,AG16/AG78*AG79,0)</f>
        <v>0</v>
      </c>
      <c r="AH80" s="59" t="n">
        <f aca="false">IF(AH78&gt;0,AH16/AH78*AH79,0)</f>
        <v>0</v>
      </c>
      <c r="AI80" s="59" t="n">
        <f aca="false">IF(AI78&gt;0,AI16/AI78*AI79,0)</f>
        <v>0</v>
      </c>
      <c r="AJ80" s="59" t="n">
        <f aca="false">IF(AJ78&gt;0,AJ16/AJ78*AJ79,0)</f>
        <v>0</v>
      </c>
      <c r="AK80" s="59" t="n">
        <f aca="false">IF(AK78&gt;0,AK16/AK78*AK79,0)</f>
        <v>0</v>
      </c>
      <c r="AL80" s="59" t="n">
        <f aca="false">IF(AL78&gt;0,AL16/AL78*AL79,0)</f>
        <v>0</v>
      </c>
      <c r="AM80" s="59" t="n">
        <f aca="false">IF(AM78&gt;0,AM16/AM78*AM79,0)</f>
        <v>0</v>
      </c>
      <c r="AN80" s="59" t="n">
        <f aca="false">IF(AN78&gt;0,AN16/AN78*AN79,0)</f>
        <v>0</v>
      </c>
      <c r="AO80" s="59" t="n">
        <f aca="false">IF(AO78&gt;0,AO16/AO78*AO79,0)</f>
        <v>0</v>
      </c>
      <c r="AP80" s="59" t="n">
        <f aca="false">IF(AP78&gt;0,AP16/AP78*AP79,0)</f>
        <v>0</v>
      </c>
      <c r="AQ80" s="59" t="n">
        <f aca="false">IF(AQ78&gt;0,AQ16/AQ78*AQ79,0)</f>
        <v>0</v>
      </c>
      <c r="AR80" s="59" t="n">
        <f aca="false">IF(AR78&gt;0,AR16/AR78*AR79,0)</f>
        <v>0</v>
      </c>
      <c r="AS80" s="59" t="n">
        <f aca="false">IF(AS78&gt;0,AS16/AS78*AS79,0)</f>
        <v>0</v>
      </c>
      <c r="AT80" s="59" t="n">
        <f aca="false">IF(AT78&gt;0,AT16/AT78*AT79,0)</f>
        <v>0</v>
      </c>
      <c r="AU80" s="59" t="n">
        <f aca="false">IF(AU78&gt;0,AU16/AU78*AU79,0)</f>
        <v>0</v>
      </c>
      <c r="AV80" s="59" t="n">
        <f aca="false">IF(AV78&gt;0,AV16/AV78*AV79,0)</f>
        <v>0</v>
      </c>
      <c r="AW80" s="59" t="n">
        <f aca="false">IF(AW78&gt;0,AW16/AW78*AW79,0)</f>
        <v>0</v>
      </c>
      <c r="AX80" s="59" t="n">
        <f aca="false">IF(AX78&gt;0,AX16/AX78*AX79,0)</f>
        <v>0</v>
      </c>
      <c r="AY80" s="59" t="n">
        <f aca="false">IF(AY78&gt;0,AY16/AY78*AY79,0)</f>
        <v>0</v>
      </c>
      <c r="AZ80" s="59" t="n">
        <f aca="false">IF(AZ78&gt;0,AZ16/AZ78*AZ79,0)</f>
        <v>6044000</v>
      </c>
      <c r="BA80" s="59" t="n">
        <f aca="false">IF(BA78&gt;0,BA16/BA78*BA79,0)</f>
        <v>6046240</v>
      </c>
      <c r="BB80" s="59" t="n">
        <f aca="false">IF(BB78&gt;0,BB16/BB78*BB79,0)</f>
        <v>6046240</v>
      </c>
      <c r="BC80" s="59" t="n">
        <f aca="false">IF(BC78&gt;0,BC16/BC78*BC79,0)</f>
        <v>6046240</v>
      </c>
      <c r="BD80" s="59" t="n">
        <f aca="false">IF(BD78&gt;0,BD16/BD78*BD79,0)</f>
        <v>6045800</v>
      </c>
      <c r="BE80" s="59" t="n">
        <f aca="false">IF(BE78&gt;0,BE16/BE78*BE79,0)</f>
        <v>6044000</v>
      </c>
      <c r="BF80" s="59" t="n">
        <f aca="false">IF(BF78&gt;0,BF16/BF78*BF79,0)</f>
        <v>6044000</v>
      </c>
      <c r="BG80" s="59" t="n">
        <f aca="false">IF(BG78&gt;0,BG16/BG78*BG79,0)</f>
        <v>6044000</v>
      </c>
      <c r="BH80" s="59" t="n">
        <f aca="false">IF(BH78&gt;0,BH16/BH78*BH79,0)</f>
        <v>6044000</v>
      </c>
      <c r="BI80" s="59" t="n">
        <f aca="false">IF(BI78&gt;0,BI16/BI78*BI79,0)</f>
        <v>6044000</v>
      </c>
      <c r="BJ80" s="59" t="n">
        <f aca="false">IF(BJ78&gt;0,BJ16/BJ78*BJ79,0)</f>
        <v>6044000</v>
      </c>
      <c r="BK80" s="59" t="n">
        <f aca="false">IF(BK78&gt;0,BK16/BK78*BK79,0)</f>
        <v>6044000</v>
      </c>
      <c r="BL80" s="59" t="n">
        <f aca="false">IF(BL78&gt;0,BL16/BL78*BL79,0)</f>
        <v>6044000</v>
      </c>
      <c r="BM80" s="59" t="n">
        <f aca="false">IF(BM78&gt;0,BM16/BM78*BM79,0)</f>
        <v>6044000</v>
      </c>
      <c r="BN80" s="59" t="n">
        <f aca="false">IF(BN78&gt;0,BN16/BN78*BN79,0)</f>
        <v>6044000</v>
      </c>
      <c r="BO80" s="59" t="n">
        <f aca="false">IF(BO78&gt;0,BO16/BO78*BO79,0)</f>
        <v>6044000</v>
      </c>
      <c r="BP80" s="59" t="n">
        <f aca="false">IF(BP78&gt;0,BP16/BP78*BP79,0)</f>
        <v>6044000</v>
      </c>
      <c r="BQ80" s="59" t="n">
        <f aca="false">IF(BQ78&gt;0,BQ16/BQ78*BQ79,0)</f>
        <v>6044000</v>
      </c>
      <c r="BR80" s="59" t="n">
        <f aca="false">IF(BR78&gt;0,BR16/BR78*BR79,0)</f>
        <v>6044000</v>
      </c>
      <c r="BS80" s="59" t="n">
        <f aca="false">IF(BS78&gt;0,BS16/BS78*BS79,0)</f>
        <v>6044000</v>
      </c>
      <c r="BT80" s="59" t="n">
        <f aca="false">IF(BT78&gt;0,BT16/BT78*BT79,0)</f>
        <v>6044000</v>
      </c>
      <c r="BU80" s="59" t="n">
        <f aca="false">IF(BU78&gt;0,BU16/BU78*BU79,0)</f>
        <v>6044000</v>
      </c>
      <c r="BV80" s="59" t="n">
        <f aca="false">IF(BV78&gt;0,BV16/BV78*BV79,0)</f>
        <v>6044000</v>
      </c>
      <c r="BW80" s="59" t="n">
        <f aca="false">IF(BW78&gt;0,BW16/BW78*BW79,0)</f>
        <v>6044000</v>
      </c>
      <c r="BX80" s="59" t="n">
        <f aca="false">IF(BX78&gt;0,BX16/BX78*BX79,0)</f>
        <v>6044000</v>
      </c>
      <c r="BY80" s="59" t="n">
        <f aca="false">IF(BY78&gt;0,BY16/BY78*BY79,0)</f>
        <v>6044000</v>
      </c>
      <c r="BZ80" s="59" t="n">
        <f aca="false">IF(BZ78&gt;0,BZ16/BZ78*BZ79,0)</f>
        <v>6044000</v>
      </c>
      <c r="CA80" s="59" t="n">
        <f aca="false">IF(CA78&gt;0,CA16/CA78*CA79,0)</f>
        <v>6044000</v>
      </c>
      <c r="CB80" s="59" t="n">
        <f aca="false">IF(CB78&gt;0,CB16/CB78*CB79,0)</f>
        <v>6044000</v>
      </c>
      <c r="CC80" s="59" t="n">
        <f aca="false">IF(CC78&gt;0,CC16/CC78*CC79,0)</f>
        <v>6044000</v>
      </c>
      <c r="CD80" s="59" t="n">
        <f aca="false">IF(CD78&gt;0,CD16/CD78*CD79,0)</f>
        <v>6044000</v>
      </c>
      <c r="CE80" s="59" t="n">
        <f aca="false">IF(CE78&gt;0,CE16/CE78*CE79,0)</f>
        <v>6044000</v>
      </c>
      <c r="CF80" s="59" t="n">
        <f aca="false">IF(CF78&gt;0,CF16/CF78*CF79,0)</f>
        <v>6044000</v>
      </c>
      <c r="CG80" s="59" t="n">
        <f aca="false">IF(CG78&gt;0,CG16/CG78*CG79,0)</f>
        <v>6044000</v>
      </c>
      <c r="CH80" s="59" t="n">
        <f aca="false">IF(CH78&gt;0,CH16/CH78*CH79,0)</f>
        <v>6044000</v>
      </c>
      <c r="CI80" s="59" t="n">
        <f aca="false">IF(CI78&gt;0,CI16/CI78*CI79,0)</f>
        <v>6044000</v>
      </c>
      <c r="CJ80" s="59" t="n">
        <f aca="false">IF(CJ78&gt;0,CJ16/CJ78*CJ79,0)</f>
        <v>6044000</v>
      </c>
      <c r="CK80" s="59" t="n">
        <f aca="false">IF(CK78&gt;0,CK16/CK78*CK79,0)</f>
        <v>6044000</v>
      </c>
      <c r="CL80" s="59" t="n">
        <f aca="false">IF(CL78&gt;0,CL16/CL78*CL79,0)</f>
        <v>5984158.41584158</v>
      </c>
      <c r="CM80" s="59" t="n">
        <f aca="false">IF(CM78&gt;0,CM16/CM78*CM79,0)</f>
        <v>5983560</v>
      </c>
      <c r="CN80" s="59" t="n">
        <f aca="false">IF(CN78&gt;0,CN16/CN78*CN79,0)</f>
        <v>6044000</v>
      </c>
      <c r="CO80" s="59" t="n">
        <f aca="false">IF(CO78&gt;0,CO16/CO78*CO79,0)</f>
        <v>6044000</v>
      </c>
      <c r="CP80" s="59" t="n">
        <f aca="false">IF(CP78&gt;0,CP16/CP78*CP79,0)</f>
        <v>4020000</v>
      </c>
      <c r="CQ80" s="59" t="n">
        <f aca="false">IF(CQ78&gt;0,CQ16/CQ78*CQ79,0)</f>
        <v>4021800</v>
      </c>
      <c r="CR80" s="59" t="n">
        <f aca="false">IF(CR78&gt;0,CR16/CR78*CR79,0)</f>
        <v>4021800</v>
      </c>
      <c r="CS80" s="59" t="n">
        <f aca="false">IF(CS78&gt;0,CS16/CS78*CS79,0)</f>
        <v>4021800</v>
      </c>
      <c r="CT80" s="59" t="n">
        <f aca="false">IF(CT78&gt;0,CT16/CT78*CT79,0)</f>
        <v>4021600</v>
      </c>
      <c r="CU80" s="59" t="n">
        <f aca="false">IF(CU78&gt;0,CU16/CU78*CU79,0)</f>
        <v>4020000</v>
      </c>
      <c r="CV80" s="59" t="n">
        <f aca="false">IF(CV78&gt;0,CV16/CV78*CV79,0)</f>
        <v>4020000</v>
      </c>
      <c r="CW80" s="59" t="n">
        <f aca="false">IF(CW78&gt;0,CW16/CW78*CW79,0)</f>
        <v>4020000</v>
      </c>
      <c r="CX80" s="59" t="n">
        <f aca="false">IF(CX78&gt;0,CX16/CX78*CX79,0)</f>
        <v>4020000</v>
      </c>
      <c r="CY80" s="59" t="n">
        <f aca="false">IF(CY78&gt;0,CY16/CY78*CY79,0)</f>
        <v>4020000</v>
      </c>
      <c r="CZ80" s="59" t="n">
        <f aca="false">IF(CZ78&gt;0,CZ16/CZ78*CZ79,0)</f>
        <v>4020000</v>
      </c>
      <c r="DA80" s="59" t="n">
        <f aca="false">IF(DA78&gt;0,DA16/DA78*DA79,0)</f>
        <v>4020000</v>
      </c>
      <c r="DB80" s="59" t="n">
        <f aca="false">IF(DB78&gt;0,DB16/DB78*DB79,0)</f>
        <v>4020000</v>
      </c>
      <c r="DC80" s="59" t="n">
        <f aca="false">IF(DC78&gt;0,DC16/DC78*DC79,0)</f>
        <v>4020000</v>
      </c>
      <c r="DD80" s="59" t="n">
        <f aca="false">IF(DD78&gt;0,DD16/DD78*DD79,0)</f>
        <v>4020000</v>
      </c>
      <c r="DE80" s="59" t="n">
        <f aca="false">IF(DE78&gt;0,DE16/DE78*DE79,0)</f>
        <v>4020000</v>
      </c>
      <c r="DF80" s="59" t="n">
        <f aca="false">IF(DF78&gt;0,DF16/DF78*DF79,0)</f>
        <v>4020000</v>
      </c>
      <c r="DG80" s="59" t="n">
        <f aca="false">IF(DG78&gt;0,DG16/DG78*DG79,0)</f>
        <v>4020000</v>
      </c>
      <c r="DH80" s="59" t="n">
        <f aca="false">IF(DH78&gt;0,DH16/DH78*DH79,0)</f>
        <v>4020000</v>
      </c>
      <c r="DI80" s="59" t="n">
        <f aca="false">IF(DI78&gt;0,DI16/DI78*DI79,0)</f>
        <v>4020000</v>
      </c>
      <c r="DJ80" s="59" t="n">
        <f aca="false">IF(DJ78&gt;0,DJ16/DJ78*DJ79,0)</f>
        <v>4020000</v>
      </c>
      <c r="DK80" s="59" t="n">
        <f aca="false">IF(DK78&gt;0,DK16/DK78*DK79,0)</f>
        <v>4020000</v>
      </c>
      <c r="DL80" s="59" t="n">
        <f aca="false">IF(DL78&gt;0,DL16/DL78*DL79,0)</f>
        <v>4020000</v>
      </c>
      <c r="DM80" s="59" t="n">
        <f aca="false">IF(DM78&gt;0,DM16/DM78*DM79,0)</f>
        <v>4020000</v>
      </c>
      <c r="DN80" s="59" t="n">
        <f aca="false">IF(DN78&gt;0,DN16/DN78*DN79,0)</f>
        <v>4020000</v>
      </c>
      <c r="DO80" s="59" t="n">
        <f aca="false">IF(DO78&gt;0,DO16/DO78*DO79,0)</f>
        <v>4020000</v>
      </c>
      <c r="DP80" s="59" t="n">
        <f aca="false">IF(DP78&gt;0,DP16/DP78*DP79,0)</f>
        <v>4020000</v>
      </c>
      <c r="DQ80" s="59" t="n">
        <f aca="false">IF(DQ78&gt;0,DQ16/DQ78*DQ79,0)</f>
        <v>4020000</v>
      </c>
      <c r="DR80" s="59" t="n">
        <f aca="false">IF(DR78&gt;0,DR16/DR78*DR79,0)</f>
        <v>4020000</v>
      </c>
      <c r="DS80" s="59" t="n">
        <f aca="false">IF(DS78&gt;0,DS16/DS78*DS79,0)</f>
        <v>4020000</v>
      </c>
      <c r="DT80" s="59" t="n">
        <f aca="false">IF(DT78&gt;0,DT16/DT78*DT79,0)</f>
        <v>4020000</v>
      </c>
      <c r="DU80" s="59" t="n">
        <f aca="false">IF(DU78&gt;0,DU16/DU78*DU79,0)</f>
        <v>4020000</v>
      </c>
      <c r="DV80" s="59" t="n">
        <f aca="false">IF(DV78&gt;0,DV16/DV78*DV79,0)</f>
        <v>4020000</v>
      </c>
      <c r="DW80" s="59" t="n">
        <f aca="false">IF(DW78&gt;0,DW16/DW78*DW79,0)</f>
        <v>4020000</v>
      </c>
      <c r="DX80" s="59" t="n">
        <f aca="false">IF(DX78&gt;0,DX16/DX78*DX79,0)</f>
        <v>4020000</v>
      </c>
      <c r="DY80" s="59" t="n">
        <f aca="false">IF(DY78&gt;0,DY16/DY78*DY79,0)</f>
        <v>4020000</v>
      </c>
      <c r="DZ80" s="59" t="n">
        <f aca="false">IF(DZ78&gt;0,DZ16/DZ78*DZ79,0)</f>
        <v>4020000</v>
      </c>
      <c r="EA80" s="59" t="n">
        <f aca="false">IF(EA78&gt;0,EA16/EA78*EA79,0)</f>
        <v>4020000</v>
      </c>
      <c r="EB80" s="59" t="n">
        <f aca="false">IF(EB78&gt;0,EB16/EB78*EB79,0)</f>
        <v>3980198.01980198</v>
      </c>
      <c r="EC80" s="59" t="n">
        <f aca="false">IF(EC78&gt;0,EC16/EC78*EC79,0)</f>
        <v>3979800</v>
      </c>
      <c r="ED80" s="59" t="n">
        <f aca="false">IF(ED78&gt;0,ED16/ED78*ED79,0)</f>
        <v>4020000</v>
      </c>
      <c r="EE80" s="59" t="n">
        <f aca="false">IF(EE78&gt;0,EE16/EE78*EE79,0)</f>
        <v>4020000</v>
      </c>
      <c r="EF80" s="59" t="n">
        <f aca="false">IF(EF78&gt;0,EF16/EF78*EF79,0)</f>
        <v>0</v>
      </c>
      <c r="EG80" s="59" t="n">
        <f aca="false">IF(EG78&gt;0,EG16/EG78*EG79,0)</f>
        <v>0</v>
      </c>
      <c r="EH80" s="59" t="n">
        <f aca="false">IF(EH78&gt;0,EH16/EH78*EH79,0)</f>
        <v>0</v>
      </c>
      <c r="EI80" s="59" t="n">
        <f aca="false">IF(EI78&gt;0,EI16/EI78*EI79,0)</f>
        <v>0</v>
      </c>
      <c r="EJ80" s="59" t="n">
        <f aca="false">IF(EJ78&gt;0,EJ16/EJ78*EJ79,0)</f>
        <v>0</v>
      </c>
      <c r="EK80" s="59" t="n">
        <f aca="false">IF(EK78&gt;0,EK16/EK78*EK79,0)</f>
        <v>0</v>
      </c>
      <c r="EL80" s="59" t="n">
        <f aca="false">IF(EL78&gt;0,EL16/EL78*EL79,0)</f>
        <v>0</v>
      </c>
      <c r="EM80" s="59" t="n">
        <f aca="false">IF(EM78&gt;0,EM16/EM78*EM79,0)</f>
        <v>0</v>
      </c>
      <c r="EN80" s="59" t="n">
        <f aca="false">IF(EN78&gt;0,EN16/EN78*EN79,0)</f>
        <v>0</v>
      </c>
      <c r="EO80" s="59" t="n">
        <f aca="false">IF(EO78&gt;0,EO16/EO78*EO79,0)</f>
        <v>0</v>
      </c>
      <c r="EP80" s="59" t="n">
        <f aca="false">IF(EP78&gt;0,EP16/EP78*EP79,0)</f>
        <v>0</v>
      </c>
      <c r="EQ80" s="59" t="n">
        <f aca="false">IF(EQ78&gt;0,EQ16/EQ78*EQ79,0)</f>
        <v>0</v>
      </c>
      <c r="ER80" s="59" t="n">
        <f aca="false">IF(ER78&gt;0,ER16/ER78*ER79,0)</f>
        <v>0</v>
      </c>
      <c r="ES80" s="59" t="n">
        <f aca="false">IF(ES78&gt;0,ES16/ES78*ES79,0)</f>
        <v>0</v>
      </c>
      <c r="ET80" s="59" t="n">
        <f aca="false">IF(ET78&gt;0,ET16/ET78*ET79,0)</f>
        <v>0</v>
      </c>
      <c r="EU80" s="59" t="n">
        <f aca="false">IF(EU78&gt;0,EU16/EU78*EU79,0)</f>
        <v>0</v>
      </c>
      <c r="EV80" s="59" t="n">
        <f aca="false">IF(EV78&gt;0,EV16/EV78*EV79,0)</f>
        <v>0</v>
      </c>
      <c r="EW80" s="59" t="n">
        <f aca="false">IF(EW78&gt;0,EW16/EW78*EW79,0)</f>
        <v>0</v>
      </c>
      <c r="EX80" s="59" t="n">
        <f aca="false">IF(EX78&gt;0,EX16/EX78*EX79,0)</f>
        <v>0</v>
      </c>
      <c r="EY80" s="59" t="n">
        <f aca="false">IF(EY78&gt;0,EY16/EY78*EY79,0)</f>
        <v>0</v>
      </c>
      <c r="EZ80" s="59" t="n">
        <f aca="false">IF(EZ78&gt;0,EZ16/EZ78*EZ79,0)</f>
        <v>0</v>
      </c>
      <c r="FA80" s="59" t="n">
        <f aca="false">IF(FA78&gt;0,FA16/FA78*FA79,0)</f>
        <v>0</v>
      </c>
      <c r="FB80" s="59" t="n">
        <f aca="false">IF(FB78&gt;0,FB16/FB78*FB79,0)</f>
        <v>0</v>
      </c>
      <c r="FC80" s="59" t="n">
        <f aca="false">IF(FC78&gt;0,FC16/FC78*FC79,0)</f>
        <v>0</v>
      </c>
      <c r="FD80" s="59" t="n">
        <f aca="false">IF(FD78&gt;0,FD16/FD78*FD79,0)</f>
        <v>0</v>
      </c>
      <c r="FE80" s="59" t="n">
        <f aca="false">IF(FE78&gt;0,FE16/FE78*FE79,0)</f>
        <v>0</v>
      </c>
      <c r="FF80" s="59" t="n">
        <f aca="false">IF(FF78&gt;0,FF16/FF78*FF79,0)</f>
        <v>0</v>
      </c>
      <c r="FG80" s="59" t="n">
        <f aca="false">IF(FG78&gt;0,FG16/FG78*FG79,0)</f>
        <v>0</v>
      </c>
      <c r="FH80" s="59" t="n">
        <f aca="false">IF(FH78&gt;0,FH16/FH78*FH79,0)</f>
        <v>0</v>
      </c>
      <c r="FI80" s="59" t="n">
        <f aca="false">IF(FI78&gt;0,FI16/FI78*FI79,0)</f>
        <v>0</v>
      </c>
      <c r="FJ80" s="59" t="n">
        <f aca="false">IF(FJ78&gt;0,FJ16/FJ78*FJ79,0)</f>
        <v>0</v>
      </c>
      <c r="FK80" s="59" t="n">
        <f aca="false">IF(FK78&gt;0,FK16/FK78*FK79,0)</f>
        <v>0</v>
      </c>
      <c r="FL80" s="59" t="n">
        <f aca="false">IF(FL78&gt;0,FL16/FL78*FL79,0)</f>
        <v>0</v>
      </c>
      <c r="FM80" s="59" t="n">
        <f aca="false">IF(FM78&gt;0,FM16/FM78*FM79,0)</f>
        <v>0</v>
      </c>
      <c r="FN80" s="59" t="n">
        <f aca="false">IF(FN78&gt;0,FN16/FN78*FN79,0)</f>
        <v>0</v>
      </c>
      <c r="FO80" s="59" t="n">
        <f aca="false">IF(FO78&gt;0,FO16/FO78*FO79,0)</f>
        <v>0</v>
      </c>
      <c r="FP80" s="59" t="n">
        <f aca="false">IF(FP78&gt;0,FP16/FP78*FP79,0)</f>
        <v>0</v>
      </c>
      <c r="FQ80" s="59" t="n">
        <f aca="false">IF(FQ78&gt;0,FQ16/FQ78*FQ79,0)</f>
        <v>0</v>
      </c>
      <c r="FR80" s="59" t="n">
        <f aca="false">IF(FR78&gt;0,FR16/FR78*FR79,0)</f>
        <v>0</v>
      </c>
      <c r="FS80" s="59" t="n">
        <f aca="false">IF(FS78&gt;0,FS16/FS78*FS79,0)</f>
        <v>0</v>
      </c>
      <c r="FT80" s="59" t="n">
        <f aca="false">IF(FT78&gt;0,FT16/FT78*FT79,0)</f>
        <v>0</v>
      </c>
      <c r="FU80" s="59" t="n">
        <f aca="false">IF(FU78&gt;0,FU16/FU78*FU79,0)</f>
        <v>0</v>
      </c>
      <c r="FV80" s="59" t="n">
        <f aca="false">IF(FV78&gt;0,FV16/FV78*FV79,0)</f>
        <v>7466666.66666667</v>
      </c>
      <c r="FW80" s="59" t="n">
        <f aca="false">IF(FW78&gt;0,FW16/FW78*FW79,0)</f>
        <v>7541333.33333334</v>
      </c>
      <c r="FX80" s="59" t="n">
        <f aca="false">IF(FX78&gt;0,FX16/FX78*FX79,0)</f>
        <v>7541333.33333334</v>
      </c>
      <c r="FY80" s="59" t="n">
        <f aca="false">IF(FY78&gt;0,FY16/FY78*FY79,0)</f>
        <v>7541333.33333334</v>
      </c>
      <c r="FZ80" s="59" t="n">
        <f aca="false">IF(FZ78&gt;0,FZ16/FZ78*FZ79,0)</f>
        <v>7542087.54208754</v>
      </c>
      <c r="GA80" s="59" t="n">
        <f aca="false">IF(GA78&gt;0,GA16/GA78*GA79,0)</f>
        <v>7466666.66666667</v>
      </c>
      <c r="GB80" s="59" t="n">
        <f aca="false">IF(GB78&gt;0,GB16/GB78*GB79,0)</f>
        <v>7466666.66666667</v>
      </c>
      <c r="GC80" s="59" t="n">
        <f aca="false">IF(GC78&gt;0,GC16/GC78*GC79,0)</f>
        <v>7466666.66666667</v>
      </c>
      <c r="GD80" s="59" t="n">
        <f aca="false">IF(GD78&gt;0,GD16/GD78*GD79,0)</f>
        <v>7466666.66666667</v>
      </c>
      <c r="GE80" s="59" t="n">
        <f aca="false">IF(GE78&gt;0,GE16/GE78*GE79,0)</f>
        <v>7466666.66666667</v>
      </c>
      <c r="GF80" s="59" t="n">
        <f aca="false">IF(GF78&gt;0,GF16/GF78*GF79,0)</f>
        <v>7466666.66666667</v>
      </c>
      <c r="GG80" s="59" t="n">
        <f aca="false">IF(GG78&gt;0,GG16/GG78*GG79,0)</f>
        <v>7466666.66666667</v>
      </c>
      <c r="GH80" s="59" t="n">
        <f aca="false">IF(GH78&gt;0,GH16/GH78*GH79,0)</f>
        <v>7466666.66666667</v>
      </c>
      <c r="GI80" s="59" t="n">
        <f aca="false">IF(GI78&gt;0,GI16/GI78*GI79,0)</f>
        <v>7466666.66666667</v>
      </c>
      <c r="GJ80" s="59" t="n">
        <f aca="false">IF(GJ78&gt;0,GJ16/GJ78*GJ79,0)</f>
        <v>7466666.66666667</v>
      </c>
      <c r="GK80" s="59" t="n">
        <f aca="false">IF(GK78&gt;0,GK16/GK78*GK79,0)</f>
        <v>7466666.66666667</v>
      </c>
      <c r="GL80" s="59" t="n">
        <f aca="false">IF(GL78&gt;0,GL16/GL78*GL79,0)</f>
        <v>7466666.66666667</v>
      </c>
      <c r="GM80" s="59" t="n">
        <f aca="false">IF(GM78&gt;0,GM16/GM78*GM79,0)</f>
        <v>7466666.66666667</v>
      </c>
      <c r="GN80" s="59" t="n">
        <f aca="false">IF(GN78&gt;0,GN16/GN78*GN79,0)</f>
        <v>7466666.66666667</v>
      </c>
      <c r="GO80" s="59" t="n">
        <f aca="false">IF(GO78&gt;0,GO16/GO78*GO79,0)</f>
        <v>7466666.66666667</v>
      </c>
      <c r="GP80" s="59" t="n">
        <f aca="false">IF(GP78&gt;0,GP16/GP78*GP79,0)</f>
        <v>7466666.66666667</v>
      </c>
      <c r="GQ80" s="59" t="n">
        <f aca="false">IF(GQ78&gt;0,GQ16/GQ78*GQ79,0)</f>
        <v>7466666.66666667</v>
      </c>
      <c r="GR80" s="59" t="n">
        <f aca="false">IF(GR78&gt;0,GR16/GR78*GR79,0)</f>
        <v>7466666.66666667</v>
      </c>
      <c r="GS80" s="59" t="n">
        <f aca="false">IF(GS78&gt;0,GS16/GS78*GS79,0)</f>
        <v>7466666.66666667</v>
      </c>
      <c r="GT80" s="59" t="n">
        <f aca="false">IF(GT78&gt;0,GT16/GT78*GT79,0)</f>
        <v>7466666.66666667</v>
      </c>
      <c r="GU80" s="59" t="n">
        <f aca="false">IF(GU78&gt;0,GU16/GU78*GU79,0)</f>
        <v>7466666.66666667</v>
      </c>
      <c r="GV80" s="59" t="n">
        <f aca="false">IF(GV78&gt;0,GV16/GV78*GV79,0)</f>
        <v>7466666.66666667</v>
      </c>
      <c r="GW80" s="59" t="n">
        <f aca="false">IF(GW78&gt;0,GW16/GW78*GW79,0)</f>
        <v>7466666.66666667</v>
      </c>
      <c r="GX80" s="59" t="n">
        <f aca="false">IF(GX78&gt;0,GX16/GX78*GX79,0)</f>
        <v>7466666.66666667</v>
      </c>
      <c r="GY80" s="59" t="n">
        <f aca="false">IF(GY78&gt;0,GY16/GY78*GY79,0)</f>
        <v>7466666.66666667</v>
      </c>
      <c r="GZ80" s="59" t="n">
        <f aca="false">IF(GZ78&gt;0,GZ16/GZ78*GZ79,0)</f>
        <v>7466666.66666667</v>
      </c>
      <c r="HA80" s="59" t="n">
        <f aca="false">IF(HA78&gt;0,HA16/HA78*HA79,0)</f>
        <v>7466666.66666667</v>
      </c>
      <c r="HB80" s="59" t="n">
        <f aca="false">IF(HB78&gt;0,HB16/HB78*HB79,0)</f>
        <v>7466666.66666667</v>
      </c>
      <c r="HC80" s="59" t="n">
        <f aca="false">IF(HC78&gt;0,HC16/HC78*HC79,0)</f>
        <v>7466666.66666667</v>
      </c>
      <c r="HD80" s="59" t="n">
        <f aca="false">IF(HD78&gt;0,HD16/HD78*HD79,0)</f>
        <v>7466666.66666667</v>
      </c>
      <c r="HE80" s="59" t="n">
        <f aca="false">IF(HE78&gt;0,HE16/HE78*HE79,0)</f>
        <v>7466666.66666667</v>
      </c>
      <c r="HF80" s="59" t="n">
        <f aca="false">IF(HF78&gt;0,HF16/HF78*HF79,0)</f>
        <v>7466666.66666667</v>
      </c>
      <c r="HG80" s="59" t="n">
        <f aca="false">IF(HG78&gt;0,HG16/HG78*HG79,0)</f>
        <v>7466666.66666667</v>
      </c>
      <c r="HH80" s="59" t="n">
        <f aca="false">IF(HH78&gt;0,HH16/HH78*HH79,0)</f>
        <v>7392739.27392739</v>
      </c>
      <c r="HI80" s="59" t="n">
        <f aca="false">IF(HI78&gt;0,HI16/HI78*HI79,0)</f>
        <v>7392000</v>
      </c>
      <c r="HJ80" s="59" t="n">
        <f aca="false">IF(HJ78&gt;0,HJ16/HJ78*HJ79,0)</f>
        <v>7466666.66666667</v>
      </c>
      <c r="HK80" s="59" t="n">
        <f aca="false">IF(HK78&gt;0,HK16/HK78*HK79,0)</f>
        <v>7466666.66666667</v>
      </c>
      <c r="HL80" s="59" t="n">
        <f aca="false">IF(HL78&gt;0,HL16/HL78*HL79,0)</f>
        <v>4500000</v>
      </c>
      <c r="HM80" s="59" t="n">
        <f aca="false">IF(HM78&gt;0,HM16/HM78*HM79,0)</f>
        <v>4545000</v>
      </c>
      <c r="HN80" s="59" t="n">
        <f aca="false">IF(HN78&gt;0,HN16/HN78*HN79,0)</f>
        <v>4545000</v>
      </c>
      <c r="HO80" s="59" t="n">
        <f aca="false">IF(HO78&gt;0,HO16/HO78*HO79,0)</f>
        <v>4545000</v>
      </c>
      <c r="HP80" s="59" t="n">
        <f aca="false">IF(HP78&gt;0,HP16/HP78*HP79,0)</f>
        <v>4545454.54545455</v>
      </c>
      <c r="HQ80" s="59" t="n">
        <f aca="false">IF(HQ78&gt;0,HQ16/HQ78*HQ79,0)</f>
        <v>4500000</v>
      </c>
      <c r="HR80" s="59" t="n">
        <f aca="false">IF(HR78&gt;0,HR16/HR78*HR79,0)</f>
        <v>4500000</v>
      </c>
      <c r="HS80" s="59" t="n">
        <f aca="false">IF(HS78&gt;0,HS16/HS78*HS79,0)</f>
        <v>4500000</v>
      </c>
      <c r="HT80" s="59" t="n">
        <f aca="false">IF(HT78&gt;0,HT16/HT78*HT79,0)</f>
        <v>4500000</v>
      </c>
      <c r="HU80" s="59" t="n">
        <f aca="false">IF(HU78&gt;0,HU16/HU78*HU79,0)</f>
        <v>4500000</v>
      </c>
      <c r="HV80" s="59" t="n">
        <f aca="false">IF(HV78&gt;0,HV16/HV78*HV79,0)</f>
        <v>4500000</v>
      </c>
      <c r="HW80" s="59" t="n">
        <f aca="false">IF(HW78&gt;0,HW16/HW78*HW79,0)</f>
        <v>4500000</v>
      </c>
      <c r="HX80" s="59" t="n">
        <f aca="false">IF(HX78&gt;0,HX16/HX78*HX79,0)</f>
        <v>4500000</v>
      </c>
      <c r="HY80" s="59" t="n">
        <f aca="false">IF(HY78&gt;0,HY16/HY78*HY79,0)</f>
        <v>4500000</v>
      </c>
      <c r="HZ80" s="59" t="n">
        <f aca="false">IF(HZ78&gt;0,HZ16/HZ78*HZ79,0)</f>
        <v>4500000</v>
      </c>
      <c r="IA80" s="59" t="n">
        <f aca="false">IF(IA78&gt;0,IA16/IA78*IA79,0)</f>
        <v>4500000</v>
      </c>
      <c r="IB80" s="59" t="n">
        <f aca="false">IF(IB78&gt;0,IB16/IB78*IB79,0)</f>
        <v>4500000</v>
      </c>
      <c r="IC80" s="59" t="n">
        <f aca="false">IF(IC78&gt;0,IC16/IC78*IC79,0)</f>
        <v>4500000</v>
      </c>
      <c r="ID80" s="59" t="n">
        <f aca="false">IF(ID78&gt;0,ID16/ID78*ID79,0)</f>
        <v>4500000</v>
      </c>
      <c r="IE80" s="59" t="n">
        <f aca="false">IF(IE78&gt;0,IE16/IE78*IE79,0)</f>
        <v>4500000</v>
      </c>
      <c r="IF80" s="59" t="n">
        <f aca="false">IF(IF78&gt;0,IF16/IF78*IF79,0)</f>
        <v>4500000</v>
      </c>
      <c r="IG80" s="59" t="n">
        <f aca="false">IF(IG78&gt;0,IG16/IG78*IG79,0)</f>
        <v>4500000</v>
      </c>
      <c r="IH80" s="59" t="n">
        <f aca="false">IF(IH78&gt;0,IH16/IH78*IH79,0)</f>
        <v>4500000</v>
      </c>
      <c r="II80" s="59" t="n">
        <f aca="false">IF(II78&gt;0,II16/II78*II79,0)</f>
        <v>4500000</v>
      </c>
      <c r="IJ80" s="59" t="n">
        <f aca="false">IF(IJ78&gt;0,IJ16/IJ78*IJ79,0)</f>
        <v>4500000</v>
      </c>
      <c r="IK80" s="59" t="n">
        <f aca="false">IF(IK78&gt;0,IK16/IK78*IK79,0)</f>
        <v>4500000</v>
      </c>
      <c r="IL80" s="59" t="n">
        <f aca="false">IF(IL78&gt;0,IL16/IL78*IL79,0)</f>
        <v>4500000</v>
      </c>
      <c r="IM80" s="59" t="n">
        <f aca="false">IF(IM78&gt;0,IM16/IM78*IM79,0)</f>
        <v>4500000</v>
      </c>
      <c r="IN80" s="59" t="n">
        <f aca="false">IF(IN78&gt;0,IN16/IN78*IN79,0)</f>
        <v>4500000</v>
      </c>
      <c r="IO80" s="59" t="n">
        <f aca="false">IF(IO78&gt;0,IO16/IO78*IO79,0)</f>
        <v>4500000</v>
      </c>
      <c r="IP80" s="59" t="n">
        <f aca="false">IF(IP78&gt;0,IP16/IP78*IP79,0)</f>
        <v>4500000</v>
      </c>
      <c r="IQ80" s="59" t="n">
        <f aca="false">IF(IQ78&gt;0,IQ16/IQ78*IQ79,0)</f>
        <v>4500000</v>
      </c>
      <c r="IR80" s="59" t="n">
        <f aca="false">IF(IR78&gt;0,IR16/IR78*IR79,0)</f>
        <v>4500000</v>
      </c>
      <c r="IS80" s="59" t="n">
        <f aca="false">IF(IS78&gt;0,IS16/IS78*IS79,0)</f>
        <v>4500000</v>
      </c>
      <c r="IT80" s="59" t="n">
        <f aca="false">IF(IT78&gt;0,IT16/IT78*IT79,0)</f>
        <v>4500000</v>
      </c>
      <c r="IU80" s="59" t="n">
        <f aca="false">IF(IU78&gt;0,IU16/IU78*IU79,0)</f>
        <v>4500000</v>
      </c>
      <c r="IV80" s="59" t="n">
        <f aca="false">IF(IV78&gt;0,IV16/IV78*IV79,0)</f>
        <v>4500000</v>
      </c>
      <c r="IW80" s="59" t="n">
        <f aca="false">IF(IW78&gt;0,IW16/IW78*IW79,0)</f>
        <v>4500000</v>
      </c>
      <c r="IX80" s="59" t="n">
        <f aca="false">IF(IX78&gt;0,IX16/IX78*IX79,0)</f>
        <v>4455445.54455446</v>
      </c>
      <c r="IY80" s="59" t="n">
        <f aca="false">IF(IY78&gt;0,IY16/IY78*IY79,0)</f>
        <v>4455000</v>
      </c>
      <c r="IZ80" s="59" t="n">
        <f aca="false">IF(IZ78&gt;0,IZ16/IZ78*IZ79,0)</f>
        <v>4500000</v>
      </c>
      <c r="JA80" s="59" t="n">
        <f aca="false">IF(JA78&gt;0,JA16/JA78*JA79,0)</f>
        <v>4500000</v>
      </c>
    </row>
    <row r="81" customFormat="false" ht="15" hidden="false" customHeight="false" outlineLevel="0" collapsed="false">
      <c r="A81" s="16" t="s">
        <v>121</v>
      </c>
      <c r="B81" s="16" t="s">
        <v>122</v>
      </c>
      <c r="C81" s="26" t="s">
        <v>179</v>
      </c>
      <c r="D81" s="24" t="s">
        <v>261</v>
      </c>
      <c r="E81" s="62" t="n">
        <f aca="false">E69+E73+E77+E80</f>
        <v>4618450</v>
      </c>
      <c r="F81" s="62" t="n">
        <f aca="false">F69+F73+F77+F80</f>
        <v>7344575</v>
      </c>
      <c r="G81" s="62" t="n">
        <f aca="false">G69+G73+G77+G80</f>
        <v>4953720</v>
      </c>
      <c r="H81" s="62" t="n">
        <f aca="false">SUM(E81:G81)</f>
        <v>16916745</v>
      </c>
      <c r="J81" s="59" t="n">
        <f aca="false">J69+J73+J77+J80</f>
        <v>4618450</v>
      </c>
      <c r="K81" s="59" t="n">
        <f aca="false">K69+K73+K77+K80</f>
        <v>4632674.5</v>
      </c>
      <c r="L81" s="59" t="n">
        <f aca="false">L69+L73+L77+L80</f>
        <v>4620974.5</v>
      </c>
      <c r="M81" s="59" t="n">
        <f aca="false">M69+M73+M77+M80</f>
        <v>4620974.5</v>
      </c>
      <c r="N81" s="59" t="n">
        <f aca="false">N69+N73+N77+N80</f>
        <v>4620490</v>
      </c>
      <c r="O81" s="59" t="n">
        <f aca="false">O69+O73+O77+O80</f>
        <v>4618450</v>
      </c>
      <c r="P81" s="59" t="n">
        <f aca="false">P69+P73+P77+P80</f>
        <v>4618450</v>
      </c>
      <c r="Q81" s="59" t="n">
        <f aca="false">Q69+Q73+Q77+Q80</f>
        <v>4618450</v>
      </c>
      <c r="R81" s="59" t="n">
        <f aca="false">R69+R73+R77+R80</f>
        <v>4618450</v>
      </c>
      <c r="S81" s="59" t="n">
        <f aca="false">S69+S73+S77+S80</f>
        <v>4618450</v>
      </c>
      <c r="T81" s="59" t="n">
        <f aca="false">T69+T73+T77+T80</f>
        <v>4618450</v>
      </c>
      <c r="U81" s="59" t="n">
        <f aca="false">U69+U73+U77+U80</f>
        <v>4618450</v>
      </c>
      <c r="V81" s="59" t="n">
        <f aca="false">V69+V73+V77+V80</f>
        <v>4618450</v>
      </c>
      <c r="W81" s="59" t="n">
        <f aca="false">W69+W73+W77+W80</f>
        <v>4618450</v>
      </c>
      <c r="X81" s="59" t="n">
        <f aca="false">X69+X73+X77+X80</f>
        <v>4618450</v>
      </c>
      <c r="Y81" s="59" t="n">
        <f aca="false">Y69+Y73+Y77+Y80</f>
        <v>4618450</v>
      </c>
      <c r="Z81" s="59" t="n">
        <f aca="false">Z69+Z73+Z77+Z80</f>
        <v>4618450</v>
      </c>
      <c r="AA81" s="59" t="n">
        <f aca="false">AA69+AA73+AA77+AA80</f>
        <v>4618450</v>
      </c>
      <c r="AB81" s="59" t="n">
        <f aca="false">AB69+AB73+AB77+AB80</f>
        <v>4618450</v>
      </c>
      <c r="AC81" s="59" t="n">
        <f aca="false">AC69+AC73+AC77+AC80</f>
        <v>4618450</v>
      </c>
      <c r="AD81" s="59" t="n">
        <f aca="false">AD69+AD73+AD77+AD80</f>
        <v>4618450</v>
      </c>
      <c r="AE81" s="59" t="n">
        <f aca="false">AE69+AE73+AE77+AE80</f>
        <v>4618450</v>
      </c>
      <c r="AF81" s="59" t="n">
        <f aca="false">AF69+AF73+AF77+AF80</f>
        <v>4618450</v>
      </c>
      <c r="AG81" s="59" t="n">
        <f aca="false">AG69+AG73+AG77+AG80</f>
        <v>4618450</v>
      </c>
      <c r="AH81" s="59" t="n">
        <f aca="false">AH69+AH73+AH77+AH80</f>
        <v>4618450</v>
      </c>
      <c r="AI81" s="59" t="n">
        <f aca="false">AI69+AI73+AI77+AI80</f>
        <v>4618450</v>
      </c>
      <c r="AJ81" s="59" t="n">
        <f aca="false">AJ69+AJ73+AJ77+AJ80</f>
        <v>4618450</v>
      </c>
      <c r="AK81" s="59" t="n">
        <f aca="false">AK69+AK73+AK77+AK80</f>
        <v>4618450</v>
      </c>
      <c r="AL81" s="59" t="n">
        <f aca="false">AL69+AL73+AL77+AL80</f>
        <v>4618450</v>
      </c>
      <c r="AM81" s="59" t="n">
        <f aca="false">AM69+AM73+AM77+AM80</f>
        <v>4618450</v>
      </c>
      <c r="AN81" s="59" t="n">
        <f aca="false">AN69+AN73+AN77+AN80</f>
        <v>4593093.75</v>
      </c>
      <c r="AO81" s="59" t="n">
        <f aca="false">AO69+AO73+AO77+AO80</f>
        <v>4593093.75</v>
      </c>
      <c r="AP81" s="59" t="n">
        <f aca="false">AP69+AP73+AP77+AP80</f>
        <v>4613950</v>
      </c>
      <c r="AQ81" s="59" t="n">
        <f aca="false">AQ69+AQ73+AQ77+AQ80</f>
        <v>4611250</v>
      </c>
      <c r="AR81" s="59" t="n">
        <f aca="false">AR69+AR73+AR77+AR80</f>
        <v>4611250</v>
      </c>
      <c r="AS81" s="59" t="n">
        <f aca="false">AS69+AS73+AS77+AS80</f>
        <v>4609321.75</v>
      </c>
      <c r="AT81" s="59" t="n">
        <f aca="false">AT69+AT73+AT77+AT80</f>
        <v>4609321.75</v>
      </c>
      <c r="AU81" s="59" t="n">
        <f aca="false">AU69+AU73+AU77+AU80</f>
        <v>4609321.75</v>
      </c>
      <c r="AV81" s="59" t="n">
        <f aca="false">AV69+AV73+AV77+AV80</f>
        <v>4618450</v>
      </c>
      <c r="AW81" s="59" t="n">
        <f aca="false">AW69+AW73+AW77+AW80</f>
        <v>4618450</v>
      </c>
      <c r="AX81" s="59" t="n">
        <f aca="false">AX69+AX73+AX77+AX80</f>
        <v>4618450</v>
      </c>
      <c r="AY81" s="59" t="n">
        <f aca="false">AY69+AY73+AY77+AY80</f>
        <v>4618450</v>
      </c>
      <c r="AZ81" s="59" t="n">
        <f aca="false">AZ69+AZ73+AZ77+AZ80</f>
        <v>7344575</v>
      </c>
      <c r="BA81" s="59" t="n">
        <f aca="false">BA69+BA73+BA77+BA80</f>
        <v>7347817</v>
      </c>
      <c r="BB81" s="59" t="n">
        <f aca="false">BB69+BB73+BB77+BB80</f>
        <v>7347277</v>
      </c>
      <c r="BC81" s="59" t="n">
        <f aca="false">BC69+BC73+BC77+BC80</f>
        <v>7347277</v>
      </c>
      <c r="BD81" s="59" t="n">
        <f aca="false">BD69+BD73+BD77+BD80</f>
        <v>7346746.25</v>
      </c>
      <c r="BE81" s="59" t="n">
        <f aca="false">BE69+BE73+BE77+BE80</f>
        <v>7344575</v>
      </c>
      <c r="BF81" s="59" t="n">
        <f aca="false">BF69+BF73+BF77+BF80</f>
        <v>7344575</v>
      </c>
      <c r="BG81" s="59" t="n">
        <f aca="false">BG69+BG73+BG77+BG80</f>
        <v>7344575</v>
      </c>
      <c r="BH81" s="59" t="n">
        <f aca="false">BH69+BH73+BH77+BH80</f>
        <v>7344575</v>
      </c>
      <c r="BI81" s="59" t="n">
        <f aca="false">BI69+BI73+BI77+BI80</f>
        <v>7344575</v>
      </c>
      <c r="BJ81" s="59" t="n">
        <f aca="false">BJ69+BJ73+BJ77+BJ80</f>
        <v>7344575</v>
      </c>
      <c r="BK81" s="59" t="n">
        <f aca="false">BK69+BK73+BK77+BK80</f>
        <v>7344575</v>
      </c>
      <c r="BL81" s="59" t="n">
        <f aca="false">BL69+BL73+BL77+BL80</f>
        <v>7344575</v>
      </c>
      <c r="BM81" s="59" t="n">
        <f aca="false">BM69+BM73+BM77+BM80</f>
        <v>7344575</v>
      </c>
      <c r="BN81" s="59" t="n">
        <f aca="false">BN69+BN73+BN77+BN80</f>
        <v>7344575</v>
      </c>
      <c r="BO81" s="59" t="n">
        <f aca="false">BO69+BO73+BO77+BO80</f>
        <v>7344575</v>
      </c>
      <c r="BP81" s="59" t="n">
        <f aca="false">BP69+BP73+BP77+BP80</f>
        <v>7344575</v>
      </c>
      <c r="BQ81" s="59" t="n">
        <f aca="false">BQ69+BQ73+BQ77+BQ80</f>
        <v>7344575</v>
      </c>
      <c r="BR81" s="59" t="n">
        <f aca="false">BR69+BR73+BR77+BR80</f>
        <v>7344575</v>
      </c>
      <c r="BS81" s="59" t="n">
        <f aca="false">BS69+BS73+BS77+BS80</f>
        <v>7344575</v>
      </c>
      <c r="BT81" s="59" t="n">
        <f aca="false">BT69+BT73+BT77+BT80</f>
        <v>7344575</v>
      </c>
      <c r="BU81" s="59" t="n">
        <f aca="false">BU69+BU73+BU77+BU80</f>
        <v>7344575</v>
      </c>
      <c r="BV81" s="59" t="n">
        <f aca="false">BV69+BV73+BV77+BV80</f>
        <v>7344575</v>
      </c>
      <c r="BW81" s="59" t="n">
        <f aca="false">BW69+BW73+BW77+BW80</f>
        <v>7344575</v>
      </c>
      <c r="BX81" s="59" t="n">
        <f aca="false">BX69+BX73+BX77+BX80</f>
        <v>7344575</v>
      </c>
      <c r="BY81" s="59" t="n">
        <f aca="false">BY69+BY73+BY77+BY80</f>
        <v>7344575</v>
      </c>
      <c r="BZ81" s="59" t="n">
        <f aca="false">BZ69+BZ73+BZ77+BZ80</f>
        <v>7344575</v>
      </c>
      <c r="CA81" s="59" t="n">
        <f aca="false">CA69+CA73+CA77+CA80</f>
        <v>7344575</v>
      </c>
      <c r="CB81" s="59" t="n">
        <f aca="false">CB69+CB73+CB77+CB80</f>
        <v>7344575</v>
      </c>
      <c r="CC81" s="59" t="n">
        <f aca="false">CC69+CC73+CC77+CC80</f>
        <v>7344575</v>
      </c>
      <c r="CD81" s="59" t="n">
        <f aca="false">CD69+CD73+CD77+CD80</f>
        <v>7337775.5</v>
      </c>
      <c r="CE81" s="59" t="n">
        <f aca="false">CE69+CE73+CE77+CE80</f>
        <v>7337775.5</v>
      </c>
      <c r="CF81" s="59" t="n">
        <f aca="false">CF69+CF73+CF77+CF80</f>
        <v>7344515</v>
      </c>
      <c r="CG81" s="59" t="n">
        <f aca="false">CG69+CG73+CG77+CG80</f>
        <v>7344095</v>
      </c>
      <c r="CH81" s="59" t="n">
        <f aca="false">CH69+CH73+CH77+CH80</f>
        <v>7344095</v>
      </c>
      <c r="CI81" s="59" t="n">
        <f aca="false">CI69+CI73+CI77+CI80</f>
        <v>7338908.75</v>
      </c>
      <c r="CJ81" s="59" t="n">
        <f aca="false">CJ69+CJ73+CJ77+CJ80</f>
        <v>7338908.75</v>
      </c>
      <c r="CK81" s="59" t="n">
        <f aca="false">CK69+CK73+CK77+CK80</f>
        <v>7338908.75</v>
      </c>
      <c r="CL81" s="59" t="n">
        <f aca="false">CL69+CL73+CL77+CL80</f>
        <v>7284733.41584158</v>
      </c>
      <c r="CM81" s="59" t="n">
        <f aca="false">CM69+CM73+CM77+CM80</f>
        <v>7284135</v>
      </c>
      <c r="CN81" s="59" t="n">
        <f aca="false">CN69+CN73+CN77+CN80</f>
        <v>7344575</v>
      </c>
      <c r="CO81" s="59" t="n">
        <f aca="false">CO69+CO73+CO77+CO80</f>
        <v>7344575</v>
      </c>
      <c r="CP81" s="59" t="n">
        <f aca="false">CP69+CP73+CP77+CP80</f>
        <v>4953720</v>
      </c>
      <c r="CQ81" s="59" t="n">
        <f aca="false">CQ69+CQ73+CQ77+CQ80</f>
        <v>4957714.8</v>
      </c>
      <c r="CR81" s="59" t="n">
        <f aca="false">CR69+CR73+CR77+CR80</f>
        <v>4955854.8</v>
      </c>
      <c r="CS81" s="59" t="n">
        <f aca="false">CS69+CS73+CS77+CS80</f>
        <v>4955854.8</v>
      </c>
      <c r="CT81" s="59" t="n">
        <f aca="false">CT69+CT73+CT77+CT80</f>
        <v>4955617.6</v>
      </c>
      <c r="CU81" s="59" t="n">
        <f aca="false">CU69+CU73+CU77+CU80</f>
        <v>4953720</v>
      </c>
      <c r="CV81" s="59" t="n">
        <f aca="false">CV69+CV73+CV77+CV80</f>
        <v>4953720</v>
      </c>
      <c r="CW81" s="59" t="n">
        <f aca="false">CW69+CW73+CW77+CW80</f>
        <v>4953720</v>
      </c>
      <c r="CX81" s="59" t="n">
        <f aca="false">CX69+CX73+CX77+CX80</f>
        <v>4953720</v>
      </c>
      <c r="CY81" s="59" t="n">
        <f aca="false">CY69+CY73+CY77+CY80</f>
        <v>4953720</v>
      </c>
      <c r="CZ81" s="59" t="n">
        <f aca="false">CZ69+CZ73+CZ77+CZ80</f>
        <v>4953720</v>
      </c>
      <c r="DA81" s="59" t="n">
        <f aca="false">DA69+DA73+DA77+DA80</f>
        <v>4953720</v>
      </c>
      <c r="DB81" s="59" t="n">
        <f aca="false">DB69+DB73+DB77+DB80</f>
        <v>4953720</v>
      </c>
      <c r="DC81" s="59" t="n">
        <f aca="false">DC69+DC73+DC77+DC80</f>
        <v>4953720</v>
      </c>
      <c r="DD81" s="59" t="n">
        <f aca="false">DD69+DD73+DD77+DD80</f>
        <v>4953720</v>
      </c>
      <c r="DE81" s="59" t="n">
        <f aca="false">DE69+DE73+DE77+DE80</f>
        <v>4953720</v>
      </c>
      <c r="DF81" s="59" t="n">
        <f aca="false">DF69+DF73+DF77+DF80</f>
        <v>4953720</v>
      </c>
      <c r="DG81" s="59" t="n">
        <f aca="false">DG69+DG73+DG77+DG80</f>
        <v>4953720</v>
      </c>
      <c r="DH81" s="59" t="n">
        <f aca="false">DH69+DH73+DH77+DH80</f>
        <v>4953720</v>
      </c>
      <c r="DI81" s="59" t="n">
        <f aca="false">DI69+DI73+DI77+DI80</f>
        <v>4953720</v>
      </c>
      <c r="DJ81" s="59" t="n">
        <f aca="false">DJ69+DJ73+DJ77+DJ80</f>
        <v>4953720</v>
      </c>
      <c r="DK81" s="59" t="n">
        <f aca="false">DK69+DK73+DK77+DK80</f>
        <v>4953720</v>
      </c>
      <c r="DL81" s="59" t="n">
        <f aca="false">DL69+DL73+DL77+DL80</f>
        <v>4953720</v>
      </c>
      <c r="DM81" s="59" t="n">
        <f aca="false">DM69+DM73+DM77+DM80</f>
        <v>4953720</v>
      </c>
      <c r="DN81" s="59" t="n">
        <f aca="false">DN69+DN73+DN77+DN80</f>
        <v>4953720</v>
      </c>
      <c r="DO81" s="59" t="n">
        <f aca="false">DO69+DO73+DO77+DO80</f>
        <v>4953720</v>
      </c>
      <c r="DP81" s="59" t="n">
        <f aca="false">DP69+DP73+DP77+DP80</f>
        <v>4953720</v>
      </c>
      <c r="DQ81" s="59" t="n">
        <f aca="false">DQ69+DQ73+DQ77+DQ80</f>
        <v>4953720</v>
      </c>
      <c r="DR81" s="59" t="n">
        <f aca="false">DR69+DR73+DR77+DR80</f>
        <v>4953720</v>
      </c>
      <c r="DS81" s="59" t="n">
        <f aca="false">DS69+DS73+DS77+DS80</f>
        <v>4953720</v>
      </c>
      <c r="DT81" s="59" t="n">
        <f aca="false">DT69+DT73+DT77+DT80</f>
        <v>4952272.8</v>
      </c>
      <c r="DU81" s="59" t="n">
        <f aca="false">DU69+DU73+DU77+DU80</f>
        <v>4952272.8</v>
      </c>
      <c r="DV81" s="59" t="n">
        <f aca="false">DV69+DV73+DV77+DV80</f>
        <v>4953660</v>
      </c>
      <c r="DW81" s="59" t="n">
        <f aca="false">DW69+DW73+DW77+DW80</f>
        <v>4951920</v>
      </c>
      <c r="DX81" s="59" t="n">
        <f aca="false">DX69+DX73+DX77+DX80</f>
        <v>4951920</v>
      </c>
      <c r="DY81" s="59" t="n">
        <f aca="false">DY69+DY73+DY77+DY80</f>
        <v>4947690</v>
      </c>
      <c r="DZ81" s="59" t="n">
        <f aca="false">DZ69+DZ73+DZ77+DZ80</f>
        <v>4947690</v>
      </c>
      <c r="EA81" s="59" t="n">
        <f aca="false">EA69+EA73+EA77+EA80</f>
        <v>4947690</v>
      </c>
      <c r="EB81" s="59" t="n">
        <f aca="false">EB69+EB73+EB77+EB80</f>
        <v>4913918.01980198</v>
      </c>
      <c r="EC81" s="59" t="n">
        <f aca="false">EC69+EC73+EC77+EC80</f>
        <v>4913520</v>
      </c>
      <c r="ED81" s="59" t="n">
        <f aca="false">ED69+ED73+ED77+ED80</f>
        <v>4953720</v>
      </c>
      <c r="EE81" s="59" t="n">
        <f aca="false">EE69+EE73+EE77+EE80</f>
        <v>4953720</v>
      </c>
      <c r="EF81" s="59" t="n">
        <f aca="false">EF69+EF73+EF77+EF80</f>
        <v>5377500</v>
      </c>
      <c r="EG81" s="59" t="n">
        <f aca="false">EG69+EG73+EG77+EG80</f>
        <v>5431275</v>
      </c>
      <c r="EH81" s="59" t="n">
        <f aca="false">EH69+EH73+EH77+EH80</f>
        <v>5419575</v>
      </c>
      <c r="EI81" s="59" t="n">
        <f aca="false">EI69+EI73+EI77+EI80</f>
        <v>5419575</v>
      </c>
      <c r="EJ81" s="59" t="n">
        <f aca="false">EJ69+EJ73+EJ77+EJ80</f>
        <v>5420000</v>
      </c>
      <c r="EK81" s="59" t="n">
        <f aca="false">EK69+EK73+EK77+EK80</f>
        <v>5377500</v>
      </c>
      <c r="EL81" s="59" t="n">
        <f aca="false">EL69+EL73+EL77+EL80</f>
        <v>5377500</v>
      </c>
      <c r="EM81" s="59" t="n">
        <f aca="false">EM69+EM73+EM77+EM80</f>
        <v>5377500</v>
      </c>
      <c r="EN81" s="59" t="n">
        <f aca="false">EN69+EN73+EN77+EN80</f>
        <v>5377500</v>
      </c>
      <c r="EO81" s="59" t="n">
        <f aca="false">EO69+EO73+EO77+EO80</f>
        <v>5377500</v>
      </c>
      <c r="EP81" s="59" t="n">
        <f aca="false">EP69+EP73+EP77+EP80</f>
        <v>5377500</v>
      </c>
      <c r="EQ81" s="59" t="n">
        <f aca="false">EQ69+EQ73+EQ77+EQ80</f>
        <v>5377500</v>
      </c>
      <c r="ER81" s="59" t="n">
        <f aca="false">ER69+ER73+ER77+ER80</f>
        <v>5377500</v>
      </c>
      <c r="ES81" s="59" t="n">
        <f aca="false">ES69+ES73+ES77+ES80</f>
        <v>5377500</v>
      </c>
      <c r="ET81" s="59" t="n">
        <f aca="false">ET69+ET73+ET77+ET80</f>
        <v>5377500</v>
      </c>
      <c r="EU81" s="59" t="n">
        <f aca="false">EU69+EU73+EU77+EU80</f>
        <v>5377500</v>
      </c>
      <c r="EV81" s="59" t="n">
        <f aca="false">EV69+EV73+EV77+EV80</f>
        <v>5377500</v>
      </c>
      <c r="EW81" s="59" t="n">
        <f aca="false">EW69+EW73+EW77+EW80</f>
        <v>5377500</v>
      </c>
      <c r="EX81" s="59" t="n">
        <f aca="false">EX69+EX73+EX77+EX80</f>
        <v>5377500</v>
      </c>
      <c r="EY81" s="59" t="n">
        <f aca="false">EY69+EY73+EY77+EY80</f>
        <v>5377500</v>
      </c>
      <c r="EZ81" s="59" t="n">
        <f aca="false">EZ69+EZ73+EZ77+EZ80</f>
        <v>5377500</v>
      </c>
      <c r="FA81" s="59" t="n">
        <f aca="false">FA69+FA73+FA77+FA80</f>
        <v>5377500</v>
      </c>
      <c r="FB81" s="59" t="n">
        <f aca="false">FB69+FB73+FB77+FB80</f>
        <v>5377500</v>
      </c>
      <c r="FC81" s="59" t="n">
        <f aca="false">FC69+FC73+FC77+FC80</f>
        <v>5377500</v>
      </c>
      <c r="FD81" s="59" t="n">
        <f aca="false">FD69+FD73+FD77+FD80</f>
        <v>5377500</v>
      </c>
      <c r="FE81" s="59" t="n">
        <f aca="false">FE69+FE73+FE77+FE80</f>
        <v>5377500</v>
      </c>
      <c r="FF81" s="59" t="n">
        <f aca="false">FF69+FF73+FF77+FF80</f>
        <v>5377500</v>
      </c>
      <c r="FG81" s="59" t="n">
        <f aca="false">FG69+FG73+FG77+FG80</f>
        <v>5377500</v>
      </c>
      <c r="FH81" s="59" t="n">
        <f aca="false">FH69+FH73+FH77+FH80</f>
        <v>5377500</v>
      </c>
      <c r="FI81" s="59" t="n">
        <f aca="false">FI69+FI73+FI77+FI80</f>
        <v>5377500</v>
      </c>
      <c r="FJ81" s="59" t="n">
        <f aca="false">FJ69+FJ73+FJ77+FJ80</f>
        <v>5346562.5</v>
      </c>
      <c r="FK81" s="59" t="n">
        <f aca="false">FK69+FK73+FK77+FK80</f>
        <v>5346562.5</v>
      </c>
      <c r="FL81" s="59" t="n">
        <f aca="false">FL69+FL73+FL77+FL80</f>
        <v>5373000</v>
      </c>
      <c r="FM81" s="59" t="n">
        <f aca="false">FM69+FM73+FM77+FM80</f>
        <v>5370300</v>
      </c>
      <c r="FN81" s="59" t="n">
        <f aca="false">FN69+FN73+FN77+FN80</f>
        <v>5370300</v>
      </c>
      <c r="FO81" s="59" t="n">
        <f aca="false">FO69+FO73+FO77+FO80</f>
        <v>5366362.5</v>
      </c>
      <c r="FP81" s="59" t="n">
        <f aca="false">FP69+FP73+FP77+FP80</f>
        <v>5366362.5</v>
      </c>
      <c r="FQ81" s="59" t="n">
        <f aca="false">FQ69+FQ73+FQ77+FQ80</f>
        <v>5366362.5</v>
      </c>
      <c r="FR81" s="59" t="n">
        <f aca="false">FR69+FR73+FR77+FR80</f>
        <v>5377500</v>
      </c>
      <c r="FS81" s="59" t="n">
        <f aca="false">FS69+FS73+FS77+FS80</f>
        <v>5377500</v>
      </c>
      <c r="FT81" s="59" t="n">
        <f aca="false">FT69+FT73+FT77+FT80</f>
        <v>5377500</v>
      </c>
      <c r="FU81" s="59" t="n">
        <f aca="false">FU69+FU73+FU77+FU80</f>
        <v>5377500</v>
      </c>
      <c r="FV81" s="59" t="n">
        <f aca="false">FV69+FV73+FV77+FV80</f>
        <v>9060666.66666667</v>
      </c>
      <c r="FW81" s="59" t="n">
        <f aca="false">FW69+FW73+FW77+FW80</f>
        <v>9151273.33333334</v>
      </c>
      <c r="FX81" s="59" t="n">
        <f aca="false">FX69+FX73+FX77+FX80</f>
        <v>9150733.33333334</v>
      </c>
      <c r="FY81" s="59" t="n">
        <f aca="false">FY69+FY73+FY77+FY80</f>
        <v>9150733.33333334</v>
      </c>
      <c r="FZ81" s="59" t="n">
        <f aca="false">FZ69+FZ73+FZ77+FZ80</f>
        <v>9151643.0976431</v>
      </c>
      <c r="GA81" s="59" t="n">
        <f aca="false">GA69+GA73+GA77+GA80</f>
        <v>9060666.66666667</v>
      </c>
      <c r="GB81" s="59" t="n">
        <f aca="false">GB69+GB73+GB77+GB80</f>
        <v>9060666.66666667</v>
      </c>
      <c r="GC81" s="59" t="n">
        <f aca="false">GC69+GC73+GC77+GC80</f>
        <v>9060666.66666667</v>
      </c>
      <c r="GD81" s="59" t="n">
        <f aca="false">GD69+GD73+GD77+GD80</f>
        <v>9060666.66666667</v>
      </c>
      <c r="GE81" s="59" t="n">
        <f aca="false">GE69+GE73+GE77+GE80</f>
        <v>9060666.66666667</v>
      </c>
      <c r="GF81" s="59" t="n">
        <f aca="false">GF69+GF73+GF77+GF80</f>
        <v>9060666.66666667</v>
      </c>
      <c r="GG81" s="59" t="n">
        <f aca="false">GG69+GG73+GG77+GG80</f>
        <v>9060666.66666667</v>
      </c>
      <c r="GH81" s="59" t="n">
        <f aca="false">GH69+GH73+GH77+GH80</f>
        <v>9060666.66666667</v>
      </c>
      <c r="GI81" s="59" t="n">
        <f aca="false">GI69+GI73+GI77+GI80</f>
        <v>9060666.66666667</v>
      </c>
      <c r="GJ81" s="59" t="n">
        <f aca="false">GJ69+GJ73+GJ77+GJ80</f>
        <v>9060666.66666667</v>
      </c>
      <c r="GK81" s="59" t="n">
        <f aca="false">GK69+GK73+GK77+GK80</f>
        <v>9060666.66666667</v>
      </c>
      <c r="GL81" s="59" t="n">
        <f aca="false">GL69+GL73+GL77+GL80</f>
        <v>9060666.66666667</v>
      </c>
      <c r="GM81" s="59" t="n">
        <f aca="false">GM69+GM73+GM77+GM80</f>
        <v>9060666.66666667</v>
      </c>
      <c r="GN81" s="59" t="n">
        <f aca="false">GN69+GN73+GN77+GN80</f>
        <v>9060666.66666667</v>
      </c>
      <c r="GO81" s="59" t="n">
        <f aca="false">GO69+GO73+GO77+GO80</f>
        <v>9060666.66666667</v>
      </c>
      <c r="GP81" s="59" t="n">
        <f aca="false">GP69+GP73+GP77+GP80</f>
        <v>9060666.66666667</v>
      </c>
      <c r="GQ81" s="59" t="n">
        <f aca="false">GQ69+GQ73+GQ77+GQ80</f>
        <v>9060666.66666667</v>
      </c>
      <c r="GR81" s="59" t="n">
        <f aca="false">GR69+GR73+GR77+GR80</f>
        <v>9060666.66666667</v>
      </c>
      <c r="GS81" s="59" t="n">
        <f aca="false">GS69+GS73+GS77+GS80</f>
        <v>9060666.66666667</v>
      </c>
      <c r="GT81" s="59" t="n">
        <f aca="false">GT69+GT73+GT77+GT80</f>
        <v>9060666.66666667</v>
      </c>
      <c r="GU81" s="59" t="n">
        <f aca="false">GU69+GU73+GU77+GU80</f>
        <v>9060666.66666667</v>
      </c>
      <c r="GV81" s="59" t="n">
        <f aca="false">GV69+GV73+GV77+GV80</f>
        <v>9060666.66666667</v>
      </c>
      <c r="GW81" s="59" t="n">
        <f aca="false">GW69+GW73+GW77+GW80</f>
        <v>9060666.66666667</v>
      </c>
      <c r="GX81" s="59" t="n">
        <f aca="false">GX69+GX73+GX77+GX80</f>
        <v>9060666.66666667</v>
      </c>
      <c r="GY81" s="59" t="n">
        <f aca="false">GY69+GY73+GY77+GY80</f>
        <v>9060666.66666667</v>
      </c>
      <c r="GZ81" s="59" t="n">
        <f aca="false">GZ69+GZ73+GZ77+GZ80</f>
        <v>9052266.66666667</v>
      </c>
      <c r="HA81" s="59" t="n">
        <f aca="false">HA69+HA73+HA77+HA80</f>
        <v>9052266.66666667</v>
      </c>
      <c r="HB81" s="59" t="n">
        <f aca="false">HB69+HB73+HB77+HB80</f>
        <v>9060606.66666667</v>
      </c>
      <c r="HC81" s="59" t="n">
        <f aca="false">HC69+HC73+HC77+HC80</f>
        <v>9060186.66666667</v>
      </c>
      <c r="HD81" s="59" t="n">
        <f aca="false">HD69+HD73+HD77+HD80</f>
        <v>9060186.66666667</v>
      </c>
      <c r="HE81" s="59" t="n">
        <f aca="false">HE69+HE73+HE77+HE80</f>
        <v>9053666.66666667</v>
      </c>
      <c r="HF81" s="59" t="n">
        <f aca="false">HF69+HF73+HF77+HF80</f>
        <v>9053666.66666667</v>
      </c>
      <c r="HG81" s="59" t="n">
        <f aca="false">HG69+HG73+HG77+HG80</f>
        <v>9053666.66666667</v>
      </c>
      <c r="HH81" s="59" t="n">
        <f aca="false">HH69+HH73+HH77+HH80</f>
        <v>8986739.27392739</v>
      </c>
      <c r="HI81" s="59" t="n">
        <f aca="false">HI69+HI73+HI77+HI80</f>
        <v>8986000</v>
      </c>
      <c r="HJ81" s="59" t="n">
        <f aca="false">HJ69+HJ73+HJ77+HJ80</f>
        <v>9060666.66666667</v>
      </c>
      <c r="HK81" s="59" t="n">
        <f aca="false">HK69+HK73+HK77+HK80</f>
        <v>9060666.66666667</v>
      </c>
      <c r="HL81" s="59" t="n">
        <f aca="false">HL69+HL73+HL77+HL80</f>
        <v>5523000</v>
      </c>
      <c r="HM81" s="59" t="n">
        <f aca="false">HM69+HM73+HM77+HM80</f>
        <v>5578230</v>
      </c>
      <c r="HN81" s="59" t="n">
        <f aca="false">HN69+HN73+HN77+HN80</f>
        <v>5576370</v>
      </c>
      <c r="HO81" s="59" t="n">
        <f aca="false">HO69+HO73+HO77+HO80</f>
        <v>5576370</v>
      </c>
      <c r="HP81" s="59" t="n">
        <f aca="false">HP69+HP73+HP77+HP80</f>
        <v>5576909.09090909</v>
      </c>
      <c r="HQ81" s="59" t="n">
        <f aca="false">HQ69+HQ73+HQ77+HQ80</f>
        <v>5523000</v>
      </c>
      <c r="HR81" s="59" t="n">
        <f aca="false">HR69+HR73+HR77+HR80</f>
        <v>5523000</v>
      </c>
      <c r="HS81" s="59" t="n">
        <f aca="false">HS69+HS73+HS77+HS80</f>
        <v>5523000</v>
      </c>
      <c r="HT81" s="59" t="n">
        <f aca="false">HT69+HT73+HT77+HT80</f>
        <v>5523000</v>
      </c>
      <c r="HU81" s="59" t="n">
        <f aca="false">HU69+HU73+HU77+HU80</f>
        <v>5523000</v>
      </c>
      <c r="HV81" s="59" t="n">
        <f aca="false">HV69+HV73+HV77+HV80</f>
        <v>5523000</v>
      </c>
      <c r="HW81" s="59" t="n">
        <f aca="false">HW69+HW73+HW77+HW80</f>
        <v>5523000</v>
      </c>
      <c r="HX81" s="59" t="n">
        <f aca="false">HX69+HX73+HX77+HX80</f>
        <v>5523000</v>
      </c>
      <c r="HY81" s="59" t="n">
        <f aca="false">HY69+HY73+HY77+HY80</f>
        <v>5523000</v>
      </c>
      <c r="HZ81" s="59" t="n">
        <f aca="false">HZ69+HZ73+HZ77+HZ80</f>
        <v>5523000</v>
      </c>
      <c r="IA81" s="59" t="n">
        <f aca="false">IA69+IA73+IA77+IA80</f>
        <v>5523000</v>
      </c>
      <c r="IB81" s="59" t="n">
        <f aca="false">IB69+IB73+IB77+IB80</f>
        <v>5523000</v>
      </c>
      <c r="IC81" s="59" t="n">
        <f aca="false">IC69+IC73+IC77+IC80</f>
        <v>5523000</v>
      </c>
      <c r="ID81" s="59" t="n">
        <f aca="false">ID69+ID73+ID77+ID80</f>
        <v>5523000</v>
      </c>
      <c r="IE81" s="59" t="n">
        <f aca="false">IE69+IE73+IE77+IE80</f>
        <v>5523000</v>
      </c>
      <c r="IF81" s="59" t="n">
        <f aca="false">IF69+IF73+IF77+IF80</f>
        <v>5523000</v>
      </c>
      <c r="IG81" s="59" t="n">
        <f aca="false">IG69+IG73+IG77+IG80</f>
        <v>5523000</v>
      </c>
      <c r="IH81" s="59" t="n">
        <f aca="false">IH69+IH73+IH77+IH80</f>
        <v>5523000</v>
      </c>
      <c r="II81" s="59" t="n">
        <f aca="false">II69+II73+II77+II80</f>
        <v>5523000</v>
      </c>
      <c r="IJ81" s="59" t="n">
        <f aca="false">IJ69+IJ73+IJ77+IJ80</f>
        <v>5523000</v>
      </c>
      <c r="IK81" s="59" t="n">
        <f aca="false">IK69+IK73+IK77+IK80</f>
        <v>5523000</v>
      </c>
      <c r="IL81" s="59" t="n">
        <f aca="false">IL69+IL73+IL77+IL80</f>
        <v>5523000</v>
      </c>
      <c r="IM81" s="59" t="n">
        <f aca="false">IM69+IM73+IM77+IM80</f>
        <v>5523000</v>
      </c>
      <c r="IN81" s="59" t="n">
        <f aca="false">IN69+IN73+IN77+IN80</f>
        <v>5523000</v>
      </c>
      <c r="IO81" s="59" t="n">
        <f aca="false">IO69+IO73+IO77+IO80</f>
        <v>5523000</v>
      </c>
      <c r="IP81" s="59" t="n">
        <f aca="false">IP69+IP73+IP77+IP80</f>
        <v>5521380</v>
      </c>
      <c r="IQ81" s="59" t="n">
        <f aca="false">IQ69+IQ73+IQ77+IQ80</f>
        <v>5521380</v>
      </c>
      <c r="IR81" s="59" t="n">
        <f aca="false">IR69+IR73+IR77+IR80</f>
        <v>5522940</v>
      </c>
      <c r="IS81" s="59" t="n">
        <f aca="false">IS69+IS73+IS77+IS80</f>
        <v>5521200</v>
      </c>
      <c r="IT81" s="59" t="n">
        <f aca="false">IT69+IT73+IT77+IT80</f>
        <v>5521200</v>
      </c>
      <c r="IU81" s="59" t="n">
        <f aca="false">IU69+IU73+IU77+IU80</f>
        <v>5516250</v>
      </c>
      <c r="IV81" s="59" t="n">
        <f aca="false">IV69+IV73+IV77+IV80</f>
        <v>5516250</v>
      </c>
      <c r="IW81" s="59" t="n">
        <f aca="false">IW69+IW73+IW77+IW80</f>
        <v>5516250</v>
      </c>
      <c r="IX81" s="59" t="n">
        <f aca="false">IX69+IX73+IX77+IX80</f>
        <v>5478445.54455446</v>
      </c>
      <c r="IY81" s="59" t="n">
        <f aca="false">IY69+IY73+IY77+IY80</f>
        <v>5478000</v>
      </c>
      <c r="IZ81" s="59" t="n">
        <f aca="false">IZ69+IZ73+IZ77+IZ80</f>
        <v>5523000</v>
      </c>
      <c r="JA81" s="59" t="n">
        <f aca="false">JA69+JA73+JA77+JA80</f>
        <v>5523000</v>
      </c>
    </row>
    <row r="82" customFormat="false" ht="15" hidden="false" customHeight="false" outlineLevel="0" collapsed="false">
      <c r="A82" s="4" t="s">
        <v>428</v>
      </c>
      <c r="B82" s="5"/>
      <c r="C82" s="5"/>
      <c r="D82" s="5"/>
      <c r="E82" s="5"/>
      <c r="F82" s="5"/>
      <c r="G82" s="5"/>
      <c r="H82" s="5"/>
    </row>
    <row r="83" customFormat="false" ht="15" hidden="false" customHeight="false" outlineLevel="0" collapsed="false">
      <c r="A83" s="13" t="s">
        <v>291</v>
      </c>
      <c r="B83" s="13" t="s">
        <v>292</v>
      </c>
      <c r="C83" s="13" t="s">
        <v>179</v>
      </c>
      <c r="D83" s="9" t="s">
        <v>36</v>
      </c>
      <c r="E83" s="14" t="n">
        <f aca="false">INDEX(Вводные!$D$13:$F$64,MATCH($A83,Вводные!$A$13:$A$64,0),MATCH(E$3,Вводные!$D$11:$F$11,0))*(1+IF(E$4=$A83,Вводные!$D$5*INDEX(Вводные!$G$13:$G$64,MATCH($A83,Вводные!$A$13:$A$64,0)),0))</f>
        <v>80</v>
      </c>
      <c r="F83" s="14" t="n">
        <f aca="false">INDEX(Вводные!$D$13:$F$64,MATCH($A83,Вводные!$A$13:$A$64,0),MATCH(F$3,Вводные!$D$11:$F$11,0))*(1+IF(F$4=$A83,Вводные!$D$5*INDEX(Вводные!$G$13:$G$64,MATCH($A83,Вводные!$A$13:$A$64,0)),0))</f>
        <v>1500</v>
      </c>
      <c r="G83" s="14" t="n">
        <f aca="false">INDEX(Вводные!$D$13:$F$64,MATCH($A83,Вводные!$A$13:$A$64,0),MATCH(G$3,Вводные!$D$11:$F$11,0))*(1+IF(G$4=$A83,Вводные!$D$5*INDEX(Вводные!$G$13:$G$64,MATCH($A83,Вводные!$A$13:$A$64,0)),0))</f>
        <v>15000</v>
      </c>
      <c r="H83" s="59"/>
      <c r="J83" s="14" t="n">
        <f aca="false">INDEX(Вводные!$D$13:$F$64,MATCH($A83,Вводные!$A$13:$A$64,0),MATCH(J$3,Вводные!$D$11:$F$11,0))*(1+IF(J$4=$A83,Вводные!$D$5*INDEX(Вводные!$G$13:$G$64,MATCH($A83,Вводные!$A$13:$A$64,0)),0))</f>
        <v>80</v>
      </c>
      <c r="K83" s="14" t="n">
        <f aca="false">INDEX(Вводные!$D$13:$F$64,MATCH($A83,Вводные!$A$13:$A$64,0),MATCH(K$3,Вводные!$D$11:$F$11,0))*(1+IF(K$4=$A83,Вводные!$D$5*INDEX(Вводные!$G$13:$G$64,MATCH($A83,Вводные!$A$13:$A$64,0)),0))</f>
        <v>80</v>
      </c>
      <c r="L83" s="14" t="n">
        <f aca="false">INDEX(Вводные!$D$13:$F$64,MATCH($A83,Вводные!$A$13:$A$64,0),MATCH(L$3,Вводные!$D$11:$F$11,0))*(1+IF(L$4=$A83,Вводные!$D$5*INDEX(Вводные!$G$13:$G$64,MATCH($A83,Вводные!$A$13:$A$64,0)),0))</f>
        <v>80</v>
      </c>
      <c r="M83" s="14" t="n">
        <f aca="false">INDEX(Вводные!$D$13:$F$64,MATCH($A83,Вводные!$A$13:$A$64,0),MATCH(M$3,Вводные!$D$11:$F$11,0))*(1+IF(M$4=$A83,Вводные!$D$5*INDEX(Вводные!$G$13:$G$64,MATCH($A83,Вводные!$A$13:$A$64,0)),0))</f>
        <v>80</v>
      </c>
      <c r="N83" s="14" t="n">
        <f aca="false">INDEX(Вводные!$D$13:$F$64,MATCH($A83,Вводные!$A$13:$A$64,0),MATCH(N$3,Вводные!$D$11:$F$11,0))*(1+IF(N$4=$A83,Вводные!$D$5*INDEX(Вводные!$G$13:$G$64,MATCH($A83,Вводные!$A$13:$A$64,0)),0))</f>
        <v>80</v>
      </c>
      <c r="O83" s="14" t="n">
        <f aca="false">INDEX(Вводные!$D$13:$F$64,MATCH($A83,Вводные!$A$13:$A$64,0),MATCH(O$3,Вводные!$D$11:$F$11,0))*(1+IF(O$4=$A83,Вводные!$D$5*INDEX(Вводные!$G$13:$G$64,MATCH($A83,Вводные!$A$13:$A$64,0)),0))</f>
        <v>80</v>
      </c>
      <c r="P83" s="14" t="n">
        <f aca="false">INDEX(Вводные!$D$13:$F$64,MATCH($A83,Вводные!$A$13:$A$64,0),MATCH(P$3,Вводные!$D$11:$F$11,0))*(1+IF(P$4=$A83,Вводные!$D$5*INDEX(Вводные!$G$13:$G$64,MATCH($A83,Вводные!$A$13:$A$64,0)),0))</f>
        <v>80</v>
      </c>
      <c r="Q83" s="14" t="n">
        <f aca="false">INDEX(Вводные!$D$13:$F$64,MATCH($A83,Вводные!$A$13:$A$64,0),MATCH(Q$3,Вводные!$D$11:$F$11,0))*(1+IF(Q$4=$A83,Вводные!$D$5*INDEX(Вводные!$G$13:$G$64,MATCH($A83,Вводные!$A$13:$A$64,0)),0))</f>
        <v>80</v>
      </c>
      <c r="R83" s="14" t="n">
        <f aca="false">INDEX(Вводные!$D$13:$F$64,MATCH($A83,Вводные!$A$13:$A$64,0),MATCH(R$3,Вводные!$D$11:$F$11,0))*(1+IF(R$4=$A83,Вводные!$D$5*INDEX(Вводные!$G$13:$G$64,MATCH($A83,Вводные!$A$13:$A$64,0)),0))</f>
        <v>80</v>
      </c>
      <c r="S83" s="14" t="n">
        <f aca="false">INDEX(Вводные!$D$13:$F$64,MATCH($A83,Вводные!$A$13:$A$64,0),MATCH(S$3,Вводные!$D$11:$F$11,0))*(1+IF(S$4=$A83,Вводные!$D$5*INDEX(Вводные!$G$13:$G$64,MATCH($A83,Вводные!$A$13:$A$64,0)),0))</f>
        <v>80</v>
      </c>
      <c r="T83" s="14" t="n">
        <f aca="false">INDEX(Вводные!$D$13:$F$64,MATCH($A83,Вводные!$A$13:$A$64,0),MATCH(T$3,Вводные!$D$11:$F$11,0))*(1+IF(T$4=$A83,Вводные!$D$5*INDEX(Вводные!$G$13:$G$64,MATCH($A83,Вводные!$A$13:$A$64,0)),0))</f>
        <v>80</v>
      </c>
      <c r="U83" s="14" t="n">
        <f aca="false">INDEX(Вводные!$D$13:$F$64,MATCH($A83,Вводные!$A$13:$A$64,0),MATCH(U$3,Вводные!$D$11:$F$11,0))*(1+IF(U$4=$A83,Вводные!$D$5*INDEX(Вводные!$G$13:$G$64,MATCH($A83,Вводные!$A$13:$A$64,0)),0))</f>
        <v>80</v>
      </c>
      <c r="V83" s="14" t="n">
        <f aca="false">INDEX(Вводные!$D$13:$F$64,MATCH($A83,Вводные!$A$13:$A$64,0),MATCH(V$3,Вводные!$D$11:$F$11,0))*(1+IF(V$4=$A83,Вводные!$D$5*INDEX(Вводные!$G$13:$G$64,MATCH($A83,Вводные!$A$13:$A$64,0)),0))</f>
        <v>80</v>
      </c>
      <c r="W83" s="14" t="n">
        <f aca="false">INDEX(Вводные!$D$13:$F$64,MATCH($A83,Вводные!$A$13:$A$64,0),MATCH(W$3,Вводные!$D$11:$F$11,0))*(1+IF(W$4=$A83,Вводные!$D$5*INDEX(Вводные!$G$13:$G$64,MATCH($A83,Вводные!$A$13:$A$64,0)),0))</f>
        <v>80</v>
      </c>
      <c r="X83" s="14" t="n">
        <f aca="false">INDEX(Вводные!$D$13:$F$64,MATCH($A83,Вводные!$A$13:$A$64,0),MATCH(X$3,Вводные!$D$11:$F$11,0))*(1+IF(X$4=$A83,Вводные!$D$5*INDEX(Вводные!$G$13:$G$64,MATCH($A83,Вводные!$A$13:$A$64,0)),0))</f>
        <v>80</v>
      </c>
      <c r="Y83" s="14" t="n">
        <f aca="false">INDEX(Вводные!$D$13:$F$64,MATCH($A83,Вводные!$A$13:$A$64,0),MATCH(Y$3,Вводные!$D$11:$F$11,0))*(1+IF(Y$4=$A83,Вводные!$D$5*INDEX(Вводные!$G$13:$G$64,MATCH($A83,Вводные!$A$13:$A$64,0)),0))</f>
        <v>80</v>
      </c>
      <c r="Z83" s="14" t="n">
        <f aca="false">INDEX(Вводные!$D$13:$F$64,MATCH($A83,Вводные!$A$13:$A$64,0),MATCH(Z$3,Вводные!$D$11:$F$11,0))*(1+IF(Z$4=$A83,Вводные!$D$5*INDEX(Вводные!$G$13:$G$64,MATCH($A83,Вводные!$A$13:$A$64,0)),0))</f>
        <v>80</v>
      </c>
      <c r="AA83" s="14" t="n">
        <f aca="false">INDEX(Вводные!$D$13:$F$64,MATCH($A83,Вводные!$A$13:$A$64,0),MATCH(AA$3,Вводные!$D$11:$F$11,0))*(1+IF(AA$4=$A83,Вводные!$D$5*INDEX(Вводные!$G$13:$G$64,MATCH($A83,Вводные!$A$13:$A$64,0)),0))</f>
        <v>80</v>
      </c>
      <c r="AB83" s="14" t="n">
        <f aca="false">INDEX(Вводные!$D$13:$F$64,MATCH($A83,Вводные!$A$13:$A$64,0),MATCH(AB$3,Вводные!$D$11:$F$11,0))*(1+IF(AB$4=$A83,Вводные!$D$5*INDEX(Вводные!$G$13:$G$64,MATCH($A83,Вводные!$A$13:$A$64,0)),0))</f>
        <v>80</v>
      </c>
      <c r="AC83" s="14" t="n">
        <f aca="false">INDEX(Вводные!$D$13:$F$64,MATCH($A83,Вводные!$A$13:$A$64,0),MATCH(AC$3,Вводные!$D$11:$F$11,0))*(1+IF(AC$4=$A83,Вводные!$D$5*INDEX(Вводные!$G$13:$G$64,MATCH($A83,Вводные!$A$13:$A$64,0)),0))</f>
        <v>80</v>
      </c>
      <c r="AD83" s="14" t="n">
        <f aca="false">INDEX(Вводные!$D$13:$F$64,MATCH($A83,Вводные!$A$13:$A$64,0),MATCH(AD$3,Вводные!$D$11:$F$11,0))*(1+IF(AD$4=$A83,Вводные!$D$5*INDEX(Вводные!$G$13:$G$64,MATCH($A83,Вводные!$A$13:$A$64,0)),0))</f>
        <v>80</v>
      </c>
      <c r="AE83" s="14" t="n">
        <f aca="false">INDEX(Вводные!$D$13:$F$64,MATCH($A83,Вводные!$A$13:$A$64,0),MATCH(AE$3,Вводные!$D$11:$F$11,0))*(1+IF(AE$4=$A83,Вводные!$D$5*INDEX(Вводные!$G$13:$G$64,MATCH($A83,Вводные!$A$13:$A$64,0)),0))</f>
        <v>80</v>
      </c>
      <c r="AF83" s="14" t="n">
        <f aca="false">INDEX(Вводные!$D$13:$F$64,MATCH($A83,Вводные!$A$13:$A$64,0),MATCH(AF$3,Вводные!$D$11:$F$11,0))*(1+IF(AF$4=$A83,Вводные!$D$5*INDEX(Вводные!$G$13:$G$64,MATCH($A83,Вводные!$A$13:$A$64,0)),0))</f>
        <v>80</v>
      </c>
      <c r="AG83" s="14" t="n">
        <f aca="false">INDEX(Вводные!$D$13:$F$64,MATCH($A83,Вводные!$A$13:$A$64,0),MATCH(AG$3,Вводные!$D$11:$F$11,0))*(1+IF(AG$4=$A83,Вводные!$D$5*INDEX(Вводные!$G$13:$G$64,MATCH($A83,Вводные!$A$13:$A$64,0)),0))</f>
        <v>80</v>
      </c>
      <c r="AH83" s="14" t="n">
        <f aca="false">INDEX(Вводные!$D$13:$F$64,MATCH($A83,Вводные!$A$13:$A$64,0),MATCH(AH$3,Вводные!$D$11:$F$11,0))*(1+IF(AH$4=$A83,Вводные!$D$5*INDEX(Вводные!$G$13:$G$64,MATCH($A83,Вводные!$A$13:$A$64,0)),0))</f>
        <v>80</v>
      </c>
      <c r="AI83" s="14" t="n">
        <f aca="false">INDEX(Вводные!$D$13:$F$64,MATCH($A83,Вводные!$A$13:$A$64,0),MATCH(AI$3,Вводные!$D$11:$F$11,0))*(1+IF(AI$4=$A83,Вводные!$D$5*INDEX(Вводные!$G$13:$G$64,MATCH($A83,Вводные!$A$13:$A$64,0)),0))</f>
        <v>80</v>
      </c>
      <c r="AJ83" s="14" t="n">
        <f aca="false">INDEX(Вводные!$D$13:$F$64,MATCH($A83,Вводные!$A$13:$A$64,0),MATCH(AJ$3,Вводные!$D$11:$F$11,0))*(1+IF(AJ$4=$A83,Вводные!$D$5*INDEX(Вводные!$G$13:$G$64,MATCH($A83,Вводные!$A$13:$A$64,0)),0))</f>
        <v>80</v>
      </c>
      <c r="AK83" s="14" t="n">
        <f aca="false">INDEX(Вводные!$D$13:$F$64,MATCH($A83,Вводные!$A$13:$A$64,0),MATCH(AK$3,Вводные!$D$11:$F$11,0))*(1+IF(AK$4=$A83,Вводные!$D$5*INDEX(Вводные!$G$13:$G$64,MATCH($A83,Вводные!$A$13:$A$64,0)),0))</f>
        <v>80</v>
      </c>
      <c r="AL83" s="14" t="n">
        <f aca="false">INDEX(Вводные!$D$13:$F$64,MATCH($A83,Вводные!$A$13:$A$64,0),MATCH(AL$3,Вводные!$D$11:$F$11,0))*(1+IF(AL$4=$A83,Вводные!$D$5*INDEX(Вводные!$G$13:$G$64,MATCH($A83,Вводные!$A$13:$A$64,0)),0))</f>
        <v>80</v>
      </c>
      <c r="AM83" s="14" t="n">
        <f aca="false">INDEX(Вводные!$D$13:$F$64,MATCH($A83,Вводные!$A$13:$A$64,0),MATCH(AM$3,Вводные!$D$11:$F$11,0))*(1+IF(AM$4=$A83,Вводные!$D$5*INDEX(Вводные!$G$13:$G$64,MATCH($A83,Вводные!$A$13:$A$64,0)),0))</f>
        <v>80</v>
      </c>
      <c r="AN83" s="14" t="n">
        <f aca="false">INDEX(Вводные!$D$13:$F$64,MATCH($A83,Вводные!$A$13:$A$64,0),MATCH(AN$3,Вводные!$D$11:$F$11,0))*(1+IF(AN$4=$A83,Вводные!$D$5*INDEX(Вводные!$G$13:$G$64,MATCH($A83,Вводные!$A$13:$A$64,0)),0))</f>
        <v>80</v>
      </c>
      <c r="AO83" s="14" t="n">
        <f aca="false">INDEX(Вводные!$D$13:$F$64,MATCH($A83,Вводные!$A$13:$A$64,0),MATCH(AO$3,Вводные!$D$11:$F$11,0))*(1+IF(AO$4=$A83,Вводные!$D$5*INDEX(Вводные!$G$13:$G$64,MATCH($A83,Вводные!$A$13:$A$64,0)),0))</f>
        <v>80</v>
      </c>
      <c r="AP83" s="14" t="n">
        <f aca="false">INDEX(Вводные!$D$13:$F$64,MATCH($A83,Вводные!$A$13:$A$64,0),MATCH(AP$3,Вводные!$D$11:$F$11,0))*(1+IF(AP$4=$A83,Вводные!$D$5*INDEX(Вводные!$G$13:$G$64,MATCH($A83,Вводные!$A$13:$A$64,0)),0))</f>
        <v>80</v>
      </c>
      <c r="AQ83" s="14" t="n">
        <f aca="false">INDEX(Вводные!$D$13:$F$64,MATCH($A83,Вводные!$A$13:$A$64,0),MATCH(AQ$3,Вводные!$D$11:$F$11,0))*(1+IF(AQ$4=$A83,Вводные!$D$5*INDEX(Вводные!$G$13:$G$64,MATCH($A83,Вводные!$A$13:$A$64,0)),0))</f>
        <v>80</v>
      </c>
      <c r="AR83" s="14" t="n">
        <f aca="false">INDEX(Вводные!$D$13:$F$64,MATCH($A83,Вводные!$A$13:$A$64,0),MATCH(AR$3,Вводные!$D$11:$F$11,0))*(1+IF(AR$4=$A83,Вводные!$D$5*INDEX(Вводные!$G$13:$G$64,MATCH($A83,Вводные!$A$13:$A$64,0)),0))</f>
        <v>80</v>
      </c>
      <c r="AS83" s="14" t="n">
        <f aca="false">INDEX(Вводные!$D$13:$F$64,MATCH($A83,Вводные!$A$13:$A$64,0),MATCH(AS$3,Вводные!$D$11:$F$11,0))*(1+IF(AS$4=$A83,Вводные!$D$5*INDEX(Вводные!$G$13:$G$64,MATCH($A83,Вводные!$A$13:$A$64,0)),0))</f>
        <v>80</v>
      </c>
      <c r="AT83" s="14" t="n">
        <f aca="false">INDEX(Вводные!$D$13:$F$64,MATCH($A83,Вводные!$A$13:$A$64,0),MATCH(AT$3,Вводные!$D$11:$F$11,0))*(1+IF(AT$4=$A83,Вводные!$D$5*INDEX(Вводные!$G$13:$G$64,MATCH($A83,Вводные!$A$13:$A$64,0)),0))</f>
        <v>80</v>
      </c>
      <c r="AU83" s="14" t="n">
        <f aca="false">INDEX(Вводные!$D$13:$F$64,MATCH($A83,Вводные!$A$13:$A$64,0),MATCH(AU$3,Вводные!$D$11:$F$11,0))*(1+IF(AU$4=$A83,Вводные!$D$5*INDEX(Вводные!$G$13:$G$64,MATCH($A83,Вводные!$A$13:$A$64,0)),0))</f>
        <v>80</v>
      </c>
      <c r="AV83" s="14" t="n">
        <f aca="false">INDEX(Вводные!$D$13:$F$64,MATCH($A83,Вводные!$A$13:$A$64,0),MATCH(AV$3,Вводные!$D$11:$F$11,0))*(1+IF(AV$4=$A83,Вводные!$D$5*INDEX(Вводные!$G$13:$G$64,MATCH($A83,Вводные!$A$13:$A$64,0)),0))</f>
        <v>80</v>
      </c>
      <c r="AW83" s="14" t="n">
        <f aca="false">INDEX(Вводные!$D$13:$F$64,MATCH($A83,Вводные!$A$13:$A$64,0),MATCH(AW$3,Вводные!$D$11:$F$11,0))*(1+IF(AW$4=$A83,Вводные!$D$5*INDEX(Вводные!$G$13:$G$64,MATCH($A83,Вводные!$A$13:$A$64,0)),0))</f>
        <v>80</v>
      </c>
      <c r="AX83" s="14" t="n">
        <f aca="false">INDEX(Вводные!$D$13:$F$64,MATCH($A83,Вводные!$A$13:$A$64,0),MATCH(AX$3,Вводные!$D$11:$F$11,0))*(1+IF(AX$4=$A83,Вводные!$D$5*INDEX(Вводные!$G$13:$G$64,MATCH($A83,Вводные!$A$13:$A$64,0)),0))</f>
        <v>79.2</v>
      </c>
      <c r="AY83" s="14" t="n">
        <f aca="false">INDEX(Вводные!$D$13:$F$64,MATCH($A83,Вводные!$A$13:$A$64,0),MATCH(AY$3,Вводные!$D$11:$F$11,0))*(1+IF(AY$4=$A83,Вводные!$D$5*INDEX(Вводные!$G$13:$G$64,MATCH($A83,Вводные!$A$13:$A$64,0)),0))</f>
        <v>80</v>
      </c>
      <c r="AZ83" s="14" t="n">
        <f aca="false">INDEX(Вводные!$D$13:$F$64,MATCH($A83,Вводные!$A$13:$A$64,0),MATCH(AZ$3,Вводные!$D$11:$F$11,0))*(1+IF(AZ$4=$A83,Вводные!$D$5*INDEX(Вводные!$G$13:$G$64,MATCH($A83,Вводные!$A$13:$A$64,0)),0))</f>
        <v>1500</v>
      </c>
      <c r="BA83" s="14" t="n">
        <f aca="false">INDEX(Вводные!$D$13:$F$64,MATCH($A83,Вводные!$A$13:$A$64,0),MATCH(BA$3,Вводные!$D$11:$F$11,0))*(1+IF(BA$4=$A83,Вводные!$D$5*INDEX(Вводные!$G$13:$G$64,MATCH($A83,Вводные!$A$13:$A$64,0)),0))</f>
        <v>1500</v>
      </c>
      <c r="BB83" s="14" t="n">
        <f aca="false">INDEX(Вводные!$D$13:$F$64,MATCH($A83,Вводные!$A$13:$A$64,0),MATCH(BB$3,Вводные!$D$11:$F$11,0))*(1+IF(BB$4=$A83,Вводные!$D$5*INDEX(Вводные!$G$13:$G$64,MATCH($A83,Вводные!$A$13:$A$64,0)),0))</f>
        <v>1500</v>
      </c>
      <c r="BC83" s="14" t="n">
        <f aca="false">INDEX(Вводные!$D$13:$F$64,MATCH($A83,Вводные!$A$13:$A$64,0),MATCH(BC$3,Вводные!$D$11:$F$11,0))*(1+IF(BC$4=$A83,Вводные!$D$5*INDEX(Вводные!$G$13:$G$64,MATCH($A83,Вводные!$A$13:$A$64,0)),0))</f>
        <v>1500</v>
      </c>
      <c r="BD83" s="14" t="n">
        <f aca="false">INDEX(Вводные!$D$13:$F$64,MATCH($A83,Вводные!$A$13:$A$64,0),MATCH(BD$3,Вводные!$D$11:$F$11,0))*(1+IF(BD$4=$A83,Вводные!$D$5*INDEX(Вводные!$G$13:$G$64,MATCH($A83,Вводные!$A$13:$A$64,0)),0))</f>
        <v>1500</v>
      </c>
      <c r="BE83" s="14" t="n">
        <f aca="false">INDEX(Вводные!$D$13:$F$64,MATCH($A83,Вводные!$A$13:$A$64,0),MATCH(BE$3,Вводные!$D$11:$F$11,0))*(1+IF(BE$4=$A83,Вводные!$D$5*INDEX(Вводные!$G$13:$G$64,MATCH($A83,Вводные!$A$13:$A$64,0)),0))</f>
        <v>1500</v>
      </c>
      <c r="BF83" s="14" t="n">
        <f aca="false">INDEX(Вводные!$D$13:$F$64,MATCH($A83,Вводные!$A$13:$A$64,0),MATCH(BF$3,Вводные!$D$11:$F$11,0))*(1+IF(BF$4=$A83,Вводные!$D$5*INDEX(Вводные!$G$13:$G$64,MATCH($A83,Вводные!$A$13:$A$64,0)),0))</f>
        <v>1500</v>
      </c>
      <c r="BG83" s="14" t="n">
        <f aca="false">INDEX(Вводные!$D$13:$F$64,MATCH($A83,Вводные!$A$13:$A$64,0),MATCH(BG$3,Вводные!$D$11:$F$11,0))*(1+IF(BG$4=$A83,Вводные!$D$5*INDEX(Вводные!$G$13:$G$64,MATCH($A83,Вводные!$A$13:$A$64,0)),0))</f>
        <v>1500</v>
      </c>
      <c r="BH83" s="14" t="n">
        <f aca="false">INDEX(Вводные!$D$13:$F$64,MATCH($A83,Вводные!$A$13:$A$64,0),MATCH(BH$3,Вводные!$D$11:$F$11,0))*(1+IF(BH$4=$A83,Вводные!$D$5*INDEX(Вводные!$G$13:$G$64,MATCH($A83,Вводные!$A$13:$A$64,0)),0))</f>
        <v>1500</v>
      </c>
      <c r="BI83" s="14" t="n">
        <f aca="false">INDEX(Вводные!$D$13:$F$64,MATCH($A83,Вводные!$A$13:$A$64,0),MATCH(BI$3,Вводные!$D$11:$F$11,0))*(1+IF(BI$4=$A83,Вводные!$D$5*INDEX(Вводные!$G$13:$G$64,MATCH($A83,Вводные!$A$13:$A$64,0)),0))</f>
        <v>1500</v>
      </c>
      <c r="BJ83" s="14" t="n">
        <f aca="false">INDEX(Вводные!$D$13:$F$64,MATCH($A83,Вводные!$A$13:$A$64,0),MATCH(BJ$3,Вводные!$D$11:$F$11,0))*(1+IF(BJ$4=$A83,Вводные!$D$5*INDEX(Вводные!$G$13:$G$64,MATCH($A83,Вводные!$A$13:$A$64,0)),0))</f>
        <v>1500</v>
      </c>
      <c r="BK83" s="14" t="n">
        <f aca="false">INDEX(Вводные!$D$13:$F$64,MATCH($A83,Вводные!$A$13:$A$64,0),MATCH(BK$3,Вводные!$D$11:$F$11,0))*(1+IF(BK$4=$A83,Вводные!$D$5*INDEX(Вводные!$G$13:$G$64,MATCH($A83,Вводные!$A$13:$A$64,0)),0))</f>
        <v>1500</v>
      </c>
      <c r="BL83" s="14" t="n">
        <f aca="false">INDEX(Вводные!$D$13:$F$64,MATCH($A83,Вводные!$A$13:$A$64,0),MATCH(BL$3,Вводные!$D$11:$F$11,0))*(1+IF(BL$4=$A83,Вводные!$D$5*INDEX(Вводные!$G$13:$G$64,MATCH($A83,Вводные!$A$13:$A$64,0)),0))</f>
        <v>1500</v>
      </c>
      <c r="BM83" s="14" t="n">
        <f aca="false">INDEX(Вводные!$D$13:$F$64,MATCH($A83,Вводные!$A$13:$A$64,0),MATCH(BM$3,Вводные!$D$11:$F$11,0))*(1+IF(BM$4=$A83,Вводные!$D$5*INDEX(Вводные!$G$13:$G$64,MATCH($A83,Вводные!$A$13:$A$64,0)),0))</f>
        <v>1500</v>
      </c>
      <c r="BN83" s="14" t="n">
        <f aca="false">INDEX(Вводные!$D$13:$F$64,MATCH($A83,Вводные!$A$13:$A$64,0),MATCH(BN$3,Вводные!$D$11:$F$11,0))*(1+IF(BN$4=$A83,Вводные!$D$5*INDEX(Вводные!$G$13:$G$64,MATCH($A83,Вводные!$A$13:$A$64,0)),0))</f>
        <v>1500</v>
      </c>
      <c r="BO83" s="14" t="n">
        <f aca="false">INDEX(Вводные!$D$13:$F$64,MATCH($A83,Вводные!$A$13:$A$64,0),MATCH(BO$3,Вводные!$D$11:$F$11,0))*(1+IF(BO$4=$A83,Вводные!$D$5*INDEX(Вводные!$G$13:$G$64,MATCH($A83,Вводные!$A$13:$A$64,0)),0))</f>
        <v>1500</v>
      </c>
      <c r="BP83" s="14" t="n">
        <f aca="false">INDEX(Вводные!$D$13:$F$64,MATCH($A83,Вводные!$A$13:$A$64,0),MATCH(BP$3,Вводные!$D$11:$F$11,0))*(1+IF(BP$4=$A83,Вводные!$D$5*INDEX(Вводные!$G$13:$G$64,MATCH($A83,Вводные!$A$13:$A$64,0)),0))</f>
        <v>1500</v>
      </c>
      <c r="BQ83" s="14" t="n">
        <f aca="false">INDEX(Вводные!$D$13:$F$64,MATCH($A83,Вводные!$A$13:$A$64,0),MATCH(BQ$3,Вводные!$D$11:$F$11,0))*(1+IF(BQ$4=$A83,Вводные!$D$5*INDEX(Вводные!$G$13:$G$64,MATCH($A83,Вводные!$A$13:$A$64,0)),0))</f>
        <v>1500</v>
      </c>
      <c r="BR83" s="14" t="n">
        <f aca="false">INDEX(Вводные!$D$13:$F$64,MATCH($A83,Вводные!$A$13:$A$64,0),MATCH(BR$3,Вводные!$D$11:$F$11,0))*(1+IF(BR$4=$A83,Вводные!$D$5*INDEX(Вводные!$G$13:$G$64,MATCH($A83,Вводные!$A$13:$A$64,0)),0))</f>
        <v>1500</v>
      </c>
      <c r="BS83" s="14" t="n">
        <f aca="false">INDEX(Вводные!$D$13:$F$64,MATCH($A83,Вводные!$A$13:$A$64,0),MATCH(BS$3,Вводные!$D$11:$F$11,0))*(1+IF(BS$4=$A83,Вводные!$D$5*INDEX(Вводные!$G$13:$G$64,MATCH($A83,Вводные!$A$13:$A$64,0)),0))</f>
        <v>1500</v>
      </c>
      <c r="BT83" s="14" t="n">
        <f aca="false">INDEX(Вводные!$D$13:$F$64,MATCH($A83,Вводные!$A$13:$A$64,0),MATCH(BT$3,Вводные!$D$11:$F$11,0))*(1+IF(BT$4=$A83,Вводные!$D$5*INDEX(Вводные!$G$13:$G$64,MATCH($A83,Вводные!$A$13:$A$64,0)),0))</f>
        <v>1500</v>
      </c>
      <c r="BU83" s="14" t="n">
        <f aca="false">INDEX(Вводные!$D$13:$F$64,MATCH($A83,Вводные!$A$13:$A$64,0),MATCH(BU$3,Вводные!$D$11:$F$11,0))*(1+IF(BU$4=$A83,Вводные!$D$5*INDEX(Вводные!$G$13:$G$64,MATCH($A83,Вводные!$A$13:$A$64,0)),0))</f>
        <v>1500</v>
      </c>
      <c r="BV83" s="14" t="n">
        <f aca="false">INDEX(Вводные!$D$13:$F$64,MATCH($A83,Вводные!$A$13:$A$64,0),MATCH(BV$3,Вводные!$D$11:$F$11,0))*(1+IF(BV$4=$A83,Вводные!$D$5*INDEX(Вводные!$G$13:$G$64,MATCH($A83,Вводные!$A$13:$A$64,0)),0))</f>
        <v>1500</v>
      </c>
      <c r="BW83" s="14" t="n">
        <f aca="false">INDEX(Вводные!$D$13:$F$64,MATCH($A83,Вводные!$A$13:$A$64,0),MATCH(BW$3,Вводные!$D$11:$F$11,0))*(1+IF(BW$4=$A83,Вводные!$D$5*INDEX(Вводные!$G$13:$G$64,MATCH($A83,Вводные!$A$13:$A$64,0)),0))</f>
        <v>1500</v>
      </c>
      <c r="BX83" s="14" t="n">
        <f aca="false">INDEX(Вводные!$D$13:$F$64,MATCH($A83,Вводные!$A$13:$A$64,0),MATCH(BX$3,Вводные!$D$11:$F$11,0))*(1+IF(BX$4=$A83,Вводные!$D$5*INDEX(Вводные!$G$13:$G$64,MATCH($A83,Вводные!$A$13:$A$64,0)),0))</f>
        <v>1500</v>
      </c>
      <c r="BY83" s="14" t="n">
        <f aca="false">INDEX(Вводные!$D$13:$F$64,MATCH($A83,Вводные!$A$13:$A$64,0),MATCH(BY$3,Вводные!$D$11:$F$11,0))*(1+IF(BY$4=$A83,Вводные!$D$5*INDEX(Вводные!$G$13:$G$64,MATCH($A83,Вводные!$A$13:$A$64,0)),0))</f>
        <v>1500</v>
      </c>
      <c r="BZ83" s="14" t="n">
        <f aca="false">INDEX(Вводные!$D$13:$F$64,MATCH($A83,Вводные!$A$13:$A$64,0),MATCH(BZ$3,Вводные!$D$11:$F$11,0))*(1+IF(BZ$4=$A83,Вводные!$D$5*INDEX(Вводные!$G$13:$G$64,MATCH($A83,Вводные!$A$13:$A$64,0)),0))</f>
        <v>1500</v>
      </c>
      <c r="CA83" s="14" t="n">
        <f aca="false">INDEX(Вводные!$D$13:$F$64,MATCH($A83,Вводные!$A$13:$A$64,0),MATCH(CA$3,Вводные!$D$11:$F$11,0))*(1+IF(CA$4=$A83,Вводные!$D$5*INDEX(Вводные!$G$13:$G$64,MATCH($A83,Вводные!$A$13:$A$64,0)),0))</f>
        <v>1500</v>
      </c>
      <c r="CB83" s="14" t="n">
        <f aca="false">INDEX(Вводные!$D$13:$F$64,MATCH($A83,Вводные!$A$13:$A$64,0),MATCH(CB$3,Вводные!$D$11:$F$11,0))*(1+IF(CB$4=$A83,Вводные!$D$5*INDEX(Вводные!$G$13:$G$64,MATCH($A83,Вводные!$A$13:$A$64,0)),0))</f>
        <v>1500</v>
      </c>
      <c r="CC83" s="14" t="n">
        <f aca="false">INDEX(Вводные!$D$13:$F$64,MATCH($A83,Вводные!$A$13:$A$64,0),MATCH(CC$3,Вводные!$D$11:$F$11,0))*(1+IF(CC$4=$A83,Вводные!$D$5*INDEX(Вводные!$G$13:$G$64,MATCH($A83,Вводные!$A$13:$A$64,0)),0))</f>
        <v>1500</v>
      </c>
      <c r="CD83" s="14" t="n">
        <f aca="false">INDEX(Вводные!$D$13:$F$64,MATCH($A83,Вводные!$A$13:$A$64,0),MATCH(CD$3,Вводные!$D$11:$F$11,0))*(1+IF(CD$4=$A83,Вводные!$D$5*INDEX(Вводные!$G$13:$G$64,MATCH($A83,Вводные!$A$13:$A$64,0)),0))</f>
        <v>1500</v>
      </c>
      <c r="CE83" s="14" t="n">
        <f aca="false">INDEX(Вводные!$D$13:$F$64,MATCH($A83,Вводные!$A$13:$A$64,0),MATCH(CE$3,Вводные!$D$11:$F$11,0))*(1+IF(CE$4=$A83,Вводные!$D$5*INDEX(Вводные!$G$13:$G$64,MATCH($A83,Вводные!$A$13:$A$64,0)),0))</f>
        <v>1500</v>
      </c>
      <c r="CF83" s="14" t="n">
        <f aca="false">INDEX(Вводные!$D$13:$F$64,MATCH($A83,Вводные!$A$13:$A$64,0),MATCH(CF$3,Вводные!$D$11:$F$11,0))*(1+IF(CF$4=$A83,Вводные!$D$5*INDEX(Вводные!$G$13:$G$64,MATCH($A83,Вводные!$A$13:$A$64,0)),0))</f>
        <v>1500</v>
      </c>
      <c r="CG83" s="14" t="n">
        <f aca="false">INDEX(Вводные!$D$13:$F$64,MATCH($A83,Вводные!$A$13:$A$64,0),MATCH(CG$3,Вводные!$D$11:$F$11,0))*(1+IF(CG$4=$A83,Вводные!$D$5*INDEX(Вводные!$G$13:$G$64,MATCH($A83,Вводные!$A$13:$A$64,0)),0))</f>
        <v>1500</v>
      </c>
      <c r="CH83" s="14" t="n">
        <f aca="false">INDEX(Вводные!$D$13:$F$64,MATCH($A83,Вводные!$A$13:$A$64,0),MATCH(CH$3,Вводные!$D$11:$F$11,0))*(1+IF(CH$4=$A83,Вводные!$D$5*INDEX(Вводные!$G$13:$G$64,MATCH($A83,Вводные!$A$13:$A$64,0)),0))</f>
        <v>1500</v>
      </c>
      <c r="CI83" s="14" t="n">
        <f aca="false">INDEX(Вводные!$D$13:$F$64,MATCH($A83,Вводные!$A$13:$A$64,0),MATCH(CI$3,Вводные!$D$11:$F$11,0))*(1+IF(CI$4=$A83,Вводные!$D$5*INDEX(Вводные!$G$13:$G$64,MATCH($A83,Вводные!$A$13:$A$64,0)),0))</f>
        <v>1500</v>
      </c>
      <c r="CJ83" s="14" t="n">
        <f aca="false">INDEX(Вводные!$D$13:$F$64,MATCH($A83,Вводные!$A$13:$A$64,0),MATCH(CJ$3,Вводные!$D$11:$F$11,0))*(1+IF(CJ$4=$A83,Вводные!$D$5*INDEX(Вводные!$G$13:$G$64,MATCH($A83,Вводные!$A$13:$A$64,0)),0))</f>
        <v>1500</v>
      </c>
      <c r="CK83" s="14" t="n">
        <f aca="false">INDEX(Вводные!$D$13:$F$64,MATCH($A83,Вводные!$A$13:$A$64,0),MATCH(CK$3,Вводные!$D$11:$F$11,0))*(1+IF(CK$4=$A83,Вводные!$D$5*INDEX(Вводные!$G$13:$G$64,MATCH($A83,Вводные!$A$13:$A$64,0)),0))</f>
        <v>1500</v>
      </c>
      <c r="CL83" s="14" t="n">
        <f aca="false">INDEX(Вводные!$D$13:$F$64,MATCH($A83,Вводные!$A$13:$A$64,0),MATCH(CL$3,Вводные!$D$11:$F$11,0))*(1+IF(CL$4=$A83,Вводные!$D$5*INDEX(Вводные!$G$13:$G$64,MATCH($A83,Вводные!$A$13:$A$64,0)),0))</f>
        <v>1500</v>
      </c>
      <c r="CM83" s="14" t="n">
        <f aca="false">INDEX(Вводные!$D$13:$F$64,MATCH($A83,Вводные!$A$13:$A$64,0),MATCH(CM$3,Вводные!$D$11:$F$11,0))*(1+IF(CM$4=$A83,Вводные!$D$5*INDEX(Вводные!$G$13:$G$64,MATCH($A83,Вводные!$A$13:$A$64,0)),0))</f>
        <v>1500</v>
      </c>
      <c r="CN83" s="14" t="n">
        <f aca="false">INDEX(Вводные!$D$13:$F$64,MATCH($A83,Вводные!$A$13:$A$64,0),MATCH(CN$3,Вводные!$D$11:$F$11,0))*(1+IF(CN$4=$A83,Вводные!$D$5*INDEX(Вводные!$G$13:$G$64,MATCH($A83,Вводные!$A$13:$A$64,0)),0))</f>
        <v>1485</v>
      </c>
      <c r="CO83" s="14" t="n">
        <f aca="false">INDEX(Вводные!$D$13:$F$64,MATCH($A83,Вводные!$A$13:$A$64,0),MATCH(CO$3,Вводные!$D$11:$F$11,0))*(1+IF(CO$4=$A83,Вводные!$D$5*INDEX(Вводные!$G$13:$G$64,MATCH($A83,Вводные!$A$13:$A$64,0)),0))</f>
        <v>1500</v>
      </c>
      <c r="CP83" s="14" t="n">
        <f aca="false">INDEX(Вводные!$D$13:$F$64,MATCH($A83,Вводные!$A$13:$A$64,0),MATCH(CP$3,Вводные!$D$11:$F$11,0))*(1+IF(CP$4=$A83,Вводные!$D$5*INDEX(Вводные!$G$13:$G$64,MATCH($A83,Вводные!$A$13:$A$64,0)),0))</f>
        <v>15000</v>
      </c>
      <c r="CQ83" s="14" t="n">
        <f aca="false">INDEX(Вводные!$D$13:$F$64,MATCH($A83,Вводные!$A$13:$A$64,0),MATCH(CQ$3,Вводные!$D$11:$F$11,0))*(1+IF(CQ$4=$A83,Вводные!$D$5*INDEX(Вводные!$G$13:$G$64,MATCH($A83,Вводные!$A$13:$A$64,0)),0))</f>
        <v>15000</v>
      </c>
      <c r="CR83" s="14" t="n">
        <f aca="false">INDEX(Вводные!$D$13:$F$64,MATCH($A83,Вводные!$A$13:$A$64,0),MATCH(CR$3,Вводные!$D$11:$F$11,0))*(1+IF(CR$4=$A83,Вводные!$D$5*INDEX(Вводные!$G$13:$G$64,MATCH($A83,Вводные!$A$13:$A$64,0)),0))</f>
        <v>15000</v>
      </c>
      <c r="CS83" s="14" t="n">
        <f aca="false">INDEX(Вводные!$D$13:$F$64,MATCH($A83,Вводные!$A$13:$A$64,0),MATCH(CS$3,Вводные!$D$11:$F$11,0))*(1+IF(CS$4=$A83,Вводные!$D$5*INDEX(Вводные!$G$13:$G$64,MATCH($A83,Вводные!$A$13:$A$64,0)),0))</f>
        <v>15000</v>
      </c>
      <c r="CT83" s="14" t="n">
        <f aca="false">INDEX(Вводные!$D$13:$F$64,MATCH($A83,Вводные!$A$13:$A$64,0),MATCH(CT$3,Вводные!$D$11:$F$11,0))*(1+IF(CT$4=$A83,Вводные!$D$5*INDEX(Вводные!$G$13:$G$64,MATCH($A83,Вводные!$A$13:$A$64,0)),0))</f>
        <v>15000</v>
      </c>
      <c r="CU83" s="14" t="n">
        <f aca="false">INDEX(Вводные!$D$13:$F$64,MATCH($A83,Вводные!$A$13:$A$64,0),MATCH(CU$3,Вводные!$D$11:$F$11,0))*(1+IF(CU$4=$A83,Вводные!$D$5*INDEX(Вводные!$G$13:$G$64,MATCH($A83,Вводные!$A$13:$A$64,0)),0))</f>
        <v>15000</v>
      </c>
      <c r="CV83" s="14" t="n">
        <f aca="false">INDEX(Вводные!$D$13:$F$64,MATCH($A83,Вводные!$A$13:$A$64,0),MATCH(CV$3,Вводные!$D$11:$F$11,0))*(1+IF(CV$4=$A83,Вводные!$D$5*INDEX(Вводные!$G$13:$G$64,MATCH($A83,Вводные!$A$13:$A$64,0)),0))</f>
        <v>15000</v>
      </c>
      <c r="CW83" s="14" t="n">
        <f aca="false">INDEX(Вводные!$D$13:$F$64,MATCH($A83,Вводные!$A$13:$A$64,0),MATCH(CW$3,Вводные!$D$11:$F$11,0))*(1+IF(CW$4=$A83,Вводные!$D$5*INDEX(Вводные!$G$13:$G$64,MATCH($A83,Вводные!$A$13:$A$64,0)),0))</f>
        <v>15000</v>
      </c>
      <c r="CX83" s="14" t="n">
        <f aca="false">INDEX(Вводные!$D$13:$F$64,MATCH($A83,Вводные!$A$13:$A$64,0),MATCH(CX$3,Вводные!$D$11:$F$11,0))*(1+IF(CX$4=$A83,Вводные!$D$5*INDEX(Вводные!$G$13:$G$64,MATCH($A83,Вводные!$A$13:$A$64,0)),0))</f>
        <v>15000</v>
      </c>
      <c r="CY83" s="14" t="n">
        <f aca="false">INDEX(Вводные!$D$13:$F$64,MATCH($A83,Вводные!$A$13:$A$64,0),MATCH(CY$3,Вводные!$D$11:$F$11,0))*(1+IF(CY$4=$A83,Вводные!$D$5*INDEX(Вводные!$G$13:$G$64,MATCH($A83,Вводные!$A$13:$A$64,0)),0))</f>
        <v>15000</v>
      </c>
      <c r="CZ83" s="14" t="n">
        <f aca="false">INDEX(Вводные!$D$13:$F$64,MATCH($A83,Вводные!$A$13:$A$64,0),MATCH(CZ$3,Вводные!$D$11:$F$11,0))*(1+IF(CZ$4=$A83,Вводные!$D$5*INDEX(Вводные!$G$13:$G$64,MATCH($A83,Вводные!$A$13:$A$64,0)),0))</f>
        <v>15000</v>
      </c>
      <c r="DA83" s="14" t="n">
        <f aca="false">INDEX(Вводные!$D$13:$F$64,MATCH($A83,Вводные!$A$13:$A$64,0),MATCH(DA$3,Вводные!$D$11:$F$11,0))*(1+IF(DA$4=$A83,Вводные!$D$5*INDEX(Вводные!$G$13:$G$64,MATCH($A83,Вводные!$A$13:$A$64,0)),0))</f>
        <v>15000</v>
      </c>
      <c r="DB83" s="14" t="n">
        <f aca="false">INDEX(Вводные!$D$13:$F$64,MATCH($A83,Вводные!$A$13:$A$64,0),MATCH(DB$3,Вводные!$D$11:$F$11,0))*(1+IF(DB$4=$A83,Вводные!$D$5*INDEX(Вводные!$G$13:$G$64,MATCH($A83,Вводные!$A$13:$A$64,0)),0))</f>
        <v>15000</v>
      </c>
      <c r="DC83" s="14" t="n">
        <f aca="false">INDEX(Вводные!$D$13:$F$64,MATCH($A83,Вводные!$A$13:$A$64,0),MATCH(DC$3,Вводные!$D$11:$F$11,0))*(1+IF(DC$4=$A83,Вводные!$D$5*INDEX(Вводные!$G$13:$G$64,MATCH($A83,Вводные!$A$13:$A$64,0)),0))</f>
        <v>15000</v>
      </c>
      <c r="DD83" s="14" t="n">
        <f aca="false">INDEX(Вводные!$D$13:$F$64,MATCH($A83,Вводные!$A$13:$A$64,0),MATCH(DD$3,Вводные!$D$11:$F$11,0))*(1+IF(DD$4=$A83,Вводные!$D$5*INDEX(Вводные!$G$13:$G$64,MATCH($A83,Вводные!$A$13:$A$64,0)),0))</f>
        <v>15000</v>
      </c>
      <c r="DE83" s="14" t="n">
        <f aca="false">INDEX(Вводные!$D$13:$F$64,MATCH($A83,Вводные!$A$13:$A$64,0),MATCH(DE$3,Вводные!$D$11:$F$11,0))*(1+IF(DE$4=$A83,Вводные!$D$5*INDEX(Вводные!$G$13:$G$64,MATCH($A83,Вводные!$A$13:$A$64,0)),0))</f>
        <v>15000</v>
      </c>
      <c r="DF83" s="14" t="n">
        <f aca="false">INDEX(Вводные!$D$13:$F$64,MATCH($A83,Вводные!$A$13:$A$64,0),MATCH(DF$3,Вводные!$D$11:$F$11,0))*(1+IF(DF$4=$A83,Вводные!$D$5*INDEX(Вводные!$G$13:$G$64,MATCH($A83,Вводные!$A$13:$A$64,0)),0))</f>
        <v>15000</v>
      </c>
      <c r="DG83" s="14" t="n">
        <f aca="false">INDEX(Вводные!$D$13:$F$64,MATCH($A83,Вводные!$A$13:$A$64,0),MATCH(DG$3,Вводные!$D$11:$F$11,0))*(1+IF(DG$4=$A83,Вводные!$D$5*INDEX(Вводные!$G$13:$G$64,MATCH($A83,Вводные!$A$13:$A$64,0)),0))</f>
        <v>15000</v>
      </c>
      <c r="DH83" s="14" t="n">
        <f aca="false">INDEX(Вводные!$D$13:$F$64,MATCH($A83,Вводные!$A$13:$A$64,0),MATCH(DH$3,Вводные!$D$11:$F$11,0))*(1+IF(DH$4=$A83,Вводные!$D$5*INDEX(Вводные!$G$13:$G$64,MATCH($A83,Вводные!$A$13:$A$64,0)),0))</f>
        <v>15000</v>
      </c>
      <c r="DI83" s="14" t="n">
        <f aca="false">INDEX(Вводные!$D$13:$F$64,MATCH($A83,Вводные!$A$13:$A$64,0),MATCH(DI$3,Вводные!$D$11:$F$11,0))*(1+IF(DI$4=$A83,Вводные!$D$5*INDEX(Вводные!$G$13:$G$64,MATCH($A83,Вводные!$A$13:$A$64,0)),0))</f>
        <v>15000</v>
      </c>
      <c r="DJ83" s="14" t="n">
        <f aca="false">INDEX(Вводные!$D$13:$F$64,MATCH($A83,Вводные!$A$13:$A$64,0),MATCH(DJ$3,Вводные!$D$11:$F$11,0))*(1+IF(DJ$4=$A83,Вводные!$D$5*INDEX(Вводные!$G$13:$G$64,MATCH($A83,Вводные!$A$13:$A$64,0)),0))</f>
        <v>15000</v>
      </c>
      <c r="DK83" s="14" t="n">
        <f aca="false">INDEX(Вводные!$D$13:$F$64,MATCH($A83,Вводные!$A$13:$A$64,0),MATCH(DK$3,Вводные!$D$11:$F$11,0))*(1+IF(DK$4=$A83,Вводные!$D$5*INDEX(Вводные!$G$13:$G$64,MATCH($A83,Вводные!$A$13:$A$64,0)),0))</f>
        <v>15000</v>
      </c>
      <c r="DL83" s="14" t="n">
        <f aca="false">INDEX(Вводные!$D$13:$F$64,MATCH($A83,Вводные!$A$13:$A$64,0),MATCH(DL$3,Вводные!$D$11:$F$11,0))*(1+IF(DL$4=$A83,Вводные!$D$5*INDEX(Вводные!$G$13:$G$64,MATCH($A83,Вводные!$A$13:$A$64,0)),0))</f>
        <v>15000</v>
      </c>
      <c r="DM83" s="14" t="n">
        <f aca="false">INDEX(Вводные!$D$13:$F$64,MATCH($A83,Вводные!$A$13:$A$64,0),MATCH(DM$3,Вводные!$D$11:$F$11,0))*(1+IF(DM$4=$A83,Вводные!$D$5*INDEX(Вводные!$G$13:$G$64,MATCH($A83,Вводные!$A$13:$A$64,0)),0))</f>
        <v>15000</v>
      </c>
      <c r="DN83" s="14" t="n">
        <f aca="false">INDEX(Вводные!$D$13:$F$64,MATCH($A83,Вводные!$A$13:$A$64,0),MATCH(DN$3,Вводные!$D$11:$F$11,0))*(1+IF(DN$4=$A83,Вводные!$D$5*INDEX(Вводные!$G$13:$G$64,MATCH($A83,Вводные!$A$13:$A$64,0)),0))</f>
        <v>15000</v>
      </c>
      <c r="DO83" s="14" t="n">
        <f aca="false">INDEX(Вводные!$D$13:$F$64,MATCH($A83,Вводные!$A$13:$A$64,0),MATCH(DO$3,Вводные!$D$11:$F$11,0))*(1+IF(DO$4=$A83,Вводные!$D$5*INDEX(Вводные!$G$13:$G$64,MATCH($A83,Вводные!$A$13:$A$64,0)),0))</f>
        <v>15000</v>
      </c>
      <c r="DP83" s="14" t="n">
        <f aca="false">INDEX(Вводные!$D$13:$F$64,MATCH($A83,Вводные!$A$13:$A$64,0),MATCH(DP$3,Вводные!$D$11:$F$11,0))*(1+IF(DP$4=$A83,Вводные!$D$5*INDEX(Вводные!$G$13:$G$64,MATCH($A83,Вводные!$A$13:$A$64,0)),0))</f>
        <v>15000</v>
      </c>
      <c r="DQ83" s="14" t="n">
        <f aca="false">INDEX(Вводные!$D$13:$F$64,MATCH($A83,Вводные!$A$13:$A$64,0),MATCH(DQ$3,Вводные!$D$11:$F$11,0))*(1+IF(DQ$4=$A83,Вводные!$D$5*INDEX(Вводные!$G$13:$G$64,MATCH($A83,Вводные!$A$13:$A$64,0)),0))</f>
        <v>15000</v>
      </c>
      <c r="DR83" s="14" t="n">
        <f aca="false">INDEX(Вводные!$D$13:$F$64,MATCH($A83,Вводные!$A$13:$A$64,0),MATCH(DR$3,Вводные!$D$11:$F$11,0))*(1+IF(DR$4=$A83,Вводные!$D$5*INDEX(Вводные!$G$13:$G$64,MATCH($A83,Вводные!$A$13:$A$64,0)),0))</f>
        <v>15000</v>
      </c>
      <c r="DS83" s="14" t="n">
        <f aca="false">INDEX(Вводные!$D$13:$F$64,MATCH($A83,Вводные!$A$13:$A$64,0),MATCH(DS$3,Вводные!$D$11:$F$11,0))*(1+IF(DS$4=$A83,Вводные!$D$5*INDEX(Вводные!$G$13:$G$64,MATCH($A83,Вводные!$A$13:$A$64,0)),0))</f>
        <v>15000</v>
      </c>
      <c r="DT83" s="14" t="n">
        <f aca="false">INDEX(Вводные!$D$13:$F$64,MATCH($A83,Вводные!$A$13:$A$64,0),MATCH(DT$3,Вводные!$D$11:$F$11,0))*(1+IF(DT$4=$A83,Вводные!$D$5*INDEX(Вводные!$G$13:$G$64,MATCH($A83,Вводные!$A$13:$A$64,0)),0))</f>
        <v>15000</v>
      </c>
      <c r="DU83" s="14" t="n">
        <f aca="false">INDEX(Вводные!$D$13:$F$64,MATCH($A83,Вводные!$A$13:$A$64,0),MATCH(DU$3,Вводные!$D$11:$F$11,0))*(1+IF(DU$4=$A83,Вводные!$D$5*INDEX(Вводные!$G$13:$G$64,MATCH($A83,Вводные!$A$13:$A$64,0)),0))</f>
        <v>15000</v>
      </c>
      <c r="DV83" s="14" t="n">
        <f aca="false">INDEX(Вводные!$D$13:$F$64,MATCH($A83,Вводные!$A$13:$A$64,0),MATCH(DV$3,Вводные!$D$11:$F$11,0))*(1+IF(DV$4=$A83,Вводные!$D$5*INDEX(Вводные!$G$13:$G$64,MATCH($A83,Вводные!$A$13:$A$64,0)),0))</f>
        <v>15000</v>
      </c>
      <c r="DW83" s="14" t="n">
        <f aca="false">INDEX(Вводные!$D$13:$F$64,MATCH($A83,Вводные!$A$13:$A$64,0),MATCH(DW$3,Вводные!$D$11:$F$11,0))*(1+IF(DW$4=$A83,Вводные!$D$5*INDEX(Вводные!$G$13:$G$64,MATCH($A83,Вводные!$A$13:$A$64,0)),0))</f>
        <v>15000</v>
      </c>
      <c r="DX83" s="14" t="n">
        <f aca="false">INDEX(Вводные!$D$13:$F$64,MATCH($A83,Вводные!$A$13:$A$64,0),MATCH(DX$3,Вводные!$D$11:$F$11,0))*(1+IF(DX$4=$A83,Вводные!$D$5*INDEX(Вводные!$G$13:$G$64,MATCH($A83,Вводные!$A$13:$A$64,0)),0))</f>
        <v>15000</v>
      </c>
      <c r="DY83" s="14" t="n">
        <f aca="false">INDEX(Вводные!$D$13:$F$64,MATCH($A83,Вводные!$A$13:$A$64,0),MATCH(DY$3,Вводные!$D$11:$F$11,0))*(1+IF(DY$4=$A83,Вводные!$D$5*INDEX(Вводные!$G$13:$G$64,MATCH($A83,Вводные!$A$13:$A$64,0)),0))</f>
        <v>15000</v>
      </c>
      <c r="DZ83" s="14" t="n">
        <f aca="false">INDEX(Вводные!$D$13:$F$64,MATCH($A83,Вводные!$A$13:$A$64,0),MATCH(DZ$3,Вводные!$D$11:$F$11,0))*(1+IF(DZ$4=$A83,Вводные!$D$5*INDEX(Вводные!$G$13:$G$64,MATCH($A83,Вводные!$A$13:$A$64,0)),0))</f>
        <v>15000</v>
      </c>
      <c r="EA83" s="14" t="n">
        <f aca="false">INDEX(Вводные!$D$13:$F$64,MATCH($A83,Вводные!$A$13:$A$64,0),MATCH(EA$3,Вводные!$D$11:$F$11,0))*(1+IF(EA$4=$A83,Вводные!$D$5*INDEX(Вводные!$G$13:$G$64,MATCH($A83,Вводные!$A$13:$A$64,0)),0))</f>
        <v>15000</v>
      </c>
      <c r="EB83" s="14" t="n">
        <f aca="false">INDEX(Вводные!$D$13:$F$64,MATCH($A83,Вводные!$A$13:$A$64,0),MATCH(EB$3,Вводные!$D$11:$F$11,0))*(1+IF(EB$4=$A83,Вводные!$D$5*INDEX(Вводные!$G$13:$G$64,MATCH($A83,Вводные!$A$13:$A$64,0)),0))</f>
        <v>15000</v>
      </c>
      <c r="EC83" s="14" t="n">
        <f aca="false">INDEX(Вводные!$D$13:$F$64,MATCH($A83,Вводные!$A$13:$A$64,0),MATCH(EC$3,Вводные!$D$11:$F$11,0))*(1+IF(EC$4=$A83,Вводные!$D$5*INDEX(Вводные!$G$13:$G$64,MATCH($A83,Вводные!$A$13:$A$64,0)),0))</f>
        <v>15000</v>
      </c>
      <c r="ED83" s="14" t="n">
        <f aca="false">INDEX(Вводные!$D$13:$F$64,MATCH($A83,Вводные!$A$13:$A$64,0),MATCH(ED$3,Вводные!$D$11:$F$11,0))*(1+IF(ED$4=$A83,Вводные!$D$5*INDEX(Вводные!$G$13:$G$64,MATCH($A83,Вводные!$A$13:$A$64,0)),0))</f>
        <v>14850</v>
      </c>
      <c r="EE83" s="14" t="n">
        <f aca="false">INDEX(Вводные!$D$13:$F$64,MATCH($A83,Вводные!$A$13:$A$64,0),MATCH(EE$3,Вводные!$D$11:$F$11,0))*(1+IF(EE$4=$A83,Вводные!$D$5*INDEX(Вводные!$G$13:$G$64,MATCH($A83,Вводные!$A$13:$A$64,0)),0))</f>
        <v>15000</v>
      </c>
      <c r="EF83" s="14" t="n">
        <f aca="false">INDEX(Вводные!$D$13:$F$64,MATCH($A83,Вводные!$A$13:$A$64,0),MATCH(EF$3,Вводные!$D$11:$F$11,0))*(1+IF(EF$4=$A83,Вводные!$D$5*INDEX(Вводные!$G$13:$G$64,MATCH($A83,Вводные!$A$13:$A$64,0)),0))</f>
        <v>80</v>
      </c>
      <c r="EG83" s="14" t="n">
        <f aca="false">INDEX(Вводные!$D$13:$F$64,MATCH($A83,Вводные!$A$13:$A$64,0),MATCH(EG$3,Вводные!$D$11:$F$11,0))*(1+IF(EG$4=$A83,Вводные!$D$5*INDEX(Вводные!$G$13:$G$64,MATCH($A83,Вводные!$A$13:$A$64,0)),0))</f>
        <v>80</v>
      </c>
      <c r="EH83" s="14" t="n">
        <f aca="false">INDEX(Вводные!$D$13:$F$64,MATCH($A83,Вводные!$A$13:$A$64,0),MATCH(EH$3,Вводные!$D$11:$F$11,0))*(1+IF(EH$4=$A83,Вводные!$D$5*INDEX(Вводные!$G$13:$G$64,MATCH($A83,Вводные!$A$13:$A$64,0)),0))</f>
        <v>80</v>
      </c>
      <c r="EI83" s="14" t="n">
        <f aca="false">INDEX(Вводные!$D$13:$F$64,MATCH($A83,Вводные!$A$13:$A$64,0),MATCH(EI$3,Вводные!$D$11:$F$11,0))*(1+IF(EI$4=$A83,Вводные!$D$5*INDEX(Вводные!$G$13:$G$64,MATCH($A83,Вводные!$A$13:$A$64,0)),0))</f>
        <v>80</v>
      </c>
      <c r="EJ83" s="14" t="n">
        <f aca="false">INDEX(Вводные!$D$13:$F$64,MATCH($A83,Вводные!$A$13:$A$64,0),MATCH(EJ$3,Вводные!$D$11:$F$11,0))*(1+IF(EJ$4=$A83,Вводные!$D$5*INDEX(Вводные!$G$13:$G$64,MATCH($A83,Вводные!$A$13:$A$64,0)),0))</f>
        <v>80</v>
      </c>
      <c r="EK83" s="14" t="n">
        <f aca="false">INDEX(Вводные!$D$13:$F$64,MATCH($A83,Вводные!$A$13:$A$64,0),MATCH(EK$3,Вводные!$D$11:$F$11,0))*(1+IF(EK$4=$A83,Вводные!$D$5*INDEX(Вводные!$G$13:$G$64,MATCH($A83,Вводные!$A$13:$A$64,0)),0))</f>
        <v>80</v>
      </c>
      <c r="EL83" s="14" t="n">
        <f aca="false">INDEX(Вводные!$D$13:$F$64,MATCH($A83,Вводные!$A$13:$A$64,0),MATCH(EL$3,Вводные!$D$11:$F$11,0))*(1+IF(EL$4=$A83,Вводные!$D$5*INDEX(Вводные!$G$13:$G$64,MATCH($A83,Вводные!$A$13:$A$64,0)),0))</f>
        <v>80</v>
      </c>
      <c r="EM83" s="14" t="n">
        <f aca="false">INDEX(Вводные!$D$13:$F$64,MATCH($A83,Вводные!$A$13:$A$64,0),MATCH(EM$3,Вводные!$D$11:$F$11,0))*(1+IF(EM$4=$A83,Вводные!$D$5*INDEX(Вводные!$G$13:$G$64,MATCH($A83,Вводные!$A$13:$A$64,0)),0))</f>
        <v>80</v>
      </c>
      <c r="EN83" s="14" t="n">
        <f aca="false">INDEX(Вводные!$D$13:$F$64,MATCH($A83,Вводные!$A$13:$A$64,0),MATCH(EN$3,Вводные!$D$11:$F$11,0))*(1+IF(EN$4=$A83,Вводные!$D$5*INDEX(Вводные!$G$13:$G$64,MATCH($A83,Вводные!$A$13:$A$64,0)),0))</f>
        <v>80</v>
      </c>
      <c r="EO83" s="14" t="n">
        <f aca="false">INDEX(Вводные!$D$13:$F$64,MATCH($A83,Вводные!$A$13:$A$64,0),MATCH(EO$3,Вводные!$D$11:$F$11,0))*(1+IF(EO$4=$A83,Вводные!$D$5*INDEX(Вводные!$G$13:$G$64,MATCH($A83,Вводные!$A$13:$A$64,0)),0))</f>
        <v>80</v>
      </c>
      <c r="EP83" s="14" t="n">
        <f aca="false">INDEX(Вводные!$D$13:$F$64,MATCH($A83,Вводные!$A$13:$A$64,0),MATCH(EP$3,Вводные!$D$11:$F$11,0))*(1+IF(EP$4=$A83,Вводные!$D$5*INDEX(Вводные!$G$13:$G$64,MATCH($A83,Вводные!$A$13:$A$64,0)),0))</f>
        <v>80</v>
      </c>
      <c r="EQ83" s="14" t="n">
        <f aca="false">INDEX(Вводные!$D$13:$F$64,MATCH($A83,Вводные!$A$13:$A$64,0),MATCH(EQ$3,Вводные!$D$11:$F$11,0))*(1+IF(EQ$4=$A83,Вводные!$D$5*INDEX(Вводные!$G$13:$G$64,MATCH($A83,Вводные!$A$13:$A$64,0)),0))</f>
        <v>80</v>
      </c>
      <c r="ER83" s="14" t="n">
        <f aca="false">INDEX(Вводные!$D$13:$F$64,MATCH($A83,Вводные!$A$13:$A$64,0),MATCH(ER$3,Вводные!$D$11:$F$11,0))*(1+IF(ER$4=$A83,Вводные!$D$5*INDEX(Вводные!$G$13:$G$64,MATCH($A83,Вводные!$A$13:$A$64,0)),0))</f>
        <v>80</v>
      </c>
      <c r="ES83" s="14" t="n">
        <f aca="false">INDEX(Вводные!$D$13:$F$64,MATCH($A83,Вводные!$A$13:$A$64,0),MATCH(ES$3,Вводные!$D$11:$F$11,0))*(1+IF(ES$4=$A83,Вводные!$D$5*INDEX(Вводные!$G$13:$G$64,MATCH($A83,Вводные!$A$13:$A$64,0)),0))</f>
        <v>80</v>
      </c>
      <c r="ET83" s="14" t="n">
        <f aca="false">INDEX(Вводные!$D$13:$F$64,MATCH($A83,Вводные!$A$13:$A$64,0),MATCH(ET$3,Вводные!$D$11:$F$11,0))*(1+IF(ET$4=$A83,Вводные!$D$5*INDEX(Вводные!$G$13:$G$64,MATCH($A83,Вводные!$A$13:$A$64,0)),0))</f>
        <v>80</v>
      </c>
      <c r="EU83" s="14" t="n">
        <f aca="false">INDEX(Вводные!$D$13:$F$64,MATCH($A83,Вводные!$A$13:$A$64,0),MATCH(EU$3,Вводные!$D$11:$F$11,0))*(1+IF(EU$4=$A83,Вводные!$D$5*INDEX(Вводные!$G$13:$G$64,MATCH($A83,Вводные!$A$13:$A$64,0)),0))</f>
        <v>80</v>
      </c>
      <c r="EV83" s="14" t="n">
        <f aca="false">INDEX(Вводные!$D$13:$F$64,MATCH($A83,Вводные!$A$13:$A$64,0),MATCH(EV$3,Вводные!$D$11:$F$11,0))*(1+IF(EV$4=$A83,Вводные!$D$5*INDEX(Вводные!$G$13:$G$64,MATCH($A83,Вводные!$A$13:$A$64,0)),0))</f>
        <v>80</v>
      </c>
      <c r="EW83" s="14" t="n">
        <f aca="false">INDEX(Вводные!$D$13:$F$64,MATCH($A83,Вводные!$A$13:$A$64,0),MATCH(EW$3,Вводные!$D$11:$F$11,0))*(1+IF(EW$4=$A83,Вводные!$D$5*INDEX(Вводные!$G$13:$G$64,MATCH($A83,Вводные!$A$13:$A$64,0)),0))</f>
        <v>80</v>
      </c>
      <c r="EX83" s="14" t="n">
        <f aca="false">INDEX(Вводные!$D$13:$F$64,MATCH($A83,Вводные!$A$13:$A$64,0),MATCH(EX$3,Вводные!$D$11:$F$11,0))*(1+IF(EX$4=$A83,Вводные!$D$5*INDEX(Вводные!$G$13:$G$64,MATCH($A83,Вводные!$A$13:$A$64,0)),0))</f>
        <v>80</v>
      </c>
      <c r="EY83" s="14" t="n">
        <f aca="false">INDEX(Вводные!$D$13:$F$64,MATCH($A83,Вводные!$A$13:$A$64,0),MATCH(EY$3,Вводные!$D$11:$F$11,0))*(1+IF(EY$4=$A83,Вводные!$D$5*INDEX(Вводные!$G$13:$G$64,MATCH($A83,Вводные!$A$13:$A$64,0)),0))</f>
        <v>80</v>
      </c>
      <c r="EZ83" s="14" t="n">
        <f aca="false">INDEX(Вводные!$D$13:$F$64,MATCH($A83,Вводные!$A$13:$A$64,0),MATCH(EZ$3,Вводные!$D$11:$F$11,0))*(1+IF(EZ$4=$A83,Вводные!$D$5*INDEX(Вводные!$G$13:$G$64,MATCH($A83,Вводные!$A$13:$A$64,0)),0))</f>
        <v>80</v>
      </c>
      <c r="FA83" s="14" t="n">
        <f aca="false">INDEX(Вводные!$D$13:$F$64,MATCH($A83,Вводные!$A$13:$A$64,0),MATCH(FA$3,Вводные!$D$11:$F$11,0))*(1+IF(FA$4=$A83,Вводные!$D$5*INDEX(Вводные!$G$13:$G$64,MATCH($A83,Вводные!$A$13:$A$64,0)),0))</f>
        <v>80</v>
      </c>
      <c r="FB83" s="14" t="n">
        <f aca="false">INDEX(Вводные!$D$13:$F$64,MATCH($A83,Вводные!$A$13:$A$64,0),MATCH(FB$3,Вводные!$D$11:$F$11,0))*(1+IF(FB$4=$A83,Вводные!$D$5*INDEX(Вводные!$G$13:$G$64,MATCH($A83,Вводные!$A$13:$A$64,0)),0))</f>
        <v>80</v>
      </c>
      <c r="FC83" s="14" t="n">
        <f aca="false">INDEX(Вводные!$D$13:$F$64,MATCH($A83,Вводные!$A$13:$A$64,0),MATCH(FC$3,Вводные!$D$11:$F$11,0))*(1+IF(FC$4=$A83,Вводные!$D$5*INDEX(Вводные!$G$13:$G$64,MATCH($A83,Вводные!$A$13:$A$64,0)),0))</f>
        <v>80</v>
      </c>
      <c r="FD83" s="14" t="n">
        <f aca="false">INDEX(Вводные!$D$13:$F$64,MATCH($A83,Вводные!$A$13:$A$64,0),MATCH(FD$3,Вводные!$D$11:$F$11,0))*(1+IF(FD$4=$A83,Вводные!$D$5*INDEX(Вводные!$G$13:$G$64,MATCH($A83,Вводные!$A$13:$A$64,0)),0))</f>
        <v>80</v>
      </c>
      <c r="FE83" s="14" t="n">
        <f aca="false">INDEX(Вводные!$D$13:$F$64,MATCH($A83,Вводные!$A$13:$A$64,0),MATCH(FE$3,Вводные!$D$11:$F$11,0))*(1+IF(FE$4=$A83,Вводные!$D$5*INDEX(Вводные!$G$13:$G$64,MATCH($A83,Вводные!$A$13:$A$64,0)),0))</f>
        <v>80</v>
      </c>
      <c r="FF83" s="14" t="n">
        <f aca="false">INDEX(Вводные!$D$13:$F$64,MATCH($A83,Вводные!$A$13:$A$64,0),MATCH(FF$3,Вводные!$D$11:$F$11,0))*(1+IF(FF$4=$A83,Вводные!$D$5*INDEX(Вводные!$G$13:$G$64,MATCH($A83,Вводные!$A$13:$A$64,0)),0))</f>
        <v>80</v>
      </c>
      <c r="FG83" s="14" t="n">
        <f aca="false">INDEX(Вводные!$D$13:$F$64,MATCH($A83,Вводные!$A$13:$A$64,0),MATCH(FG$3,Вводные!$D$11:$F$11,0))*(1+IF(FG$4=$A83,Вводные!$D$5*INDEX(Вводные!$G$13:$G$64,MATCH($A83,Вводные!$A$13:$A$64,0)),0))</f>
        <v>80</v>
      </c>
      <c r="FH83" s="14" t="n">
        <f aca="false">INDEX(Вводные!$D$13:$F$64,MATCH($A83,Вводные!$A$13:$A$64,0),MATCH(FH$3,Вводные!$D$11:$F$11,0))*(1+IF(FH$4=$A83,Вводные!$D$5*INDEX(Вводные!$G$13:$G$64,MATCH($A83,Вводные!$A$13:$A$64,0)),0))</f>
        <v>80</v>
      </c>
      <c r="FI83" s="14" t="n">
        <f aca="false">INDEX(Вводные!$D$13:$F$64,MATCH($A83,Вводные!$A$13:$A$64,0),MATCH(FI$3,Вводные!$D$11:$F$11,0))*(1+IF(FI$4=$A83,Вводные!$D$5*INDEX(Вводные!$G$13:$G$64,MATCH($A83,Вводные!$A$13:$A$64,0)),0))</f>
        <v>80</v>
      </c>
      <c r="FJ83" s="14" t="n">
        <f aca="false">INDEX(Вводные!$D$13:$F$64,MATCH($A83,Вводные!$A$13:$A$64,0),MATCH(FJ$3,Вводные!$D$11:$F$11,0))*(1+IF(FJ$4=$A83,Вводные!$D$5*INDEX(Вводные!$G$13:$G$64,MATCH($A83,Вводные!$A$13:$A$64,0)),0))</f>
        <v>80</v>
      </c>
      <c r="FK83" s="14" t="n">
        <f aca="false">INDEX(Вводные!$D$13:$F$64,MATCH($A83,Вводные!$A$13:$A$64,0),MATCH(FK$3,Вводные!$D$11:$F$11,0))*(1+IF(FK$4=$A83,Вводные!$D$5*INDEX(Вводные!$G$13:$G$64,MATCH($A83,Вводные!$A$13:$A$64,0)),0))</f>
        <v>80</v>
      </c>
      <c r="FL83" s="14" t="n">
        <f aca="false">INDEX(Вводные!$D$13:$F$64,MATCH($A83,Вводные!$A$13:$A$64,0),MATCH(FL$3,Вводные!$D$11:$F$11,0))*(1+IF(FL$4=$A83,Вводные!$D$5*INDEX(Вводные!$G$13:$G$64,MATCH($A83,Вводные!$A$13:$A$64,0)),0))</f>
        <v>80</v>
      </c>
      <c r="FM83" s="14" t="n">
        <f aca="false">INDEX(Вводные!$D$13:$F$64,MATCH($A83,Вводные!$A$13:$A$64,0),MATCH(FM$3,Вводные!$D$11:$F$11,0))*(1+IF(FM$4=$A83,Вводные!$D$5*INDEX(Вводные!$G$13:$G$64,MATCH($A83,Вводные!$A$13:$A$64,0)),0))</f>
        <v>80</v>
      </c>
      <c r="FN83" s="14" t="n">
        <f aca="false">INDEX(Вводные!$D$13:$F$64,MATCH($A83,Вводные!$A$13:$A$64,0),MATCH(FN$3,Вводные!$D$11:$F$11,0))*(1+IF(FN$4=$A83,Вводные!$D$5*INDEX(Вводные!$G$13:$G$64,MATCH($A83,Вводные!$A$13:$A$64,0)),0))</f>
        <v>80</v>
      </c>
      <c r="FO83" s="14" t="n">
        <f aca="false">INDEX(Вводные!$D$13:$F$64,MATCH($A83,Вводные!$A$13:$A$64,0),MATCH(FO$3,Вводные!$D$11:$F$11,0))*(1+IF(FO$4=$A83,Вводные!$D$5*INDEX(Вводные!$G$13:$G$64,MATCH($A83,Вводные!$A$13:$A$64,0)),0))</f>
        <v>80</v>
      </c>
      <c r="FP83" s="14" t="n">
        <f aca="false">INDEX(Вводные!$D$13:$F$64,MATCH($A83,Вводные!$A$13:$A$64,0),MATCH(FP$3,Вводные!$D$11:$F$11,0))*(1+IF(FP$4=$A83,Вводные!$D$5*INDEX(Вводные!$G$13:$G$64,MATCH($A83,Вводные!$A$13:$A$64,0)),0))</f>
        <v>80</v>
      </c>
      <c r="FQ83" s="14" t="n">
        <f aca="false">INDEX(Вводные!$D$13:$F$64,MATCH($A83,Вводные!$A$13:$A$64,0),MATCH(FQ$3,Вводные!$D$11:$F$11,0))*(1+IF(FQ$4=$A83,Вводные!$D$5*INDEX(Вводные!$G$13:$G$64,MATCH($A83,Вводные!$A$13:$A$64,0)),0))</f>
        <v>80</v>
      </c>
      <c r="FR83" s="14" t="n">
        <f aca="false">INDEX(Вводные!$D$13:$F$64,MATCH($A83,Вводные!$A$13:$A$64,0),MATCH(FR$3,Вводные!$D$11:$F$11,0))*(1+IF(FR$4=$A83,Вводные!$D$5*INDEX(Вводные!$G$13:$G$64,MATCH($A83,Вводные!$A$13:$A$64,0)),0))</f>
        <v>80</v>
      </c>
      <c r="FS83" s="14" t="n">
        <f aca="false">INDEX(Вводные!$D$13:$F$64,MATCH($A83,Вводные!$A$13:$A$64,0),MATCH(FS$3,Вводные!$D$11:$F$11,0))*(1+IF(FS$4=$A83,Вводные!$D$5*INDEX(Вводные!$G$13:$G$64,MATCH($A83,Вводные!$A$13:$A$64,0)),0))</f>
        <v>80</v>
      </c>
      <c r="FT83" s="14" t="n">
        <f aca="false">INDEX(Вводные!$D$13:$F$64,MATCH($A83,Вводные!$A$13:$A$64,0),MATCH(FT$3,Вводные!$D$11:$F$11,0))*(1+IF(FT$4=$A83,Вводные!$D$5*INDEX(Вводные!$G$13:$G$64,MATCH($A83,Вводные!$A$13:$A$64,0)),0))</f>
        <v>79.2</v>
      </c>
      <c r="FU83" s="14" t="n">
        <f aca="false">INDEX(Вводные!$D$13:$F$64,MATCH($A83,Вводные!$A$13:$A$64,0),MATCH(FU$3,Вводные!$D$11:$F$11,0))*(1+IF(FU$4=$A83,Вводные!$D$5*INDEX(Вводные!$G$13:$G$64,MATCH($A83,Вводные!$A$13:$A$64,0)),0))</f>
        <v>80</v>
      </c>
      <c r="FV83" s="14" t="n">
        <f aca="false">INDEX(Вводные!$D$13:$F$64,MATCH($A83,Вводные!$A$13:$A$64,0),MATCH(FV$3,Вводные!$D$11:$F$11,0))*(1+IF(FV$4=$A83,Вводные!$D$5*INDEX(Вводные!$G$13:$G$64,MATCH($A83,Вводные!$A$13:$A$64,0)),0))</f>
        <v>1500</v>
      </c>
      <c r="FW83" s="14" t="n">
        <f aca="false">INDEX(Вводные!$D$13:$F$64,MATCH($A83,Вводные!$A$13:$A$64,0),MATCH(FW$3,Вводные!$D$11:$F$11,0))*(1+IF(FW$4=$A83,Вводные!$D$5*INDEX(Вводные!$G$13:$G$64,MATCH($A83,Вводные!$A$13:$A$64,0)),0))</f>
        <v>1500</v>
      </c>
      <c r="FX83" s="14" t="n">
        <f aca="false">INDEX(Вводные!$D$13:$F$64,MATCH($A83,Вводные!$A$13:$A$64,0),MATCH(FX$3,Вводные!$D$11:$F$11,0))*(1+IF(FX$4=$A83,Вводные!$D$5*INDEX(Вводные!$G$13:$G$64,MATCH($A83,Вводные!$A$13:$A$64,0)),0))</f>
        <v>1500</v>
      </c>
      <c r="FY83" s="14" t="n">
        <f aca="false">INDEX(Вводные!$D$13:$F$64,MATCH($A83,Вводные!$A$13:$A$64,0),MATCH(FY$3,Вводные!$D$11:$F$11,0))*(1+IF(FY$4=$A83,Вводные!$D$5*INDEX(Вводные!$G$13:$G$64,MATCH($A83,Вводные!$A$13:$A$64,0)),0))</f>
        <v>1500</v>
      </c>
      <c r="FZ83" s="14" t="n">
        <f aca="false">INDEX(Вводные!$D$13:$F$64,MATCH($A83,Вводные!$A$13:$A$64,0),MATCH(FZ$3,Вводные!$D$11:$F$11,0))*(1+IF(FZ$4=$A83,Вводные!$D$5*INDEX(Вводные!$G$13:$G$64,MATCH($A83,Вводные!$A$13:$A$64,0)),0))</f>
        <v>1500</v>
      </c>
      <c r="GA83" s="14" t="n">
        <f aca="false">INDEX(Вводные!$D$13:$F$64,MATCH($A83,Вводные!$A$13:$A$64,0),MATCH(GA$3,Вводные!$D$11:$F$11,0))*(1+IF(GA$4=$A83,Вводные!$D$5*INDEX(Вводные!$G$13:$G$64,MATCH($A83,Вводные!$A$13:$A$64,0)),0))</f>
        <v>1500</v>
      </c>
      <c r="GB83" s="14" t="n">
        <f aca="false">INDEX(Вводные!$D$13:$F$64,MATCH($A83,Вводные!$A$13:$A$64,0),MATCH(GB$3,Вводные!$D$11:$F$11,0))*(1+IF(GB$4=$A83,Вводные!$D$5*INDEX(Вводные!$G$13:$G$64,MATCH($A83,Вводные!$A$13:$A$64,0)),0))</f>
        <v>1500</v>
      </c>
      <c r="GC83" s="14" t="n">
        <f aca="false">INDEX(Вводные!$D$13:$F$64,MATCH($A83,Вводные!$A$13:$A$64,0),MATCH(GC$3,Вводные!$D$11:$F$11,0))*(1+IF(GC$4=$A83,Вводные!$D$5*INDEX(Вводные!$G$13:$G$64,MATCH($A83,Вводные!$A$13:$A$64,0)),0))</f>
        <v>1500</v>
      </c>
      <c r="GD83" s="14" t="n">
        <f aca="false">INDEX(Вводные!$D$13:$F$64,MATCH($A83,Вводные!$A$13:$A$64,0),MATCH(GD$3,Вводные!$D$11:$F$11,0))*(1+IF(GD$4=$A83,Вводные!$D$5*INDEX(Вводные!$G$13:$G$64,MATCH($A83,Вводные!$A$13:$A$64,0)),0))</f>
        <v>1500</v>
      </c>
      <c r="GE83" s="14" t="n">
        <f aca="false">INDEX(Вводные!$D$13:$F$64,MATCH($A83,Вводные!$A$13:$A$64,0),MATCH(GE$3,Вводные!$D$11:$F$11,0))*(1+IF(GE$4=$A83,Вводные!$D$5*INDEX(Вводные!$G$13:$G$64,MATCH($A83,Вводные!$A$13:$A$64,0)),0))</f>
        <v>1500</v>
      </c>
      <c r="GF83" s="14" t="n">
        <f aca="false">INDEX(Вводные!$D$13:$F$64,MATCH($A83,Вводные!$A$13:$A$64,0),MATCH(GF$3,Вводные!$D$11:$F$11,0))*(1+IF(GF$4=$A83,Вводные!$D$5*INDEX(Вводные!$G$13:$G$64,MATCH($A83,Вводные!$A$13:$A$64,0)),0))</f>
        <v>1500</v>
      </c>
      <c r="GG83" s="14" t="n">
        <f aca="false">INDEX(Вводные!$D$13:$F$64,MATCH($A83,Вводные!$A$13:$A$64,0),MATCH(GG$3,Вводные!$D$11:$F$11,0))*(1+IF(GG$4=$A83,Вводные!$D$5*INDEX(Вводные!$G$13:$G$64,MATCH($A83,Вводные!$A$13:$A$64,0)),0))</f>
        <v>1500</v>
      </c>
      <c r="GH83" s="14" t="n">
        <f aca="false">INDEX(Вводные!$D$13:$F$64,MATCH($A83,Вводные!$A$13:$A$64,0),MATCH(GH$3,Вводные!$D$11:$F$11,0))*(1+IF(GH$4=$A83,Вводные!$D$5*INDEX(Вводные!$G$13:$G$64,MATCH($A83,Вводные!$A$13:$A$64,0)),0))</f>
        <v>1500</v>
      </c>
      <c r="GI83" s="14" t="n">
        <f aca="false">INDEX(Вводные!$D$13:$F$64,MATCH($A83,Вводные!$A$13:$A$64,0),MATCH(GI$3,Вводные!$D$11:$F$11,0))*(1+IF(GI$4=$A83,Вводные!$D$5*INDEX(Вводные!$G$13:$G$64,MATCH($A83,Вводные!$A$13:$A$64,0)),0))</f>
        <v>1500</v>
      </c>
      <c r="GJ83" s="14" t="n">
        <f aca="false">INDEX(Вводные!$D$13:$F$64,MATCH($A83,Вводные!$A$13:$A$64,0),MATCH(GJ$3,Вводные!$D$11:$F$11,0))*(1+IF(GJ$4=$A83,Вводные!$D$5*INDEX(Вводные!$G$13:$G$64,MATCH($A83,Вводные!$A$13:$A$64,0)),0))</f>
        <v>1500</v>
      </c>
      <c r="GK83" s="14" t="n">
        <f aca="false">INDEX(Вводные!$D$13:$F$64,MATCH($A83,Вводные!$A$13:$A$64,0),MATCH(GK$3,Вводные!$D$11:$F$11,0))*(1+IF(GK$4=$A83,Вводные!$D$5*INDEX(Вводные!$G$13:$G$64,MATCH($A83,Вводные!$A$13:$A$64,0)),0))</f>
        <v>1500</v>
      </c>
      <c r="GL83" s="14" t="n">
        <f aca="false">INDEX(Вводные!$D$13:$F$64,MATCH($A83,Вводные!$A$13:$A$64,0),MATCH(GL$3,Вводные!$D$11:$F$11,0))*(1+IF(GL$4=$A83,Вводные!$D$5*INDEX(Вводные!$G$13:$G$64,MATCH($A83,Вводные!$A$13:$A$64,0)),0))</f>
        <v>1500</v>
      </c>
      <c r="GM83" s="14" t="n">
        <f aca="false">INDEX(Вводные!$D$13:$F$64,MATCH($A83,Вводные!$A$13:$A$64,0),MATCH(GM$3,Вводные!$D$11:$F$11,0))*(1+IF(GM$4=$A83,Вводные!$D$5*INDEX(Вводные!$G$13:$G$64,MATCH($A83,Вводные!$A$13:$A$64,0)),0))</f>
        <v>1500</v>
      </c>
      <c r="GN83" s="14" t="n">
        <f aca="false">INDEX(Вводные!$D$13:$F$64,MATCH($A83,Вводные!$A$13:$A$64,0),MATCH(GN$3,Вводные!$D$11:$F$11,0))*(1+IF(GN$4=$A83,Вводные!$D$5*INDEX(Вводные!$G$13:$G$64,MATCH($A83,Вводные!$A$13:$A$64,0)),0))</f>
        <v>1500</v>
      </c>
      <c r="GO83" s="14" t="n">
        <f aca="false">INDEX(Вводные!$D$13:$F$64,MATCH($A83,Вводные!$A$13:$A$64,0),MATCH(GO$3,Вводные!$D$11:$F$11,0))*(1+IF(GO$4=$A83,Вводные!$D$5*INDEX(Вводные!$G$13:$G$64,MATCH($A83,Вводные!$A$13:$A$64,0)),0))</f>
        <v>1500</v>
      </c>
      <c r="GP83" s="14" t="n">
        <f aca="false">INDEX(Вводные!$D$13:$F$64,MATCH($A83,Вводные!$A$13:$A$64,0),MATCH(GP$3,Вводные!$D$11:$F$11,0))*(1+IF(GP$4=$A83,Вводные!$D$5*INDEX(Вводные!$G$13:$G$64,MATCH($A83,Вводные!$A$13:$A$64,0)),0))</f>
        <v>1500</v>
      </c>
      <c r="GQ83" s="14" t="n">
        <f aca="false">INDEX(Вводные!$D$13:$F$64,MATCH($A83,Вводные!$A$13:$A$64,0),MATCH(GQ$3,Вводные!$D$11:$F$11,0))*(1+IF(GQ$4=$A83,Вводные!$D$5*INDEX(Вводные!$G$13:$G$64,MATCH($A83,Вводные!$A$13:$A$64,0)),0))</f>
        <v>1500</v>
      </c>
      <c r="GR83" s="14" t="n">
        <f aca="false">INDEX(Вводные!$D$13:$F$64,MATCH($A83,Вводные!$A$13:$A$64,0),MATCH(GR$3,Вводные!$D$11:$F$11,0))*(1+IF(GR$4=$A83,Вводные!$D$5*INDEX(Вводные!$G$13:$G$64,MATCH($A83,Вводные!$A$13:$A$64,0)),0))</f>
        <v>1500</v>
      </c>
      <c r="GS83" s="14" t="n">
        <f aca="false">INDEX(Вводные!$D$13:$F$64,MATCH($A83,Вводные!$A$13:$A$64,0),MATCH(GS$3,Вводные!$D$11:$F$11,0))*(1+IF(GS$4=$A83,Вводные!$D$5*INDEX(Вводные!$G$13:$G$64,MATCH($A83,Вводные!$A$13:$A$64,0)),0))</f>
        <v>1500</v>
      </c>
      <c r="GT83" s="14" t="n">
        <f aca="false">INDEX(Вводные!$D$13:$F$64,MATCH($A83,Вводные!$A$13:$A$64,0),MATCH(GT$3,Вводные!$D$11:$F$11,0))*(1+IF(GT$4=$A83,Вводные!$D$5*INDEX(Вводные!$G$13:$G$64,MATCH($A83,Вводные!$A$13:$A$64,0)),0))</f>
        <v>1500</v>
      </c>
      <c r="GU83" s="14" t="n">
        <f aca="false">INDEX(Вводные!$D$13:$F$64,MATCH($A83,Вводные!$A$13:$A$64,0),MATCH(GU$3,Вводные!$D$11:$F$11,0))*(1+IF(GU$4=$A83,Вводные!$D$5*INDEX(Вводные!$G$13:$G$64,MATCH($A83,Вводные!$A$13:$A$64,0)),0))</f>
        <v>1500</v>
      </c>
      <c r="GV83" s="14" t="n">
        <f aca="false">INDEX(Вводные!$D$13:$F$64,MATCH($A83,Вводные!$A$13:$A$64,0),MATCH(GV$3,Вводные!$D$11:$F$11,0))*(1+IF(GV$4=$A83,Вводные!$D$5*INDEX(Вводные!$G$13:$G$64,MATCH($A83,Вводные!$A$13:$A$64,0)),0))</f>
        <v>1500</v>
      </c>
      <c r="GW83" s="14" t="n">
        <f aca="false">INDEX(Вводные!$D$13:$F$64,MATCH($A83,Вводные!$A$13:$A$64,0),MATCH(GW$3,Вводные!$D$11:$F$11,0))*(1+IF(GW$4=$A83,Вводные!$D$5*INDEX(Вводные!$G$13:$G$64,MATCH($A83,Вводные!$A$13:$A$64,0)),0))</f>
        <v>1500</v>
      </c>
      <c r="GX83" s="14" t="n">
        <f aca="false">INDEX(Вводные!$D$13:$F$64,MATCH($A83,Вводные!$A$13:$A$64,0),MATCH(GX$3,Вводные!$D$11:$F$11,0))*(1+IF(GX$4=$A83,Вводные!$D$5*INDEX(Вводные!$G$13:$G$64,MATCH($A83,Вводные!$A$13:$A$64,0)),0))</f>
        <v>1500</v>
      </c>
      <c r="GY83" s="14" t="n">
        <f aca="false">INDEX(Вводные!$D$13:$F$64,MATCH($A83,Вводные!$A$13:$A$64,0),MATCH(GY$3,Вводные!$D$11:$F$11,0))*(1+IF(GY$4=$A83,Вводные!$D$5*INDEX(Вводные!$G$13:$G$64,MATCH($A83,Вводные!$A$13:$A$64,0)),0))</f>
        <v>1500</v>
      </c>
      <c r="GZ83" s="14" t="n">
        <f aca="false">INDEX(Вводные!$D$13:$F$64,MATCH($A83,Вводные!$A$13:$A$64,0),MATCH(GZ$3,Вводные!$D$11:$F$11,0))*(1+IF(GZ$4=$A83,Вводные!$D$5*INDEX(Вводные!$G$13:$G$64,MATCH($A83,Вводные!$A$13:$A$64,0)),0))</f>
        <v>1500</v>
      </c>
      <c r="HA83" s="14" t="n">
        <f aca="false">INDEX(Вводные!$D$13:$F$64,MATCH($A83,Вводные!$A$13:$A$64,0),MATCH(HA$3,Вводные!$D$11:$F$11,0))*(1+IF(HA$4=$A83,Вводные!$D$5*INDEX(Вводные!$G$13:$G$64,MATCH($A83,Вводные!$A$13:$A$64,0)),0))</f>
        <v>1500</v>
      </c>
      <c r="HB83" s="14" t="n">
        <f aca="false">INDEX(Вводные!$D$13:$F$64,MATCH($A83,Вводные!$A$13:$A$64,0),MATCH(HB$3,Вводные!$D$11:$F$11,0))*(1+IF(HB$4=$A83,Вводные!$D$5*INDEX(Вводные!$G$13:$G$64,MATCH($A83,Вводные!$A$13:$A$64,0)),0))</f>
        <v>1500</v>
      </c>
      <c r="HC83" s="14" t="n">
        <f aca="false">INDEX(Вводные!$D$13:$F$64,MATCH($A83,Вводные!$A$13:$A$64,0),MATCH(HC$3,Вводные!$D$11:$F$11,0))*(1+IF(HC$4=$A83,Вводные!$D$5*INDEX(Вводные!$G$13:$G$64,MATCH($A83,Вводные!$A$13:$A$64,0)),0))</f>
        <v>1500</v>
      </c>
      <c r="HD83" s="14" t="n">
        <f aca="false">INDEX(Вводные!$D$13:$F$64,MATCH($A83,Вводные!$A$13:$A$64,0),MATCH(HD$3,Вводные!$D$11:$F$11,0))*(1+IF(HD$4=$A83,Вводные!$D$5*INDEX(Вводные!$G$13:$G$64,MATCH($A83,Вводные!$A$13:$A$64,0)),0))</f>
        <v>1500</v>
      </c>
      <c r="HE83" s="14" t="n">
        <f aca="false">INDEX(Вводные!$D$13:$F$64,MATCH($A83,Вводные!$A$13:$A$64,0),MATCH(HE$3,Вводные!$D$11:$F$11,0))*(1+IF(HE$4=$A83,Вводные!$D$5*INDEX(Вводные!$G$13:$G$64,MATCH($A83,Вводные!$A$13:$A$64,0)),0))</f>
        <v>1500</v>
      </c>
      <c r="HF83" s="14" t="n">
        <f aca="false">INDEX(Вводные!$D$13:$F$64,MATCH($A83,Вводные!$A$13:$A$64,0),MATCH(HF$3,Вводные!$D$11:$F$11,0))*(1+IF(HF$4=$A83,Вводные!$D$5*INDEX(Вводные!$G$13:$G$64,MATCH($A83,Вводные!$A$13:$A$64,0)),0))</f>
        <v>1500</v>
      </c>
      <c r="HG83" s="14" t="n">
        <f aca="false">INDEX(Вводные!$D$13:$F$64,MATCH($A83,Вводные!$A$13:$A$64,0),MATCH(HG$3,Вводные!$D$11:$F$11,0))*(1+IF(HG$4=$A83,Вводные!$D$5*INDEX(Вводные!$G$13:$G$64,MATCH($A83,Вводные!$A$13:$A$64,0)),0))</f>
        <v>1500</v>
      </c>
      <c r="HH83" s="14" t="n">
        <f aca="false">INDEX(Вводные!$D$13:$F$64,MATCH($A83,Вводные!$A$13:$A$64,0),MATCH(HH$3,Вводные!$D$11:$F$11,0))*(1+IF(HH$4=$A83,Вводные!$D$5*INDEX(Вводные!$G$13:$G$64,MATCH($A83,Вводные!$A$13:$A$64,0)),0))</f>
        <v>1500</v>
      </c>
      <c r="HI83" s="14" t="n">
        <f aca="false">INDEX(Вводные!$D$13:$F$64,MATCH($A83,Вводные!$A$13:$A$64,0),MATCH(HI$3,Вводные!$D$11:$F$11,0))*(1+IF(HI$4=$A83,Вводные!$D$5*INDEX(Вводные!$G$13:$G$64,MATCH($A83,Вводные!$A$13:$A$64,0)),0))</f>
        <v>1500</v>
      </c>
      <c r="HJ83" s="14" t="n">
        <f aca="false">INDEX(Вводные!$D$13:$F$64,MATCH($A83,Вводные!$A$13:$A$64,0),MATCH(HJ$3,Вводные!$D$11:$F$11,0))*(1+IF(HJ$4=$A83,Вводные!$D$5*INDEX(Вводные!$G$13:$G$64,MATCH($A83,Вводные!$A$13:$A$64,0)),0))</f>
        <v>1485</v>
      </c>
      <c r="HK83" s="14" t="n">
        <f aca="false">INDEX(Вводные!$D$13:$F$64,MATCH($A83,Вводные!$A$13:$A$64,0),MATCH(HK$3,Вводные!$D$11:$F$11,0))*(1+IF(HK$4=$A83,Вводные!$D$5*INDEX(Вводные!$G$13:$G$64,MATCH($A83,Вводные!$A$13:$A$64,0)),0))</f>
        <v>1500</v>
      </c>
      <c r="HL83" s="14" t="n">
        <f aca="false">INDEX(Вводные!$D$13:$F$64,MATCH($A83,Вводные!$A$13:$A$64,0),MATCH(HL$3,Вводные!$D$11:$F$11,0))*(1+IF(HL$4=$A83,Вводные!$D$5*INDEX(Вводные!$G$13:$G$64,MATCH($A83,Вводные!$A$13:$A$64,0)),0))</f>
        <v>15000</v>
      </c>
      <c r="HM83" s="14" t="n">
        <f aca="false">INDEX(Вводные!$D$13:$F$64,MATCH($A83,Вводные!$A$13:$A$64,0),MATCH(HM$3,Вводные!$D$11:$F$11,0))*(1+IF(HM$4=$A83,Вводные!$D$5*INDEX(Вводные!$G$13:$G$64,MATCH($A83,Вводные!$A$13:$A$64,0)),0))</f>
        <v>15000</v>
      </c>
      <c r="HN83" s="14" t="n">
        <f aca="false">INDEX(Вводные!$D$13:$F$64,MATCH($A83,Вводные!$A$13:$A$64,0),MATCH(HN$3,Вводные!$D$11:$F$11,0))*(1+IF(HN$4=$A83,Вводные!$D$5*INDEX(Вводные!$G$13:$G$64,MATCH($A83,Вводные!$A$13:$A$64,0)),0))</f>
        <v>15000</v>
      </c>
      <c r="HO83" s="14" t="n">
        <f aca="false">INDEX(Вводные!$D$13:$F$64,MATCH($A83,Вводные!$A$13:$A$64,0),MATCH(HO$3,Вводные!$D$11:$F$11,0))*(1+IF(HO$4=$A83,Вводные!$D$5*INDEX(Вводные!$G$13:$G$64,MATCH($A83,Вводные!$A$13:$A$64,0)),0))</f>
        <v>15000</v>
      </c>
      <c r="HP83" s="14" t="n">
        <f aca="false">INDEX(Вводные!$D$13:$F$64,MATCH($A83,Вводные!$A$13:$A$64,0),MATCH(HP$3,Вводные!$D$11:$F$11,0))*(1+IF(HP$4=$A83,Вводные!$D$5*INDEX(Вводные!$G$13:$G$64,MATCH($A83,Вводные!$A$13:$A$64,0)),0))</f>
        <v>15000</v>
      </c>
      <c r="HQ83" s="14" t="n">
        <f aca="false">INDEX(Вводные!$D$13:$F$64,MATCH($A83,Вводные!$A$13:$A$64,0),MATCH(HQ$3,Вводные!$D$11:$F$11,0))*(1+IF(HQ$4=$A83,Вводные!$D$5*INDEX(Вводные!$G$13:$G$64,MATCH($A83,Вводные!$A$13:$A$64,0)),0))</f>
        <v>15000</v>
      </c>
      <c r="HR83" s="14" t="n">
        <f aca="false">INDEX(Вводные!$D$13:$F$64,MATCH($A83,Вводные!$A$13:$A$64,0),MATCH(HR$3,Вводные!$D$11:$F$11,0))*(1+IF(HR$4=$A83,Вводные!$D$5*INDEX(Вводные!$G$13:$G$64,MATCH($A83,Вводные!$A$13:$A$64,0)),0))</f>
        <v>15000</v>
      </c>
      <c r="HS83" s="14" t="n">
        <f aca="false">INDEX(Вводные!$D$13:$F$64,MATCH($A83,Вводные!$A$13:$A$64,0),MATCH(HS$3,Вводные!$D$11:$F$11,0))*(1+IF(HS$4=$A83,Вводные!$D$5*INDEX(Вводные!$G$13:$G$64,MATCH($A83,Вводные!$A$13:$A$64,0)),0))</f>
        <v>15000</v>
      </c>
      <c r="HT83" s="14" t="n">
        <f aca="false">INDEX(Вводные!$D$13:$F$64,MATCH($A83,Вводные!$A$13:$A$64,0),MATCH(HT$3,Вводные!$D$11:$F$11,0))*(1+IF(HT$4=$A83,Вводные!$D$5*INDEX(Вводные!$G$13:$G$64,MATCH($A83,Вводные!$A$13:$A$64,0)),0))</f>
        <v>15000</v>
      </c>
      <c r="HU83" s="14" t="n">
        <f aca="false">INDEX(Вводные!$D$13:$F$64,MATCH($A83,Вводные!$A$13:$A$64,0),MATCH(HU$3,Вводные!$D$11:$F$11,0))*(1+IF(HU$4=$A83,Вводные!$D$5*INDEX(Вводные!$G$13:$G$64,MATCH($A83,Вводные!$A$13:$A$64,0)),0))</f>
        <v>15000</v>
      </c>
      <c r="HV83" s="14" t="n">
        <f aca="false">INDEX(Вводные!$D$13:$F$64,MATCH($A83,Вводные!$A$13:$A$64,0),MATCH(HV$3,Вводные!$D$11:$F$11,0))*(1+IF(HV$4=$A83,Вводные!$D$5*INDEX(Вводные!$G$13:$G$64,MATCH($A83,Вводные!$A$13:$A$64,0)),0))</f>
        <v>15000</v>
      </c>
      <c r="HW83" s="14" t="n">
        <f aca="false">INDEX(Вводные!$D$13:$F$64,MATCH($A83,Вводные!$A$13:$A$64,0),MATCH(HW$3,Вводные!$D$11:$F$11,0))*(1+IF(HW$4=$A83,Вводные!$D$5*INDEX(Вводные!$G$13:$G$64,MATCH($A83,Вводные!$A$13:$A$64,0)),0))</f>
        <v>15000</v>
      </c>
      <c r="HX83" s="14" t="n">
        <f aca="false">INDEX(Вводные!$D$13:$F$64,MATCH($A83,Вводные!$A$13:$A$64,0),MATCH(HX$3,Вводные!$D$11:$F$11,0))*(1+IF(HX$4=$A83,Вводные!$D$5*INDEX(Вводные!$G$13:$G$64,MATCH($A83,Вводные!$A$13:$A$64,0)),0))</f>
        <v>15000</v>
      </c>
      <c r="HY83" s="14" t="n">
        <f aca="false">INDEX(Вводные!$D$13:$F$64,MATCH($A83,Вводные!$A$13:$A$64,0),MATCH(HY$3,Вводные!$D$11:$F$11,0))*(1+IF(HY$4=$A83,Вводные!$D$5*INDEX(Вводные!$G$13:$G$64,MATCH($A83,Вводные!$A$13:$A$64,0)),0))</f>
        <v>15000</v>
      </c>
      <c r="HZ83" s="14" t="n">
        <f aca="false">INDEX(Вводные!$D$13:$F$64,MATCH($A83,Вводные!$A$13:$A$64,0),MATCH(HZ$3,Вводные!$D$11:$F$11,0))*(1+IF(HZ$4=$A83,Вводные!$D$5*INDEX(Вводные!$G$13:$G$64,MATCH($A83,Вводные!$A$13:$A$64,0)),0))</f>
        <v>15000</v>
      </c>
      <c r="IA83" s="14" t="n">
        <f aca="false">INDEX(Вводные!$D$13:$F$64,MATCH($A83,Вводные!$A$13:$A$64,0),MATCH(IA$3,Вводные!$D$11:$F$11,0))*(1+IF(IA$4=$A83,Вводные!$D$5*INDEX(Вводные!$G$13:$G$64,MATCH($A83,Вводные!$A$13:$A$64,0)),0))</f>
        <v>15000</v>
      </c>
      <c r="IB83" s="14" t="n">
        <f aca="false">INDEX(Вводные!$D$13:$F$64,MATCH($A83,Вводные!$A$13:$A$64,0),MATCH(IB$3,Вводные!$D$11:$F$11,0))*(1+IF(IB$4=$A83,Вводные!$D$5*INDEX(Вводные!$G$13:$G$64,MATCH($A83,Вводные!$A$13:$A$64,0)),0))</f>
        <v>15000</v>
      </c>
      <c r="IC83" s="14" t="n">
        <f aca="false">INDEX(Вводные!$D$13:$F$64,MATCH($A83,Вводные!$A$13:$A$64,0),MATCH(IC$3,Вводные!$D$11:$F$11,0))*(1+IF(IC$4=$A83,Вводные!$D$5*INDEX(Вводные!$G$13:$G$64,MATCH($A83,Вводные!$A$13:$A$64,0)),0))</f>
        <v>15000</v>
      </c>
      <c r="ID83" s="14" t="n">
        <f aca="false">INDEX(Вводные!$D$13:$F$64,MATCH($A83,Вводные!$A$13:$A$64,0),MATCH(ID$3,Вводные!$D$11:$F$11,0))*(1+IF(ID$4=$A83,Вводные!$D$5*INDEX(Вводные!$G$13:$G$64,MATCH($A83,Вводные!$A$13:$A$64,0)),0))</f>
        <v>15000</v>
      </c>
      <c r="IE83" s="14" t="n">
        <f aca="false">INDEX(Вводные!$D$13:$F$64,MATCH($A83,Вводные!$A$13:$A$64,0),MATCH(IE$3,Вводные!$D$11:$F$11,0))*(1+IF(IE$4=$A83,Вводные!$D$5*INDEX(Вводные!$G$13:$G$64,MATCH($A83,Вводные!$A$13:$A$64,0)),0))</f>
        <v>15000</v>
      </c>
      <c r="IF83" s="14" t="n">
        <f aca="false">INDEX(Вводные!$D$13:$F$64,MATCH($A83,Вводные!$A$13:$A$64,0),MATCH(IF$3,Вводные!$D$11:$F$11,0))*(1+IF(IF$4=$A83,Вводные!$D$5*INDEX(Вводные!$G$13:$G$64,MATCH($A83,Вводные!$A$13:$A$64,0)),0))</f>
        <v>15000</v>
      </c>
      <c r="IG83" s="14" t="n">
        <f aca="false">INDEX(Вводные!$D$13:$F$64,MATCH($A83,Вводные!$A$13:$A$64,0),MATCH(IG$3,Вводные!$D$11:$F$11,0))*(1+IF(IG$4=$A83,Вводные!$D$5*INDEX(Вводные!$G$13:$G$64,MATCH($A83,Вводные!$A$13:$A$64,0)),0))</f>
        <v>15000</v>
      </c>
      <c r="IH83" s="14" t="n">
        <f aca="false">INDEX(Вводные!$D$13:$F$64,MATCH($A83,Вводные!$A$13:$A$64,0),MATCH(IH$3,Вводные!$D$11:$F$11,0))*(1+IF(IH$4=$A83,Вводные!$D$5*INDEX(Вводные!$G$13:$G$64,MATCH($A83,Вводные!$A$13:$A$64,0)),0))</f>
        <v>15000</v>
      </c>
      <c r="II83" s="14" t="n">
        <f aca="false">INDEX(Вводные!$D$13:$F$64,MATCH($A83,Вводные!$A$13:$A$64,0),MATCH(II$3,Вводные!$D$11:$F$11,0))*(1+IF(II$4=$A83,Вводные!$D$5*INDEX(Вводные!$G$13:$G$64,MATCH($A83,Вводные!$A$13:$A$64,0)),0))</f>
        <v>15000</v>
      </c>
      <c r="IJ83" s="14" t="n">
        <f aca="false">INDEX(Вводные!$D$13:$F$64,MATCH($A83,Вводные!$A$13:$A$64,0),MATCH(IJ$3,Вводные!$D$11:$F$11,0))*(1+IF(IJ$4=$A83,Вводные!$D$5*INDEX(Вводные!$G$13:$G$64,MATCH($A83,Вводные!$A$13:$A$64,0)),0))</f>
        <v>15000</v>
      </c>
      <c r="IK83" s="14" t="n">
        <f aca="false">INDEX(Вводные!$D$13:$F$64,MATCH($A83,Вводные!$A$13:$A$64,0),MATCH(IK$3,Вводные!$D$11:$F$11,0))*(1+IF(IK$4=$A83,Вводные!$D$5*INDEX(Вводные!$G$13:$G$64,MATCH($A83,Вводные!$A$13:$A$64,0)),0))</f>
        <v>15000</v>
      </c>
      <c r="IL83" s="14" t="n">
        <f aca="false">INDEX(Вводные!$D$13:$F$64,MATCH($A83,Вводные!$A$13:$A$64,0),MATCH(IL$3,Вводные!$D$11:$F$11,0))*(1+IF(IL$4=$A83,Вводные!$D$5*INDEX(Вводные!$G$13:$G$64,MATCH($A83,Вводные!$A$13:$A$64,0)),0))</f>
        <v>15000</v>
      </c>
      <c r="IM83" s="14" t="n">
        <f aca="false">INDEX(Вводные!$D$13:$F$64,MATCH($A83,Вводные!$A$13:$A$64,0),MATCH(IM$3,Вводные!$D$11:$F$11,0))*(1+IF(IM$4=$A83,Вводные!$D$5*INDEX(Вводные!$G$13:$G$64,MATCH($A83,Вводные!$A$13:$A$64,0)),0))</f>
        <v>15000</v>
      </c>
      <c r="IN83" s="14" t="n">
        <f aca="false">INDEX(Вводные!$D$13:$F$64,MATCH($A83,Вводные!$A$13:$A$64,0),MATCH(IN$3,Вводные!$D$11:$F$11,0))*(1+IF(IN$4=$A83,Вводные!$D$5*INDEX(Вводные!$G$13:$G$64,MATCH($A83,Вводные!$A$13:$A$64,0)),0))</f>
        <v>15000</v>
      </c>
      <c r="IO83" s="14" t="n">
        <f aca="false">INDEX(Вводные!$D$13:$F$64,MATCH($A83,Вводные!$A$13:$A$64,0),MATCH(IO$3,Вводные!$D$11:$F$11,0))*(1+IF(IO$4=$A83,Вводные!$D$5*INDEX(Вводные!$G$13:$G$64,MATCH($A83,Вводные!$A$13:$A$64,0)),0))</f>
        <v>15000</v>
      </c>
      <c r="IP83" s="14" t="n">
        <f aca="false">INDEX(Вводные!$D$13:$F$64,MATCH($A83,Вводные!$A$13:$A$64,0),MATCH(IP$3,Вводные!$D$11:$F$11,0))*(1+IF(IP$4=$A83,Вводные!$D$5*INDEX(Вводные!$G$13:$G$64,MATCH($A83,Вводные!$A$13:$A$64,0)),0))</f>
        <v>15000</v>
      </c>
      <c r="IQ83" s="14" t="n">
        <f aca="false">INDEX(Вводные!$D$13:$F$64,MATCH($A83,Вводные!$A$13:$A$64,0),MATCH(IQ$3,Вводные!$D$11:$F$11,0))*(1+IF(IQ$4=$A83,Вводные!$D$5*INDEX(Вводные!$G$13:$G$64,MATCH($A83,Вводные!$A$13:$A$64,0)),0))</f>
        <v>15000</v>
      </c>
      <c r="IR83" s="14" t="n">
        <f aca="false">INDEX(Вводные!$D$13:$F$64,MATCH($A83,Вводные!$A$13:$A$64,0),MATCH(IR$3,Вводные!$D$11:$F$11,0))*(1+IF(IR$4=$A83,Вводные!$D$5*INDEX(Вводные!$G$13:$G$64,MATCH($A83,Вводные!$A$13:$A$64,0)),0))</f>
        <v>15000</v>
      </c>
      <c r="IS83" s="14" t="n">
        <f aca="false">INDEX(Вводные!$D$13:$F$64,MATCH($A83,Вводные!$A$13:$A$64,0),MATCH(IS$3,Вводные!$D$11:$F$11,0))*(1+IF(IS$4=$A83,Вводные!$D$5*INDEX(Вводные!$G$13:$G$64,MATCH($A83,Вводные!$A$13:$A$64,0)),0))</f>
        <v>15000</v>
      </c>
      <c r="IT83" s="14" t="n">
        <f aca="false">INDEX(Вводные!$D$13:$F$64,MATCH($A83,Вводные!$A$13:$A$64,0),MATCH(IT$3,Вводные!$D$11:$F$11,0))*(1+IF(IT$4=$A83,Вводные!$D$5*INDEX(Вводные!$G$13:$G$64,MATCH($A83,Вводные!$A$13:$A$64,0)),0))</f>
        <v>15000</v>
      </c>
      <c r="IU83" s="14" t="n">
        <f aca="false">INDEX(Вводные!$D$13:$F$64,MATCH($A83,Вводные!$A$13:$A$64,0),MATCH(IU$3,Вводные!$D$11:$F$11,0))*(1+IF(IU$4=$A83,Вводные!$D$5*INDEX(Вводные!$G$13:$G$64,MATCH($A83,Вводные!$A$13:$A$64,0)),0))</f>
        <v>15000</v>
      </c>
      <c r="IV83" s="14" t="n">
        <f aca="false">INDEX(Вводные!$D$13:$F$64,MATCH($A83,Вводные!$A$13:$A$64,0),MATCH(IV$3,Вводные!$D$11:$F$11,0))*(1+IF(IV$4=$A83,Вводные!$D$5*INDEX(Вводные!$G$13:$G$64,MATCH($A83,Вводные!$A$13:$A$64,0)),0))</f>
        <v>15000</v>
      </c>
      <c r="IW83" s="14" t="n">
        <f aca="false">INDEX(Вводные!$D$13:$F$64,MATCH($A83,Вводные!$A$13:$A$64,0),MATCH(IW$3,Вводные!$D$11:$F$11,0))*(1+IF(IW$4=$A83,Вводные!$D$5*INDEX(Вводные!$G$13:$G$64,MATCH($A83,Вводные!$A$13:$A$64,0)),0))</f>
        <v>15000</v>
      </c>
      <c r="IX83" s="14" t="n">
        <f aca="false">INDEX(Вводные!$D$13:$F$64,MATCH($A83,Вводные!$A$13:$A$64,0),MATCH(IX$3,Вводные!$D$11:$F$11,0))*(1+IF(IX$4=$A83,Вводные!$D$5*INDEX(Вводные!$G$13:$G$64,MATCH($A83,Вводные!$A$13:$A$64,0)),0))</f>
        <v>15000</v>
      </c>
      <c r="IY83" s="14" t="n">
        <f aca="false">INDEX(Вводные!$D$13:$F$64,MATCH($A83,Вводные!$A$13:$A$64,0),MATCH(IY$3,Вводные!$D$11:$F$11,0))*(1+IF(IY$4=$A83,Вводные!$D$5*INDEX(Вводные!$G$13:$G$64,MATCH($A83,Вводные!$A$13:$A$64,0)),0))</f>
        <v>15000</v>
      </c>
      <c r="IZ83" s="14" t="n">
        <f aca="false">INDEX(Вводные!$D$13:$F$64,MATCH($A83,Вводные!$A$13:$A$64,0),MATCH(IZ$3,Вводные!$D$11:$F$11,0))*(1+IF(IZ$4=$A83,Вводные!$D$5*INDEX(Вводные!$G$13:$G$64,MATCH($A83,Вводные!$A$13:$A$64,0)),0))</f>
        <v>14850</v>
      </c>
      <c r="JA83" s="14" t="n">
        <f aca="false">INDEX(Вводные!$D$13:$F$64,MATCH($A83,Вводные!$A$13:$A$64,0),MATCH(JA$3,Вводные!$D$11:$F$11,0))*(1+IF(JA$4=$A83,Вводные!$D$5*INDEX(Вводные!$G$13:$G$64,MATCH($A83,Вводные!$A$13:$A$64,0)),0))</f>
        <v>15000</v>
      </c>
    </row>
    <row r="84" customFormat="false" ht="15" hidden="false" customHeight="false" outlineLevel="0" collapsed="false">
      <c r="A84" s="16" t="s">
        <v>123</v>
      </c>
      <c r="B84" s="16" t="s">
        <v>124</v>
      </c>
      <c r="C84" s="26" t="s">
        <v>179</v>
      </c>
      <c r="D84" s="24" t="s">
        <v>289</v>
      </c>
      <c r="E84" s="62" t="n">
        <f aca="false">E13*E83</f>
        <v>5940000</v>
      </c>
      <c r="F84" s="62" t="n">
        <f aca="false">F13*F83</f>
        <v>1680000</v>
      </c>
      <c r="G84" s="62" t="n">
        <f aca="false">G13*G83</f>
        <v>540000</v>
      </c>
      <c r="H84" s="62" t="n">
        <f aca="false">SUM(E84:G84)</f>
        <v>8160000</v>
      </c>
      <c r="J84" s="59" t="n">
        <f aca="false">J13*J83</f>
        <v>5940000</v>
      </c>
      <c r="K84" s="59" t="n">
        <f aca="false">K13*K83</f>
        <v>5999400</v>
      </c>
      <c r="L84" s="59" t="n">
        <f aca="false">L13*L83</f>
        <v>5999400</v>
      </c>
      <c r="M84" s="59" t="n">
        <f aca="false">M13*M83</f>
        <v>5999400</v>
      </c>
      <c r="N84" s="59" t="n">
        <f aca="false">N13*N83</f>
        <v>5940000</v>
      </c>
      <c r="O84" s="59" t="n">
        <f aca="false">O13*O83</f>
        <v>5940000</v>
      </c>
      <c r="P84" s="59" t="n">
        <f aca="false">P13*P83</f>
        <v>5940000</v>
      </c>
      <c r="Q84" s="59" t="n">
        <f aca="false">Q13*Q83</f>
        <v>5940000</v>
      </c>
      <c r="R84" s="59" t="n">
        <f aca="false">R13*R83</f>
        <v>5940000</v>
      </c>
      <c r="S84" s="59" t="n">
        <f aca="false">S13*S83</f>
        <v>5940000</v>
      </c>
      <c r="T84" s="59" t="n">
        <f aca="false">T13*T83</f>
        <v>5940000</v>
      </c>
      <c r="U84" s="59" t="n">
        <f aca="false">U13*U83</f>
        <v>5940000</v>
      </c>
      <c r="V84" s="59" t="n">
        <f aca="false">V13*V83</f>
        <v>5940000</v>
      </c>
      <c r="W84" s="59" t="n">
        <f aca="false">W13*W83</f>
        <v>5940000</v>
      </c>
      <c r="X84" s="59" t="n">
        <f aca="false">X13*X83</f>
        <v>5940000</v>
      </c>
      <c r="Y84" s="59" t="n">
        <f aca="false">Y13*Y83</f>
        <v>5940000</v>
      </c>
      <c r="Z84" s="59" t="n">
        <f aca="false">Z13*Z83</f>
        <v>5940000</v>
      </c>
      <c r="AA84" s="59" t="n">
        <f aca="false">AA13*AA83</f>
        <v>5940000</v>
      </c>
      <c r="AB84" s="59" t="n">
        <f aca="false">AB13*AB83</f>
        <v>5940000</v>
      </c>
      <c r="AC84" s="59" t="n">
        <f aca="false">AC13*AC83</f>
        <v>5940000</v>
      </c>
      <c r="AD84" s="59" t="n">
        <f aca="false">AD13*AD83</f>
        <v>5940000</v>
      </c>
      <c r="AE84" s="59" t="n">
        <f aca="false">AE13*AE83</f>
        <v>5940000</v>
      </c>
      <c r="AF84" s="59" t="n">
        <f aca="false">AF13*AF83</f>
        <v>5940000</v>
      </c>
      <c r="AG84" s="59" t="n">
        <f aca="false">AG13*AG83</f>
        <v>5940000</v>
      </c>
      <c r="AH84" s="59" t="n">
        <f aca="false">AH13*AH83</f>
        <v>5940000</v>
      </c>
      <c r="AI84" s="59" t="n">
        <f aca="false">AI13*AI83</f>
        <v>5940000</v>
      </c>
      <c r="AJ84" s="59" t="n">
        <f aca="false">AJ13*AJ83</f>
        <v>5940000</v>
      </c>
      <c r="AK84" s="59" t="n">
        <f aca="false">AK13*AK83</f>
        <v>5940000</v>
      </c>
      <c r="AL84" s="59" t="n">
        <f aca="false">AL13*AL83</f>
        <v>5940000</v>
      </c>
      <c r="AM84" s="59" t="n">
        <f aca="false">AM13*AM83</f>
        <v>5940000</v>
      </c>
      <c r="AN84" s="59" t="n">
        <f aca="false">AN13*AN83</f>
        <v>5940000</v>
      </c>
      <c r="AO84" s="59" t="n">
        <f aca="false">AO13*AO83</f>
        <v>5940000</v>
      </c>
      <c r="AP84" s="59" t="n">
        <f aca="false">AP13*AP83</f>
        <v>5940000</v>
      </c>
      <c r="AQ84" s="59" t="n">
        <f aca="false">AQ13*AQ83</f>
        <v>5940000</v>
      </c>
      <c r="AR84" s="59" t="n">
        <f aca="false">AR13*AR83</f>
        <v>5940000</v>
      </c>
      <c r="AS84" s="59" t="n">
        <f aca="false">AS13*AS83</f>
        <v>5940000</v>
      </c>
      <c r="AT84" s="59" t="n">
        <f aca="false">AT13*AT83</f>
        <v>5940000</v>
      </c>
      <c r="AU84" s="59" t="n">
        <f aca="false">AU13*AU83</f>
        <v>5940000</v>
      </c>
      <c r="AV84" s="59" t="n">
        <f aca="false">AV13*AV83</f>
        <v>5940000</v>
      </c>
      <c r="AW84" s="59" t="n">
        <f aca="false">AW13*AW83</f>
        <v>5940000</v>
      </c>
      <c r="AX84" s="59" t="n">
        <f aca="false">AX13*AX83</f>
        <v>5880600</v>
      </c>
      <c r="AY84" s="59" t="n">
        <f aca="false">AY13*AY83</f>
        <v>5940000</v>
      </c>
      <c r="AZ84" s="59" t="n">
        <f aca="false">AZ13*AZ83</f>
        <v>1680000</v>
      </c>
      <c r="BA84" s="59" t="n">
        <f aca="false">BA13*BA83</f>
        <v>1696800</v>
      </c>
      <c r="BB84" s="59" t="n">
        <f aca="false">BB13*BB83</f>
        <v>1696800</v>
      </c>
      <c r="BC84" s="59" t="n">
        <f aca="false">BC13*BC83</f>
        <v>1696800</v>
      </c>
      <c r="BD84" s="59" t="n">
        <f aca="false">BD13*BD83</f>
        <v>1680000</v>
      </c>
      <c r="BE84" s="59" t="n">
        <f aca="false">BE13*BE83</f>
        <v>1680000</v>
      </c>
      <c r="BF84" s="59" t="n">
        <f aca="false">BF13*BF83</f>
        <v>1680000</v>
      </c>
      <c r="BG84" s="59" t="n">
        <f aca="false">BG13*BG83</f>
        <v>1680000</v>
      </c>
      <c r="BH84" s="59" t="n">
        <f aca="false">BH13*BH83</f>
        <v>1680000</v>
      </c>
      <c r="BI84" s="59" t="n">
        <f aca="false">BI13*BI83</f>
        <v>1680000</v>
      </c>
      <c r="BJ84" s="59" t="n">
        <f aca="false">BJ13*BJ83</f>
        <v>1680000</v>
      </c>
      <c r="BK84" s="59" t="n">
        <f aca="false">BK13*BK83</f>
        <v>1680000</v>
      </c>
      <c r="BL84" s="59" t="n">
        <f aca="false">BL13*BL83</f>
        <v>1680000</v>
      </c>
      <c r="BM84" s="59" t="n">
        <f aca="false">BM13*BM83</f>
        <v>1680000</v>
      </c>
      <c r="BN84" s="59" t="n">
        <f aca="false">BN13*BN83</f>
        <v>1680000</v>
      </c>
      <c r="BO84" s="59" t="n">
        <f aca="false">BO13*BO83</f>
        <v>1680000</v>
      </c>
      <c r="BP84" s="59" t="n">
        <f aca="false">BP13*BP83</f>
        <v>1680000</v>
      </c>
      <c r="BQ84" s="59" t="n">
        <f aca="false">BQ13*BQ83</f>
        <v>1680000</v>
      </c>
      <c r="BR84" s="59" t="n">
        <f aca="false">BR13*BR83</f>
        <v>1680000</v>
      </c>
      <c r="BS84" s="59" t="n">
        <f aca="false">BS13*BS83</f>
        <v>1680000</v>
      </c>
      <c r="BT84" s="59" t="n">
        <f aca="false">BT13*BT83</f>
        <v>1680000</v>
      </c>
      <c r="BU84" s="59" t="n">
        <f aca="false">BU13*BU83</f>
        <v>1680000</v>
      </c>
      <c r="BV84" s="59" t="n">
        <f aca="false">BV13*BV83</f>
        <v>1680000</v>
      </c>
      <c r="BW84" s="59" t="n">
        <f aca="false">BW13*BW83</f>
        <v>1680000</v>
      </c>
      <c r="BX84" s="59" t="n">
        <f aca="false">BX13*BX83</f>
        <v>1680000</v>
      </c>
      <c r="BY84" s="59" t="n">
        <f aca="false">BY13*BY83</f>
        <v>1680000</v>
      </c>
      <c r="BZ84" s="59" t="n">
        <f aca="false">BZ13*BZ83</f>
        <v>1680000</v>
      </c>
      <c r="CA84" s="59" t="n">
        <f aca="false">CA13*CA83</f>
        <v>1680000</v>
      </c>
      <c r="CB84" s="59" t="n">
        <f aca="false">CB13*CB83</f>
        <v>1680000</v>
      </c>
      <c r="CC84" s="59" t="n">
        <f aca="false">CC13*CC83</f>
        <v>1680000</v>
      </c>
      <c r="CD84" s="59" t="n">
        <f aca="false">CD13*CD83</f>
        <v>1680000</v>
      </c>
      <c r="CE84" s="59" t="n">
        <f aca="false">CE13*CE83</f>
        <v>1680000</v>
      </c>
      <c r="CF84" s="59" t="n">
        <f aca="false">CF13*CF83</f>
        <v>1680000</v>
      </c>
      <c r="CG84" s="59" t="n">
        <f aca="false">CG13*CG83</f>
        <v>1680000</v>
      </c>
      <c r="CH84" s="59" t="n">
        <f aca="false">CH13*CH83</f>
        <v>1680000</v>
      </c>
      <c r="CI84" s="59" t="n">
        <f aca="false">CI13*CI83</f>
        <v>1680000</v>
      </c>
      <c r="CJ84" s="59" t="n">
        <f aca="false">CJ13*CJ83</f>
        <v>1680000</v>
      </c>
      <c r="CK84" s="59" t="n">
        <f aca="false">CK13*CK83</f>
        <v>1680000</v>
      </c>
      <c r="CL84" s="59" t="n">
        <f aca="false">CL13*CL83</f>
        <v>1680000</v>
      </c>
      <c r="CM84" s="59" t="n">
        <f aca="false">CM13*CM83</f>
        <v>1680000</v>
      </c>
      <c r="CN84" s="59" t="n">
        <f aca="false">CN13*CN83</f>
        <v>1663200</v>
      </c>
      <c r="CO84" s="59" t="n">
        <f aca="false">CO13*CO83</f>
        <v>1680000</v>
      </c>
      <c r="CP84" s="59" t="n">
        <f aca="false">CP13*CP83</f>
        <v>540000</v>
      </c>
      <c r="CQ84" s="59" t="n">
        <f aca="false">CQ13*CQ83</f>
        <v>545400</v>
      </c>
      <c r="CR84" s="59" t="n">
        <f aca="false">CR13*CR83</f>
        <v>545400</v>
      </c>
      <c r="CS84" s="59" t="n">
        <f aca="false">CS13*CS83</f>
        <v>545400</v>
      </c>
      <c r="CT84" s="59" t="n">
        <f aca="false">CT13*CT83</f>
        <v>540000</v>
      </c>
      <c r="CU84" s="59" t="n">
        <f aca="false">CU13*CU83</f>
        <v>540000</v>
      </c>
      <c r="CV84" s="59" t="n">
        <f aca="false">CV13*CV83</f>
        <v>540000</v>
      </c>
      <c r="CW84" s="59" t="n">
        <f aca="false">CW13*CW83</f>
        <v>540000</v>
      </c>
      <c r="CX84" s="59" t="n">
        <f aca="false">CX13*CX83</f>
        <v>540000</v>
      </c>
      <c r="CY84" s="59" t="n">
        <f aca="false">CY13*CY83</f>
        <v>540000</v>
      </c>
      <c r="CZ84" s="59" t="n">
        <f aca="false">CZ13*CZ83</f>
        <v>540000</v>
      </c>
      <c r="DA84" s="59" t="n">
        <f aca="false">DA13*DA83</f>
        <v>540000</v>
      </c>
      <c r="DB84" s="59" t="n">
        <f aca="false">DB13*DB83</f>
        <v>540000</v>
      </c>
      <c r="DC84" s="59" t="n">
        <f aca="false">DC13*DC83</f>
        <v>540000</v>
      </c>
      <c r="DD84" s="59" t="n">
        <f aca="false">DD13*DD83</f>
        <v>540000</v>
      </c>
      <c r="DE84" s="59" t="n">
        <f aca="false">DE13*DE83</f>
        <v>540000</v>
      </c>
      <c r="DF84" s="59" t="n">
        <f aca="false">DF13*DF83</f>
        <v>540000</v>
      </c>
      <c r="DG84" s="59" t="n">
        <f aca="false">DG13*DG83</f>
        <v>540000</v>
      </c>
      <c r="DH84" s="59" t="n">
        <f aca="false">DH13*DH83</f>
        <v>540000</v>
      </c>
      <c r="DI84" s="59" t="n">
        <f aca="false">DI13*DI83</f>
        <v>540000</v>
      </c>
      <c r="DJ84" s="59" t="n">
        <f aca="false">DJ13*DJ83</f>
        <v>540000</v>
      </c>
      <c r="DK84" s="59" t="n">
        <f aca="false">DK13*DK83</f>
        <v>540000</v>
      </c>
      <c r="DL84" s="59" t="n">
        <f aca="false">DL13*DL83</f>
        <v>540000</v>
      </c>
      <c r="DM84" s="59" t="n">
        <f aca="false">DM13*DM83</f>
        <v>540000</v>
      </c>
      <c r="DN84" s="59" t="n">
        <f aca="false">DN13*DN83</f>
        <v>540000</v>
      </c>
      <c r="DO84" s="59" t="n">
        <f aca="false">DO13*DO83</f>
        <v>540000</v>
      </c>
      <c r="DP84" s="59" t="n">
        <f aca="false">DP13*DP83</f>
        <v>540000</v>
      </c>
      <c r="DQ84" s="59" t="n">
        <f aca="false">DQ13*DQ83</f>
        <v>540000</v>
      </c>
      <c r="DR84" s="59" t="n">
        <f aca="false">DR13*DR83</f>
        <v>540000</v>
      </c>
      <c r="DS84" s="59" t="n">
        <f aca="false">DS13*DS83</f>
        <v>540000</v>
      </c>
      <c r="DT84" s="59" t="n">
        <f aca="false">DT13*DT83</f>
        <v>540000</v>
      </c>
      <c r="DU84" s="59" t="n">
        <f aca="false">DU13*DU83</f>
        <v>540000</v>
      </c>
      <c r="DV84" s="59" t="n">
        <f aca="false">DV13*DV83</f>
        <v>540000</v>
      </c>
      <c r="DW84" s="59" t="n">
        <f aca="false">DW13*DW83</f>
        <v>540000</v>
      </c>
      <c r="DX84" s="59" t="n">
        <f aca="false">DX13*DX83</f>
        <v>540000</v>
      </c>
      <c r="DY84" s="59" t="n">
        <f aca="false">DY13*DY83</f>
        <v>540000</v>
      </c>
      <c r="DZ84" s="59" t="n">
        <f aca="false">DZ13*DZ83</f>
        <v>540000</v>
      </c>
      <c r="EA84" s="59" t="n">
        <f aca="false">EA13*EA83</f>
        <v>540000</v>
      </c>
      <c r="EB84" s="59" t="n">
        <f aca="false">EB13*EB83</f>
        <v>540000</v>
      </c>
      <c r="EC84" s="59" t="n">
        <f aca="false">EC13*EC83</f>
        <v>540000</v>
      </c>
      <c r="ED84" s="59" t="n">
        <f aca="false">ED13*ED83</f>
        <v>534600</v>
      </c>
      <c r="EE84" s="59" t="n">
        <f aca="false">EE13*EE83</f>
        <v>540000</v>
      </c>
      <c r="EF84" s="59" t="n">
        <f aca="false">EF13*EF83</f>
        <v>5940000</v>
      </c>
      <c r="EG84" s="59" t="n">
        <f aca="false">EG13*EG83</f>
        <v>5999400</v>
      </c>
      <c r="EH84" s="59" t="n">
        <f aca="false">EH13*EH83</f>
        <v>5999400</v>
      </c>
      <c r="EI84" s="59" t="n">
        <f aca="false">EI13*EI83</f>
        <v>5999400</v>
      </c>
      <c r="EJ84" s="59" t="n">
        <f aca="false">EJ13*EJ83</f>
        <v>5940000</v>
      </c>
      <c r="EK84" s="59" t="n">
        <f aca="false">EK13*EK83</f>
        <v>5940000</v>
      </c>
      <c r="EL84" s="59" t="n">
        <f aca="false">EL13*EL83</f>
        <v>5940000</v>
      </c>
      <c r="EM84" s="59" t="n">
        <f aca="false">EM13*EM83</f>
        <v>5940000</v>
      </c>
      <c r="EN84" s="59" t="n">
        <f aca="false">EN13*EN83</f>
        <v>5940000</v>
      </c>
      <c r="EO84" s="59" t="n">
        <f aca="false">EO13*EO83</f>
        <v>5940000</v>
      </c>
      <c r="EP84" s="59" t="n">
        <f aca="false">EP13*EP83</f>
        <v>5940000</v>
      </c>
      <c r="EQ84" s="59" t="n">
        <f aca="false">EQ13*EQ83</f>
        <v>5940000</v>
      </c>
      <c r="ER84" s="59" t="n">
        <f aca="false">ER13*ER83</f>
        <v>5940000</v>
      </c>
      <c r="ES84" s="59" t="n">
        <f aca="false">ES13*ES83</f>
        <v>5940000</v>
      </c>
      <c r="ET84" s="59" t="n">
        <f aca="false">ET13*ET83</f>
        <v>5940000</v>
      </c>
      <c r="EU84" s="59" t="n">
        <f aca="false">EU13*EU83</f>
        <v>5940000</v>
      </c>
      <c r="EV84" s="59" t="n">
        <f aca="false">EV13*EV83</f>
        <v>5940000</v>
      </c>
      <c r="EW84" s="59" t="n">
        <f aca="false">EW13*EW83</f>
        <v>5940000</v>
      </c>
      <c r="EX84" s="59" t="n">
        <f aca="false">EX13*EX83</f>
        <v>5940000</v>
      </c>
      <c r="EY84" s="59" t="n">
        <f aca="false">EY13*EY83</f>
        <v>5940000</v>
      </c>
      <c r="EZ84" s="59" t="n">
        <f aca="false">EZ13*EZ83</f>
        <v>5940000</v>
      </c>
      <c r="FA84" s="59" t="n">
        <f aca="false">FA13*FA83</f>
        <v>5940000</v>
      </c>
      <c r="FB84" s="59" t="n">
        <f aca="false">FB13*FB83</f>
        <v>5940000</v>
      </c>
      <c r="FC84" s="59" t="n">
        <f aca="false">FC13*FC83</f>
        <v>5940000</v>
      </c>
      <c r="FD84" s="59" t="n">
        <f aca="false">FD13*FD83</f>
        <v>5940000</v>
      </c>
      <c r="FE84" s="59" t="n">
        <f aca="false">FE13*FE83</f>
        <v>5940000</v>
      </c>
      <c r="FF84" s="59" t="n">
        <f aca="false">FF13*FF83</f>
        <v>5940000</v>
      </c>
      <c r="FG84" s="59" t="n">
        <f aca="false">FG13*FG83</f>
        <v>5940000</v>
      </c>
      <c r="FH84" s="59" t="n">
        <f aca="false">FH13*FH83</f>
        <v>5940000</v>
      </c>
      <c r="FI84" s="59" t="n">
        <f aca="false">FI13*FI83</f>
        <v>5940000</v>
      </c>
      <c r="FJ84" s="59" t="n">
        <f aca="false">FJ13*FJ83</f>
        <v>5940000</v>
      </c>
      <c r="FK84" s="59" t="n">
        <f aca="false">FK13*FK83</f>
        <v>5940000</v>
      </c>
      <c r="FL84" s="59" t="n">
        <f aca="false">FL13*FL83</f>
        <v>5940000</v>
      </c>
      <c r="FM84" s="59" t="n">
        <f aca="false">FM13*FM83</f>
        <v>5940000</v>
      </c>
      <c r="FN84" s="59" t="n">
        <f aca="false">FN13*FN83</f>
        <v>5940000</v>
      </c>
      <c r="FO84" s="59" t="n">
        <f aca="false">FO13*FO83</f>
        <v>5940000</v>
      </c>
      <c r="FP84" s="59" t="n">
        <f aca="false">FP13*FP83</f>
        <v>5940000</v>
      </c>
      <c r="FQ84" s="59" t="n">
        <f aca="false">FQ13*FQ83</f>
        <v>5940000</v>
      </c>
      <c r="FR84" s="59" t="n">
        <f aca="false">FR13*FR83</f>
        <v>5940000</v>
      </c>
      <c r="FS84" s="59" t="n">
        <f aca="false">FS13*FS83</f>
        <v>5940000</v>
      </c>
      <c r="FT84" s="59" t="n">
        <f aca="false">FT13*FT83</f>
        <v>5880600</v>
      </c>
      <c r="FU84" s="59" t="n">
        <f aca="false">FU13*FU83</f>
        <v>5940000</v>
      </c>
      <c r="FV84" s="59" t="n">
        <f aca="false">FV13*FV83</f>
        <v>1680000</v>
      </c>
      <c r="FW84" s="59" t="n">
        <f aca="false">FW13*FW83</f>
        <v>1696800</v>
      </c>
      <c r="FX84" s="59" t="n">
        <f aca="false">FX13*FX83</f>
        <v>1696800</v>
      </c>
      <c r="FY84" s="59" t="n">
        <f aca="false">FY13*FY83</f>
        <v>1696800</v>
      </c>
      <c r="FZ84" s="59" t="n">
        <f aca="false">FZ13*FZ83</f>
        <v>1680000</v>
      </c>
      <c r="GA84" s="59" t="n">
        <f aca="false">GA13*GA83</f>
        <v>1680000</v>
      </c>
      <c r="GB84" s="59" t="n">
        <f aca="false">GB13*GB83</f>
        <v>1680000</v>
      </c>
      <c r="GC84" s="59" t="n">
        <f aca="false">GC13*GC83</f>
        <v>1680000</v>
      </c>
      <c r="GD84" s="59" t="n">
        <f aca="false">GD13*GD83</f>
        <v>1680000</v>
      </c>
      <c r="GE84" s="59" t="n">
        <f aca="false">GE13*GE83</f>
        <v>1680000</v>
      </c>
      <c r="GF84" s="59" t="n">
        <f aca="false">GF13*GF83</f>
        <v>1680000</v>
      </c>
      <c r="GG84" s="59" t="n">
        <f aca="false">GG13*GG83</f>
        <v>1680000</v>
      </c>
      <c r="GH84" s="59" t="n">
        <f aca="false">GH13*GH83</f>
        <v>1680000</v>
      </c>
      <c r="GI84" s="59" t="n">
        <f aca="false">GI13*GI83</f>
        <v>1680000</v>
      </c>
      <c r="GJ84" s="59" t="n">
        <f aca="false">GJ13*GJ83</f>
        <v>1680000</v>
      </c>
      <c r="GK84" s="59" t="n">
        <f aca="false">GK13*GK83</f>
        <v>1680000</v>
      </c>
      <c r="GL84" s="59" t="n">
        <f aca="false">GL13*GL83</f>
        <v>1680000</v>
      </c>
      <c r="GM84" s="59" t="n">
        <f aca="false">GM13*GM83</f>
        <v>1680000</v>
      </c>
      <c r="GN84" s="59" t="n">
        <f aca="false">GN13*GN83</f>
        <v>1680000</v>
      </c>
      <c r="GO84" s="59" t="n">
        <f aca="false">GO13*GO83</f>
        <v>1680000</v>
      </c>
      <c r="GP84" s="59" t="n">
        <f aca="false">GP13*GP83</f>
        <v>1680000</v>
      </c>
      <c r="GQ84" s="59" t="n">
        <f aca="false">GQ13*GQ83</f>
        <v>1680000</v>
      </c>
      <c r="GR84" s="59" t="n">
        <f aca="false">GR13*GR83</f>
        <v>1680000</v>
      </c>
      <c r="GS84" s="59" t="n">
        <f aca="false">GS13*GS83</f>
        <v>1680000</v>
      </c>
      <c r="GT84" s="59" t="n">
        <f aca="false">GT13*GT83</f>
        <v>1680000</v>
      </c>
      <c r="GU84" s="59" t="n">
        <f aca="false">GU13*GU83</f>
        <v>1680000</v>
      </c>
      <c r="GV84" s="59" t="n">
        <f aca="false">GV13*GV83</f>
        <v>1680000</v>
      </c>
      <c r="GW84" s="59" t="n">
        <f aca="false">GW13*GW83</f>
        <v>1680000</v>
      </c>
      <c r="GX84" s="59" t="n">
        <f aca="false">GX13*GX83</f>
        <v>1680000</v>
      </c>
      <c r="GY84" s="59" t="n">
        <f aca="false">GY13*GY83</f>
        <v>1680000</v>
      </c>
      <c r="GZ84" s="59" t="n">
        <f aca="false">GZ13*GZ83</f>
        <v>1680000</v>
      </c>
      <c r="HA84" s="59" t="n">
        <f aca="false">HA13*HA83</f>
        <v>1680000</v>
      </c>
      <c r="HB84" s="59" t="n">
        <f aca="false">HB13*HB83</f>
        <v>1680000</v>
      </c>
      <c r="HC84" s="59" t="n">
        <f aca="false">HC13*HC83</f>
        <v>1680000</v>
      </c>
      <c r="HD84" s="59" t="n">
        <f aca="false">HD13*HD83</f>
        <v>1680000</v>
      </c>
      <c r="HE84" s="59" t="n">
        <f aca="false">HE13*HE83</f>
        <v>1680000</v>
      </c>
      <c r="HF84" s="59" t="n">
        <f aca="false">HF13*HF83</f>
        <v>1680000</v>
      </c>
      <c r="HG84" s="59" t="n">
        <f aca="false">HG13*HG83</f>
        <v>1680000</v>
      </c>
      <c r="HH84" s="59" t="n">
        <f aca="false">HH13*HH83</f>
        <v>1680000</v>
      </c>
      <c r="HI84" s="59" t="n">
        <f aca="false">HI13*HI83</f>
        <v>1680000</v>
      </c>
      <c r="HJ84" s="59" t="n">
        <f aca="false">HJ13*HJ83</f>
        <v>1663200</v>
      </c>
      <c r="HK84" s="59" t="n">
        <f aca="false">HK13*HK83</f>
        <v>1680000</v>
      </c>
      <c r="HL84" s="59" t="n">
        <f aca="false">HL13*HL83</f>
        <v>540000</v>
      </c>
      <c r="HM84" s="59" t="n">
        <f aca="false">HM13*HM83</f>
        <v>545400</v>
      </c>
      <c r="HN84" s="59" t="n">
        <f aca="false">HN13*HN83</f>
        <v>545400</v>
      </c>
      <c r="HO84" s="59" t="n">
        <f aca="false">HO13*HO83</f>
        <v>545400</v>
      </c>
      <c r="HP84" s="59" t="n">
        <f aca="false">HP13*HP83</f>
        <v>540000</v>
      </c>
      <c r="HQ84" s="59" t="n">
        <f aca="false">HQ13*HQ83</f>
        <v>540000</v>
      </c>
      <c r="HR84" s="59" t="n">
        <f aca="false">HR13*HR83</f>
        <v>540000</v>
      </c>
      <c r="HS84" s="59" t="n">
        <f aca="false">HS13*HS83</f>
        <v>540000</v>
      </c>
      <c r="HT84" s="59" t="n">
        <f aca="false">HT13*HT83</f>
        <v>540000</v>
      </c>
      <c r="HU84" s="59" t="n">
        <f aca="false">HU13*HU83</f>
        <v>540000</v>
      </c>
      <c r="HV84" s="59" t="n">
        <f aca="false">HV13*HV83</f>
        <v>540000</v>
      </c>
      <c r="HW84" s="59" t="n">
        <f aca="false">HW13*HW83</f>
        <v>540000</v>
      </c>
      <c r="HX84" s="59" t="n">
        <f aca="false">HX13*HX83</f>
        <v>540000</v>
      </c>
      <c r="HY84" s="59" t="n">
        <f aca="false">HY13*HY83</f>
        <v>540000</v>
      </c>
      <c r="HZ84" s="59" t="n">
        <f aca="false">HZ13*HZ83</f>
        <v>540000</v>
      </c>
      <c r="IA84" s="59" t="n">
        <f aca="false">IA13*IA83</f>
        <v>540000</v>
      </c>
      <c r="IB84" s="59" t="n">
        <f aca="false">IB13*IB83</f>
        <v>540000</v>
      </c>
      <c r="IC84" s="59" t="n">
        <f aca="false">IC13*IC83</f>
        <v>540000</v>
      </c>
      <c r="ID84" s="59" t="n">
        <f aca="false">ID13*ID83</f>
        <v>540000</v>
      </c>
      <c r="IE84" s="59" t="n">
        <f aca="false">IE13*IE83</f>
        <v>540000</v>
      </c>
      <c r="IF84" s="59" t="n">
        <f aca="false">IF13*IF83</f>
        <v>540000</v>
      </c>
      <c r="IG84" s="59" t="n">
        <f aca="false">IG13*IG83</f>
        <v>540000</v>
      </c>
      <c r="IH84" s="59" t="n">
        <f aca="false">IH13*IH83</f>
        <v>540000</v>
      </c>
      <c r="II84" s="59" t="n">
        <f aca="false">II13*II83</f>
        <v>540000</v>
      </c>
      <c r="IJ84" s="59" t="n">
        <f aca="false">IJ13*IJ83</f>
        <v>540000</v>
      </c>
      <c r="IK84" s="59" t="n">
        <f aca="false">IK13*IK83</f>
        <v>540000</v>
      </c>
      <c r="IL84" s="59" t="n">
        <f aca="false">IL13*IL83</f>
        <v>540000</v>
      </c>
      <c r="IM84" s="59" t="n">
        <f aca="false">IM13*IM83</f>
        <v>540000</v>
      </c>
      <c r="IN84" s="59" t="n">
        <f aca="false">IN13*IN83</f>
        <v>540000</v>
      </c>
      <c r="IO84" s="59" t="n">
        <f aca="false">IO13*IO83</f>
        <v>540000</v>
      </c>
      <c r="IP84" s="59" t="n">
        <f aca="false">IP13*IP83</f>
        <v>540000</v>
      </c>
      <c r="IQ84" s="59" t="n">
        <f aca="false">IQ13*IQ83</f>
        <v>540000</v>
      </c>
      <c r="IR84" s="59" t="n">
        <f aca="false">IR13*IR83</f>
        <v>540000</v>
      </c>
      <c r="IS84" s="59" t="n">
        <f aca="false">IS13*IS83</f>
        <v>540000</v>
      </c>
      <c r="IT84" s="59" t="n">
        <f aca="false">IT13*IT83</f>
        <v>540000</v>
      </c>
      <c r="IU84" s="59" t="n">
        <f aca="false">IU13*IU83</f>
        <v>540000</v>
      </c>
      <c r="IV84" s="59" t="n">
        <f aca="false">IV13*IV83</f>
        <v>540000</v>
      </c>
      <c r="IW84" s="59" t="n">
        <f aca="false">IW13*IW83</f>
        <v>540000</v>
      </c>
      <c r="IX84" s="59" t="n">
        <f aca="false">IX13*IX83</f>
        <v>540000</v>
      </c>
      <c r="IY84" s="59" t="n">
        <f aca="false">IY13*IY83</f>
        <v>540000</v>
      </c>
      <c r="IZ84" s="59" t="n">
        <f aca="false">IZ13*IZ83</f>
        <v>534600</v>
      </c>
      <c r="JA84" s="59" t="n">
        <f aca="false">JA13*JA83</f>
        <v>540000</v>
      </c>
    </row>
    <row r="85" customFormat="false" ht="15" hidden="false" customHeight="false" outlineLevel="0" collapsed="false">
      <c r="A85" s="13" t="s">
        <v>295</v>
      </c>
      <c r="B85" s="13" t="s">
        <v>296</v>
      </c>
      <c r="C85" s="13" t="s">
        <v>194</v>
      </c>
      <c r="D85" s="9" t="s">
        <v>36</v>
      </c>
      <c r="E85" s="32" t="n">
        <f aca="false">INDEX(Вводные!$D$13:$F$64,MATCH($A85,Вводные!$A$13:$A$64,0),MATCH(E$3,Вводные!$D$11:$F$11,0))*(1+IF(E$4=$A85,Вводные!$D$5*INDEX(Вводные!$G$13:$G$64,MATCH($A85,Вводные!$A$13:$A$64,0)),0))</f>
        <v>0.005</v>
      </c>
      <c r="F85" s="32" t="n">
        <f aca="false">INDEX(Вводные!$D$13:$F$64,MATCH($A85,Вводные!$A$13:$A$64,0),MATCH(F$3,Вводные!$D$11:$F$11,0))*(1+IF(F$4=$A85,Вводные!$D$5*INDEX(Вводные!$G$13:$G$64,MATCH($A85,Вводные!$A$13:$A$64,0)),0))</f>
        <v>0.002</v>
      </c>
      <c r="G85" s="32" t="n">
        <f aca="false">INDEX(Вводные!$D$13:$F$64,MATCH($A85,Вводные!$A$13:$A$64,0),MATCH(G$3,Вводные!$D$11:$F$11,0))*(1+IF(G$4=$A85,Вводные!$D$5*INDEX(Вводные!$G$13:$G$64,MATCH($A85,Вводные!$A$13:$A$64,0)),0))</f>
        <v>0.001</v>
      </c>
      <c r="H85" s="60"/>
      <c r="J85" s="32" t="n">
        <f aca="false">INDEX(Вводные!$D$13:$F$64,MATCH($A85,Вводные!$A$13:$A$64,0),MATCH(J$3,Вводные!$D$11:$F$11,0))*(1+IF(J$4=$A85,Вводные!$D$5*INDEX(Вводные!$G$13:$G$64,MATCH($A85,Вводные!$A$13:$A$64,0)),0))</f>
        <v>0.005</v>
      </c>
      <c r="K85" s="32" t="n">
        <f aca="false">INDEX(Вводные!$D$13:$F$64,MATCH($A85,Вводные!$A$13:$A$64,0),MATCH(K$3,Вводные!$D$11:$F$11,0))*(1+IF(K$4=$A85,Вводные!$D$5*INDEX(Вводные!$G$13:$G$64,MATCH($A85,Вводные!$A$13:$A$64,0)),0))</f>
        <v>0.005</v>
      </c>
      <c r="L85" s="32" t="n">
        <f aca="false">INDEX(Вводные!$D$13:$F$64,MATCH($A85,Вводные!$A$13:$A$64,0),MATCH(L$3,Вводные!$D$11:$F$11,0))*(1+IF(L$4=$A85,Вводные!$D$5*INDEX(Вводные!$G$13:$G$64,MATCH($A85,Вводные!$A$13:$A$64,0)),0))</f>
        <v>0.005</v>
      </c>
      <c r="M85" s="32" t="n">
        <f aca="false">INDEX(Вводные!$D$13:$F$64,MATCH($A85,Вводные!$A$13:$A$64,0),MATCH(M$3,Вводные!$D$11:$F$11,0))*(1+IF(M$4=$A85,Вводные!$D$5*INDEX(Вводные!$G$13:$G$64,MATCH($A85,Вводные!$A$13:$A$64,0)),0))</f>
        <v>0.005</v>
      </c>
      <c r="N85" s="32" t="n">
        <f aca="false">INDEX(Вводные!$D$13:$F$64,MATCH($A85,Вводные!$A$13:$A$64,0),MATCH(N$3,Вводные!$D$11:$F$11,0))*(1+IF(N$4=$A85,Вводные!$D$5*INDEX(Вводные!$G$13:$G$64,MATCH($A85,Вводные!$A$13:$A$64,0)),0))</f>
        <v>0.005</v>
      </c>
      <c r="O85" s="32" t="n">
        <f aca="false">INDEX(Вводные!$D$13:$F$64,MATCH($A85,Вводные!$A$13:$A$64,0),MATCH(O$3,Вводные!$D$11:$F$11,0))*(1+IF(O$4=$A85,Вводные!$D$5*INDEX(Вводные!$G$13:$G$64,MATCH($A85,Вводные!$A$13:$A$64,0)),0))</f>
        <v>0.005</v>
      </c>
      <c r="P85" s="32" t="n">
        <f aca="false">INDEX(Вводные!$D$13:$F$64,MATCH($A85,Вводные!$A$13:$A$64,0),MATCH(P$3,Вводные!$D$11:$F$11,0))*(1+IF(P$4=$A85,Вводные!$D$5*INDEX(Вводные!$G$13:$G$64,MATCH($A85,Вводные!$A$13:$A$64,0)),0))</f>
        <v>0.005</v>
      </c>
      <c r="Q85" s="32" t="n">
        <f aca="false">INDEX(Вводные!$D$13:$F$64,MATCH($A85,Вводные!$A$13:$A$64,0),MATCH(Q$3,Вводные!$D$11:$F$11,0))*(1+IF(Q$4=$A85,Вводные!$D$5*INDEX(Вводные!$G$13:$G$64,MATCH($A85,Вводные!$A$13:$A$64,0)),0))</f>
        <v>0.005</v>
      </c>
      <c r="R85" s="32" t="n">
        <f aca="false">INDEX(Вводные!$D$13:$F$64,MATCH($A85,Вводные!$A$13:$A$64,0),MATCH(R$3,Вводные!$D$11:$F$11,0))*(1+IF(R$4=$A85,Вводные!$D$5*INDEX(Вводные!$G$13:$G$64,MATCH($A85,Вводные!$A$13:$A$64,0)),0))</f>
        <v>0.005</v>
      </c>
      <c r="S85" s="32" t="n">
        <f aca="false">INDEX(Вводные!$D$13:$F$64,MATCH($A85,Вводные!$A$13:$A$64,0),MATCH(S$3,Вводные!$D$11:$F$11,0))*(1+IF(S$4=$A85,Вводные!$D$5*INDEX(Вводные!$G$13:$G$64,MATCH($A85,Вводные!$A$13:$A$64,0)),0))</f>
        <v>0.005</v>
      </c>
      <c r="T85" s="32" t="n">
        <f aca="false">INDEX(Вводные!$D$13:$F$64,MATCH($A85,Вводные!$A$13:$A$64,0),MATCH(T$3,Вводные!$D$11:$F$11,0))*(1+IF(T$4=$A85,Вводные!$D$5*INDEX(Вводные!$G$13:$G$64,MATCH($A85,Вводные!$A$13:$A$64,0)),0))</f>
        <v>0.005</v>
      </c>
      <c r="U85" s="32" t="n">
        <f aca="false">INDEX(Вводные!$D$13:$F$64,MATCH($A85,Вводные!$A$13:$A$64,0),MATCH(U$3,Вводные!$D$11:$F$11,0))*(1+IF(U$4=$A85,Вводные!$D$5*INDEX(Вводные!$G$13:$G$64,MATCH($A85,Вводные!$A$13:$A$64,0)),0))</f>
        <v>0.005</v>
      </c>
      <c r="V85" s="32" t="n">
        <f aca="false">INDEX(Вводные!$D$13:$F$64,MATCH($A85,Вводные!$A$13:$A$64,0),MATCH(V$3,Вводные!$D$11:$F$11,0))*(1+IF(V$4=$A85,Вводные!$D$5*INDEX(Вводные!$G$13:$G$64,MATCH($A85,Вводные!$A$13:$A$64,0)),0))</f>
        <v>0.005</v>
      </c>
      <c r="W85" s="32" t="n">
        <f aca="false">INDEX(Вводные!$D$13:$F$64,MATCH($A85,Вводные!$A$13:$A$64,0),MATCH(W$3,Вводные!$D$11:$F$11,0))*(1+IF(W$4=$A85,Вводные!$D$5*INDEX(Вводные!$G$13:$G$64,MATCH($A85,Вводные!$A$13:$A$64,0)),0))</f>
        <v>0.005</v>
      </c>
      <c r="X85" s="32" t="n">
        <f aca="false">INDEX(Вводные!$D$13:$F$64,MATCH($A85,Вводные!$A$13:$A$64,0),MATCH(X$3,Вводные!$D$11:$F$11,0))*(1+IF(X$4=$A85,Вводные!$D$5*INDEX(Вводные!$G$13:$G$64,MATCH($A85,Вводные!$A$13:$A$64,0)),0))</f>
        <v>0.005</v>
      </c>
      <c r="Y85" s="32" t="n">
        <f aca="false">INDEX(Вводные!$D$13:$F$64,MATCH($A85,Вводные!$A$13:$A$64,0),MATCH(Y$3,Вводные!$D$11:$F$11,0))*(1+IF(Y$4=$A85,Вводные!$D$5*INDEX(Вводные!$G$13:$G$64,MATCH($A85,Вводные!$A$13:$A$64,0)),0))</f>
        <v>0.005</v>
      </c>
      <c r="Z85" s="32" t="n">
        <f aca="false">INDEX(Вводные!$D$13:$F$64,MATCH($A85,Вводные!$A$13:$A$64,0),MATCH(Z$3,Вводные!$D$11:$F$11,0))*(1+IF(Z$4=$A85,Вводные!$D$5*INDEX(Вводные!$G$13:$G$64,MATCH($A85,Вводные!$A$13:$A$64,0)),0))</f>
        <v>0.005</v>
      </c>
      <c r="AA85" s="32" t="n">
        <f aca="false">INDEX(Вводные!$D$13:$F$64,MATCH($A85,Вводные!$A$13:$A$64,0),MATCH(AA$3,Вводные!$D$11:$F$11,0))*(1+IF(AA$4=$A85,Вводные!$D$5*INDEX(Вводные!$G$13:$G$64,MATCH($A85,Вводные!$A$13:$A$64,0)),0))</f>
        <v>0.005</v>
      </c>
      <c r="AB85" s="32" t="n">
        <f aca="false">INDEX(Вводные!$D$13:$F$64,MATCH($A85,Вводные!$A$13:$A$64,0),MATCH(AB$3,Вводные!$D$11:$F$11,0))*(1+IF(AB$4=$A85,Вводные!$D$5*INDEX(Вводные!$G$13:$G$64,MATCH($A85,Вводные!$A$13:$A$64,0)),0))</f>
        <v>0.00495</v>
      </c>
      <c r="AC85" s="32" t="n">
        <f aca="false">INDEX(Вводные!$D$13:$F$64,MATCH($A85,Вводные!$A$13:$A$64,0),MATCH(AC$3,Вводные!$D$11:$F$11,0))*(1+IF(AC$4=$A85,Вводные!$D$5*INDEX(Вводные!$G$13:$G$64,MATCH($A85,Вводные!$A$13:$A$64,0)),0))</f>
        <v>0.005</v>
      </c>
      <c r="AD85" s="32" t="n">
        <f aca="false">INDEX(Вводные!$D$13:$F$64,MATCH($A85,Вводные!$A$13:$A$64,0),MATCH(AD$3,Вводные!$D$11:$F$11,0))*(1+IF(AD$4=$A85,Вводные!$D$5*INDEX(Вводные!$G$13:$G$64,MATCH($A85,Вводные!$A$13:$A$64,0)),0))</f>
        <v>0.005</v>
      </c>
      <c r="AE85" s="32" t="n">
        <f aca="false">INDEX(Вводные!$D$13:$F$64,MATCH($A85,Вводные!$A$13:$A$64,0),MATCH(AE$3,Вводные!$D$11:$F$11,0))*(1+IF(AE$4=$A85,Вводные!$D$5*INDEX(Вводные!$G$13:$G$64,MATCH($A85,Вводные!$A$13:$A$64,0)),0))</f>
        <v>0.005</v>
      </c>
      <c r="AF85" s="32" t="n">
        <f aca="false">INDEX(Вводные!$D$13:$F$64,MATCH($A85,Вводные!$A$13:$A$64,0),MATCH(AF$3,Вводные!$D$11:$F$11,0))*(1+IF(AF$4=$A85,Вводные!$D$5*INDEX(Вводные!$G$13:$G$64,MATCH($A85,Вводные!$A$13:$A$64,0)),0))</f>
        <v>0.005</v>
      </c>
      <c r="AG85" s="32" t="n">
        <f aca="false">INDEX(Вводные!$D$13:$F$64,MATCH($A85,Вводные!$A$13:$A$64,0),MATCH(AG$3,Вводные!$D$11:$F$11,0))*(1+IF(AG$4=$A85,Вводные!$D$5*INDEX(Вводные!$G$13:$G$64,MATCH($A85,Вводные!$A$13:$A$64,0)),0))</f>
        <v>0.005</v>
      </c>
      <c r="AH85" s="32" t="n">
        <f aca="false">INDEX(Вводные!$D$13:$F$64,MATCH($A85,Вводные!$A$13:$A$64,0),MATCH(AH$3,Вводные!$D$11:$F$11,0))*(1+IF(AH$4=$A85,Вводные!$D$5*INDEX(Вводные!$G$13:$G$64,MATCH($A85,Вводные!$A$13:$A$64,0)),0))</f>
        <v>0.005</v>
      </c>
      <c r="AI85" s="32" t="n">
        <f aca="false">INDEX(Вводные!$D$13:$F$64,MATCH($A85,Вводные!$A$13:$A$64,0),MATCH(AI$3,Вводные!$D$11:$F$11,0))*(1+IF(AI$4=$A85,Вводные!$D$5*INDEX(Вводные!$G$13:$G$64,MATCH($A85,Вводные!$A$13:$A$64,0)),0))</f>
        <v>0.005</v>
      </c>
      <c r="AJ85" s="32" t="n">
        <f aca="false">INDEX(Вводные!$D$13:$F$64,MATCH($A85,Вводные!$A$13:$A$64,0),MATCH(AJ$3,Вводные!$D$11:$F$11,0))*(1+IF(AJ$4=$A85,Вводные!$D$5*INDEX(Вводные!$G$13:$G$64,MATCH($A85,Вводные!$A$13:$A$64,0)),0))</f>
        <v>0.005</v>
      </c>
      <c r="AK85" s="32" t="n">
        <f aca="false">INDEX(Вводные!$D$13:$F$64,MATCH($A85,Вводные!$A$13:$A$64,0),MATCH(AK$3,Вводные!$D$11:$F$11,0))*(1+IF(AK$4=$A85,Вводные!$D$5*INDEX(Вводные!$G$13:$G$64,MATCH($A85,Вводные!$A$13:$A$64,0)),0))</f>
        <v>0.005</v>
      </c>
      <c r="AL85" s="32" t="n">
        <f aca="false">INDEX(Вводные!$D$13:$F$64,MATCH($A85,Вводные!$A$13:$A$64,0),MATCH(AL$3,Вводные!$D$11:$F$11,0))*(1+IF(AL$4=$A85,Вводные!$D$5*INDEX(Вводные!$G$13:$G$64,MATCH($A85,Вводные!$A$13:$A$64,0)),0))</f>
        <v>0.005</v>
      </c>
      <c r="AM85" s="32" t="n">
        <f aca="false">INDEX(Вводные!$D$13:$F$64,MATCH($A85,Вводные!$A$13:$A$64,0),MATCH(AM$3,Вводные!$D$11:$F$11,0))*(1+IF(AM$4=$A85,Вводные!$D$5*INDEX(Вводные!$G$13:$G$64,MATCH($A85,Вводные!$A$13:$A$64,0)),0))</f>
        <v>0.005</v>
      </c>
      <c r="AN85" s="32" t="n">
        <f aca="false">INDEX(Вводные!$D$13:$F$64,MATCH($A85,Вводные!$A$13:$A$64,0),MATCH(AN$3,Вводные!$D$11:$F$11,0))*(1+IF(AN$4=$A85,Вводные!$D$5*INDEX(Вводные!$G$13:$G$64,MATCH($A85,Вводные!$A$13:$A$64,0)),0))</f>
        <v>0.005</v>
      </c>
      <c r="AO85" s="32" t="n">
        <f aca="false">INDEX(Вводные!$D$13:$F$64,MATCH($A85,Вводные!$A$13:$A$64,0),MATCH(AO$3,Вводные!$D$11:$F$11,0))*(1+IF(AO$4=$A85,Вводные!$D$5*INDEX(Вводные!$G$13:$G$64,MATCH($A85,Вводные!$A$13:$A$64,0)),0))</f>
        <v>0.005</v>
      </c>
      <c r="AP85" s="32" t="n">
        <f aca="false">INDEX(Вводные!$D$13:$F$64,MATCH($A85,Вводные!$A$13:$A$64,0),MATCH(AP$3,Вводные!$D$11:$F$11,0))*(1+IF(AP$4=$A85,Вводные!$D$5*INDEX(Вводные!$G$13:$G$64,MATCH($A85,Вводные!$A$13:$A$64,0)),0))</f>
        <v>0.005</v>
      </c>
      <c r="AQ85" s="32" t="n">
        <f aca="false">INDEX(Вводные!$D$13:$F$64,MATCH($A85,Вводные!$A$13:$A$64,0),MATCH(AQ$3,Вводные!$D$11:$F$11,0))*(1+IF(AQ$4=$A85,Вводные!$D$5*INDEX(Вводные!$G$13:$G$64,MATCH($A85,Вводные!$A$13:$A$64,0)),0))</f>
        <v>0.005</v>
      </c>
      <c r="AR85" s="32" t="n">
        <f aca="false">INDEX(Вводные!$D$13:$F$64,MATCH($A85,Вводные!$A$13:$A$64,0),MATCH(AR$3,Вводные!$D$11:$F$11,0))*(1+IF(AR$4=$A85,Вводные!$D$5*INDEX(Вводные!$G$13:$G$64,MATCH($A85,Вводные!$A$13:$A$64,0)),0))</f>
        <v>0.005</v>
      </c>
      <c r="AS85" s="32" t="n">
        <f aca="false">INDEX(Вводные!$D$13:$F$64,MATCH($A85,Вводные!$A$13:$A$64,0),MATCH(AS$3,Вводные!$D$11:$F$11,0))*(1+IF(AS$4=$A85,Вводные!$D$5*INDEX(Вводные!$G$13:$G$64,MATCH($A85,Вводные!$A$13:$A$64,0)),0))</f>
        <v>0.005</v>
      </c>
      <c r="AT85" s="32" t="n">
        <f aca="false">INDEX(Вводные!$D$13:$F$64,MATCH($A85,Вводные!$A$13:$A$64,0),MATCH(AT$3,Вводные!$D$11:$F$11,0))*(1+IF(AT$4=$A85,Вводные!$D$5*INDEX(Вводные!$G$13:$G$64,MATCH($A85,Вводные!$A$13:$A$64,0)),0))</f>
        <v>0.005</v>
      </c>
      <c r="AU85" s="32" t="n">
        <f aca="false">INDEX(Вводные!$D$13:$F$64,MATCH($A85,Вводные!$A$13:$A$64,0),MATCH(AU$3,Вводные!$D$11:$F$11,0))*(1+IF(AU$4=$A85,Вводные!$D$5*INDEX(Вводные!$G$13:$G$64,MATCH($A85,Вводные!$A$13:$A$64,0)),0))</f>
        <v>0.005</v>
      </c>
      <c r="AV85" s="32" t="n">
        <f aca="false">INDEX(Вводные!$D$13:$F$64,MATCH($A85,Вводные!$A$13:$A$64,0),MATCH(AV$3,Вводные!$D$11:$F$11,0))*(1+IF(AV$4=$A85,Вводные!$D$5*INDEX(Вводные!$G$13:$G$64,MATCH($A85,Вводные!$A$13:$A$64,0)),0))</f>
        <v>0.005</v>
      </c>
      <c r="AW85" s="32" t="n">
        <f aca="false">INDEX(Вводные!$D$13:$F$64,MATCH($A85,Вводные!$A$13:$A$64,0),MATCH(AW$3,Вводные!$D$11:$F$11,0))*(1+IF(AW$4=$A85,Вводные!$D$5*INDEX(Вводные!$G$13:$G$64,MATCH($A85,Вводные!$A$13:$A$64,0)),0))</f>
        <v>0.005</v>
      </c>
      <c r="AX85" s="32" t="n">
        <f aca="false">INDEX(Вводные!$D$13:$F$64,MATCH($A85,Вводные!$A$13:$A$64,0),MATCH(AX$3,Вводные!$D$11:$F$11,0))*(1+IF(AX$4=$A85,Вводные!$D$5*INDEX(Вводные!$G$13:$G$64,MATCH($A85,Вводные!$A$13:$A$64,0)),0))</f>
        <v>0.005</v>
      </c>
      <c r="AY85" s="32" t="n">
        <f aca="false">INDEX(Вводные!$D$13:$F$64,MATCH($A85,Вводные!$A$13:$A$64,0),MATCH(AY$3,Вводные!$D$11:$F$11,0))*(1+IF(AY$4=$A85,Вводные!$D$5*INDEX(Вводные!$G$13:$G$64,MATCH($A85,Вводные!$A$13:$A$64,0)),0))</f>
        <v>0.005</v>
      </c>
      <c r="AZ85" s="32" t="n">
        <f aca="false">INDEX(Вводные!$D$13:$F$64,MATCH($A85,Вводные!$A$13:$A$64,0),MATCH(AZ$3,Вводные!$D$11:$F$11,0))*(1+IF(AZ$4=$A85,Вводные!$D$5*INDEX(Вводные!$G$13:$G$64,MATCH($A85,Вводные!$A$13:$A$64,0)),0))</f>
        <v>0.002</v>
      </c>
      <c r="BA85" s="32" t="n">
        <f aca="false">INDEX(Вводные!$D$13:$F$64,MATCH($A85,Вводные!$A$13:$A$64,0),MATCH(BA$3,Вводные!$D$11:$F$11,0))*(1+IF(BA$4=$A85,Вводные!$D$5*INDEX(Вводные!$G$13:$G$64,MATCH($A85,Вводные!$A$13:$A$64,0)),0))</f>
        <v>0.002</v>
      </c>
      <c r="BB85" s="32" t="n">
        <f aca="false">INDEX(Вводные!$D$13:$F$64,MATCH($A85,Вводные!$A$13:$A$64,0),MATCH(BB$3,Вводные!$D$11:$F$11,0))*(1+IF(BB$4=$A85,Вводные!$D$5*INDEX(Вводные!$G$13:$G$64,MATCH($A85,Вводные!$A$13:$A$64,0)),0))</f>
        <v>0.002</v>
      </c>
      <c r="BC85" s="32" t="n">
        <f aca="false">INDEX(Вводные!$D$13:$F$64,MATCH($A85,Вводные!$A$13:$A$64,0),MATCH(BC$3,Вводные!$D$11:$F$11,0))*(1+IF(BC$4=$A85,Вводные!$D$5*INDEX(Вводные!$G$13:$G$64,MATCH($A85,Вводные!$A$13:$A$64,0)),0))</f>
        <v>0.002</v>
      </c>
      <c r="BD85" s="32" t="n">
        <f aca="false">INDEX(Вводные!$D$13:$F$64,MATCH($A85,Вводные!$A$13:$A$64,0),MATCH(BD$3,Вводные!$D$11:$F$11,0))*(1+IF(BD$4=$A85,Вводные!$D$5*INDEX(Вводные!$G$13:$G$64,MATCH($A85,Вводные!$A$13:$A$64,0)),0))</f>
        <v>0.002</v>
      </c>
      <c r="BE85" s="32" t="n">
        <f aca="false">INDEX(Вводные!$D$13:$F$64,MATCH($A85,Вводные!$A$13:$A$64,0),MATCH(BE$3,Вводные!$D$11:$F$11,0))*(1+IF(BE$4=$A85,Вводные!$D$5*INDEX(Вводные!$G$13:$G$64,MATCH($A85,Вводные!$A$13:$A$64,0)),0))</f>
        <v>0.002</v>
      </c>
      <c r="BF85" s="32" t="n">
        <f aca="false">INDEX(Вводные!$D$13:$F$64,MATCH($A85,Вводные!$A$13:$A$64,0),MATCH(BF$3,Вводные!$D$11:$F$11,0))*(1+IF(BF$4=$A85,Вводные!$D$5*INDEX(Вводные!$G$13:$G$64,MATCH($A85,Вводные!$A$13:$A$64,0)),0))</f>
        <v>0.002</v>
      </c>
      <c r="BG85" s="32" t="n">
        <f aca="false">INDEX(Вводные!$D$13:$F$64,MATCH($A85,Вводные!$A$13:$A$64,0),MATCH(BG$3,Вводные!$D$11:$F$11,0))*(1+IF(BG$4=$A85,Вводные!$D$5*INDEX(Вводные!$G$13:$G$64,MATCH($A85,Вводные!$A$13:$A$64,0)),0))</f>
        <v>0.002</v>
      </c>
      <c r="BH85" s="32" t="n">
        <f aca="false">INDEX(Вводные!$D$13:$F$64,MATCH($A85,Вводные!$A$13:$A$64,0),MATCH(BH$3,Вводные!$D$11:$F$11,0))*(1+IF(BH$4=$A85,Вводные!$D$5*INDEX(Вводные!$G$13:$G$64,MATCH($A85,Вводные!$A$13:$A$64,0)),0))</f>
        <v>0.002</v>
      </c>
      <c r="BI85" s="32" t="n">
        <f aca="false">INDEX(Вводные!$D$13:$F$64,MATCH($A85,Вводные!$A$13:$A$64,0),MATCH(BI$3,Вводные!$D$11:$F$11,0))*(1+IF(BI$4=$A85,Вводные!$D$5*INDEX(Вводные!$G$13:$G$64,MATCH($A85,Вводные!$A$13:$A$64,0)),0))</f>
        <v>0.002</v>
      </c>
      <c r="BJ85" s="32" t="n">
        <f aca="false">INDEX(Вводные!$D$13:$F$64,MATCH($A85,Вводные!$A$13:$A$64,0),MATCH(BJ$3,Вводные!$D$11:$F$11,0))*(1+IF(BJ$4=$A85,Вводные!$D$5*INDEX(Вводные!$G$13:$G$64,MATCH($A85,Вводные!$A$13:$A$64,0)),0))</f>
        <v>0.002</v>
      </c>
      <c r="BK85" s="32" t="n">
        <f aca="false">INDEX(Вводные!$D$13:$F$64,MATCH($A85,Вводные!$A$13:$A$64,0),MATCH(BK$3,Вводные!$D$11:$F$11,0))*(1+IF(BK$4=$A85,Вводные!$D$5*INDEX(Вводные!$G$13:$G$64,MATCH($A85,Вводные!$A$13:$A$64,0)),0))</f>
        <v>0.002</v>
      </c>
      <c r="BL85" s="32" t="n">
        <f aca="false">INDEX(Вводные!$D$13:$F$64,MATCH($A85,Вводные!$A$13:$A$64,0),MATCH(BL$3,Вводные!$D$11:$F$11,0))*(1+IF(BL$4=$A85,Вводные!$D$5*INDEX(Вводные!$G$13:$G$64,MATCH($A85,Вводные!$A$13:$A$64,0)),0))</f>
        <v>0.002</v>
      </c>
      <c r="BM85" s="32" t="n">
        <f aca="false">INDEX(Вводные!$D$13:$F$64,MATCH($A85,Вводные!$A$13:$A$64,0),MATCH(BM$3,Вводные!$D$11:$F$11,0))*(1+IF(BM$4=$A85,Вводные!$D$5*INDEX(Вводные!$G$13:$G$64,MATCH($A85,Вводные!$A$13:$A$64,0)),0))</f>
        <v>0.002</v>
      </c>
      <c r="BN85" s="32" t="n">
        <f aca="false">INDEX(Вводные!$D$13:$F$64,MATCH($A85,Вводные!$A$13:$A$64,0),MATCH(BN$3,Вводные!$D$11:$F$11,0))*(1+IF(BN$4=$A85,Вводные!$D$5*INDEX(Вводные!$G$13:$G$64,MATCH($A85,Вводные!$A$13:$A$64,0)),0))</f>
        <v>0.002</v>
      </c>
      <c r="BO85" s="32" t="n">
        <f aca="false">INDEX(Вводные!$D$13:$F$64,MATCH($A85,Вводные!$A$13:$A$64,0),MATCH(BO$3,Вводные!$D$11:$F$11,0))*(1+IF(BO$4=$A85,Вводные!$D$5*INDEX(Вводные!$G$13:$G$64,MATCH($A85,Вводные!$A$13:$A$64,0)),0))</f>
        <v>0.002</v>
      </c>
      <c r="BP85" s="32" t="n">
        <f aca="false">INDEX(Вводные!$D$13:$F$64,MATCH($A85,Вводные!$A$13:$A$64,0),MATCH(BP$3,Вводные!$D$11:$F$11,0))*(1+IF(BP$4=$A85,Вводные!$D$5*INDEX(Вводные!$G$13:$G$64,MATCH($A85,Вводные!$A$13:$A$64,0)),0))</f>
        <v>0.002</v>
      </c>
      <c r="BQ85" s="32" t="n">
        <f aca="false">INDEX(Вводные!$D$13:$F$64,MATCH($A85,Вводные!$A$13:$A$64,0),MATCH(BQ$3,Вводные!$D$11:$F$11,0))*(1+IF(BQ$4=$A85,Вводные!$D$5*INDEX(Вводные!$G$13:$G$64,MATCH($A85,Вводные!$A$13:$A$64,0)),0))</f>
        <v>0.002</v>
      </c>
      <c r="BR85" s="32" t="n">
        <f aca="false">INDEX(Вводные!$D$13:$F$64,MATCH($A85,Вводные!$A$13:$A$64,0),MATCH(BR$3,Вводные!$D$11:$F$11,0))*(1+IF(BR$4=$A85,Вводные!$D$5*INDEX(Вводные!$G$13:$G$64,MATCH($A85,Вводные!$A$13:$A$64,0)),0))</f>
        <v>0.00198</v>
      </c>
      <c r="BS85" s="32" t="n">
        <f aca="false">INDEX(Вводные!$D$13:$F$64,MATCH($A85,Вводные!$A$13:$A$64,0),MATCH(BS$3,Вводные!$D$11:$F$11,0))*(1+IF(BS$4=$A85,Вводные!$D$5*INDEX(Вводные!$G$13:$G$64,MATCH($A85,Вводные!$A$13:$A$64,0)),0))</f>
        <v>0.002</v>
      </c>
      <c r="BT85" s="32" t="n">
        <f aca="false">INDEX(Вводные!$D$13:$F$64,MATCH($A85,Вводные!$A$13:$A$64,0),MATCH(BT$3,Вводные!$D$11:$F$11,0))*(1+IF(BT$4=$A85,Вводные!$D$5*INDEX(Вводные!$G$13:$G$64,MATCH($A85,Вводные!$A$13:$A$64,0)),0))</f>
        <v>0.002</v>
      </c>
      <c r="BU85" s="32" t="n">
        <f aca="false">INDEX(Вводные!$D$13:$F$64,MATCH($A85,Вводные!$A$13:$A$64,0),MATCH(BU$3,Вводные!$D$11:$F$11,0))*(1+IF(BU$4=$A85,Вводные!$D$5*INDEX(Вводные!$G$13:$G$64,MATCH($A85,Вводные!$A$13:$A$64,0)),0))</f>
        <v>0.002</v>
      </c>
      <c r="BV85" s="32" t="n">
        <f aca="false">INDEX(Вводные!$D$13:$F$64,MATCH($A85,Вводные!$A$13:$A$64,0),MATCH(BV$3,Вводные!$D$11:$F$11,0))*(1+IF(BV$4=$A85,Вводные!$D$5*INDEX(Вводные!$G$13:$G$64,MATCH($A85,Вводные!$A$13:$A$64,0)),0))</f>
        <v>0.002</v>
      </c>
      <c r="BW85" s="32" t="n">
        <f aca="false">INDEX(Вводные!$D$13:$F$64,MATCH($A85,Вводные!$A$13:$A$64,0),MATCH(BW$3,Вводные!$D$11:$F$11,0))*(1+IF(BW$4=$A85,Вводные!$D$5*INDEX(Вводные!$G$13:$G$64,MATCH($A85,Вводные!$A$13:$A$64,0)),0))</f>
        <v>0.002</v>
      </c>
      <c r="BX85" s="32" t="n">
        <f aca="false">INDEX(Вводные!$D$13:$F$64,MATCH($A85,Вводные!$A$13:$A$64,0),MATCH(BX$3,Вводные!$D$11:$F$11,0))*(1+IF(BX$4=$A85,Вводные!$D$5*INDEX(Вводные!$G$13:$G$64,MATCH($A85,Вводные!$A$13:$A$64,0)),0))</f>
        <v>0.002</v>
      </c>
      <c r="BY85" s="32" t="n">
        <f aca="false">INDEX(Вводные!$D$13:$F$64,MATCH($A85,Вводные!$A$13:$A$64,0),MATCH(BY$3,Вводные!$D$11:$F$11,0))*(1+IF(BY$4=$A85,Вводные!$D$5*INDEX(Вводные!$G$13:$G$64,MATCH($A85,Вводные!$A$13:$A$64,0)),0))</f>
        <v>0.002</v>
      </c>
      <c r="BZ85" s="32" t="n">
        <f aca="false">INDEX(Вводные!$D$13:$F$64,MATCH($A85,Вводные!$A$13:$A$64,0),MATCH(BZ$3,Вводные!$D$11:$F$11,0))*(1+IF(BZ$4=$A85,Вводные!$D$5*INDEX(Вводные!$G$13:$G$64,MATCH($A85,Вводные!$A$13:$A$64,0)),0))</f>
        <v>0.002</v>
      </c>
      <c r="CA85" s="32" t="n">
        <f aca="false">INDEX(Вводные!$D$13:$F$64,MATCH($A85,Вводные!$A$13:$A$64,0),MATCH(CA$3,Вводные!$D$11:$F$11,0))*(1+IF(CA$4=$A85,Вводные!$D$5*INDEX(Вводные!$G$13:$G$64,MATCH($A85,Вводные!$A$13:$A$64,0)),0))</f>
        <v>0.002</v>
      </c>
      <c r="CB85" s="32" t="n">
        <f aca="false">INDEX(Вводные!$D$13:$F$64,MATCH($A85,Вводные!$A$13:$A$64,0),MATCH(CB$3,Вводные!$D$11:$F$11,0))*(1+IF(CB$4=$A85,Вводные!$D$5*INDEX(Вводные!$G$13:$G$64,MATCH($A85,Вводные!$A$13:$A$64,0)),0))</f>
        <v>0.002</v>
      </c>
      <c r="CC85" s="32" t="n">
        <f aca="false">INDEX(Вводные!$D$13:$F$64,MATCH($A85,Вводные!$A$13:$A$64,0),MATCH(CC$3,Вводные!$D$11:$F$11,0))*(1+IF(CC$4=$A85,Вводные!$D$5*INDEX(Вводные!$G$13:$G$64,MATCH($A85,Вводные!$A$13:$A$64,0)),0))</f>
        <v>0.002</v>
      </c>
      <c r="CD85" s="32" t="n">
        <f aca="false">INDEX(Вводные!$D$13:$F$64,MATCH($A85,Вводные!$A$13:$A$64,0),MATCH(CD$3,Вводные!$D$11:$F$11,0))*(1+IF(CD$4=$A85,Вводные!$D$5*INDEX(Вводные!$G$13:$G$64,MATCH($A85,Вводные!$A$13:$A$64,0)),0))</f>
        <v>0.002</v>
      </c>
      <c r="CE85" s="32" t="n">
        <f aca="false">INDEX(Вводные!$D$13:$F$64,MATCH($A85,Вводные!$A$13:$A$64,0),MATCH(CE$3,Вводные!$D$11:$F$11,0))*(1+IF(CE$4=$A85,Вводные!$D$5*INDEX(Вводные!$G$13:$G$64,MATCH($A85,Вводные!$A$13:$A$64,0)),0))</f>
        <v>0.002</v>
      </c>
      <c r="CF85" s="32" t="n">
        <f aca="false">INDEX(Вводные!$D$13:$F$64,MATCH($A85,Вводные!$A$13:$A$64,0),MATCH(CF$3,Вводные!$D$11:$F$11,0))*(1+IF(CF$4=$A85,Вводные!$D$5*INDEX(Вводные!$G$13:$G$64,MATCH($A85,Вводные!$A$13:$A$64,0)),0))</f>
        <v>0.002</v>
      </c>
      <c r="CG85" s="32" t="n">
        <f aca="false">INDEX(Вводные!$D$13:$F$64,MATCH($A85,Вводные!$A$13:$A$64,0),MATCH(CG$3,Вводные!$D$11:$F$11,0))*(1+IF(CG$4=$A85,Вводные!$D$5*INDEX(Вводные!$G$13:$G$64,MATCH($A85,Вводные!$A$13:$A$64,0)),0))</f>
        <v>0.002</v>
      </c>
      <c r="CH85" s="32" t="n">
        <f aca="false">INDEX(Вводные!$D$13:$F$64,MATCH($A85,Вводные!$A$13:$A$64,0),MATCH(CH$3,Вводные!$D$11:$F$11,0))*(1+IF(CH$4=$A85,Вводные!$D$5*INDEX(Вводные!$G$13:$G$64,MATCH($A85,Вводные!$A$13:$A$64,0)),0))</f>
        <v>0.002</v>
      </c>
      <c r="CI85" s="32" t="n">
        <f aca="false">INDEX(Вводные!$D$13:$F$64,MATCH($A85,Вводные!$A$13:$A$64,0),MATCH(CI$3,Вводные!$D$11:$F$11,0))*(1+IF(CI$4=$A85,Вводные!$D$5*INDEX(Вводные!$G$13:$G$64,MATCH($A85,Вводные!$A$13:$A$64,0)),0))</f>
        <v>0.002</v>
      </c>
      <c r="CJ85" s="32" t="n">
        <f aca="false">INDEX(Вводные!$D$13:$F$64,MATCH($A85,Вводные!$A$13:$A$64,0),MATCH(CJ$3,Вводные!$D$11:$F$11,0))*(1+IF(CJ$4=$A85,Вводные!$D$5*INDEX(Вводные!$G$13:$G$64,MATCH($A85,Вводные!$A$13:$A$64,0)),0))</f>
        <v>0.002</v>
      </c>
      <c r="CK85" s="32" t="n">
        <f aca="false">INDEX(Вводные!$D$13:$F$64,MATCH($A85,Вводные!$A$13:$A$64,0),MATCH(CK$3,Вводные!$D$11:$F$11,0))*(1+IF(CK$4=$A85,Вводные!$D$5*INDEX(Вводные!$G$13:$G$64,MATCH($A85,Вводные!$A$13:$A$64,0)),0))</f>
        <v>0.002</v>
      </c>
      <c r="CL85" s="32" t="n">
        <f aca="false">INDEX(Вводные!$D$13:$F$64,MATCH($A85,Вводные!$A$13:$A$64,0),MATCH(CL$3,Вводные!$D$11:$F$11,0))*(1+IF(CL$4=$A85,Вводные!$D$5*INDEX(Вводные!$G$13:$G$64,MATCH($A85,Вводные!$A$13:$A$64,0)),0))</f>
        <v>0.002</v>
      </c>
      <c r="CM85" s="32" t="n">
        <f aca="false">INDEX(Вводные!$D$13:$F$64,MATCH($A85,Вводные!$A$13:$A$64,0),MATCH(CM$3,Вводные!$D$11:$F$11,0))*(1+IF(CM$4=$A85,Вводные!$D$5*INDEX(Вводные!$G$13:$G$64,MATCH($A85,Вводные!$A$13:$A$64,0)),0))</f>
        <v>0.002</v>
      </c>
      <c r="CN85" s="32" t="n">
        <f aca="false">INDEX(Вводные!$D$13:$F$64,MATCH($A85,Вводные!$A$13:$A$64,0),MATCH(CN$3,Вводные!$D$11:$F$11,0))*(1+IF(CN$4=$A85,Вводные!$D$5*INDEX(Вводные!$G$13:$G$64,MATCH($A85,Вводные!$A$13:$A$64,0)),0))</f>
        <v>0.002</v>
      </c>
      <c r="CO85" s="32" t="n">
        <f aca="false">INDEX(Вводные!$D$13:$F$64,MATCH($A85,Вводные!$A$13:$A$64,0),MATCH(CO$3,Вводные!$D$11:$F$11,0))*(1+IF(CO$4=$A85,Вводные!$D$5*INDEX(Вводные!$G$13:$G$64,MATCH($A85,Вводные!$A$13:$A$64,0)),0))</f>
        <v>0.002</v>
      </c>
      <c r="CP85" s="32" t="n">
        <f aca="false">INDEX(Вводные!$D$13:$F$64,MATCH($A85,Вводные!$A$13:$A$64,0),MATCH(CP$3,Вводные!$D$11:$F$11,0))*(1+IF(CP$4=$A85,Вводные!$D$5*INDEX(Вводные!$G$13:$G$64,MATCH($A85,Вводные!$A$13:$A$64,0)),0))</f>
        <v>0.001</v>
      </c>
      <c r="CQ85" s="32" t="n">
        <f aca="false">INDEX(Вводные!$D$13:$F$64,MATCH($A85,Вводные!$A$13:$A$64,0),MATCH(CQ$3,Вводные!$D$11:$F$11,0))*(1+IF(CQ$4=$A85,Вводные!$D$5*INDEX(Вводные!$G$13:$G$64,MATCH($A85,Вводные!$A$13:$A$64,0)),0))</f>
        <v>0.001</v>
      </c>
      <c r="CR85" s="32" t="n">
        <f aca="false">INDEX(Вводные!$D$13:$F$64,MATCH($A85,Вводные!$A$13:$A$64,0),MATCH(CR$3,Вводные!$D$11:$F$11,0))*(1+IF(CR$4=$A85,Вводные!$D$5*INDEX(Вводные!$G$13:$G$64,MATCH($A85,Вводные!$A$13:$A$64,0)),0))</f>
        <v>0.001</v>
      </c>
      <c r="CS85" s="32" t="n">
        <f aca="false">INDEX(Вводные!$D$13:$F$64,MATCH($A85,Вводные!$A$13:$A$64,0),MATCH(CS$3,Вводные!$D$11:$F$11,0))*(1+IF(CS$4=$A85,Вводные!$D$5*INDEX(Вводные!$G$13:$G$64,MATCH($A85,Вводные!$A$13:$A$64,0)),0))</f>
        <v>0.001</v>
      </c>
      <c r="CT85" s="32" t="n">
        <f aca="false">INDEX(Вводные!$D$13:$F$64,MATCH($A85,Вводные!$A$13:$A$64,0),MATCH(CT$3,Вводные!$D$11:$F$11,0))*(1+IF(CT$4=$A85,Вводные!$D$5*INDEX(Вводные!$G$13:$G$64,MATCH($A85,Вводные!$A$13:$A$64,0)),0))</f>
        <v>0.001</v>
      </c>
      <c r="CU85" s="32" t="n">
        <f aca="false">INDEX(Вводные!$D$13:$F$64,MATCH($A85,Вводные!$A$13:$A$64,0),MATCH(CU$3,Вводные!$D$11:$F$11,0))*(1+IF(CU$4=$A85,Вводные!$D$5*INDEX(Вводные!$G$13:$G$64,MATCH($A85,Вводные!$A$13:$A$64,0)),0))</f>
        <v>0.001</v>
      </c>
      <c r="CV85" s="32" t="n">
        <f aca="false">INDEX(Вводные!$D$13:$F$64,MATCH($A85,Вводные!$A$13:$A$64,0),MATCH(CV$3,Вводные!$D$11:$F$11,0))*(1+IF(CV$4=$A85,Вводные!$D$5*INDEX(Вводные!$G$13:$G$64,MATCH($A85,Вводные!$A$13:$A$64,0)),0))</f>
        <v>0.001</v>
      </c>
      <c r="CW85" s="32" t="n">
        <f aca="false">INDEX(Вводные!$D$13:$F$64,MATCH($A85,Вводные!$A$13:$A$64,0),MATCH(CW$3,Вводные!$D$11:$F$11,0))*(1+IF(CW$4=$A85,Вводные!$D$5*INDEX(Вводные!$G$13:$G$64,MATCH($A85,Вводные!$A$13:$A$64,0)),0))</f>
        <v>0.001</v>
      </c>
      <c r="CX85" s="32" t="n">
        <f aca="false">INDEX(Вводные!$D$13:$F$64,MATCH($A85,Вводные!$A$13:$A$64,0),MATCH(CX$3,Вводные!$D$11:$F$11,0))*(1+IF(CX$4=$A85,Вводные!$D$5*INDEX(Вводные!$G$13:$G$64,MATCH($A85,Вводные!$A$13:$A$64,0)),0))</f>
        <v>0.001</v>
      </c>
      <c r="CY85" s="32" t="n">
        <f aca="false">INDEX(Вводные!$D$13:$F$64,MATCH($A85,Вводные!$A$13:$A$64,0),MATCH(CY$3,Вводные!$D$11:$F$11,0))*(1+IF(CY$4=$A85,Вводные!$D$5*INDEX(Вводные!$G$13:$G$64,MATCH($A85,Вводные!$A$13:$A$64,0)),0))</f>
        <v>0.001</v>
      </c>
      <c r="CZ85" s="32" t="n">
        <f aca="false">INDEX(Вводные!$D$13:$F$64,MATCH($A85,Вводные!$A$13:$A$64,0),MATCH(CZ$3,Вводные!$D$11:$F$11,0))*(1+IF(CZ$4=$A85,Вводные!$D$5*INDEX(Вводные!$G$13:$G$64,MATCH($A85,Вводные!$A$13:$A$64,0)),0))</f>
        <v>0.001</v>
      </c>
      <c r="DA85" s="32" t="n">
        <f aca="false">INDEX(Вводные!$D$13:$F$64,MATCH($A85,Вводные!$A$13:$A$64,0),MATCH(DA$3,Вводные!$D$11:$F$11,0))*(1+IF(DA$4=$A85,Вводные!$D$5*INDEX(Вводные!$G$13:$G$64,MATCH($A85,Вводные!$A$13:$A$64,0)),0))</f>
        <v>0.001</v>
      </c>
      <c r="DB85" s="32" t="n">
        <f aca="false">INDEX(Вводные!$D$13:$F$64,MATCH($A85,Вводные!$A$13:$A$64,0),MATCH(DB$3,Вводные!$D$11:$F$11,0))*(1+IF(DB$4=$A85,Вводные!$D$5*INDEX(Вводные!$G$13:$G$64,MATCH($A85,Вводные!$A$13:$A$64,0)),0))</f>
        <v>0.001</v>
      </c>
      <c r="DC85" s="32" t="n">
        <f aca="false">INDEX(Вводные!$D$13:$F$64,MATCH($A85,Вводные!$A$13:$A$64,0),MATCH(DC$3,Вводные!$D$11:$F$11,0))*(1+IF(DC$4=$A85,Вводные!$D$5*INDEX(Вводные!$G$13:$G$64,MATCH($A85,Вводные!$A$13:$A$64,0)),0))</f>
        <v>0.001</v>
      </c>
      <c r="DD85" s="32" t="n">
        <f aca="false">INDEX(Вводные!$D$13:$F$64,MATCH($A85,Вводные!$A$13:$A$64,0),MATCH(DD$3,Вводные!$D$11:$F$11,0))*(1+IF(DD$4=$A85,Вводные!$D$5*INDEX(Вводные!$G$13:$G$64,MATCH($A85,Вводные!$A$13:$A$64,0)),0))</f>
        <v>0.001</v>
      </c>
      <c r="DE85" s="32" t="n">
        <f aca="false">INDEX(Вводные!$D$13:$F$64,MATCH($A85,Вводные!$A$13:$A$64,0),MATCH(DE$3,Вводные!$D$11:$F$11,0))*(1+IF(DE$4=$A85,Вводные!$D$5*INDEX(Вводные!$G$13:$G$64,MATCH($A85,Вводные!$A$13:$A$64,0)),0))</f>
        <v>0.001</v>
      </c>
      <c r="DF85" s="32" t="n">
        <f aca="false">INDEX(Вводные!$D$13:$F$64,MATCH($A85,Вводные!$A$13:$A$64,0),MATCH(DF$3,Вводные!$D$11:$F$11,0))*(1+IF(DF$4=$A85,Вводные!$D$5*INDEX(Вводные!$G$13:$G$64,MATCH($A85,Вводные!$A$13:$A$64,0)),0))</f>
        <v>0.001</v>
      </c>
      <c r="DG85" s="32" t="n">
        <f aca="false">INDEX(Вводные!$D$13:$F$64,MATCH($A85,Вводные!$A$13:$A$64,0),MATCH(DG$3,Вводные!$D$11:$F$11,0))*(1+IF(DG$4=$A85,Вводные!$D$5*INDEX(Вводные!$G$13:$G$64,MATCH($A85,Вводные!$A$13:$A$64,0)),0))</f>
        <v>0.001</v>
      </c>
      <c r="DH85" s="32" t="n">
        <f aca="false">INDEX(Вводные!$D$13:$F$64,MATCH($A85,Вводные!$A$13:$A$64,0),MATCH(DH$3,Вводные!$D$11:$F$11,0))*(1+IF(DH$4=$A85,Вводные!$D$5*INDEX(Вводные!$G$13:$G$64,MATCH($A85,Вводные!$A$13:$A$64,0)),0))</f>
        <v>0.00099</v>
      </c>
      <c r="DI85" s="32" t="n">
        <f aca="false">INDEX(Вводные!$D$13:$F$64,MATCH($A85,Вводные!$A$13:$A$64,0),MATCH(DI$3,Вводные!$D$11:$F$11,0))*(1+IF(DI$4=$A85,Вводные!$D$5*INDEX(Вводные!$G$13:$G$64,MATCH($A85,Вводные!$A$13:$A$64,0)),0))</f>
        <v>0.001</v>
      </c>
      <c r="DJ85" s="32" t="n">
        <f aca="false">INDEX(Вводные!$D$13:$F$64,MATCH($A85,Вводные!$A$13:$A$64,0),MATCH(DJ$3,Вводные!$D$11:$F$11,0))*(1+IF(DJ$4=$A85,Вводные!$D$5*INDEX(Вводные!$G$13:$G$64,MATCH($A85,Вводные!$A$13:$A$64,0)),0))</f>
        <v>0.001</v>
      </c>
      <c r="DK85" s="32" t="n">
        <f aca="false">INDEX(Вводные!$D$13:$F$64,MATCH($A85,Вводные!$A$13:$A$64,0),MATCH(DK$3,Вводные!$D$11:$F$11,0))*(1+IF(DK$4=$A85,Вводные!$D$5*INDEX(Вводные!$G$13:$G$64,MATCH($A85,Вводные!$A$13:$A$64,0)),0))</f>
        <v>0.001</v>
      </c>
      <c r="DL85" s="32" t="n">
        <f aca="false">INDEX(Вводные!$D$13:$F$64,MATCH($A85,Вводные!$A$13:$A$64,0),MATCH(DL$3,Вводные!$D$11:$F$11,0))*(1+IF(DL$4=$A85,Вводные!$D$5*INDEX(Вводные!$G$13:$G$64,MATCH($A85,Вводные!$A$13:$A$64,0)),0))</f>
        <v>0.001</v>
      </c>
      <c r="DM85" s="32" t="n">
        <f aca="false">INDEX(Вводные!$D$13:$F$64,MATCH($A85,Вводные!$A$13:$A$64,0),MATCH(DM$3,Вводные!$D$11:$F$11,0))*(1+IF(DM$4=$A85,Вводные!$D$5*INDEX(Вводные!$G$13:$G$64,MATCH($A85,Вводные!$A$13:$A$64,0)),0))</f>
        <v>0.001</v>
      </c>
      <c r="DN85" s="32" t="n">
        <f aca="false">INDEX(Вводные!$D$13:$F$64,MATCH($A85,Вводные!$A$13:$A$64,0),MATCH(DN$3,Вводные!$D$11:$F$11,0))*(1+IF(DN$4=$A85,Вводные!$D$5*INDEX(Вводные!$G$13:$G$64,MATCH($A85,Вводные!$A$13:$A$64,0)),0))</f>
        <v>0.001</v>
      </c>
      <c r="DO85" s="32" t="n">
        <f aca="false">INDEX(Вводные!$D$13:$F$64,MATCH($A85,Вводные!$A$13:$A$64,0),MATCH(DO$3,Вводные!$D$11:$F$11,0))*(1+IF(DO$4=$A85,Вводные!$D$5*INDEX(Вводные!$G$13:$G$64,MATCH($A85,Вводные!$A$13:$A$64,0)),0))</f>
        <v>0.001</v>
      </c>
      <c r="DP85" s="32" t="n">
        <f aca="false">INDEX(Вводные!$D$13:$F$64,MATCH($A85,Вводные!$A$13:$A$64,0),MATCH(DP$3,Вводные!$D$11:$F$11,0))*(1+IF(DP$4=$A85,Вводные!$D$5*INDEX(Вводные!$G$13:$G$64,MATCH($A85,Вводные!$A$13:$A$64,0)),0))</f>
        <v>0.001</v>
      </c>
      <c r="DQ85" s="32" t="n">
        <f aca="false">INDEX(Вводные!$D$13:$F$64,MATCH($A85,Вводные!$A$13:$A$64,0),MATCH(DQ$3,Вводные!$D$11:$F$11,0))*(1+IF(DQ$4=$A85,Вводные!$D$5*INDEX(Вводные!$G$13:$G$64,MATCH($A85,Вводные!$A$13:$A$64,0)),0))</f>
        <v>0.001</v>
      </c>
      <c r="DR85" s="32" t="n">
        <f aca="false">INDEX(Вводные!$D$13:$F$64,MATCH($A85,Вводные!$A$13:$A$64,0),MATCH(DR$3,Вводные!$D$11:$F$11,0))*(1+IF(DR$4=$A85,Вводные!$D$5*INDEX(Вводные!$G$13:$G$64,MATCH($A85,Вводные!$A$13:$A$64,0)),0))</f>
        <v>0.001</v>
      </c>
      <c r="DS85" s="32" t="n">
        <f aca="false">INDEX(Вводные!$D$13:$F$64,MATCH($A85,Вводные!$A$13:$A$64,0),MATCH(DS$3,Вводные!$D$11:$F$11,0))*(1+IF(DS$4=$A85,Вводные!$D$5*INDEX(Вводные!$G$13:$G$64,MATCH($A85,Вводные!$A$13:$A$64,0)),0))</f>
        <v>0.001</v>
      </c>
      <c r="DT85" s="32" t="n">
        <f aca="false">INDEX(Вводные!$D$13:$F$64,MATCH($A85,Вводные!$A$13:$A$64,0),MATCH(DT$3,Вводные!$D$11:$F$11,0))*(1+IF(DT$4=$A85,Вводные!$D$5*INDEX(Вводные!$G$13:$G$64,MATCH($A85,Вводные!$A$13:$A$64,0)),0))</f>
        <v>0.001</v>
      </c>
      <c r="DU85" s="32" t="n">
        <f aca="false">INDEX(Вводные!$D$13:$F$64,MATCH($A85,Вводные!$A$13:$A$64,0),MATCH(DU$3,Вводные!$D$11:$F$11,0))*(1+IF(DU$4=$A85,Вводные!$D$5*INDEX(Вводные!$G$13:$G$64,MATCH($A85,Вводные!$A$13:$A$64,0)),0))</f>
        <v>0.001</v>
      </c>
      <c r="DV85" s="32" t="n">
        <f aca="false">INDEX(Вводные!$D$13:$F$64,MATCH($A85,Вводные!$A$13:$A$64,0),MATCH(DV$3,Вводные!$D$11:$F$11,0))*(1+IF(DV$4=$A85,Вводные!$D$5*INDEX(Вводные!$G$13:$G$64,MATCH($A85,Вводные!$A$13:$A$64,0)),0))</f>
        <v>0.001</v>
      </c>
      <c r="DW85" s="32" t="n">
        <f aca="false">INDEX(Вводные!$D$13:$F$64,MATCH($A85,Вводные!$A$13:$A$64,0),MATCH(DW$3,Вводные!$D$11:$F$11,0))*(1+IF(DW$4=$A85,Вводные!$D$5*INDEX(Вводные!$G$13:$G$64,MATCH($A85,Вводные!$A$13:$A$64,0)),0))</f>
        <v>0.001</v>
      </c>
      <c r="DX85" s="32" t="n">
        <f aca="false">INDEX(Вводные!$D$13:$F$64,MATCH($A85,Вводные!$A$13:$A$64,0),MATCH(DX$3,Вводные!$D$11:$F$11,0))*(1+IF(DX$4=$A85,Вводные!$D$5*INDEX(Вводные!$G$13:$G$64,MATCH($A85,Вводные!$A$13:$A$64,0)),0))</f>
        <v>0.001</v>
      </c>
      <c r="DY85" s="32" t="n">
        <f aca="false">INDEX(Вводные!$D$13:$F$64,MATCH($A85,Вводные!$A$13:$A$64,0),MATCH(DY$3,Вводные!$D$11:$F$11,0))*(1+IF(DY$4=$A85,Вводные!$D$5*INDEX(Вводные!$G$13:$G$64,MATCH($A85,Вводные!$A$13:$A$64,0)),0))</f>
        <v>0.001</v>
      </c>
      <c r="DZ85" s="32" t="n">
        <f aca="false">INDEX(Вводные!$D$13:$F$64,MATCH($A85,Вводные!$A$13:$A$64,0),MATCH(DZ$3,Вводные!$D$11:$F$11,0))*(1+IF(DZ$4=$A85,Вводные!$D$5*INDEX(Вводные!$G$13:$G$64,MATCH($A85,Вводные!$A$13:$A$64,0)),0))</f>
        <v>0.001</v>
      </c>
      <c r="EA85" s="32" t="n">
        <f aca="false">INDEX(Вводные!$D$13:$F$64,MATCH($A85,Вводные!$A$13:$A$64,0),MATCH(EA$3,Вводные!$D$11:$F$11,0))*(1+IF(EA$4=$A85,Вводные!$D$5*INDEX(Вводные!$G$13:$G$64,MATCH($A85,Вводные!$A$13:$A$64,0)),0))</f>
        <v>0.001</v>
      </c>
      <c r="EB85" s="32" t="n">
        <f aca="false">INDEX(Вводные!$D$13:$F$64,MATCH($A85,Вводные!$A$13:$A$64,0),MATCH(EB$3,Вводные!$D$11:$F$11,0))*(1+IF(EB$4=$A85,Вводные!$D$5*INDEX(Вводные!$G$13:$G$64,MATCH($A85,Вводные!$A$13:$A$64,0)),0))</f>
        <v>0.001</v>
      </c>
      <c r="EC85" s="32" t="n">
        <f aca="false">INDEX(Вводные!$D$13:$F$64,MATCH($A85,Вводные!$A$13:$A$64,0),MATCH(EC$3,Вводные!$D$11:$F$11,0))*(1+IF(EC$4=$A85,Вводные!$D$5*INDEX(Вводные!$G$13:$G$64,MATCH($A85,Вводные!$A$13:$A$64,0)),0))</f>
        <v>0.001</v>
      </c>
      <c r="ED85" s="32" t="n">
        <f aca="false">INDEX(Вводные!$D$13:$F$64,MATCH($A85,Вводные!$A$13:$A$64,0),MATCH(ED$3,Вводные!$D$11:$F$11,0))*(1+IF(ED$4=$A85,Вводные!$D$5*INDEX(Вводные!$G$13:$G$64,MATCH($A85,Вводные!$A$13:$A$64,0)),0))</f>
        <v>0.001</v>
      </c>
      <c r="EE85" s="32" t="n">
        <f aca="false">INDEX(Вводные!$D$13:$F$64,MATCH($A85,Вводные!$A$13:$A$64,0),MATCH(EE$3,Вводные!$D$11:$F$11,0))*(1+IF(EE$4=$A85,Вводные!$D$5*INDEX(Вводные!$G$13:$G$64,MATCH($A85,Вводные!$A$13:$A$64,0)),0))</f>
        <v>0.001</v>
      </c>
      <c r="EF85" s="32" t="n">
        <f aca="false">INDEX(Вводные!$D$13:$F$64,MATCH($A85,Вводные!$A$13:$A$64,0),MATCH(EF$3,Вводные!$D$11:$F$11,0))*(1+IF(EF$4=$A85,Вводные!$D$5*INDEX(Вводные!$G$13:$G$64,MATCH($A85,Вводные!$A$13:$A$64,0)),0))</f>
        <v>0.005</v>
      </c>
      <c r="EG85" s="32" t="n">
        <f aca="false">INDEX(Вводные!$D$13:$F$64,MATCH($A85,Вводные!$A$13:$A$64,0),MATCH(EG$3,Вводные!$D$11:$F$11,0))*(1+IF(EG$4=$A85,Вводные!$D$5*INDEX(Вводные!$G$13:$G$64,MATCH($A85,Вводные!$A$13:$A$64,0)),0))</f>
        <v>0.005</v>
      </c>
      <c r="EH85" s="32" t="n">
        <f aca="false">INDEX(Вводные!$D$13:$F$64,MATCH($A85,Вводные!$A$13:$A$64,0),MATCH(EH$3,Вводные!$D$11:$F$11,0))*(1+IF(EH$4=$A85,Вводные!$D$5*INDEX(Вводные!$G$13:$G$64,MATCH($A85,Вводные!$A$13:$A$64,0)),0))</f>
        <v>0.005</v>
      </c>
      <c r="EI85" s="32" t="n">
        <f aca="false">INDEX(Вводные!$D$13:$F$64,MATCH($A85,Вводные!$A$13:$A$64,0),MATCH(EI$3,Вводные!$D$11:$F$11,0))*(1+IF(EI$4=$A85,Вводные!$D$5*INDEX(Вводные!$G$13:$G$64,MATCH($A85,Вводные!$A$13:$A$64,0)),0))</f>
        <v>0.005</v>
      </c>
      <c r="EJ85" s="32" t="n">
        <f aca="false">INDEX(Вводные!$D$13:$F$64,MATCH($A85,Вводные!$A$13:$A$64,0),MATCH(EJ$3,Вводные!$D$11:$F$11,0))*(1+IF(EJ$4=$A85,Вводные!$D$5*INDEX(Вводные!$G$13:$G$64,MATCH($A85,Вводные!$A$13:$A$64,0)),0))</f>
        <v>0.005</v>
      </c>
      <c r="EK85" s="32" t="n">
        <f aca="false">INDEX(Вводные!$D$13:$F$64,MATCH($A85,Вводные!$A$13:$A$64,0),MATCH(EK$3,Вводные!$D$11:$F$11,0))*(1+IF(EK$4=$A85,Вводные!$D$5*INDEX(Вводные!$G$13:$G$64,MATCH($A85,Вводные!$A$13:$A$64,0)),0))</f>
        <v>0.005</v>
      </c>
      <c r="EL85" s="32" t="n">
        <f aca="false">INDEX(Вводные!$D$13:$F$64,MATCH($A85,Вводные!$A$13:$A$64,0),MATCH(EL$3,Вводные!$D$11:$F$11,0))*(1+IF(EL$4=$A85,Вводные!$D$5*INDEX(Вводные!$G$13:$G$64,MATCH($A85,Вводные!$A$13:$A$64,0)),0))</f>
        <v>0.005</v>
      </c>
      <c r="EM85" s="32" t="n">
        <f aca="false">INDEX(Вводные!$D$13:$F$64,MATCH($A85,Вводные!$A$13:$A$64,0),MATCH(EM$3,Вводные!$D$11:$F$11,0))*(1+IF(EM$4=$A85,Вводные!$D$5*INDEX(Вводные!$G$13:$G$64,MATCH($A85,Вводные!$A$13:$A$64,0)),0))</f>
        <v>0.005</v>
      </c>
      <c r="EN85" s="32" t="n">
        <f aca="false">INDEX(Вводные!$D$13:$F$64,MATCH($A85,Вводные!$A$13:$A$64,0),MATCH(EN$3,Вводные!$D$11:$F$11,0))*(1+IF(EN$4=$A85,Вводные!$D$5*INDEX(Вводные!$G$13:$G$64,MATCH($A85,Вводные!$A$13:$A$64,0)),0))</f>
        <v>0.005</v>
      </c>
      <c r="EO85" s="32" t="n">
        <f aca="false">INDEX(Вводные!$D$13:$F$64,MATCH($A85,Вводные!$A$13:$A$64,0),MATCH(EO$3,Вводные!$D$11:$F$11,0))*(1+IF(EO$4=$A85,Вводные!$D$5*INDEX(Вводные!$G$13:$G$64,MATCH($A85,Вводные!$A$13:$A$64,0)),0))</f>
        <v>0.005</v>
      </c>
      <c r="EP85" s="32" t="n">
        <f aca="false">INDEX(Вводные!$D$13:$F$64,MATCH($A85,Вводные!$A$13:$A$64,0),MATCH(EP$3,Вводные!$D$11:$F$11,0))*(1+IF(EP$4=$A85,Вводные!$D$5*INDEX(Вводные!$G$13:$G$64,MATCH($A85,Вводные!$A$13:$A$64,0)),0))</f>
        <v>0.005</v>
      </c>
      <c r="EQ85" s="32" t="n">
        <f aca="false">INDEX(Вводные!$D$13:$F$64,MATCH($A85,Вводные!$A$13:$A$64,0),MATCH(EQ$3,Вводные!$D$11:$F$11,0))*(1+IF(EQ$4=$A85,Вводные!$D$5*INDEX(Вводные!$G$13:$G$64,MATCH($A85,Вводные!$A$13:$A$64,0)),0))</f>
        <v>0.005</v>
      </c>
      <c r="ER85" s="32" t="n">
        <f aca="false">INDEX(Вводные!$D$13:$F$64,MATCH($A85,Вводные!$A$13:$A$64,0),MATCH(ER$3,Вводные!$D$11:$F$11,0))*(1+IF(ER$4=$A85,Вводные!$D$5*INDEX(Вводные!$G$13:$G$64,MATCH($A85,Вводные!$A$13:$A$64,0)),0))</f>
        <v>0.005</v>
      </c>
      <c r="ES85" s="32" t="n">
        <f aca="false">INDEX(Вводные!$D$13:$F$64,MATCH($A85,Вводные!$A$13:$A$64,0),MATCH(ES$3,Вводные!$D$11:$F$11,0))*(1+IF(ES$4=$A85,Вводные!$D$5*INDEX(Вводные!$G$13:$G$64,MATCH($A85,Вводные!$A$13:$A$64,0)),0))</f>
        <v>0.005</v>
      </c>
      <c r="ET85" s="32" t="n">
        <f aca="false">INDEX(Вводные!$D$13:$F$64,MATCH($A85,Вводные!$A$13:$A$64,0),MATCH(ET$3,Вводные!$D$11:$F$11,0))*(1+IF(ET$4=$A85,Вводные!$D$5*INDEX(Вводные!$G$13:$G$64,MATCH($A85,Вводные!$A$13:$A$64,0)),0))</f>
        <v>0.005</v>
      </c>
      <c r="EU85" s="32" t="n">
        <f aca="false">INDEX(Вводные!$D$13:$F$64,MATCH($A85,Вводные!$A$13:$A$64,0),MATCH(EU$3,Вводные!$D$11:$F$11,0))*(1+IF(EU$4=$A85,Вводные!$D$5*INDEX(Вводные!$G$13:$G$64,MATCH($A85,Вводные!$A$13:$A$64,0)),0))</f>
        <v>0.005</v>
      </c>
      <c r="EV85" s="32" t="n">
        <f aca="false">INDEX(Вводные!$D$13:$F$64,MATCH($A85,Вводные!$A$13:$A$64,0),MATCH(EV$3,Вводные!$D$11:$F$11,0))*(1+IF(EV$4=$A85,Вводные!$D$5*INDEX(Вводные!$G$13:$G$64,MATCH($A85,Вводные!$A$13:$A$64,0)),0))</f>
        <v>0.005</v>
      </c>
      <c r="EW85" s="32" t="n">
        <f aca="false">INDEX(Вводные!$D$13:$F$64,MATCH($A85,Вводные!$A$13:$A$64,0),MATCH(EW$3,Вводные!$D$11:$F$11,0))*(1+IF(EW$4=$A85,Вводные!$D$5*INDEX(Вводные!$G$13:$G$64,MATCH($A85,Вводные!$A$13:$A$64,0)),0))</f>
        <v>0.005</v>
      </c>
      <c r="EX85" s="32" t="n">
        <f aca="false">INDEX(Вводные!$D$13:$F$64,MATCH($A85,Вводные!$A$13:$A$64,0),MATCH(EX$3,Вводные!$D$11:$F$11,0))*(1+IF(EX$4=$A85,Вводные!$D$5*INDEX(Вводные!$G$13:$G$64,MATCH($A85,Вводные!$A$13:$A$64,0)),0))</f>
        <v>0.00495</v>
      </c>
      <c r="EY85" s="32" t="n">
        <f aca="false">INDEX(Вводные!$D$13:$F$64,MATCH($A85,Вводные!$A$13:$A$64,0),MATCH(EY$3,Вводные!$D$11:$F$11,0))*(1+IF(EY$4=$A85,Вводные!$D$5*INDEX(Вводные!$G$13:$G$64,MATCH($A85,Вводные!$A$13:$A$64,0)),0))</f>
        <v>0.005</v>
      </c>
      <c r="EZ85" s="32" t="n">
        <f aca="false">INDEX(Вводные!$D$13:$F$64,MATCH($A85,Вводные!$A$13:$A$64,0),MATCH(EZ$3,Вводные!$D$11:$F$11,0))*(1+IF(EZ$4=$A85,Вводные!$D$5*INDEX(Вводные!$G$13:$G$64,MATCH($A85,Вводные!$A$13:$A$64,0)),0))</f>
        <v>0.005</v>
      </c>
      <c r="FA85" s="32" t="n">
        <f aca="false">INDEX(Вводные!$D$13:$F$64,MATCH($A85,Вводные!$A$13:$A$64,0),MATCH(FA$3,Вводные!$D$11:$F$11,0))*(1+IF(FA$4=$A85,Вводные!$D$5*INDEX(Вводные!$G$13:$G$64,MATCH($A85,Вводные!$A$13:$A$64,0)),0))</f>
        <v>0.005</v>
      </c>
      <c r="FB85" s="32" t="n">
        <f aca="false">INDEX(Вводные!$D$13:$F$64,MATCH($A85,Вводные!$A$13:$A$64,0),MATCH(FB$3,Вводные!$D$11:$F$11,0))*(1+IF(FB$4=$A85,Вводные!$D$5*INDEX(Вводные!$G$13:$G$64,MATCH($A85,Вводные!$A$13:$A$64,0)),0))</f>
        <v>0.005</v>
      </c>
      <c r="FC85" s="32" t="n">
        <f aca="false">INDEX(Вводные!$D$13:$F$64,MATCH($A85,Вводные!$A$13:$A$64,0),MATCH(FC$3,Вводные!$D$11:$F$11,0))*(1+IF(FC$4=$A85,Вводные!$D$5*INDEX(Вводные!$G$13:$G$64,MATCH($A85,Вводные!$A$13:$A$64,0)),0))</f>
        <v>0.005</v>
      </c>
      <c r="FD85" s="32" t="n">
        <f aca="false">INDEX(Вводные!$D$13:$F$64,MATCH($A85,Вводные!$A$13:$A$64,0),MATCH(FD$3,Вводные!$D$11:$F$11,0))*(1+IF(FD$4=$A85,Вводные!$D$5*INDEX(Вводные!$G$13:$G$64,MATCH($A85,Вводные!$A$13:$A$64,0)),0))</f>
        <v>0.005</v>
      </c>
      <c r="FE85" s="32" t="n">
        <f aca="false">INDEX(Вводные!$D$13:$F$64,MATCH($A85,Вводные!$A$13:$A$64,0),MATCH(FE$3,Вводные!$D$11:$F$11,0))*(1+IF(FE$4=$A85,Вводные!$D$5*INDEX(Вводные!$G$13:$G$64,MATCH($A85,Вводные!$A$13:$A$64,0)),0))</f>
        <v>0.005</v>
      </c>
      <c r="FF85" s="32" t="n">
        <f aca="false">INDEX(Вводные!$D$13:$F$64,MATCH($A85,Вводные!$A$13:$A$64,0),MATCH(FF$3,Вводные!$D$11:$F$11,0))*(1+IF(FF$4=$A85,Вводные!$D$5*INDEX(Вводные!$G$13:$G$64,MATCH($A85,Вводные!$A$13:$A$64,0)),0))</f>
        <v>0.005</v>
      </c>
      <c r="FG85" s="32" t="n">
        <f aca="false">INDEX(Вводные!$D$13:$F$64,MATCH($A85,Вводные!$A$13:$A$64,0),MATCH(FG$3,Вводные!$D$11:$F$11,0))*(1+IF(FG$4=$A85,Вводные!$D$5*INDEX(Вводные!$G$13:$G$64,MATCH($A85,Вводные!$A$13:$A$64,0)),0))</f>
        <v>0.005</v>
      </c>
      <c r="FH85" s="32" t="n">
        <f aca="false">INDEX(Вводные!$D$13:$F$64,MATCH($A85,Вводные!$A$13:$A$64,0),MATCH(FH$3,Вводные!$D$11:$F$11,0))*(1+IF(FH$4=$A85,Вводные!$D$5*INDEX(Вводные!$G$13:$G$64,MATCH($A85,Вводные!$A$13:$A$64,0)),0))</f>
        <v>0.005</v>
      </c>
      <c r="FI85" s="32" t="n">
        <f aca="false">INDEX(Вводные!$D$13:$F$64,MATCH($A85,Вводные!$A$13:$A$64,0),MATCH(FI$3,Вводные!$D$11:$F$11,0))*(1+IF(FI$4=$A85,Вводные!$D$5*INDEX(Вводные!$G$13:$G$64,MATCH($A85,Вводные!$A$13:$A$64,0)),0))</f>
        <v>0.005</v>
      </c>
      <c r="FJ85" s="32" t="n">
        <f aca="false">INDEX(Вводные!$D$13:$F$64,MATCH($A85,Вводные!$A$13:$A$64,0),MATCH(FJ$3,Вводные!$D$11:$F$11,0))*(1+IF(FJ$4=$A85,Вводные!$D$5*INDEX(Вводные!$G$13:$G$64,MATCH($A85,Вводные!$A$13:$A$64,0)),0))</f>
        <v>0.005</v>
      </c>
      <c r="FK85" s="32" t="n">
        <f aca="false">INDEX(Вводные!$D$13:$F$64,MATCH($A85,Вводные!$A$13:$A$64,0),MATCH(FK$3,Вводные!$D$11:$F$11,0))*(1+IF(FK$4=$A85,Вводные!$D$5*INDEX(Вводные!$G$13:$G$64,MATCH($A85,Вводные!$A$13:$A$64,0)),0))</f>
        <v>0.005</v>
      </c>
      <c r="FL85" s="32" t="n">
        <f aca="false">INDEX(Вводные!$D$13:$F$64,MATCH($A85,Вводные!$A$13:$A$64,0),MATCH(FL$3,Вводные!$D$11:$F$11,0))*(1+IF(FL$4=$A85,Вводные!$D$5*INDEX(Вводные!$G$13:$G$64,MATCH($A85,Вводные!$A$13:$A$64,0)),0))</f>
        <v>0.005</v>
      </c>
      <c r="FM85" s="32" t="n">
        <f aca="false">INDEX(Вводные!$D$13:$F$64,MATCH($A85,Вводные!$A$13:$A$64,0),MATCH(FM$3,Вводные!$D$11:$F$11,0))*(1+IF(FM$4=$A85,Вводные!$D$5*INDEX(Вводные!$G$13:$G$64,MATCH($A85,Вводные!$A$13:$A$64,0)),0))</f>
        <v>0.005</v>
      </c>
      <c r="FN85" s="32" t="n">
        <f aca="false">INDEX(Вводные!$D$13:$F$64,MATCH($A85,Вводные!$A$13:$A$64,0),MATCH(FN$3,Вводные!$D$11:$F$11,0))*(1+IF(FN$4=$A85,Вводные!$D$5*INDEX(Вводные!$G$13:$G$64,MATCH($A85,Вводные!$A$13:$A$64,0)),0))</f>
        <v>0.005</v>
      </c>
      <c r="FO85" s="32" t="n">
        <f aca="false">INDEX(Вводные!$D$13:$F$64,MATCH($A85,Вводные!$A$13:$A$64,0),MATCH(FO$3,Вводные!$D$11:$F$11,0))*(1+IF(FO$4=$A85,Вводные!$D$5*INDEX(Вводные!$G$13:$G$64,MATCH($A85,Вводные!$A$13:$A$64,0)),0))</f>
        <v>0.005</v>
      </c>
      <c r="FP85" s="32" t="n">
        <f aca="false">INDEX(Вводные!$D$13:$F$64,MATCH($A85,Вводные!$A$13:$A$64,0),MATCH(FP$3,Вводные!$D$11:$F$11,0))*(1+IF(FP$4=$A85,Вводные!$D$5*INDEX(Вводные!$G$13:$G$64,MATCH($A85,Вводные!$A$13:$A$64,0)),0))</f>
        <v>0.005</v>
      </c>
      <c r="FQ85" s="32" t="n">
        <f aca="false">INDEX(Вводные!$D$13:$F$64,MATCH($A85,Вводные!$A$13:$A$64,0),MATCH(FQ$3,Вводные!$D$11:$F$11,0))*(1+IF(FQ$4=$A85,Вводные!$D$5*INDEX(Вводные!$G$13:$G$64,MATCH($A85,Вводные!$A$13:$A$64,0)),0))</f>
        <v>0.005</v>
      </c>
      <c r="FR85" s="32" t="n">
        <f aca="false">INDEX(Вводные!$D$13:$F$64,MATCH($A85,Вводные!$A$13:$A$64,0),MATCH(FR$3,Вводные!$D$11:$F$11,0))*(1+IF(FR$4=$A85,Вводные!$D$5*INDEX(Вводные!$G$13:$G$64,MATCH($A85,Вводные!$A$13:$A$64,0)),0))</f>
        <v>0.005</v>
      </c>
      <c r="FS85" s="32" t="n">
        <f aca="false">INDEX(Вводные!$D$13:$F$64,MATCH($A85,Вводные!$A$13:$A$64,0),MATCH(FS$3,Вводные!$D$11:$F$11,0))*(1+IF(FS$4=$A85,Вводные!$D$5*INDEX(Вводные!$G$13:$G$64,MATCH($A85,Вводные!$A$13:$A$64,0)),0))</f>
        <v>0.005</v>
      </c>
      <c r="FT85" s="32" t="n">
        <f aca="false">INDEX(Вводные!$D$13:$F$64,MATCH($A85,Вводные!$A$13:$A$64,0),MATCH(FT$3,Вводные!$D$11:$F$11,0))*(1+IF(FT$4=$A85,Вводные!$D$5*INDEX(Вводные!$G$13:$G$64,MATCH($A85,Вводные!$A$13:$A$64,0)),0))</f>
        <v>0.005</v>
      </c>
      <c r="FU85" s="32" t="n">
        <f aca="false">INDEX(Вводные!$D$13:$F$64,MATCH($A85,Вводные!$A$13:$A$64,0),MATCH(FU$3,Вводные!$D$11:$F$11,0))*(1+IF(FU$4=$A85,Вводные!$D$5*INDEX(Вводные!$G$13:$G$64,MATCH($A85,Вводные!$A$13:$A$64,0)),0))</f>
        <v>0.005</v>
      </c>
      <c r="FV85" s="32" t="n">
        <f aca="false">INDEX(Вводные!$D$13:$F$64,MATCH($A85,Вводные!$A$13:$A$64,0),MATCH(FV$3,Вводные!$D$11:$F$11,0))*(1+IF(FV$4=$A85,Вводные!$D$5*INDEX(Вводные!$G$13:$G$64,MATCH($A85,Вводные!$A$13:$A$64,0)),0))</f>
        <v>0.002</v>
      </c>
      <c r="FW85" s="32" t="n">
        <f aca="false">INDEX(Вводные!$D$13:$F$64,MATCH($A85,Вводные!$A$13:$A$64,0),MATCH(FW$3,Вводные!$D$11:$F$11,0))*(1+IF(FW$4=$A85,Вводные!$D$5*INDEX(Вводные!$G$13:$G$64,MATCH($A85,Вводные!$A$13:$A$64,0)),0))</f>
        <v>0.002</v>
      </c>
      <c r="FX85" s="32" t="n">
        <f aca="false">INDEX(Вводные!$D$13:$F$64,MATCH($A85,Вводные!$A$13:$A$64,0),MATCH(FX$3,Вводные!$D$11:$F$11,0))*(1+IF(FX$4=$A85,Вводные!$D$5*INDEX(Вводные!$G$13:$G$64,MATCH($A85,Вводные!$A$13:$A$64,0)),0))</f>
        <v>0.002</v>
      </c>
      <c r="FY85" s="32" t="n">
        <f aca="false">INDEX(Вводные!$D$13:$F$64,MATCH($A85,Вводные!$A$13:$A$64,0),MATCH(FY$3,Вводные!$D$11:$F$11,0))*(1+IF(FY$4=$A85,Вводные!$D$5*INDEX(Вводные!$G$13:$G$64,MATCH($A85,Вводные!$A$13:$A$64,0)),0))</f>
        <v>0.002</v>
      </c>
      <c r="FZ85" s="32" t="n">
        <f aca="false">INDEX(Вводные!$D$13:$F$64,MATCH($A85,Вводные!$A$13:$A$64,0),MATCH(FZ$3,Вводные!$D$11:$F$11,0))*(1+IF(FZ$4=$A85,Вводные!$D$5*INDEX(Вводные!$G$13:$G$64,MATCH($A85,Вводные!$A$13:$A$64,0)),0))</f>
        <v>0.002</v>
      </c>
      <c r="GA85" s="32" t="n">
        <f aca="false">INDEX(Вводные!$D$13:$F$64,MATCH($A85,Вводные!$A$13:$A$64,0),MATCH(GA$3,Вводные!$D$11:$F$11,0))*(1+IF(GA$4=$A85,Вводные!$D$5*INDEX(Вводные!$G$13:$G$64,MATCH($A85,Вводные!$A$13:$A$64,0)),0))</f>
        <v>0.002</v>
      </c>
      <c r="GB85" s="32" t="n">
        <f aca="false">INDEX(Вводные!$D$13:$F$64,MATCH($A85,Вводные!$A$13:$A$64,0),MATCH(GB$3,Вводные!$D$11:$F$11,0))*(1+IF(GB$4=$A85,Вводные!$D$5*INDEX(Вводные!$G$13:$G$64,MATCH($A85,Вводные!$A$13:$A$64,0)),0))</f>
        <v>0.002</v>
      </c>
      <c r="GC85" s="32" t="n">
        <f aca="false">INDEX(Вводные!$D$13:$F$64,MATCH($A85,Вводные!$A$13:$A$64,0),MATCH(GC$3,Вводные!$D$11:$F$11,0))*(1+IF(GC$4=$A85,Вводные!$D$5*INDEX(Вводные!$G$13:$G$64,MATCH($A85,Вводные!$A$13:$A$64,0)),0))</f>
        <v>0.002</v>
      </c>
      <c r="GD85" s="32" t="n">
        <f aca="false">INDEX(Вводные!$D$13:$F$64,MATCH($A85,Вводные!$A$13:$A$64,0),MATCH(GD$3,Вводные!$D$11:$F$11,0))*(1+IF(GD$4=$A85,Вводные!$D$5*INDEX(Вводные!$G$13:$G$64,MATCH($A85,Вводные!$A$13:$A$64,0)),0))</f>
        <v>0.002</v>
      </c>
      <c r="GE85" s="32" t="n">
        <f aca="false">INDEX(Вводные!$D$13:$F$64,MATCH($A85,Вводные!$A$13:$A$64,0),MATCH(GE$3,Вводные!$D$11:$F$11,0))*(1+IF(GE$4=$A85,Вводные!$D$5*INDEX(Вводные!$G$13:$G$64,MATCH($A85,Вводные!$A$13:$A$64,0)),0))</f>
        <v>0.002</v>
      </c>
      <c r="GF85" s="32" t="n">
        <f aca="false">INDEX(Вводные!$D$13:$F$64,MATCH($A85,Вводные!$A$13:$A$64,0),MATCH(GF$3,Вводные!$D$11:$F$11,0))*(1+IF(GF$4=$A85,Вводные!$D$5*INDEX(Вводные!$G$13:$G$64,MATCH($A85,Вводные!$A$13:$A$64,0)),0))</f>
        <v>0.002</v>
      </c>
      <c r="GG85" s="32" t="n">
        <f aca="false">INDEX(Вводные!$D$13:$F$64,MATCH($A85,Вводные!$A$13:$A$64,0),MATCH(GG$3,Вводные!$D$11:$F$11,0))*(1+IF(GG$4=$A85,Вводные!$D$5*INDEX(Вводные!$G$13:$G$64,MATCH($A85,Вводные!$A$13:$A$64,0)),0))</f>
        <v>0.002</v>
      </c>
      <c r="GH85" s="32" t="n">
        <f aca="false">INDEX(Вводные!$D$13:$F$64,MATCH($A85,Вводные!$A$13:$A$64,0),MATCH(GH$3,Вводные!$D$11:$F$11,0))*(1+IF(GH$4=$A85,Вводные!$D$5*INDEX(Вводные!$G$13:$G$64,MATCH($A85,Вводные!$A$13:$A$64,0)),0))</f>
        <v>0.002</v>
      </c>
      <c r="GI85" s="32" t="n">
        <f aca="false">INDEX(Вводные!$D$13:$F$64,MATCH($A85,Вводные!$A$13:$A$64,0),MATCH(GI$3,Вводные!$D$11:$F$11,0))*(1+IF(GI$4=$A85,Вводные!$D$5*INDEX(Вводные!$G$13:$G$64,MATCH($A85,Вводные!$A$13:$A$64,0)),0))</f>
        <v>0.002</v>
      </c>
      <c r="GJ85" s="32" t="n">
        <f aca="false">INDEX(Вводные!$D$13:$F$64,MATCH($A85,Вводные!$A$13:$A$64,0),MATCH(GJ$3,Вводные!$D$11:$F$11,0))*(1+IF(GJ$4=$A85,Вводные!$D$5*INDEX(Вводные!$G$13:$G$64,MATCH($A85,Вводные!$A$13:$A$64,0)),0))</f>
        <v>0.002</v>
      </c>
      <c r="GK85" s="32" t="n">
        <f aca="false">INDEX(Вводные!$D$13:$F$64,MATCH($A85,Вводные!$A$13:$A$64,0),MATCH(GK$3,Вводные!$D$11:$F$11,0))*(1+IF(GK$4=$A85,Вводные!$D$5*INDEX(Вводные!$G$13:$G$64,MATCH($A85,Вводные!$A$13:$A$64,0)),0))</f>
        <v>0.002</v>
      </c>
      <c r="GL85" s="32" t="n">
        <f aca="false">INDEX(Вводные!$D$13:$F$64,MATCH($A85,Вводные!$A$13:$A$64,0),MATCH(GL$3,Вводные!$D$11:$F$11,0))*(1+IF(GL$4=$A85,Вводные!$D$5*INDEX(Вводные!$G$13:$G$64,MATCH($A85,Вводные!$A$13:$A$64,0)),0))</f>
        <v>0.002</v>
      </c>
      <c r="GM85" s="32" t="n">
        <f aca="false">INDEX(Вводные!$D$13:$F$64,MATCH($A85,Вводные!$A$13:$A$64,0),MATCH(GM$3,Вводные!$D$11:$F$11,0))*(1+IF(GM$4=$A85,Вводные!$D$5*INDEX(Вводные!$G$13:$G$64,MATCH($A85,Вводные!$A$13:$A$64,0)),0))</f>
        <v>0.002</v>
      </c>
      <c r="GN85" s="32" t="n">
        <f aca="false">INDEX(Вводные!$D$13:$F$64,MATCH($A85,Вводные!$A$13:$A$64,0),MATCH(GN$3,Вводные!$D$11:$F$11,0))*(1+IF(GN$4=$A85,Вводные!$D$5*INDEX(Вводные!$G$13:$G$64,MATCH($A85,Вводные!$A$13:$A$64,0)),0))</f>
        <v>0.00198</v>
      </c>
      <c r="GO85" s="32" t="n">
        <f aca="false">INDEX(Вводные!$D$13:$F$64,MATCH($A85,Вводные!$A$13:$A$64,0),MATCH(GO$3,Вводные!$D$11:$F$11,0))*(1+IF(GO$4=$A85,Вводные!$D$5*INDEX(Вводные!$G$13:$G$64,MATCH($A85,Вводные!$A$13:$A$64,0)),0))</f>
        <v>0.002</v>
      </c>
      <c r="GP85" s="32" t="n">
        <f aca="false">INDEX(Вводные!$D$13:$F$64,MATCH($A85,Вводные!$A$13:$A$64,0),MATCH(GP$3,Вводные!$D$11:$F$11,0))*(1+IF(GP$4=$A85,Вводные!$D$5*INDEX(Вводные!$G$13:$G$64,MATCH($A85,Вводные!$A$13:$A$64,0)),0))</f>
        <v>0.002</v>
      </c>
      <c r="GQ85" s="32" t="n">
        <f aca="false">INDEX(Вводные!$D$13:$F$64,MATCH($A85,Вводные!$A$13:$A$64,0),MATCH(GQ$3,Вводные!$D$11:$F$11,0))*(1+IF(GQ$4=$A85,Вводные!$D$5*INDEX(Вводные!$G$13:$G$64,MATCH($A85,Вводные!$A$13:$A$64,0)),0))</f>
        <v>0.002</v>
      </c>
      <c r="GR85" s="32" t="n">
        <f aca="false">INDEX(Вводные!$D$13:$F$64,MATCH($A85,Вводные!$A$13:$A$64,0),MATCH(GR$3,Вводные!$D$11:$F$11,0))*(1+IF(GR$4=$A85,Вводные!$D$5*INDEX(Вводные!$G$13:$G$64,MATCH($A85,Вводные!$A$13:$A$64,0)),0))</f>
        <v>0.002</v>
      </c>
      <c r="GS85" s="32" t="n">
        <f aca="false">INDEX(Вводные!$D$13:$F$64,MATCH($A85,Вводные!$A$13:$A$64,0),MATCH(GS$3,Вводные!$D$11:$F$11,0))*(1+IF(GS$4=$A85,Вводные!$D$5*INDEX(Вводные!$G$13:$G$64,MATCH($A85,Вводные!$A$13:$A$64,0)),0))</f>
        <v>0.002</v>
      </c>
      <c r="GT85" s="32" t="n">
        <f aca="false">INDEX(Вводные!$D$13:$F$64,MATCH($A85,Вводные!$A$13:$A$64,0),MATCH(GT$3,Вводные!$D$11:$F$11,0))*(1+IF(GT$4=$A85,Вводные!$D$5*INDEX(Вводные!$G$13:$G$64,MATCH($A85,Вводные!$A$13:$A$64,0)),0))</f>
        <v>0.002</v>
      </c>
      <c r="GU85" s="32" t="n">
        <f aca="false">INDEX(Вводные!$D$13:$F$64,MATCH($A85,Вводные!$A$13:$A$64,0),MATCH(GU$3,Вводные!$D$11:$F$11,0))*(1+IF(GU$4=$A85,Вводные!$D$5*INDEX(Вводные!$G$13:$G$64,MATCH($A85,Вводные!$A$13:$A$64,0)),0))</f>
        <v>0.002</v>
      </c>
      <c r="GV85" s="32" t="n">
        <f aca="false">INDEX(Вводные!$D$13:$F$64,MATCH($A85,Вводные!$A$13:$A$64,0),MATCH(GV$3,Вводные!$D$11:$F$11,0))*(1+IF(GV$4=$A85,Вводные!$D$5*INDEX(Вводные!$G$13:$G$64,MATCH($A85,Вводные!$A$13:$A$64,0)),0))</f>
        <v>0.002</v>
      </c>
      <c r="GW85" s="32" t="n">
        <f aca="false">INDEX(Вводные!$D$13:$F$64,MATCH($A85,Вводные!$A$13:$A$64,0),MATCH(GW$3,Вводные!$D$11:$F$11,0))*(1+IF(GW$4=$A85,Вводные!$D$5*INDEX(Вводные!$G$13:$G$64,MATCH($A85,Вводные!$A$13:$A$64,0)),0))</f>
        <v>0.002</v>
      </c>
      <c r="GX85" s="32" t="n">
        <f aca="false">INDEX(Вводные!$D$13:$F$64,MATCH($A85,Вводные!$A$13:$A$64,0),MATCH(GX$3,Вводные!$D$11:$F$11,0))*(1+IF(GX$4=$A85,Вводные!$D$5*INDEX(Вводные!$G$13:$G$64,MATCH($A85,Вводные!$A$13:$A$64,0)),0))</f>
        <v>0.002</v>
      </c>
      <c r="GY85" s="32" t="n">
        <f aca="false">INDEX(Вводные!$D$13:$F$64,MATCH($A85,Вводные!$A$13:$A$64,0),MATCH(GY$3,Вводные!$D$11:$F$11,0))*(1+IF(GY$4=$A85,Вводные!$D$5*INDEX(Вводные!$G$13:$G$64,MATCH($A85,Вводные!$A$13:$A$64,0)),0))</f>
        <v>0.002</v>
      </c>
      <c r="GZ85" s="32" t="n">
        <f aca="false">INDEX(Вводные!$D$13:$F$64,MATCH($A85,Вводные!$A$13:$A$64,0),MATCH(GZ$3,Вводные!$D$11:$F$11,0))*(1+IF(GZ$4=$A85,Вводные!$D$5*INDEX(Вводные!$G$13:$G$64,MATCH($A85,Вводные!$A$13:$A$64,0)),0))</f>
        <v>0.002</v>
      </c>
      <c r="HA85" s="32" t="n">
        <f aca="false">INDEX(Вводные!$D$13:$F$64,MATCH($A85,Вводные!$A$13:$A$64,0),MATCH(HA$3,Вводные!$D$11:$F$11,0))*(1+IF(HA$4=$A85,Вводные!$D$5*INDEX(Вводные!$G$13:$G$64,MATCH($A85,Вводные!$A$13:$A$64,0)),0))</f>
        <v>0.002</v>
      </c>
      <c r="HB85" s="32" t="n">
        <f aca="false">INDEX(Вводные!$D$13:$F$64,MATCH($A85,Вводные!$A$13:$A$64,0),MATCH(HB$3,Вводные!$D$11:$F$11,0))*(1+IF(HB$4=$A85,Вводные!$D$5*INDEX(Вводные!$G$13:$G$64,MATCH($A85,Вводные!$A$13:$A$64,0)),0))</f>
        <v>0.002</v>
      </c>
      <c r="HC85" s="32" t="n">
        <f aca="false">INDEX(Вводные!$D$13:$F$64,MATCH($A85,Вводные!$A$13:$A$64,0),MATCH(HC$3,Вводные!$D$11:$F$11,0))*(1+IF(HC$4=$A85,Вводные!$D$5*INDEX(Вводные!$G$13:$G$64,MATCH($A85,Вводные!$A$13:$A$64,0)),0))</f>
        <v>0.002</v>
      </c>
      <c r="HD85" s="32" t="n">
        <f aca="false">INDEX(Вводные!$D$13:$F$64,MATCH($A85,Вводные!$A$13:$A$64,0),MATCH(HD$3,Вводные!$D$11:$F$11,0))*(1+IF(HD$4=$A85,Вводные!$D$5*INDEX(Вводные!$G$13:$G$64,MATCH($A85,Вводные!$A$13:$A$64,0)),0))</f>
        <v>0.002</v>
      </c>
      <c r="HE85" s="32" t="n">
        <f aca="false">INDEX(Вводные!$D$13:$F$64,MATCH($A85,Вводные!$A$13:$A$64,0),MATCH(HE$3,Вводные!$D$11:$F$11,0))*(1+IF(HE$4=$A85,Вводные!$D$5*INDEX(Вводные!$G$13:$G$64,MATCH($A85,Вводные!$A$13:$A$64,0)),0))</f>
        <v>0.002</v>
      </c>
      <c r="HF85" s="32" t="n">
        <f aca="false">INDEX(Вводные!$D$13:$F$64,MATCH($A85,Вводные!$A$13:$A$64,0),MATCH(HF$3,Вводные!$D$11:$F$11,0))*(1+IF(HF$4=$A85,Вводные!$D$5*INDEX(Вводные!$G$13:$G$64,MATCH($A85,Вводные!$A$13:$A$64,0)),0))</f>
        <v>0.002</v>
      </c>
      <c r="HG85" s="32" t="n">
        <f aca="false">INDEX(Вводные!$D$13:$F$64,MATCH($A85,Вводные!$A$13:$A$64,0),MATCH(HG$3,Вводные!$D$11:$F$11,0))*(1+IF(HG$4=$A85,Вводные!$D$5*INDEX(Вводные!$G$13:$G$64,MATCH($A85,Вводные!$A$13:$A$64,0)),0))</f>
        <v>0.002</v>
      </c>
      <c r="HH85" s="32" t="n">
        <f aca="false">INDEX(Вводные!$D$13:$F$64,MATCH($A85,Вводные!$A$13:$A$64,0),MATCH(HH$3,Вводные!$D$11:$F$11,0))*(1+IF(HH$4=$A85,Вводные!$D$5*INDEX(Вводные!$G$13:$G$64,MATCH($A85,Вводные!$A$13:$A$64,0)),0))</f>
        <v>0.002</v>
      </c>
      <c r="HI85" s="32" t="n">
        <f aca="false">INDEX(Вводные!$D$13:$F$64,MATCH($A85,Вводные!$A$13:$A$64,0),MATCH(HI$3,Вводные!$D$11:$F$11,0))*(1+IF(HI$4=$A85,Вводные!$D$5*INDEX(Вводные!$G$13:$G$64,MATCH($A85,Вводные!$A$13:$A$64,0)),0))</f>
        <v>0.002</v>
      </c>
      <c r="HJ85" s="32" t="n">
        <f aca="false">INDEX(Вводные!$D$13:$F$64,MATCH($A85,Вводные!$A$13:$A$64,0),MATCH(HJ$3,Вводные!$D$11:$F$11,0))*(1+IF(HJ$4=$A85,Вводные!$D$5*INDEX(Вводные!$G$13:$G$64,MATCH($A85,Вводные!$A$13:$A$64,0)),0))</f>
        <v>0.002</v>
      </c>
      <c r="HK85" s="32" t="n">
        <f aca="false">INDEX(Вводные!$D$13:$F$64,MATCH($A85,Вводные!$A$13:$A$64,0),MATCH(HK$3,Вводные!$D$11:$F$11,0))*(1+IF(HK$4=$A85,Вводные!$D$5*INDEX(Вводные!$G$13:$G$64,MATCH($A85,Вводные!$A$13:$A$64,0)),0))</f>
        <v>0.002</v>
      </c>
      <c r="HL85" s="32" t="n">
        <f aca="false">INDEX(Вводные!$D$13:$F$64,MATCH($A85,Вводные!$A$13:$A$64,0),MATCH(HL$3,Вводные!$D$11:$F$11,0))*(1+IF(HL$4=$A85,Вводные!$D$5*INDEX(Вводные!$G$13:$G$64,MATCH($A85,Вводные!$A$13:$A$64,0)),0))</f>
        <v>0.001</v>
      </c>
      <c r="HM85" s="32" t="n">
        <f aca="false">INDEX(Вводные!$D$13:$F$64,MATCH($A85,Вводные!$A$13:$A$64,0),MATCH(HM$3,Вводные!$D$11:$F$11,0))*(1+IF(HM$4=$A85,Вводные!$D$5*INDEX(Вводные!$G$13:$G$64,MATCH($A85,Вводные!$A$13:$A$64,0)),0))</f>
        <v>0.001</v>
      </c>
      <c r="HN85" s="32" t="n">
        <f aca="false">INDEX(Вводные!$D$13:$F$64,MATCH($A85,Вводные!$A$13:$A$64,0),MATCH(HN$3,Вводные!$D$11:$F$11,0))*(1+IF(HN$4=$A85,Вводные!$D$5*INDEX(Вводные!$G$13:$G$64,MATCH($A85,Вводные!$A$13:$A$64,0)),0))</f>
        <v>0.001</v>
      </c>
      <c r="HO85" s="32" t="n">
        <f aca="false">INDEX(Вводные!$D$13:$F$64,MATCH($A85,Вводные!$A$13:$A$64,0),MATCH(HO$3,Вводные!$D$11:$F$11,0))*(1+IF(HO$4=$A85,Вводные!$D$5*INDEX(Вводные!$G$13:$G$64,MATCH($A85,Вводные!$A$13:$A$64,0)),0))</f>
        <v>0.001</v>
      </c>
      <c r="HP85" s="32" t="n">
        <f aca="false">INDEX(Вводные!$D$13:$F$64,MATCH($A85,Вводные!$A$13:$A$64,0),MATCH(HP$3,Вводные!$D$11:$F$11,0))*(1+IF(HP$4=$A85,Вводные!$D$5*INDEX(Вводные!$G$13:$G$64,MATCH($A85,Вводные!$A$13:$A$64,0)),0))</f>
        <v>0.001</v>
      </c>
      <c r="HQ85" s="32" t="n">
        <f aca="false">INDEX(Вводные!$D$13:$F$64,MATCH($A85,Вводные!$A$13:$A$64,0),MATCH(HQ$3,Вводные!$D$11:$F$11,0))*(1+IF(HQ$4=$A85,Вводные!$D$5*INDEX(Вводные!$G$13:$G$64,MATCH($A85,Вводные!$A$13:$A$64,0)),0))</f>
        <v>0.001</v>
      </c>
      <c r="HR85" s="32" t="n">
        <f aca="false">INDEX(Вводные!$D$13:$F$64,MATCH($A85,Вводные!$A$13:$A$64,0),MATCH(HR$3,Вводные!$D$11:$F$11,0))*(1+IF(HR$4=$A85,Вводные!$D$5*INDEX(Вводные!$G$13:$G$64,MATCH($A85,Вводные!$A$13:$A$64,0)),0))</f>
        <v>0.001</v>
      </c>
      <c r="HS85" s="32" t="n">
        <f aca="false">INDEX(Вводные!$D$13:$F$64,MATCH($A85,Вводные!$A$13:$A$64,0),MATCH(HS$3,Вводные!$D$11:$F$11,0))*(1+IF(HS$4=$A85,Вводные!$D$5*INDEX(Вводные!$G$13:$G$64,MATCH($A85,Вводные!$A$13:$A$64,0)),0))</f>
        <v>0.001</v>
      </c>
      <c r="HT85" s="32" t="n">
        <f aca="false">INDEX(Вводные!$D$13:$F$64,MATCH($A85,Вводные!$A$13:$A$64,0),MATCH(HT$3,Вводные!$D$11:$F$11,0))*(1+IF(HT$4=$A85,Вводные!$D$5*INDEX(Вводные!$G$13:$G$64,MATCH($A85,Вводные!$A$13:$A$64,0)),0))</f>
        <v>0.001</v>
      </c>
      <c r="HU85" s="32" t="n">
        <f aca="false">INDEX(Вводные!$D$13:$F$64,MATCH($A85,Вводные!$A$13:$A$64,0),MATCH(HU$3,Вводные!$D$11:$F$11,0))*(1+IF(HU$4=$A85,Вводные!$D$5*INDEX(Вводные!$G$13:$G$64,MATCH($A85,Вводные!$A$13:$A$64,0)),0))</f>
        <v>0.001</v>
      </c>
      <c r="HV85" s="32" t="n">
        <f aca="false">INDEX(Вводные!$D$13:$F$64,MATCH($A85,Вводные!$A$13:$A$64,0),MATCH(HV$3,Вводные!$D$11:$F$11,0))*(1+IF(HV$4=$A85,Вводные!$D$5*INDEX(Вводные!$G$13:$G$64,MATCH($A85,Вводные!$A$13:$A$64,0)),0))</f>
        <v>0.001</v>
      </c>
      <c r="HW85" s="32" t="n">
        <f aca="false">INDEX(Вводные!$D$13:$F$64,MATCH($A85,Вводные!$A$13:$A$64,0),MATCH(HW$3,Вводные!$D$11:$F$11,0))*(1+IF(HW$4=$A85,Вводные!$D$5*INDEX(Вводные!$G$13:$G$64,MATCH($A85,Вводные!$A$13:$A$64,0)),0))</f>
        <v>0.001</v>
      </c>
      <c r="HX85" s="32" t="n">
        <f aca="false">INDEX(Вводные!$D$13:$F$64,MATCH($A85,Вводные!$A$13:$A$64,0),MATCH(HX$3,Вводные!$D$11:$F$11,0))*(1+IF(HX$4=$A85,Вводные!$D$5*INDEX(Вводные!$G$13:$G$64,MATCH($A85,Вводные!$A$13:$A$64,0)),0))</f>
        <v>0.001</v>
      </c>
      <c r="HY85" s="32" t="n">
        <f aca="false">INDEX(Вводные!$D$13:$F$64,MATCH($A85,Вводные!$A$13:$A$64,0),MATCH(HY$3,Вводные!$D$11:$F$11,0))*(1+IF(HY$4=$A85,Вводные!$D$5*INDEX(Вводные!$G$13:$G$64,MATCH($A85,Вводные!$A$13:$A$64,0)),0))</f>
        <v>0.001</v>
      </c>
      <c r="HZ85" s="32" t="n">
        <f aca="false">INDEX(Вводные!$D$13:$F$64,MATCH($A85,Вводные!$A$13:$A$64,0),MATCH(HZ$3,Вводные!$D$11:$F$11,0))*(1+IF(HZ$4=$A85,Вводные!$D$5*INDEX(Вводные!$G$13:$G$64,MATCH($A85,Вводные!$A$13:$A$64,0)),0))</f>
        <v>0.001</v>
      </c>
      <c r="IA85" s="32" t="n">
        <f aca="false">INDEX(Вводные!$D$13:$F$64,MATCH($A85,Вводные!$A$13:$A$64,0),MATCH(IA$3,Вводные!$D$11:$F$11,0))*(1+IF(IA$4=$A85,Вводные!$D$5*INDEX(Вводные!$G$13:$G$64,MATCH($A85,Вводные!$A$13:$A$64,0)),0))</f>
        <v>0.001</v>
      </c>
      <c r="IB85" s="32" t="n">
        <f aca="false">INDEX(Вводные!$D$13:$F$64,MATCH($A85,Вводные!$A$13:$A$64,0),MATCH(IB$3,Вводные!$D$11:$F$11,0))*(1+IF(IB$4=$A85,Вводные!$D$5*INDEX(Вводные!$G$13:$G$64,MATCH($A85,Вводные!$A$13:$A$64,0)),0))</f>
        <v>0.001</v>
      </c>
      <c r="IC85" s="32" t="n">
        <f aca="false">INDEX(Вводные!$D$13:$F$64,MATCH($A85,Вводные!$A$13:$A$64,0),MATCH(IC$3,Вводные!$D$11:$F$11,0))*(1+IF(IC$4=$A85,Вводные!$D$5*INDEX(Вводные!$G$13:$G$64,MATCH($A85,Вводные!$A$13:$A$64,0)),0))</f>
        <v>0.001</v>
      </c>
      <c r="ID85" s="32" t="n">
        <f aca="false">INDEX(Вводные!$D$13:$F$64,MATCH($A85,Вводные!$A$13:$A$64,0),MATCH(ID$3,Вводные!$D$11:$F$11,0))*(1+IF(ID$4=$A85,Вводные!$D$5*INDEX(Вводные!$G$13:$G$64,MATCH($A85,Вводные!$A$13:$A$64,0)),0))</f>
        <v>0.00099</v>
      </c>
      <c r="IE85" s="32" t="n">
        <f aca="false">INDEX(Вводные!$D$13:$F$64,MATCH($A85,Вводные!$A$13:$A$64,0),MATCH(IE$3,Вводные!$D$11:$F$11,0))*(1+IF(IE$4=$A85,Вводные!$D$5*INDEX(Вводные!$G$13:$G$64,MATCH($A85,Вводные!$A$13:$A$64,0)),0))</f>
        <v>0.001</v>
      </c>
      <c r="IF85" s="32" t="n">
        <f aca="false">INDEX(Вводные!$D$13:$F$64,MATCH($A85,Вводные!$A$13:$A$64,0),MATCH(IF$3,Вводные!$D$11:$F$11,0))*(1+IF(IF$4=$A85,Вводные!$D$5*INDEX(Вводные!$G$13:$G$64,MATCH($A85,Вводные!$A$13:$A$64,0)),0))</f>
        <v>0.001</v>
      </c>
      <c r="IG85" s="32" t="n">
        <f aca="false">INDEX(Вводные!$D$13:$F$64,MATCH($A85,Вводные!$A$13:$A$64,0),MATCH(IG$3,Вводные!$D$11:$F$11,0))*(1+IF(IG$4=$A85,Вводные!$D$5*INDEX(Вводные!$G$13:$G$64,MATCH($A85,Вводные!$A$13:$A$64,0)),0))</f>
        <v>0.001</v>
      </c>
      <c r="IH85" s="32" t="n">
        <f aca="false">INDEX(Вводные!$D$13:$F$64,MATCH($A85,Вводные!$A$13:$A$64,0),MATCH(IH$3,Вводные!$D$11:$F$11,0))*(1+IF(IH$4=$A85,Вводные!$D$5*INDEX(Вводные!$G$13:$G$64,MATCH($A85,Вводные!$A$13:$A$64,0)),0))</f>
        <v>0.001</v>
      </c>
      <c r="II85" s="32" t="n">
        <f aca="false">INDEX(Вводные!$D$13:$F$64,MATCH($A85,Вводные!$A$13:$A$64,0),MATCH(II$3,Вводные!$D$11:$F$11,0))*(1+IF(II$4=$A85,Вводные!$D$5*INDEX(Вводные!$G$13:$G$64,MATCH($A85,Вводные!$A$13:$A$64,0)),0))</f>
        <v>0.001</v>
      </c>
      <c r="IJ85" s="32" t="n">
        <f aca="false">INDEX(Вводные!$D$13:$F$64,MATCH($A85,Вводные!$A$13:$A$64,0),MATCH(IJ$3,Вводные!$D$11:$F$11,0))*(1+IF(IJ$4=$A85,Вводные!$D$5*INDEX(Вводные!$G$13:$G$64,MATCH($A85,Вводные!$A$13:$A$64,0)),0))</f>
        <v>0.001</v>
      </c>
      <c r="IK85" s="32" t="n">
        <f aca="false">INDEX(Вводные!$D$13:$F$64,MATCH($A85,Вводные!$A$13:$A$64,0),MATCH(IK$3,Вводные!$D$11:$F$11,0))*(1+IF(IK$4=$A85,Вводные!$D$5*INDEX(Вводные!$G$13:$G$64,MATCH($A85,Вводные!$A$13:$A$64,0)),0))</f>
        <v>0.001</v>
      </c>
      <c r="IL85" s="32" t="n">
        <f aca="false">INDEX(Вводные!$D$13:$F$64,MATCH($A85,Вводные!$A$13:$A$64,0),MATCH(IL$3,Вводные!$D$11:$F$11,0))*(1+IF(IL$4=$A85,Вводные!$D$5*INDEX(Вводные!$G$13:$G$64,MATCH($A85,Вводные!$A$13:$A$64,0)),0))</f>
        <v>0.001</v>
      </c>
      <c r="IM85" s="32" t="n">
        <f aca="false">INDEX(Вводные!$D$13:$F$64,MATCH($A85,Вводные!$A$13:$A$64,0),MATCH(IM$3,Вводные!$D$11:$F$11,0))*(1+IF(IM$4=$A85,Вводные!$D$5*INDEX(Вводные!$G$13:$G$64,MATCH($A85,Вводные!$A$13:$A$64,0)),0))</f>
        <v>0.001</v>
      </c>
      <c r="IN85" s="32" t="n">
        <f aca="false">INDEX(Вводные!$D$13:$F$64,MATCH($A85,Вводные!$A$13:$A$64,0),MATCH(IN$3,Вводные!$D$11:$F$11,0))*(1+IF(IN$4=$A85,Вводные!$D$5*INDEX(Вводные!$G$13:$G$64,MATCH($A85,Вводные!$A$13:$A$64,0)),0))</f>
        <v>0.001</v>
      </c>
      <c r="IO85" s="32" t="n">
        <f aca="false">INDEX(Вводные!$D$13:$F$64,MATCH($A85,Вводные!$A$13:$A$64,0),MATCH(IO$3,Вводные!$D$11:$F$11,0))*(1+IF(IO$4=$A85,Вводные!$D$5*INDEX(Вводные!$G$13:$G$64,MATCH($A85,Вводные!$A$13:$A$64,0)),0))</f>
        <v>0.001</v>
      </c>
      <c r="IP85" s="32" t="n">
        <f aca="false">INDEX(Вводные!$D$13:$F$64,MATCH($A85,Вводные!$A$13:$A$64,0),MATCH(IP$3,Вводные!$D$11:$F$11,0))*(1+IF(IP$4=$A85,Вводные!$D$5*INDEX(Вводные!$G$13:$G$64,MATCH($A85,Вводные!$A$13:$A$64,0)),0))</f>
        <v>0.001</v>
      </c>
      <c r="IQ85" s="32" t="n">
        <f aca="false">INDEX(Вводные!$D$13:$F$64,MATCH($A85,Вводные!$A$13:$A$64,0),MATCH(IQ$3,Вводные!$D$11:$F$11,0))*(1+IF(IQ$4=$A85,Вводные!$D$5*INDEX(Вводные!$G$13:$G$64,MATCH($A85,Вводные!$A$13:$A$64,0)),0))</f>
        <v>0.001</v>
      </c>
      <c r="IR85" s="32" t="n">
        <f aca="false">INDEX(Вводные!$D$13:$F$64,MATCH($A85,Вводные!$A$13:$A$64,0),MATCH(IR$3,Вводные!$D$11:$F$11,0))*(1+IF(IR$4=$A85,Вводные!$D$5*INDEX(Вводные!$G$13:$G$64,MATCH($A85,Вводные!$A$13:$A$64,0)),0))</f>
        <v>0.001</v>
      </c>
      <c r="IS85" s="32" t="n">
        <f aca="false">INDEX(Вводные!$D$13:$F$64,MATCH($A85,Вводные!$A$13:$A$64,0),MATCH(IS$3,Вводные!$D$11:$F$11,0))*(1+IF(IS$4=$A85,Вводные!$D$5*INDEX(Вводные!$G$13:$G$64,MATCH($A85,Вводные!$A$13:$A$64,0)),0))</f>
        <v>0.001</v>
      </c>
      <c r="IT85" s="32" t="n">
        <f aca="false">INDEX(Вводные!$D$13:$F$64,MATCH($A85,Вводные!$A$13:$A$64,0),MATCH(IT$3,Вводные!$D$11:$F$11,0))*(1+IF(IT$4=$A85,Вводные!$D$5*INDEX(Вводные!$G$13:$G$64,MATCH($A85,Вводные!$A$13:$A$64,0)),0))</f>
        <v>0.001</v>
      </c>
      <c r="IU85" s="32" t="n">
        <f aca="false">INDEX(Вводные!$D$13:$F$64,MATCH($A85,Вводные!$A$13:$A$64,0),MATCH(IU$3,Вводные!$D$11:$F$11,0))*(1+IF(IU$4=$A85,Вводные!$D$5*INDEX(Вводные!$G$13:$G$64,MATCH($A85,Вводные!$A$13:$A$64,0)),0))</f>
        <v>0.001</v>
      </c>
      <c r="IV85" s="32" t="n">
        <f aca="false">INDEX(Вводные!$D$13:$F$64,MATCH($A85,Вводные!$A$13:$A$64,0),MATCH(IV$3,Вводные!$D$11:$F$11,0))*(1+IF(IV$4=$A85,Вводные!$D$5*INDEX(Вводные!$G$13:$G$64,MATCH($A85,Вводные!$A$13:$A$64,0)),0))</f>
        <v>0.001</v>
      </c>
      <c r="IW85" s="32" t="n">
        <f aca="false">INDEX(Вводные!$D$13:$F$64,MATCH($A85,Вводные!$A$13:$A$64,0),MATCH(IW$3,Вводные!$D$11:$F$11,0))*(1+IF(IW$4=$A85,Вводные!$D$5*INDEX(Вводные!$G$13:$G$64,MATCH($A85,Вводные!$A$13:$A$64,0)),0))</f>
        <v>0.001</v>
      </c>
      <c r="IX85" s="32" t="n">
        <f aca="false">INDEX(Вводные!$D$13:$F$64,MATCH($A85,Вводные!$A$13:$A$64,0),MATCH(IX$3,Вводные!$D$11:$F$11,0))*(1+IF(IX$4=$A85,Вводные!$D$5*INDEX(Вводные!$G$13:$G$64,MATCH($A85,Вводные!$A$13:$A$64,0)),0))</f>
        <v>0.001</v>
      </c>
      <c r="IY85" s="32" t="n">
        <f aca="false">INDEX(Вводные!$D$13:$F$64,MATCH($A85,Вводные!$A$13:$A$64,0),MATCH(IY$3,Вводные!$D$11:$F$11,0))*(1+IF(IY$4=$A85,Вводные!$D$5*INDEX(Вводные!$G$13:$G$64,MATCH($A85,Вводные!$A$13:$A$64,0)),0))</f>
        <v>0.001</v>
      </c>
      <c r="IZ85" s="32" t="n">
        <f aca="false">INDEX(Вводные!$D$13:$F$64,MATCH($A85,Вводные!$A$13:$A$64,0),MATCH(IZ$3,Вводные!$D$11:$F$11,0))*(1+IF(IZ$4=$A85,Вводные!$D$5*INDEX(Вводные!$G$13:$G$64,MATCH($A85,Вводные!$A$13:$A$64,0)),0))</f>
        <v>0.001</v>
      </c>
      <c r="JA85" s="32" t="n">
        <f aca="false">INDEX(Вводные!$D$13:$F$64,MATCH($A85,Вводные!$A$13:$A$64,0),MATCH(JA$3,Вводные!$D$11:$F$11,0))*(1+IF(JA$4=$A85,Вводные!$D$5*INDEX(Вводные!$G$13:$G$64,MATCH($A85,Вводные!$A$13:$A$64,0)),0))</f>
        <v>0.001</v>
      </c>
    </row>
    <row r="86" customFormat="false" ht="15" hidden="false" customHeight="false" outlineLevel="0" collapsed="false">
      <c r="A86" s="2" t="s">
        <v>125</v>
      </c>
      <c r="B86" s="13" t="s">
        <v>126</v>
      </c>
      <c r="C86" s="13" t="s">
        <v>179</v>
      </c>
      <c r="D86" s="9" t="s">
        <v>294</v>
      </c>
      <c r="E86" s="59" t="n">
        <f aca="false">E30*E85</f>
        <v>1014250</v>
      </c>
      <c r="F86" s="59" t="n">
        <f aca="false">F30*F85</f>
        <v>453300</v>
      </c>
      <c r="G86" s="59" t="n">
        <f aca="false">G30*G85</f>
        <v>402000</v>
      </c>
      <c r="H86" s="59" t="n">
        <f aca="false">SUM(E86:G86)</f>
        <v>1869550</v>
      </c>
      <c r="J86" s="59" t="n">
        <f aca="false">J30*J85</f>
        <v>1014250</v>
      </c>
      <c r="K86" s="59" t="n">
        <f aca="false">K30*K85</f>
        <v>1014992.5</v>
      </c>
      <c r="L86" s="59" t="n">
        <f aca="false">L30*L85</f>
        <v>1014992.5</v>
      </c>
      <c r="M86" s="59" t="n">
        <f aca="false">M30*M85</f>
        <v>1014992.5</v>
      </c>
      <c r="N86" s="59" t="n">
        <f aca="false">N30*N85</f>
        <v>1014850</v>
      </c>
      <c r="O86" s="59" t="n">
        <f aca="false">O30*O85</f>
        <v>1014250</v>
      </c>
      <c r="P86" s="59" t="n">
        <f aca="false">P30*P85</f>
        <v>1014250</v>
      </c>
      <c r="Q86" s="59" t="n">
        <f aca="false">Q30*Q85</f>
        <v>1014250</v>
      </c>
      <c r="R86" s="59" t="n">
        <f aca="false">R30*R85</f>
        <v>1014250</v>
      </c>
      <c r="S86" s="59" t="n">
        <f aca="false">S30*S85</f>
        <v>1014250</v>
      </c>
      <c r="T86" s="59" t="n">
        <f aca="false">T30*T85</f>
        <v>1014250</v>
      </c>
      <c r="U86" s="59" t="n">
        <f aca="false">U30*U85</f>
        <v>1014250</v>
      </c>
      <c r="V86" s="59" t="n">
        <f aca="false">V30*V85</f>
        <v>1014250</v>
      </c>
      <c r="W86" s="59" t="n">
        <f aca="false">W30*W85</f>
        <v>1014250</v>
      </c>
      <c r="X86" s="59" t="n">
        <f aca="false">X30*X85</f>
        <v>1024392.5</v>
      </c>
      <c r="Y86" s="59" t="n">
        <f aca="false">Y30*Y85</f>
        <v>1024392.5</v>
      </c>
      <c r="Z86" s="59" t="n">
        <f aca="false">Z30*Z85</f>
        <v>1014250</v>
      </c>
      <c r="AA86" s="59" t="n">
        <f aca="false">AA30*AA85</f>
        <v>1014250</v>
      </c>
      <c r="AB86" s="59" t="n">
        <f aca="false">AB30*AB85</f>
        <v>1004107.5</v>
      </c>
      <c r="AC86" s="59" t="n">
        <f aca="false">AC30*AC85</f>
        <v>1014250</v>
      </c>
      <c r="AD86" s="59" t="n">
        <f aca="false">AD30*AD85</f>
        <v>1014250</v>
      </c>
      <c r="AE86" s="59" t="n">
        <f aca="false">AE30*AE85</f>
        <v>1014250</v>
      </c>
      <c r="AF86" s="59" t="n">
        <f aca="false">AF30*AF85</f>
        <v>1014250</v>
      </c>
      <c r="AG86" s="59" t="n">
        <f aca="false">AG30*AG85</f>
        <v>1014250</v>
      </c>
      <c r="AH86" s="59" t="n">
        <f aca="false">AH30*AH85</f>
        <v>1014250</v>
      </c>
      <c r="AI86" s="59" t="n">
        <f aca="false">AI30*AI85</f>
        <v>1014250</v>
      </c>
      <c r="AJ86" s="59" t="n">
        <f aca="false">AJ30*AJ85</f>
        <v>1014250</v>
      </c>
      <c r="AK86" s="59" t="n">
        <f aca="false">AK30*AK85</f>
        <v>1014250</v>
      </c>
      <c r="AL86" s="59" t="n">
        <f aca="false">AL30*AL85</f>
        <v>1014250</v>
      </c>
      <c r="AM86" s="59" t="n">
        <f aca="false">AM30*AM85</f>
        <v>1014250</v>
      </c>
      <c r="AN86" s="59" t="n">
        <f aca="false">AN30*AN85</f>
        <v>1014250</v>
      </c>
      <c r="AO86" s="59" t="n">
        <f aca="false">AO30*AO85</f>
        <v>1014250</v>
      </c>
      <c r="AP86" s="59" t="n">
        <f aca="false">AP30*AP85</f>
        <v>1014250</v>
      </c>
      <c r="AQ86" s="59" t="n">
        <f aca="false">AQ30*AQ85</f>
        <v>1014250</v>
      </c>
      <c r="AR86" s="59" t="n">
        <f aca="false">AR30*AR85</f>
        <v>1014250</v>
      </c>
      <c r="AS86" s="59" t="n">
        <f aca="false">AS30*AS85</f>
        <v>1014250</v>
      </c>
      <c r="AT86" s="59" t="n">
        <f aca="false">AT30*AT85</f>
        <v>1014250</v>
      </c>
      <c r="AU86" s="59" t="n">
        <f aca="false">AU30*AU85</f>
        <v>1014250</v>
      </c>
      <c r="AV86" s="59" t="n">
        <f aca="false">AV30*AV85</f>
        <v>1014250</v>
      </c>
      <c r="AW86" s="59" t="n">
        <f aca="false">AW30*AW85</f>
        <v>1014250</v>
      </c>
      <c r="AX86" s="59" t="n">
        <f aca="false">AX30*AX85</f>
        <v>1014250</v>
      </c>
      <c r="AY86" s="59" t="n">
        <f aca="false">AY30*AY85</f>
        <v>1014250</v>
      </c>
      <c r="AZ86" s="59" t="n">
        <f aca="false">AZ30*AZ85</f>
        <v>453300</v>
      </c>
      <c r="BA86" s="59" t="n">
        <f aca="false">BA30*BA85</f>
        <v>453468</v>
      </c>
      <c r="BB86" s="59" t="n">
        <f aca="false">BB30*BB85</f>
        <v>453468</v>
      </c>
      <c r="BC86" s="59" t="n">
        <f aca="false">BC30*BC85</f>
        <v>453468</v>
      </c>
      <c r="BD86" s="59" t="n">
        <f aca="false">BD30*BD85</f>
        <v>453435</v>
      </c>
      <c r="BE86" s="59" t="n">
        <f aca="false">BE30*BE85</f>
        <v>453300</v>
      </c>
      <c r="BF86" s="59" t="n">
        <f aca="false">BF30*BF85</f>
        <v>453300</v>
      </c>
      <c r="BG86" s="59" t="n">
        <f aca="false">BG30*BG85</f>
        <v>453300</v>
      </c>
      <c r="BH86" s="59" t="n">
        <f aca="false">BH30*BH85</f>
        <v>453300</v>
      </c>
      <c r="BI86" s="59" t="n">
        <f aca="false">BI30*BI85</f>
        <v>453300</v>
      </c>
      <c r="BJ86" s="59" t="n">
        <f aca="false">BJ30*BJ85</f>
        <v>453300</v>
      </c>
      <c r="BK86" s="59" t="n">
        <f aca="false">BK30*BK85</f>
        <v>453300</v>
      </c>
      <c r="BL86" s="59" t="n">
        <f aca="false">BL30*BL85</f>
        <v>453300</v>
      </c>
      <c r="BM86" s="59" t="n">
        <f aca="false">BM30*BM85</f>
        <v>453300</v>
      </c>
      <c r="BN86" s="59" t="n">
        <f aca="false">BN30*BN85</f>
        <v>457833</v>
      </c>
      <c r="BO86" s="59" t="n">
        <f aca="false">BO30*BO85</f>
        <v>457833</v>
      </c>
      <c r="BP86" s="59" t="n">
        <f aca="false">BP30*BP85</f>
        <v>453300</v>
      </c>
      <c r="BQ86" s="59" t="n">
        <f aca="false">BQ30*BQ85</f>
        <v>453300</v>
      </c>
      <c r="BR86" s="59" t="n">
        <f aca="false">BR30*BR85</f>
        <v>448767</v>
      </c>
      <c r="BS86" s="59" t="n">
        <f aca="false">BS30*BS85</f>
        <v>453300</v>
      </c>
      <c r="BT86" s="59" t="n">
        <f aca="false">BT30*BT85</f>
        <v>453300</v>
      </c>
      <c r="BU86" s="59" t="n">
        <f aca="false">BU30*BU85</f>
        <v>453300</v>
      </c>
      <c r="BV86" s="59" t="n">
        <f aca="false">BV30*BV85</f>
        <v>453300</v>
      </c>
      <c r="BW86" s="59" t="n">
        <f aca="false">BW30*BW85</f>
        <v>453300</v>
      </c>
      <c r="BX86" s="59" t="n">
        <f aca="false">BX30*BX85</f>
        <v>453300</v>
      </c>
      <c r="BY86" s="59" t="n">
        <f aca="false">BY30*BY85</f>
        <v>453300</v>
      </c>
      <c r="BZ86" s="59" t="n">
        <f aca="false">BZ30*BZ85</f>
        <v>453300</v>
      </c>
      <c r="CA86" s="59" t="n">
        <f aca="false">CA30*CA85</f>
        <v>453300</v>
      </c>
      <c r="CB86" s="59" t="n">
        <f aca="false">CB30*CB85</f>
        <v>453300</v>
      </c>
      <c r="CC86" s="59" t="n">
        <f aca="false">CC30*CC85</f>
        <v>453300</v>
      </c>
      <c r="CD86" s="59" t="n">
        <f aca="false">CD30*CD85</f>
        <v>453300</v>
      </c>
      <c r="CE86" s="59" t="n">
        <f aca="false">CE30*CE85</f>
        <v>453300</v>
      </c>
      <c r="CF86" s="59" t="n">
        <f aca="false">CF30*CF85</f>
        <v>453300</v>
      </c>
      <c r="CG86" s="59" t="n">
        <f aca="false">CG30*CG85</f>
        <v>453300</v>
      </c>
      <c r="CH86" s="59" t="n">
        <f aca="false">CH30*CH85</f>
        <v>453300</v>
      </c>
      <c r="CI86" s="59" t="n">
        <f aca="false">CI30*CI85</f>
        <v>453300</v>
      </c>
      <c r="CJ86" s="59" t="n">
        <f aca="false">CJ30*CJ85</f>
        <v>453300</v>
      </c>
      <c r="CK86" s="59" t="n">
        <f aca="false">CK30*CK85</f>
        <v>453300</v>
      </c>
      <c r="CL86" s="59" t="n">
        <f aca="false">CL30*CL85</f>
        <v>453300</v>
      </c>
      <c r="CM86" s="59" t="n">
        <f aca="false">CM30*CM85</f>
        <v>453300</v>
      </c>
      <c r="CN86" s="59" t="n">
        <f aca="false">CN30*CN85</f>
        <v>453300</v>
      </c>
      <c r="CO86" s="59" t="n">
        <f aca="false">CO30*CO85</f>
        <v>453300</v>
      </c>
      <c r="CP86" s="59" t="n">
        <f aca="false">CP30*CP85</f>
        <v>402000</v>
      </c>
      <c r="CQ86" s="59" t="n">
        <f aca="false">CQ30*CQ85</f>
        <v>402180</v>
      </c>
      <c r="CR86" s="59" t="n">
        <f aca="false">CR30*CR85</f>
        <v>402180</v>
      </c>
      <c r="CS86" s="59" t="n">
        <f aca="false">CS30*CS85</f>
        <v>402180</v>
      </c>
      <c r="CT86" s="59" t="n">
        <f aca="false">CT30*CT85</f>
        <v>402160</v>
      </c>
      <c r="CU86" s="59" t="n">
        <f aca="false">CU30*CU85</f>
        <v>402000</v>
      </c>
      <c r="CV86" s="59" t="n">
        <f aca="false">CV30*CV85</f>
        <v>402000</v>
      </c>
      <c r="CW86" s="59" t="n">
        <f aca="false">CW30*CW85</f>
        <v>402000</v>
      </c>
      <c r="CX86" s="59" t="n">
        <f aca="false">CX30*CX85</f>
        <v>402000</v>
      </c>
      <c r="CY86" s="59" t="n">
        <f aca="false">CY30*CY85</f>
        <v>402000</v>
      </c>
      <c r="CZ86" s="59" t="n">
        <f aca="false">CZ30*CZ85</f>
        <v>402000</v>
      </c>
      <c r="DA86" s="59" t="n">
        <f aca="false">DA30*DA85</f>
        <v>402000</v>
      </c>
      <c r="DB86" s="59" t="n">
        <f aca="false">DB30*DB85</f>
        <v>402000</v>
      </c>
      <c r="DC86" s="59" t="n">
        <f aca="false">DC30*DC85</f>
        <v>402000</v>
      </c>
      <c r="DD86" s="59" t="n">
        <f aca="false">DD30*DD85</f>
        <v>406020</v>
      </c>
      <c r="DE86" s="59" t="n">
        <f aca="false">DE30*DE85</f>
        <v>406020</v>
      </c>
      <c r="DF86" s="59" t="n">
        <f aca="false">DF30*DF85</f>
        <v>402000</v>
      </c>
      <c r="DG86" s="59" t="n">
        <f aca="false">DG30*DG85</f>
        <v>402000</v>
      </c>
      <c r="DH86" s="59" t="n">
        <f aca="false">DH30*DH85</f>
        <v>397980</v>
      </c>
      <c r="DI86" s="59" t="n">
        <f aca="false">DI30*DI85</f>
        <v>402000</v>
      </c>
      <c r="DJ86" s="59" t="n">
        <f aca="false">DJ30*DJ85</f>
        <v>402000</v>
      </c>
      <c r="DK86" s="59" t="n">
        <f aca="false">DK30*DK85</f>
        <v>402000</v>
      </c>
      <c r="DL86" s="59" t="n">
        <f aca="false">DL30*DL85</f>
        <v>402000</v>
      </c>
      <c r="DM86" s="59" t="n">
        <f aca="false">DM30*DM85</f>
        <v>402000</v>
      </c>
      <c r="DN86" s="59" t="n">
        <f aca="false">DN30*DN85</f>
        <v>402000</v>
      </c>
      <c r="DO86" s="59" t="n">
        <f aca="false">DO30*DO85</f>
        <v>402000</v>
      </c>
      <c r="DP86" s="59" t="n">
        <f aca="false">DP30*DP85</f>
        <v>402000</v>
      </c>
      <c r="DQ86" s="59" t="n">
        <f aca="false">DQ30*DQ85</f>
        <v>402000</v>
      </c>
      <c r="DR86" s="59" t="n">
        <f aca="false">DR30*DR85</f>
        <v>402000</v>
      </c>
      <c r="DS86" s="59" t="n">
        <f aca="false">DS30*DS85</f>
        <v>402000</v>
      </c>
      <c r="DT86" s="59" t="n">
        <f aca="false">DT30*DT85</f>
        <v>402000</v>
      </c>
      <c r="DU86" s="59" t="n">
        <f aca="false">DU30*DU85</f>
        <v>402000</v>
      </c>
      <c r="DV86" s="59" t="n">
        <f aca="false">DV30*DV85</f>
        <v>402000</v>
      </c>
      <c r="DW86" s="59" t="n">
        <f aca="false">DW30*DW85</f>
        <v>402000</v>
      </c>
      <c r="DX86" s="59" t="n">
        <f aca="false">DX30*DX85</f>
        <v>402000</v>
      </c>
      <c r="DY86" s="59" t="n">
        <f aca="false">DY30*DY85</f>
        <v>402000</v>
      </c>
      <c r="DZ86" s="59" t="n">
        <f aca="false">DZ30*DZ85</f>
        <v>402000</v>
      </c>
      <c r="EA86" s="59" t="n">
        <f aca="false">EA30*EA85</f>
        <v>402000</v>
      </c>
      <c r="EB86" s="59" t="n">
        <f aca="false">EB30*EB85</f>
        <v>402000</v>
      </c>
      <c r="EC86" s="59" t="n">
        <f aca="false">EC30*EC85</f>
        <v>402000</v>
      </c>
      <c r="ED86" s="59" t="n">
        <f aca="false">ED30*ED85</f>
        <v>402000</v>
      </c>
      <c r="EE86" s="59" t="n">
        <f aca="false">EE30*EE85</f>
        <v>402000</v>
      </c>
      <c r="EF86" s="59" t="n">
        <f aca="false">EF30*EF85</f>
        <v>1237500</v>
      </c>
      <c r="EG86" s="59" t="n">
        <f aca="false">EG30*EG85</f>
        <v>1249875</v>
      </c>
      <c r="EH86" s="59" t="n">
        <f aca="false">EH30*EH85</f>
        <v>1249875</v>
      </c>
      <c r="EI86" s="59" t="n">
        <f aca="false">EI30*EI85</f>
        <v>1249875</v>
      </c>
      <c r="EJ86" s="59" t="n">
        <f aca="false">EJ30*EJ85</f>
        <v>1250000</v>
      </c>
      <c r="EK86" s="59" t="n">
        <f aca="false">EK30*EK85</f>
        <v>1237500</v>
      </c>
      <c r="EL86" s="59" t="n">
        <f aca="false">EL30*EL85</f>
        <v>1237500</v>
      </c>
      <c r="EM86" s="59" t="n">
        <f aca="false">EM30*EM85</f>
        <v>1237500</v>
      </c>
      <c r="EN86" s="59" t="n">
        <f aca="false">EN30*EN85</f>
        <v>1237500</v>
      </c>
      <c r="EO86" s="59" t="n">
        <f aca="false">EO30*EO85</f>
        <v>1237500</v>
      </c>
      <c r="EP86" s="59" t="n">
        <f aca="false">EP30*EP85</f>
        <v>1237500</v>
      </c>
      <c r="EQ86" s="59" t="n">
        <f aca="false">EQ30*EQ85</f>
        <v>1237500</v>
      </c>
      <c r="ER86" s="59" t="n">
        <f aca="false">ER30*ER85</f>
        <v>1237500</v>
      </c>
      <c r="ES86" s="59" t="n">
        <f aca="false">ES30*ES85</f>
        <v>1237500</v>
      </c>
      <c r="ET86" s="59" t="n">
        <f aca="false">ET30*ET85</f>
        <v>1249875</v>
      </c>
      <c r="EU86" s="59" t="n">
        <f aca="false">EU30*EU85</f>
        <v>1249875</v>
      </c>
      <c r="EV86" s="59" t="n">
        <f aca="false">EV30*EV85</f>
        <v>1237500</v>
      </c>
      <c r="EW86" s="59" t="n">
        <f aca="false">EW30*EW85</f>
        <v>1237500</v>
      </c>
      <c r="EX86" s="59" t="n">
        <f aca="false">EX30*EX85</f>
        <v>1225125</v>
      </c>
      <c r="EY86" s="59" t="n">
        <f aca="false">EY30*EY85</f>
        <v>1237500</v>
      </c>
      <c r="EZ86" s="59" t="n">
        <f aca="false">EZ30*EZ85</f>
        <v>1237500</v>
      </c>
      <c r="FA86" s="59" t="n">
        <f aca="false">FA30*FA85</f>
        <v>1237500</v>
      </c>
      <c r="FB86" s="59" t="n">
        <f aca="false">FB30*FB85</f>
        <v>1237500</v>
      </c>
      <c r="FC86" s="59" t="n">
        <f aca="false">FC30*FC85</f>
        <v>1237500</v>
      </c>
      <c r="FD86" s="59" t="n">
        <f aca="false">FD30*FD85</f>
        <v>1237500</v>
      </c>
      <c r="FE86" s="59" t="n">
        <f aca="false">FE30*FE85</f>
        <v>1237500</v>
      </c>
      <c r="FF86" s="59" t="n">
        <f aca="false">FF30*FF85</f>
        <v>1237500</v>
      </c>
      <c r="FG86" s="59" t="n">
        <f aca="false">FG30*FG85</f>
        <v>1237500</v>
      </c>
      <c r="FH86" s="59" t="n">
        <f aca="false">FH30*FH85</f>
        <v>1237500</v>
      </c>
      <c r="FI86" s="59" t="n">
        <f aca="false">FI30*FI85</f>
        <v>1237500</v>
      </c>
      <c r="FJ86" s="59" t="n">
        <f aca="false">FJ30*FJ85</f>
        <v>1237500</v>
      </c>
      <c r="FK86" s="59" t="n">
        <f aca="false">FK30*FK85</f>
        <v>1237500</v>
      </c>
      <c r="FL86" s="59" t="n">
        <f aca="false">FL30*FL85</f>
        <v>1237500</v>
      </c>
      <c r="FM86" s="59" t="n">
        <f aca="false">FM30*FM85</f>
        <v>1237500</v>
      </c>
      <c r="FN86" s="59" t="n">
        <f aca="false">FN30*FN85</f>
        <v>1237500</v>
      </c>
      <c r="FO86" s="59" t="n">
        <f aca="false">FO30*FO85</f>
        <v>1237500</v>
      </c>
      <c r="FP86" s="59" t="n">
        <f aca="false">FP30*FP85</f>
        <v>1237500</v>
      </c>
      <c r="FQ86" s="59" t="n">
        <f aca="false">FQ30*FQ85</f>
        <v>1237500</v>
      </c>
      <c r="FR86" s="59" t="n">
        <f aca="false">FR30*FR85</f>
        <v>1237500</v>
      </c>
      <c r="FS86" s="59" t="n">
        <f aca="false">FS30*FS85</f>
        <v>1237500</v>
      </c>
      <c r="FT86" s="59" t="n">
        <f aca="false">FT30*FT85</f>
        <v>1237500</v>
      </c>
      <c r="FU86" s="59" t="n">
        <f aca="false">FU30*FU85</f>
        <v>1237500</v>
      </c>
      <c r="FV86" s="59" t="n">
        <f aca="false">FV30*FV85</f>
        <v>560000</v>
      </c>
      <c r="FW86" s="59" t="n">
        <f aca="false">FW30*FW85</f>
        <v>565600</v>
      </c>
      <c r="FX86" s="59" t="n">
        <f aca="false">FX30*FX85</f>
        <v>565600</v>
      </c>
      <c r="FY86" s="59" t="n">
        <f aca="false">FY30*FY85</f>
        <v>565600</v>
      </c>
      <c r="FZ86" s="59" t="n">
        <f aca="false">FZ30*FZ85</f>
        <v>565656.565656566</v>
      </c>
      <c r="GA86" s="59" t="n">
        <f aca="false">GA30*GA85</f>
        <v>560000</v>
      </c>
      <c r="GB86" s="59" t="n">
        <f aca="false">GB30*GB85</f>
        <v>560000</v>
      </c>
      <c r="GC86" s="59" t="n">
        <f aca="false">GC30*GC85</f>
        <v>560000</v>
      </c>
      <c r="GD86" s="59" t="n">
        <f aca="false">GD30*GD85</f>
        <v>560000</v>
      </c>
      <c r="GE86" s="59" t="n">
        <f aca="false">GE30*GE85</f>
        <v>560000</v>
      </c>
      <c r="GF86" s="59" t="n">
        <f aca="false">GF30*GF85</f>
        <v>560000</v>
      </c>
      <c r="GG86" s="59" t="n">
        <f aca="false">GG30*GG85</f>
        <v>560000</v>
      </c>
      <c r="GH86" s="59" t="n">
        <f aca="false">GH30*GH85</f>
        <v>560000</v>
      </c>
      <c r="GI86" s="59" t="n">
        <f aca="false">GI30*GI85</f>
        <v>560000</v>
      </c>
      <c r="GJ86" s="59" t="n">
        <f aca="false">GJ30*GJ85</f>
        <v>565600</v>
      </c>
      <c r="GK86" s="59" t="n">
        <f aca="false">GK30*GK85</f>
        <v>565600</v>
      </c>
      <c r="GL86" s="59" t="n">
        <f aca="false">GL30*GL85</f>
        <v>560000</v>
      </c>
      <c r="GM86" s="59" t="n">
        <f aca="false">GM30*GM85</f>
        <v>560000</v>
      </c>
      <c r="GN86" s="59" t="n">
        <f aca="false">GN30*GN85</f>
        <v>554400</v>
      </c>
      <c r="GO86" s="59" t="n">
        <f aca="false">GO30*GO85</f>
        <v>560000</v>
      </c>
      <c r="GP86" s="59" t="n">
        <f aca="false">GP30*GP85</f>
        <v>560000</v>
      </c>
      <c r="GQ86" s="59" t="n">
        <f aca="false">GQ30*GQ85</f>
        <v>560000</v>
      </c>
      <c r="GR86" s="59" t="n">
        <f aca="false">GR30*GR85</f>
        <v>560000</v>
      </c>
      <c r="GS86" s="59" t="n">
        <f aca="false">GS30*GS85</f>
        <v>560000</v>
      </c>
      <c r="GT86" s="59" t="n">
        <f aca="false">GT30*GT85</f>
        <v>560000</v>
      </c>
      <c r="GU86" s="59" t="n">
        <f aca="false">GU30*GU85</f>
        <v>560000</v>
      </c>
      <c r="GV86" s="59" t="n">
        <f aca="false">GV30*GV85</f>
        <v>560000</v>
      </c>
      <c r="GW86" s="59" t="n">
        <f aca="false">GW30*GW85</f>
        <v>560000</v>
      </c>
      <c r="GX86" s="59" t="n">
        <f aca="false">GX30*GX85</f>
        <v>560000</v>
      </c>
      <c r="GY86" s="59" t="n">
        <f aca="false">GY30*GY85</f>
        <v>560000</v>
      </c>
      <c r="GZ86" s="59" t="n">
        <f aca="false">GZ30*GZ85</f>
        <v>560000</v>
      </c>
      <c r="HA86" s="59" t="n">
        <f aca="false">HA30*HA85</f>
        <v>560000</v>
      </c>
      <c r="HB86" s="59" t="n">
        <f aca="false">HB30*HB85</f>
        <v>560000</v>
      </c>
      <c r="HC86" s="59" t="n">
        <f aca="false">HC30*HC85</f>
        <v>560000</v>
      </c>
      <c r="HD86" s="59" t="n">
        <f aca="false">HD30*HD85</f>
        <v>560000</v>
      </c>
      <c r="HE86" s="59" t="n">
        <f aca="false">HE30*HE85</f>
        <v>560000</v>
      </c>
      <c r="HF86" s="59" t="n">
        <f aca="false">HF30*HF85</f>
        <v>560000</v>
      </c>
      <c r="HG86" s="59" t="n">
        <f aca="false">HG30*HG85</f>
        <v>560000</v>
      </c>
      <c r="HH86" s="59" t="n">
        <f aca="false">HH30*HH85</f>
        <v>560000</v>
      </c>
      <c r="HI86" s="59" t="n">
        <f aca="false">HI30*HI85</f>
        <v>560000</v>
      </c>
      <c r="HJ86" s="59" t="n">
        <f aca="false">HJ30*HJ85</f>
        <v>560000</v>
      </c>
      <c r="HK86" s="59" t="n">
        <f aca="false">HK30*HK85</f>
        <v>560000</v>
      </c>
      <c r="HL86" s="59" t="n">
        <f aca="false">HL30*HL85</f>
        <v>450000</v>
      </c>
      <c r="HM86" s="59" t="n">
        <f aca="false">HM30*HM85</f>
        <v>454500</v>
      </c>
      <c r="HN86" s="59" t="n">
        <f aca="false">HN30*HN85</f>
        <v>454500</v>
      </c>
      <c r="HO86" s="59" t="n">
        <f aca="false">HO30*HO85</f>
        <v>454500</v>
      </c>
      <c r="HP86" s="59" t="n">
        <f aca="false">HP30*HP85</f>
        <v>454545.454545455</v>
      </c>
      <c r="HQ86" s="59" t="n">
        <f aca="false">HQ30*HQ85</f>
        <v>450000</v>
      </c>
      <c r="HR86" s="59" t="n">
        <f aca="false">HR30*HR85</f>
        <v>450000</v>
      </c>
      <c r="HS86" s="59" t="n">
        <f aca="false">HS30*HS85</f>
        <v>450000</v>
      </c>
      <c r="HT86" s="59" t="n">
        <f aca="false">HT30*HT85</f>
        <v>450000</v>
      </c>
      <c r="HU86" s="59" t="n">
        <f aca="false">HU30*HU85</f>
        <v>450000</v>
      </c>
      <c r="HV86" s="59" t="n">
        <f aca="false">HV30*HV85</f>
        <v>450000</v>
      </c>
      <c r="HW86" s="59" t="n">
        <f aca="false">HW30*HW85</f>
        <v>450000</v>
      </c>
      <c r="HX86" s="59" t="n">
        <f aca="false">HX30*HX85</f>
        <v>450000</v>
      </c>
      <c r="HY86" s="59" t="n">
        <f aca="false">HY30*HY85</f>
        <v>450000</v>
      </c>
      <c r="HZ86" s="59" t="n">
        <f aca="false">HZ30*HZ85</f>
        <v>454500</v>
      </c>
      <c r="IA86" s="59" t="n">
        <f aca="false">IA30*IA85</f>
        <v>454500</v>
      </c>
      <c r="IB86" s="59" t="n">
        <f aca="false">IB30*IB85</f>
        <v>450000</v>
      </c>
      <c r="IC86" s="59" t="n">
        <f aca="false">IC30*IC85</f>
        <v>450000</v>
      </c>
      <c r="ID86" s="59" t="n">
        <f aca="false">ID30*ID85</f>
        <v>445500</v>
      </c>
      <c r="IE86" s="59" t="n">
        <f aca="false">IE30*IE85</f>
        <v>450000</v>
      </c>
      <c r="IF86" s="59" t="n">
        <f aca="false">IF30*IF85</f>
        <v>450000</v>
      </c>
      <c r="IG86" s="59" t="n">
        <f aca="false">IG30*IG85</f>
        <v>450000</v>
      </c>
      <c r="IH86" s="59" t="n">
        <f aca="false">IH30*IH85</f>
        <v>450000</v>
      </c>
      <c r="II86" s="59" t="n">
        <f aca="false">II30*II85</f>
        <v>450000</v>
      </c>
      <c r="IJ86" s="59" t="n">
        <f aca="false">IJ30*IJ85</f>
        <v>450000</v>
      </c>
      <c r="IK86" s="59" t="n">
        <f aca="false">IK30*IK85</f>
        <v>450000</v>
      </c>
      <c r="IL86" s="59" t="n">
        <f aca="false">IL30*IL85</f>
        <v>450000</v>
      </c>
      <c r="IM86" s="59" t="n">
        <f aca="false">IM30*IM85</f>
        <v>450000</v>
      </c>
      <c r="IN86" s="59" t="n">
        <f aca="false">IN30*IN85</f>
        <v>450000</v>
      </c>
      <c r="IO86" s="59" t="n">
        <f aca="false">IO30*IO85</f>
        <v>450000</v>
      </c>
      <c r="IP86" s="59" t="n">
        <f aca="false">IP30*IP85</f>
        <v>450000</v>
      </c>
      <c r="IQ86" s="59" t="n">
        <f aca="false">IQ30*IQ85</f>
        <v>450000</v>
      </c>
      <c r="IR86" s="59" t="n">
        <f aca="false">IR30*IR85</f>
        <v>450000</v>
      </c>
      <c r="IS86" s="59" t="n">
        <f aca="false">IS30*IS85</f>
        <v>450000</v>
      </c>
      <c r="IT86" s="59" t="n">
        <f aca="false">IT30*IT85</f>
        <v>450000</v>
      </c>
      <c r="IU86" s="59" t="n">
        <f aca="false">IU30*IU85</f>
        <v>450000</v>
      </c>
      <c r="IV86" s="59" t="n">
        <f aca="false">IV30*IV85</f>
        <v>450000</v>
      </c>
      <c r="IW86" s="59" t="n">
        <f aca="false">IW30*IW85</f>
        <v>450000</v>
      </c>
      <c r="IX86" s="59" t="n">
        <f aca="false">IX30*IX85</f>
        <v>450000</v>
      </c>
      <c r="IY86" s="59" t="n">
        <f aca="false">IY30*IY85</f>
        <v>450000</v>
      </c>
      <c r="IZ86" s="59" t="n">
        <f aca="false">IZ30*IZ85</f>
        <v>450000</v>
      </c>
      <c r="JA86" s="59" t="n">
        <f aca="false">JA30*JA85</f>
        <v>450000</v>
      </c>
    </row>
    <row r="87" customFormat="false" ht="15" hidden="false" customHeight="false" outlineLevel="0" collapsed="false">
      <c r="A87" s="13" t="s">
        <v>297</v>
      </c>
      <c r="B87" s="13" t="s">
        <v>298</v>
      </c>
      <c r="C87" s="13" t="s">
        <v>179</v>
      </c>
      <c r="D87" s="9" t="s">
        <v>36</v>
      </c>
      <c r="E87" s="14" t="n">
        <f aca="false">INDEX(Вводные!$D$13:$F$64,MATCH($A87,Вводные!$A$13:$A$64,0),MATCH(E$3,Вводные!$D$11:$F$11,0))*(1+IF(E$4=$A87,Вводные!$D$5*INDEX(Вводные!$G$13:$G$64,MATCH($A87,Вводные!$A$13:$A$64,0)),0))</f>
        <v>300000</v>
      </c>
      <c r="F87" s="14" t="n">
        <f aca="false">INDEX(Вводные!$D$13:$F$64,MATCH($A87,Вводные!$A$13:$A$64,0),MATCH(F$3,Вводные!$D$11:$F$11,0))*(1+IF(F$4=$A87,Вводные!$D$5*INDEX(Вводные!$G$13:$G$64,MATCH($A87,Вводные!$A$13:$A$64,0)),0))</f>
        <v>100000</v>
      </c>
      <c r="G87" s="14" t="n">
        <f aca="false">INDEX(Вводные!$D$13:$F$64,MATCH($A87,Вводные!$A$13:$A$64,0),MATCH(G$3,Вводные!$D$11:$F$11,0))*(1+IF(G$4=$A87,Вводные!$D$5*INDEX(Вводные!$G$13:$G$64,MATCH($A87,Вводные!$A$13:$A$64,0)),0))</f>
        <v>200000</v>
      </c>
      <c r="H87" s="59" t="n">
        <f aca="false">SUM(E87:G87)</f>
        <v>600000</v>
      </c>
      <c r="J87" s="14" t="n">
        <f aca="false">INDEX(Вводные!$D$13:$F$64,MATCH($A87,Вводные!$A$13:$A$64,0),MATCH(J$3,Вводные!$D$11:$F$11,0))*(1+IF(J$4=$A87,Вводные!$D$5*INDEX(Вводные!$G$13:$G$64,MATCH($A87,Вводные!$A$13:$A$64,0)),0))</f>
        <v>300000</v>
      </c>
      <c r="K87" s="14" t="n">
        <f aca="false">INDEX(Вводные!$D$13:$F$64,MATCH($A87,Вводные!$A$13:$A$64,0),MATCH(K$3,Вводные!$D$11:$F$11,0))*(1+IF(K$4=$A87,Вводные!$D$5*INDEX(Вводные!$G$13:$G$64,MATCH($A87,Вводные!$A$13:$A$64,0)),0))</f>
        <v>300000</v>
      </c>
      <c r="L87" s="14" t="n">
        <f aca="false">INDEX(Вводные!$D$13:$F$64,MATCH($A87,Вводные!$A$13:$A$64,0),MATCH(L$3,Вводные!$D$11:$F$11,0))*(1+IF(L$4=$A87,Вводные!$D$5*INDEX(Вводные!$G$13:$G$64,MATCH($A87,Вводные!$A$13:$A$64,0)),0))</f>
        <v>300000</v>
      </c>
      <c r="M87" s="14" t="n">
        <f aca="false">INDEX(Вводные!$D$13:$F$64,MATCH($A87,Вводные!$A$13:$A$64,0),MATCH(M$3,Вводные!$D$11:$F$11,0))*(1+IF(M$4=$A87,Вводные!$D$5*INDEX(Вводные!$G$13:$G$64,MATCH($A87,Вводные!$A$13:$A$64,0)),0))</f>
        <v>300000</v>
      </c>
      <c r="N87" s="14" t="n">
        <f aca="false">INDEX(Вводные!$D$13:$F$64,MATCH($A87,Вводные!$A$13:$A$64,0),MATCH(N$3,Вводные!$D$11:$F$11,0))*(1+IF(N$4=$A87,Вводные!$D$5*INDEX(Вводные!$G$13:$G$64,MATCH($A87,Вводные!$A$13:$A$64,0)),0))</f>
        <v>300000</v>
      </c>
      <c r="O87" s="14" t="n">
        <f aca="false">INDEX(Вводные!$D$13:$F$64,MATCH($A87,Вводные!$A$13:$A$64,0),MATCH(O$3,Вводные!$D$11:$F$11,0))*(1+IF(O$4=$A87,Вводные!$D$5*INDEX(Вводные!$G$13:$G$64,MATCH($A87,Вводные!$A$13:$A$64,0)),0))</f>
        <v>300000</v>
      </c>
      <c r="P87" s="14" t="n">
        <f aca="false">INDEX(Вводные!$D$13:$F$64,MATCH($A87,Вводные!$A$13:$A$64,0),MATCH(P$3,Вводные!$D$11:$F$11,0))*(1+IF(P$4=$A87,Вводные!$D$5*INDEX(Вводные!$G$13:$G$64,MATCH($A87,Вводные!$A$13:$A$64,0)),0))</f>
        <v>300000</v>
      </c>
      <c r="Q87" s="14" t="n">
        <f aca="false">INDEX(Вводные!$D$13:$F$64,MATCH($A87,Вводные!$A$13:$A$64,0),MATCH(Q$3,Вводные!$D$11:$F$11,0))*(1+IF(Q$4=$A87,Вводные!$D$5*INDEX(Вводные!$G$13:$G$64,MATCH($A87,Вводные!$A$13:$A$64,0)),0))</f>
        <v>300000</v>
      </c>
      <c r="R87" s="14" t="n">
        <f aca="false">INDEX(Вводные!$D$13:$F$64,MATCH($A87,Вводные!$A$13:$A$64,0),MATCH(R$3,Вводные!$D$11:$F$11,0))*(1+IF(R$4=$A87,Вводные!$D$5*INDEX(Вводные!$G$13:$G$64,MATCH($A87,Вводные!$A$13:$A$64,0)),0))</f>
        <v>300000</v>
      </c>
      <c r="S87" s="14" t="n">
        <f aca="false">INDEX(Вводные!$D$13:$F$64,MATCH($A87,Вводные!$A$13:$A$64,0),MATCH(S$3,Вводные!$D$11:$F$11,0))*(1+IF(S$4=$A87,Вводные!$D$5*INDEX(Вводные!$G$13:$G$64,MATCH($A87,Вводные!$A$13:$A$64,0)),0))</f>
        <v>300000</v>
      </c>
      <c r="T87" s="14" t="n">
        <f aca="false">INDEX(Вводные!$D$13:$F$64,MATCH($A87,Вводные!$A$13:$A$64,0),MATCH(T$3,Вводные!$D$11:$F$11,0))*(1+IF(T$4=$A87,Вводные!$D$5*INDEX(Вводные!$G$13:$G$64,MATCH($A87,Вводные!$A$13:$A$64,0)),0))</f>
        <v>300000</v>
      </c>
      <c r="U87" s="14" t="n">
        <f aca="false">INDEX(Вводные!$D$13:$F$64,MATCH($A87,Вводные!$A$13:$A$64,0),MATCH(U$3,Вводные!$D$11:$F$11,0))*(1+IF(U$4=$A87,Вводные!$D$5*INDEX(Вводные!$G$13:$G$64,MATCH($A87,Вводные!$A$13:$A$64,0)),0))</f>
        <v>300000</v>
      </c>
      <c r="V87" s="14" t="n">
        <f aca="false">INDEX(Вводные!$D$13:$F$64,MATCH($A87,Вводные!$A$13:$A$64,0),MATCH(V$3,Вводные!$D$11:$F$11,0))*(1+IF(V$4=$A87,Вводные!$D$5*INDEX(Вводные!$G$13:$G$64,MATCH($A87,Вводные!$A$13:$A$64,0)),0))</f>
        <v>300000</v>
      </c>
      <c r="W87" s="14" t="n">
        <f aca="false">INDEX(Вводные!$D$13:$F$64,MATCH($A87,Вводные!$A$13:$A$64,0),MATCH(W$3,Вводные!$D$11:$F$11,0))*(1+IF(W$4=$A87,Вводные!$D$5*INDEX(Вводные!$G$13:$G$64,MATCH($A87,Вводные!$A$13:$A$64,0)),0))</f>
        <v>300000</v>
      </c>
      <c r="X87" s="14" t="n">
        <f aca="false">INDEX(Вводные!$D$13:$F$64,MATCH($A87,Вводные!$A$13:$A$64,0),MATCH(X$3,Вводные!$D$11:$F$11,0))*(1+IF(X$4=$A87,Вводные!$D$5*INDEX(Вводные!$G$13:$G$64,MATCH($A87,Вводные!$A$13:$A$64,0)),0))</f>
        <v>300000</v>
      </c>
      <c r="Y87" s="14" t="n">
        <f aca="false">INDEX(Вводные!$D$13:$F$64,MATCH($A87,Вводные!$A$13:$A$64,0),MATCH(Y$3,Вводные!$D$11:$F$11,0))*(1+IF(Y$4=$A87,Вводные!$D$5*INDEX(Вводные!$G$13:$G$64,MATCH($A87,Вводные!$A$13:$A$64,0)),0))</f>
        <v>300000</v>
      </c>
      <c r="Z87" s="14" t="n">
        <f aca="false">INDEX(Вводные!$D$13:$F$64,MATCH($A87,Вводные!$A$13:$A$64,0),MATCH(Z$3,Вводные!$D$11:$F$11,0))*(1+IF(Z$4=$A87,Вводные!$D$5*INDEX(Вводные!$G$13:$G$64,MATCH($A87,Вводные!$A$13:$A$64,0)),0))</f>
        <v>300000</v>
      </c>
      <c r="AA87" s="14" t="n">
        <f aca="false">INDEX(Вводные!$D$13:$F$64,MATCH($A87,Вводные!$A$13:$A$64,0),MATCH(AA$3,Вводные!$D$11:$F$11,0))*(1+IF(AA$4=$A87,Вводные!$D$5*INDEX(Вводные!$G$13:$G$64,MATCH($A87,Вводные!$A$13:$A$64,0)),0))</f>
        <v>300000</v>
      </c>
      <c r="AB87" s="14" t="n">
        <f aca="false">INDEX(Вводные!$D$13:$F$64,MATCH($A87,Вводные!$A$13:$A$64,0),MATCH(AB$3,Вводные!$D$11:$F$11,0))*(1+IF(AB$4=$A87,Вводные!$D$5*INDEX(Вводные!$G$13:$G$64,MATCH($A87,Вводные!$A$13:$A$64,0)),0))</f>
        <v>300000</v>
      </c>
      <c r="AC87" s="14" t="n">
        <f aca="false">INDEX(Вводные!$D$13:$F$64,MATCH($A87,Вводные!$A$13:$A$64,0),MATCH(AC$3,Вводные!$D$11:$F$11,0))*(1+IF(AC$4=$A87,Вводные!$D$5*INDEX(Вводные!$G$13:$G$64,MATCH($A87,Вводные!$A$13:$A$64,0)),0))</f>
        <v>300000</v>
      </c>
      <c r="AD87" s="14" t="n">
        <f aca="false">INDEX(Вводные!$D$13:$F$64,MATCH($A87,Вводные!$A$13:$A$64,0),MATCH(AD$3,Вводные!$D$11:$F$11,0))*(1+IF(AD$4=$A87,Вводные!$D$5*INDEX(Вводные!$G$13:$G$64,MATCH($A87,Вводные!$A$13:$A$64,0)),0))</f>
        <v>300000</v>
      </c>
      <c r="AE87" s="14" t="n">
        <f aca="false">INDEX(Вводные!$D$13:$F$64,MATCH($A87,Вводные!$A$13:$A$64,0),MATCH(AE$3,Вводные!$D$11:$F$11,0))*(1+IF(AE$4=$A87,Вводные!$D$5*INDEX(Вводные!$G$13:$G$64,MATCH($A87,Вводные!$A$13:$A$64,0)),0))</f>
        <v>300000</v>
      </c>
      <c r="AF87" s="14" t="n">
        <f aca="false">INDEX(Вводные!$D$13:$F$64,MATCH($A87,Вводные!$A$13:$A$64,0),MATCH(AF$3,Вводные!$D$11:$F$11,0))*(1+IF(AF$4=$A87,Вводные!$D$5*INDEX(Вводные!$G$13:$G$64,MATCH($A87,Вводные!$A$13:$A$64,0)),0))</f>
        <v>300000</v>
      </c>
      <c r="AG87" s="14" t="n">
        <f aca="false">INDEX(Вводные!$D$13:$F$64,MATCH($A87,Вводные!$A$13:$A$64,0),MATCH(AG$3,Вводные!$D$11:$F$11,0))*(1+IF(AG$4=$A87,Вводные!$D$5*INDEX(Вводные!$G$13:$G$64,MATCH($A87,Вводные!$A$13:$A$64,0)),0))</f>
        <v>300000</v>
      </c>
      <c r="AH87" s="14" t="n">
        <f aca="false">INDEX(Вводные!$D$13:$F$64,MATCH($A87,Вводные!$A$13:$A$64,0),MATCH(AH$3,Вводные!$D$11:$F$11,0))*(1+IF(AH$4=$A87,Вводные!$D$5*INDEX(Вводные!$G$13:$G$64,MATCH($A87,Вводные!$A$13:$A$64,0)),0))</f>
        <v>300000</v>
      </c>
      <c r="AI87" s="14" t="n">
        <f aca="false">INDEX(Вводные!$D$13:$F$64,MATCH($A87,Вводные!$A$13:$A$64,0),MATCH(AI$3,Вводные!$D$11:$F$11,0))*(1+IF(AI$4=$A87,Вводные!$D$5*INDEX(Вводные!$G$13:$G$64,MATCH($A87,Вводные!$A$13:$A$64,0)),0))</f>
        <v>300000</v>
      </c>
      <c r="AJ87" s="14" t="n">
        <f aca="false">INDEX(Вводные!$D$13:$F$64,MATCH($A87,Вводные!$A$13:$A$64,0),MATCH(AJ$3,Вводные!$D$11:$F$11,0))*(1+IF(AJ$4=$A87,Вводные!$D$5*INDEX(Вводные!$G$13:$G$64,MATCH($A87,Вводные!$A$13:$A$64,0)),0))</f>
        <v>300000</v>
      </c>
      <c r="AK87" s="14" t="n">
        <f aca="false">INDEX(Вводные!$D$13:$F$64,MATCH($A87,Вводные!$A$13:$A$64,0),MATCH(AK$3,Вводные!$D$11:$F$11,0))*(1+IF(AK$4=$A87,Вводные!$D$5*INDEX(Вводные!$G$13:$G$64,MATCH($A87,Вводные!$A$13:$A$64,0)),0))</f>
        <v>300000</v>
      </c>
      <c r="AL87" s="14" t="n">
        <f aca="false">INDEX(Вводные!$D$13:$F$64,MATCH($A87,Вводные!$A$13:$A$64,0),MATCH(AL$3,Вводные!$D$11:$F$11,0))*(1+IF(AL$4=$A87,Вводные!$D$5*INDEX(Вводные!$G$13:$G$64,MATCH($A87,Вводные!$A$13:$A$64,0)),0))</f>
        <v>300000</v>
      </c>
      <c r="AM87" s="14" t="n">
        <f aca="false">INDEX(Вводные!$D$13:$F$64,MATCH($A87,Вводные!$A$13:$A$64,0),MATCH(AM$3,Вводные!$D$11:$F$11,0))*(1+IF(AM$4=$A87,Вводные!$D$5*INDEX(Вводные!$G$13:$G$64,MATCH($A87,Вводные!$A$13:$A$64,0)),0))</f>
        <v>300000</v>
      </c>
      <c r="AN87" s="14" t="n">
        <f aca="false">INDEX(Вводные!$D$13:$F$64,MATCH($A87,Вводные!$A$13:$A$64,0),MATCH(AN$3,Вводные!$D$11:$F$11,0))*(1+IF(AN$4=$A87,Вводные!$D$5*INDEX(Вводные!$G$13:$G$64,MATCH($A87,Вводные!$A$13:$A$64,0)),0))</f>
        <v>300000</v>
      </c>
      <c r="AO87" s="14" t="n">
        <f aca="false">INDEX(Вводные!$D$13:$F$64,MATCH($A87,Вводные!$A$13:$A$64,0),MATCH(AO$3,Вводные!$D$11:$F$11,0))*(1+IF(AO$4=$A87,Вводные!$D$5*INDEX(Вводные!$G$13:$G$64,MATCH($A87,Вводные!$A$13:$A$64,0)),0))</f>
        <v>300000</v>
      </c>
      <c r="AP87" s="14" t="n">
        <f aca="false">INDEX(Вводные!$D$13:$F$64,MATCH($A87,Вводные!$A$13:$A$64,0),MATCH(AP$3,Вводные!$D$11:$F$11,0))*(1+IF(AP$4=$A87,Вводные!$D$5*INDEX(Вводные!$G$13:$G$64,MATCH($A87,Вводные!$A$13:$A$64,0)),0))</f>
        <v>300000</v>
      </c>
      <c r="AQ87" s="14" t="n">
        <f aca="false">INDEX(Вводные!$D$13:$F$64,MATCH($A87,Вводные!$A$13:$A$64,0),MATCH(AQ$3,Вводные!$D$11:$F$11,0))*(1+IF(AQ$4=$A87,Вводные!$D$5*INDEX(Вводные!$G$13:$G$64,MATCH($A87,Вводные!$A$13:$A$64,0)),0))</f>
        <v>300000</v>
      </c>
      <c r="AR87" s="14" t="n">
        <f aca="false">INDEX(Вводные!$D$13:$F$64,MATCH($A87,Вводные!$A$13:$A$64,0),MATCH(AR$3,Вводные!$D$11:$F$11,0))*(1+IF(AR$4=$A87,Вводные!$D$5*INDEX(Вводные!$G$13:$G$64,MATCH($A87,Вводные!$A$13:$A$64,0)),0))</f>
        <v>300000</v>
      </c>
      <c r="AS87" s="14" t="n">
        <f aca="false">INDEX(Вводные!$D$13:$F$64,MATCH($A87,Вводные!$A$13:$A$64,0),MATCH(AS$3,Вводные!$D$11:$F$11,0))*(1+IF(AS$4=$A87,Вводные!$D$5*INDEX(Вводные!$G$13:$G$64,MATCH($A87,Вводные!$A$13:$A$64,0)),0))</f>
        <v>300000</v>
      </c>
      <c r="AT87" s="14" t="n">
        <f aca="false">INDEX(Вводные!$D$13:$F$64,MATCH($A87,Вводные!$A$13:$A$64,0),MATCH(AT$3,Вводные!$D$11:$F$11,0))*(1+IF(AT$4=$A87,Вводные!$D$5*INDEX(Вводные!$G$13:$G$64,MATCH($A87,Вводные!$A$13:$A$64,0)),0))</f>
        <v>300000</v>
      </c>
      <c r="AU87" s="14" t="n">
        <f aca="false">INDEX(Вводные!$D$13:$F$64,MATCH($A87,Вводные!$A$13:$A$64,0),MATCH(AU$3,Вводные!$D$11:$F$11,0))*(1+IF(AU$4=$A87,Вводные!$D$5*INDEX(Вводные!$G$13:$G$64,MATCH($A87,Вводные!$A$13:$A$64,0)),0))</f>
        <v>300000</v>
      </c>
      <c r="AV87" s="14" t="n">
        <f aca="false">INDEX(Вводные!$D$13:$F$64,MATCH($A87,Вводные!$A$13:$A$64,0),MATCH(AV$3,Вводные!$D$11:$F$11,0))*(1+IF(AV$4=$A87,Вводные!$D$5*INDEX(Вводные!$G$13:$G$64,MATCH($A87,Вводные!$A$13:$A$64,0)),0))</f>
        <v>300000</v>
      </c>
      <c r="AW87" s="14" t="n">
        <f aca="false">INDEX(Вводные!$D$13:$F$64,MATCH($A87,Вводные!$A$13:$A$64,0),MATCH(AW$3,Вводные!$D$11:$F$11,0))*(1+IF(AW$4=$A87,Вводные!$D$5*INDEX(Вводные!$G$13:$G$64,MATCH($A87,Вводные!$A$13:$A$64,0)),0))</f>
        <v>300000</v>
      </c>
      <c r="AX87" s="14" t="n">
        <f aca="false">INDEX(Вводные!$D$13:$F$64,MATCH($A87,Вводные!$A$13:$A$64,0),MATCH(AX$3,Вводные!$D$11:$F$11,0))*(1+IF(AX$4=$A87,Вводные!$D$5*INDEX(Вводные!$G$13:$G$64,MATCH($A87,Вводные!$A$13:$A$64,0)),0))</f>
        <v>300000</v>
      </c>
      <c r="AY87" s="14" t="n">
        <f aca="false">INDEX(Вводные!$D$13:$F$64,MATCH($A87,Вводные!$A$13:$A$64,0),MATCH(AY$3,Вводные!$D$11:$F$11,0))*(1+IF(AY$4=$A87,Вводные!$D$5*INDEX(Вводные!$G$13:$G$64,MATCH($A87,Вводные!$A$13:$A$64,0)),0))</f>
        <v>297000</v>
      </c>
      <c r="AZ87" s="14" t="n">
        <f aca="false">INDEX(Вводные!$D$13:$F$64,MATCH($A87,Вводные!$A$13:$A$64,0),MATCH(AZ$3,Вводные!$D$11:$F$11,0))*(1+IF(AZ$4=$A87,Вводные!$D$5*INDEX(Вводные!$G$13:$G$64,MATCH($A87,Вводные!$A$13:$A$64,0)),0))</f>
        <v>100000</v>
      </c>
      <c r="BA87" s="14" t="n">
        <f aca="false">INDEX(Вводные!$D$13:$F$64,MATCH($A87,Вводные!$A$13:$A$64,0),MATCH(BA$3,Вводные!$D$11:$F$11,0))*(1+IF(BA$4=$A87,Вводные!$D$5*INDEX(Вводные!$G$13:$G$64,MATCH($A87,Вводные!$A$13:$A$64,0)),0))</f>
        <v>100000</v>
      </c>
      <c r="BB87" s="14" t="n">
        <f aca="false">INDEX(Вводные!$D$13:$F$64,MATCH($A87,Вводные!$A$13:$A$64,0),MATCH(BB$3,Вводные!$D$11:$F$11,0))*(1+IF(BB$4=$A87,Вводные!$D$5*INDEX(Вводные!$G$13:$G$64,MATCH($A87,Вводные!$A$13:$A$64,0)),0))</f>
        <v>100000</v>
      </c>
      <c r="BC87" s="14" t="n">
        <f aca="false">INDEX(Вводные!$D$13:$F$64,MATCH($A87,Вводные!$A$13:$A$64,0),MATCH(BC$3,Вводные!$D$11:$F$11,0))*(1+IF(BC$4=$A87,Вводные!$D$5*INDEX(Вводные!$G$13:$G$64,MATCH($A87,Вводные!$A$13:$A$64,0)),0))</f>
        <v>100000</v>
      </c>
      <c r="BD87" s="14" t="n">
        <f aca="false">INDEX(Вводные!$D$13:$F$64,MATCH($A87,Вводные!$A$13:$A$64,0),MATCH(BD$3,Вводные!$D$11:$F$11,0))*(1+IF(BD$4=$A87,Вводные!$D$5*INDEX(Вводные!$G$13:$G$64,MATCH($A87,Вводные!$A$13:$A$64,0)),0))</f>
        <v>100000</v>
      </c>
      <c r="BE87" s="14" t="n">
        <f aca="false">INDEX(Вводные!$D$13:$F$64,MATCH($A87,Вводные!$A$13:$A$64,0),MATCH(BE$3,Вводные!$D$11:$F$11,0))*(1+IF(BE$4=$A87,Вводные!$D$5*INDEX(Вводные!$G$13:$G$64,MATCH($A87,Вводные!$A$13:$A$64,0)),0))</f>
        <v>100000</v>
      </c>
      <c r="BF87" s="14" t="n">
        <f aca="false">INDEX(Вводные!$D$13:$F$64,MATCH($A87,Вводные!$A$13:$A$64,0),MATCH(BF$3,Вводные!$D$11:$F$11,0))*(1+IF(BF$4=$A87,Вводные!$D$5*INDEX(Вводные!$G$13:$G$64,MATCH($A87,Вводные!$A$13:$A$64,0)),0))</f>
        <v>100000</v>
      </c>
      <c r="BG87" s="14" t="n">
        <f aca="false">INDEX(Вводные!$D$13:$F$64,MATCH($A87,Вводные!$A$13:$A$64,0),MATCH(BG$3,Вводные!$D$11:$F$11,0))*(1+IF(BG$4=$A87,Вводные!$D$5*INDEX(Вводные!$G$13:$G$64,MATCH($A87,Вводные!$A$13:$A$64,0)),0))</f>
        <v>100000</v>
      </c>
      <c r="BH87" s="14" t="n">
        <f aca="false">INDEX(Вводные!$D$13:$F$64,MATCH($A87,Вводные!$A$13:$A$64,0),MATCH(BH$3,Вводные!$D$11:$F$11,0))*(1+IF(BH$4=$A87,Вводные!$D$5*INDEX(Вводные!$G$13:$G$64,MATCH($A87,Вводные!$A$13:$A$64,0)),0))</f>
        <v>100000</v>
      </c>
      <c r="BI87" s="14" t="n">
        <f aca="false">INDEX(Вводные!$D$13:$F$64,MATCH($A87,Вводные!$A$13:$A$64,0),MATCH(BI$3,Вводные!$D$11:$F$11,0))*(1+IF(BI$4=$A87,Вводные!$D$5*INDEX(Вводные!$G$13:$G$64,MATCH($A87,Вводные!$A$13:$A$64,0)),0))</f>
        <v>100000</v>
      </c>
      <c r="BJ87" s="14" t="n">
        <f aca="false">INDEX(Вводные!$D$13:$F$64,MATCH($A87,Вводные!$A$13:$A$64,0),MATCH(BJ$3,Вводные!$D$11:$F$11,0))*(1+IF(BJ$4=$A87,Вводные!$D$5*INDEX(Вводные!$G$13:$G$64,MATCH($A87,Вводные!$A$13:$A$64,0)),0))</f>
        <v>100000</v>
      </c>
      <c r="BK87" s="14" t="n">
        <f aca="false">INDEX(Вводные!$D$13:$F$64,MATCH($A87,Вводные!$A$13:$A$64,0),MATCH(BK$3,Вводные!$D$11:$F$11,0))*(1+IF(BK$4=$A87,Вводные!$D$5*INDEX(Вводные!$G$13:$G$64,MATCH($A87,Вводные!$A$13:$A$64,0)),0))</f>
        <v>100000</v>
      </c>
      <c r="BL87" s="14" t="n">
        <f aca="false">INDEX(Вводные!$D$13:$F$64,MATCH($A87,Вводные!$A$13:$A$64,0),MATCH(BL$3,Вводные!$D$11:$F$11,0))*(1+IF(BL$4=$A87,Вводные!$D$5*INDEX(Вводные!$G$13:$G$64,MATCH($A87,Вводные!$A$13:$A$64,0)),0))</f>
        <v>100000</v>
      </c>
      <c r="BM87" s="14" t="n">
        <f aca="false">INDEX(Вводные!$D$13:$F$64,MATCH($A87,Вводные!$A$13:$A$64,0),MATCH(BM$3,Вводные!$D$11:$F$11,0))*(1+IF(BM$4=$A87,Вводные!$D$5*INDEX(Вводные!$G$13:$G$64,MATCH($A87,Вводные!$A$13:$A$64,0)),0))</f>
        <v>100000</v>
      </c>
      <c r="BN87" s="14" t="n">
        <f aca="false">INDEX(Вводные!$D$13:$F$64,MATCH($A87,Вводные!$A$13:$A$64,0),MATCH(BN$3,Вводные!$D$11:$F$11,0))*(1+IF(BN$4=$A87,Вводные!$D$5*INDEX(Вводные!$G$13:$G$64,MATCH($A87,Вводные!$A$13:$A$64,0)),0))</f>
        <v>100000</v>
      </c>
      <c r="BO87" s="14" t="n">
        <f aca="false">INDEX(Вводные!$D$13:$F$64,MATCH($A87,Вводные!$A$13:$A$64,0),MATCH(BO$3,Вводные!$D$11:$F$11,0))*(1+IF(BO$4=$A87,Вводные!$D$5*INDEX(Вводные!$G$13:$G$64,MATCH($A87,Вводные!$A$13:$A$64,0)),0))</f>
        <v>100000</v>
      </c>
      <c r="BP87" s="14" t="n">
        <f aca="false">INDEX(Вводные!$D$13:$F$64,MATCH($A87,Вводные!$A$13:$A$64,0),MATCH(BP$3,Вводные!$D$11:$F$11,0))*(1+IF(BP$4=$A87,Вводные!$D$5*INDEX(Вводные!$G$13:$G$64,MATCH($A87,Вводные!$A$13:$A$64,0)),0))</f>
        <v>100000</v>
      </c>
      <c r="BQ87" s="14" t="n">
        <f aca="false">INDEX(Вводные!$D$13:$F$64,MATCH($A87,Вводные!$A$13:$A$64,0),MATCH(BQ$3,Вводные!$D$11:$F$11,0))*(1+IF(BQ$4=$A87,Вводные!$D$5*INDEX(Вводные!$G$13:$G$64,MATCH($A87,Вводные!$A$13:$A$64,0)),0))</f>
        <v>100000</v>
      </c>
      <c r="BR87" s="14" t="n">
        <f aca="false">INDEX(Вводные!$D$13:$F$64,MATCH($A87,Вводные!$A$13:$A$64,0),MATCH(BR$3,Вводные!$D$11:$F$11,0))*(1+IF(BR$4=$A87,Вводные!$D$5*INDEX(Вводные!$G$13:$G$64,MATCH($A87,Вводные!$A$13:$A$64,0)),0))</f>
        <v>100000</v>
      </c>
      <c r="BS87" s="14" t="n">
        <f aca="false">INDEX(Вводные!$D$13:$F$64,MATCH($A87,Вводные!$A$13:$A$64,0),MATCH(BS$3,Вводные!$D$11:$F$11,0))*(1+IF(BS$4=$A87,Вводные!$D$5*INDEX(Вводные!$G$13:$G$64,MATCH($A87,Вводные!$A$13:$A$64,0)),0))</f>
        <v>100000</v>
      </c>
      <c r="BT87" s="14" t="n">
        <f aca="false">INDEX(Вводные!$D$13:$F$64,MATCH($A87,Вводные!$A$13:$A$64,0),MATCH(BT$3,Вводные!$D$11:$F$11,0))*(1+IF(BT$4=$A87,Вводные!$D$5*INDEX(Вводные!$G$13:$G$64,MATCH($A87,Вводные!$A$13:$A$64,0)),0))</f>
        <v>100000</v>
      </c>
      <c r="BU87" s="14" t="n">
        <f aca="false">INDEX(Вводные!$D$13:$F$64,MATCH($A87,Вводные!$A$13:$A$64,0),MATCH(BU$3,Вводные!$D$11:$F$11,0))*(1+IF(BU$4=$A87,Вводные!$D$5*INDEX(Вводные!$G$13:$G$64,MATCH($A87,Вводные!$A$13:$A$64,0)),0))</f>
        <v>100000</v>
      </c>
      <c r="BV87" s="14" t="n">
        <f aca="false">INDEX(Вводные!$D$13:$F$64,MATCH($A87,Вводные!$A$13:$A$64,0),MATCH(BV$3,Вводные!$D$11:$F$11,0))*(1+IF(BV$4=$A87,Вводные!$D$5*INDEX(Вводные!$G$13:$G$64,MATCH($A87,Вводные!$A$13:$A$64,0)),0))</f>
        <v>100000</v>
      </c>
      <c r="BW87" s="14" t="n">
        <f aca="false">INDEX(Вводные!$D$13:$F$64,MATCH($A87,Вводные!$A$13:$A$64,0),MATCH(BW$3,Вводные!$D$11:$F$11,0))*(1+IF(BW$4=$A87,Вводные!$D$5*INDEX(Вводные!$G$13:$G$64,MATCH($A87,Вводные!$A$13:$A$64,0)),0))</f>
        <v>100000</v>
      </c>
      <c r="BX87" s="14" t="n">
        <f aca="false">INDEX(Вводные!$D$13:$F$64,MATCH($A87,Вводные!$A$13:$A$64,0),MATCH(BX$3,Вводные!$D$11:$F$11,0))*(1+IF(BX$4=$A87,Вводные!$D$5*INDEX(Вводные!$G$13:$G$64,MATCH($A87,Вводные!$A$13:$A$64,0)),0))</f>
        <v>100000</v>
      </c>
      <c r="BY87" s="14" t="n">
        <f aca="false">INDEX(Вводные!$D$13:$F$64,MATCH($A87,Вводные!$A$13:$A$64,0),MATCH(BY$3,Вводные!$D$11:$F$11,0))*(1+IF(BY$4=$A87,Вводные!$D$5*INDEX(Вводные!$G$13:$G$64,MATCH($A87,Вводные!$A$13:$A$64,0)),0))</f>
        <v>100000</v>
      </c>
      <c r="BZ87" s="14" t="n">
        <f aca="false">INDEX(Вводные!$D$13:$F$64,MATCH($A87,Вводные!$A$13:$A$64,0),MATCH(BZ$3,Вводные!$D$11:$F$11,0))*(1+IF(BZ$4=$A87,Вводные!$D$5*INDEX(Вводные!$G$13:$G$64,MATCH($A87,Вводные!$A$13:$A$64,0)),0))</f>
        <v>100000</v>
      </c>
      <c r="CA87" s="14" t="n">
        <f aca="false">INDEX(Вводные!$D$13:$F$64,MATCH($A87,Вводные!$A$13:$A$64,0),MATCH(CA$3,Вводные!$D$11:$F$11,0))*(1+IF(CA$4=$A87,Вводные!$D$5*INDEX(Вводные!$G$13:$G$64,MATCH($A87,Вводные!$A$13:$A$64,0)),0))</f>
        <v>100000</v>
      </c>
      <c r="CB87" s="14" t="n">
        <f aca="false">INDEX(Вводные!$D$13:$F$64,MATCH($A87,Вводные!$A$13:$A$64,0),MATCH(CB$3,Вводные!$D$11:$F$11,0))*(1+IF(CB$4=$A87,Вводные!$D$5*INDEX(Вводные!$G$13:$G$64,MATCH($A87,Вводные!$A$13:$A$64,0)),0))</f>
        <v>100000</v>
      </c>
      <c r="CC87" s="14" t="n">
        <f aca="false">INDEX(Вводные!$D$13:$F$64,MATCH($A87,Вводные!$A$13:$A$64,0),MATCH(CC$3,Вводные!$D$11:$F$11,0))*(1+IF(CC$4=$A87,Вводные!$D$5*INDEX(Вводные!$G$13:$G$64,MATCH($A87,Вводные!$A$13:$A$64,0)),0))</f>
        <v>100000</v>
      </c>
      <c r="CD87" s="14" t="n">
        <f aca="false">INDEX(Вводные!$D$13:$F$64,MATCH($A87,Вводные!$A$13:$A$64,0),MATCH(CD$3,Вводные!$D$11:$F$11,0))*(1+IF(CD$4=$A87,Вводные!$D$5*INDEX(Вводные!$G$13:$G$64,MATCH($A87,Вводные!$A$13:$A$64,0)),0))</f>
        <v>100000</v>
      </c>
      <c r="CE87" s="14" t="n">
        <f aca="false">INDEX(Вводные!$D$13:$F$64,MATCH($A87,Вводные!$A$13:$A$64,0),MATCH(CE$3,Вводные!$D$11:$F$11,0))*(1+IF(CE$4=$A87,Вводные!$D$5*INDEX(Вводные!$G$13:$G$64,MATCH($A87,Вводные!$A$13:$A$64,0)),0))</f>
        <v>100000</v>
      </c>
      <c r="CF87" s="14" t="n">
        <f aca="false">INDEX(Вводные!$D$13:$F$64,MATCH($A87,Вводные!$A$13:$A$64,0),MATCH(CF$3,Вводные!$D$11:$F$11,0))*(1+IF(CF$4=$A87,Вводные!$D$5*INDEX(Вводные!$G$13:$G$64,MATCH($A87,Вводные!$A$13:$A$64,0)),0))</f>
        <v>100000</v>
      </c>
      <c r="CG87" s="14" t="n">
        <f aca="false">INDEX(Вводные!$D$13:$F$64,MATCH($A87,Вводные!$A$13:$A$64,0),MATCH(CG$3,Вводные!$D$11:$F$11,0))*(1+IF(CG$4=$A87,Вводные!$D$5*INDEX(Вводные!$G$13:$G$64,MATCH($A87,Вводные!$A$13:$A$64,0)),0))</f>
        <v>100000</v>
      </c>
      <c r="CH87" s="14" t="n">
        <f aca="false">INDEX(Вводные!$D$13:$F$64,MATCH($A87,Вводные!$A$13:$A$64,0),MATCH(CH$3,Вводные!$D$11:$F$11,0))*(1+IF(CH$4=$A87,Вводные!$D$5*INDEX(Вводные!$G$13:$G$64,MATCH($A87,Вводные!$A$13:$A$64,0)),0))</f>
        <v>100000</v>
      </c>
      <c r="CI87" s="14" t="n">
        <f aca="false">INDEX(Вводные!$D$13:$F$64,MATCH($A87,Вводные!$A$13:$A$64,0),MATCH(CI$3,Вводные!$D$11:$F$11,0))*(1+IF(CI$4=$A87,Вводные!$D$5*INDEX(Вводные!$G$13:$G$64,MATCH($A87,Вводные!$A$13:$A$64,0)),0))</f>
        <v>100000</v>
      </c>
      <c r="CJ87" s="14" t="n">
        <f aca="false">INDEX(Вводные!$D$13:$F$64,MATCH($A87,Вводные!$A$13:$A$64,0),MATCH(CJ$3,Вводные!$D$11:$F$11,0))*(1+IF(CJ$4=$A87,Вводные!$D$5*INDEX(Вводные!$G$13:$G$64,MATCH($A87,Вводные!$A$13:$A$64,0)),0))</f>
        <v>100000</v>
      </c>
      <c r="CK87" s="14" t="n">
        <f aca="false">INDEX(Вводные!$D$13:$F$64,MATCH($A87,Вводные!$A$13:$A$64,0),MATCH(CK$3,Вводные!$D$11:$F$11,0))*(1+IF(CK$4=$A87,Вводные!$D$5*INDEX(Вводные!$G$13:$G$64,MATCH($A87,Вводные!$A$13:$A$64,0)),0))</f>
        <v>100000</v>
      </c>
      <c r="CL87" s="14" t="n">
        <f aca="false">INDEX(Вводные!$D$13:$F$64,MATCH($A87,Вводные!$A$13:$A$64,0),MATCH(CL$3,Вводные!$D$11:$F$11,0))*(1+IF(CL$4=$A87,Вводные!$D$5*INDEX(Вводные!$G$13:$G$64,MATCH($A87,Вводные!$A$13:$A$64,0)),0))</f>
        <v>100000</v>
      </c>
      <c r="CM87" s="14" t="n">
        <f aca="false">INDEX(Вводные!$D$13:$F$64,MATCH($A87,Вводные!$A$13:$A$64,0),MATCH(CM$3,Вводные!$D$11:$F$11,0))*(1+IF(CM$4=$A87,Вводные!$D$5*INDEX(Вводные!$G$13:$G$64,MATCH($A87,Вводные!$A$13:$A$64,0)),0))</f>
        <v>100000</v>
      </c>
      <c r="CN87" s="14" t="n">
        <f aca="false">INDEX(Вводные!$D$13:$F$64,MATCH($A87,Вводные!$A$13:$A$64,0),MATCH(CN$3,Вводные!$D$11:$F$11,0))*(1+IF(CN$4=$A87,Вводные!$D$5*INDEX(Вводные!$G$13:$G$64,MATCH($A87,Вводные!$A$13:$A$64,0)),0))</f>
        <v>100000</v>
      </c>
      <c r="CO87" s="14" t="n">
        <f aca="false">INDEX(Вводные!$D$13:$F$64,MATCH($A87,Вводные!$A$13:$A$64,0),MATCH(CO$3,Вводные!$D$11:$F$11,0))*(1+IF(CO$4=$A87,Вводные!$D$5*INDEX(Вводные!$G$13:$G$64,MATCH($A87,Вводные!$A$13:$A$64,0)),0))</f>
        <v>99000</v>
      </c>
      <c r="CP87" s="14" t="n">
        <f aca="false">INDEX(Вводные!$D$13:$F$64,MATCH($A87,Вводные!$A$13:$A$64,0),MATCH(CP$3,Вводные!$D$11:$F$11,0))*(1+IF(CP$4=$A87,Вводные!$D$5*INDEX(Вводные!$G$13:$G$64,MATCH($A87,Вводные!$A$13:$A$64,0)),0))</f>
        <v>200000</v>
      </c>
      <c r="CQ87" s="14" t="n">
        <f aca="false">INDEX(Вводные!$D$13:$F$64,MATCH($A87,Вводные!$A$13:$A$64,0),MATCH(CQ$3,Вводные!$D$11:$F$11,0))*(1+IF(CQ$4=$A87,Вводные!$D$5*INDEX(Вводные!$G$13:$G$64,MATCH($A87,Вводные!$A$13:$A$64,0)),0))</f>
        <v>200000</v>
      </c>
      <c r="CR87" s="14" t="n">
        <f aca="false">INDEX(Вводные!$D$13:$F$64,MATCH($A87,Вводные!$A$13:$A$64,0),MATCH(CR$3,Вводные!$D$11:$F$11,0))*(1+IF(CR$4=$A87,Вводные!$D$5*INDEX(Вводные!$G$13:$G$64,MATCH($A87,Вводные!$A$13:$A$64,0)),0))</f>
        <v>200000</v>
      </c>
      <c r="CS87" s="14" t="n">
        <f aca="false">INDEX(Вводные!$D$13:$F$64,MATCH($A87,Вводные!$A$13:$A$64,0),MATCH(CS$3,Вводные!$D$11:$F$11,0))*(1+IF(CS$4=$A87,Вводные!$D$5*INDEX(Вводные!$G$13:$G$64,MATCH($A87,Вводные!$A$13:$A$64,0)),0))</f>
        <v>200000</v>
      </c>
      <c r="CT87" s="14" t="n">
        <f aca="false">INDEX(Вводные!$D$13:$F$64,MATCH($A87,Вводные!$A$13:$A$64,0),MATCH(CT$3,Вводные!$D$11:$F$11,0))*(1+IF(CT$4=$A87,Вводные!$D$5*INDEX(Вводные!$G$13:$G$64,MATCH($A87,Вводные!$A$13:$A$64,0)),0))</f>
        <v>200000</v>
      </c>
      <c r="CU87" s="14" t="n">
        <f aca="false">INDEX(Вводные!$D$13:$F$64,MATCH($A87,Вводные!$A$13:$A$64,0),MATCH(CU$3,Вводные!$D$11:$F$11,0))*(1+IF(CU$4=$A87,Вводные!$D$5*INDEX(Вводные!$G$13:$G$64,MATCH($A87,Вводные!$A$13:$A$64,0)),0))</f>
        <v>200000</v>
      </c>
      <c r="CV87" s="14" t="n">
        <f aca="false">INDEX(Вводные!$D$13:$F$64,MATCH($A87,Вводные!$A$13:$A$64,0),MATCH(CV$3,Вводные!$D$11:$F$11,0))*(1+IF(CV$4=$A87,Вводные!$D$5*INDEX(Вводные!$G$13:$G$64,MATCH($A87,Вводные!$A$13:$A$64,0)),0))</f>
        <v>200000</v>
      </c>
      <c r="CW87" s="14" t="n">
        <f aca="false">INDEX(Вводные!$D$13:$F$64,MATCH($A87,Вводные!$A$13:$A$64,0),MATCH(CW$3,Вводные!$D$11:$F$11,0))*(1+IF(CW$4=$A87,Вводные!$D$5*INDEX(Вводные!$G$13:$G$64,MATCH($A87,Вводные!$A$13:$A$64,0)),0))</f>
        <v>200000</v>
      </c>
      <c r="CX87" s="14" t="n">
        <f aca="false">INDEX(Вводные!$D$13:$F$64,MATCH($A87,Вводные!$A$13:$A$64,0),MATCH(CX$3,Вводные!$D$11:$F$11,0))*(1+IF(CX$4=$A87,Вводные!$D$5*INDEX(Вводные!$G$13:$G$64,MATCH($A87,Вводные!$A$13:$A$64,0)),0))</f>
        <v>200000</v>
      </c>
      <c r="CY87" s="14" t="n">
        <f aca="false">INDEX(Вводные!$D$13:$F$64,MATCH($A87,Вводные!$A$13:$A$64,0),MATCH(CY$3,Вводные!$D$11:$F$11,0))*(1+IF(CY$4=$A87,Вводные!$D$5*INDEX(Вводные!$G$13:$G$64,MATCH($A87,Вводные!$A$13:$A$64,0)),0))</f>
        <v>200000</v>
      </c>
      <c r="CZ87" s="14" t="n">
        <f aca="false">INDEX(Вводные!$D$13:$F$64,MATCH($A87,Вводные!$A$13:$A$64,0),MATCH(CZ$3,Вводные!$D$11:$F$11,0))*(1+IF(CZ$4=$A87,Вводные!$D$5*INDEX(Вводные!$G$13:$G$64,MATCH($A87,Вводные!$A$13:$A$64,0)),0))</f>
        <v>200000</v>
      </c>
      <c r="DA87" s="14" t="n">
        <f aca="false">INDEX(Вводные!$D$13:$F$64,MATCH($A87,Вводные!$A$13:$A$64,0),MATCH(DA$3,Вводные!$D$11:$F$11,0))*(1+IF(DA$4=$A87,Вводные!$D$5*INDEX(Вводные!$G$13:$G$64,MATCH($A87,Вводные!$A$13:$A$64,0)),0))</f>
        <v>200000</v>
      </c>
      <c r="DB87" s="14" t="n">
        <f aca="false">INDEX(Вводные!$D$13:$F$64,MATCH($A87,Вводные!$A$13:$A$64,0),MATCH(DB$3,Вводные!$D$11:$F$11,0))*(1+IF(DB$4=$A87,Вводные!$D$5*INDEX(Вводные!$G$13:$G$64,MATCH($A87,Вводные!$A$13:$A$64,0)),0))</f>
        <v>200000</v>
      </c>
      <c r="DC87" s="14" t="n">
        <f aca="false">INDEX(Вводные!$D$13:$F$64,MATCH($A87,Вводные!$A$13:$A$64,0),MATCH(DC$3,Вводные!$D$11:$F$11,0))*(1+IF(DC$4=$A87,Вводные!$D$5*INDEX(Вводные!$G$13:$G$64,MATCH($A87,Вводные!$A$13:$A$64,0)),0))</f>
        <v>200000</v>
      </c>
      <c r="DD87" s="14" t="n">
        <f aca="false">INDEX(Вводные!$D$13:$F$64,MATCH($A87,Вводные!$A$13:$A$64,0),MATCH(DD$3,Вводные!$D$11:$F$11,0))*(1+IF(DD$4=$A87,Вводные!$D$5*INDEX(Вводные!$G$13:$G$64,MATCH($A87,Вводные!$A$13:$A$64,0)),0))</f>
        <v>200000</v>
      </c>
      <c r="DE87" s="14" t="n">
        <f aca="false">INDEX(Вводные!$D$13:$F$64,MATCH($A87,Вводные!$A$13:$A$64,0),MATCH(DE$3,Вводные!$D$11:$F$11,0))*(1+IF(DE$4=$A87,Вводные!$D$5*INDEX(Вводные!$G$13:$G$64,MATCH($A87,Вводные!$A$13:$A$64,0)),0))</f>
        <v>200000</v>
      </c>
      <c r="DF87" s="14" t="n">
        <f aca="false">INDEX(Вводные!$D$13:$F$64,MATCH($A87,Вводные!$A$13:$A$64,0),MATCH(DF$3,Вводные!$D$11:$F$11,0))*(1+IF(DF$4=$A87,Вводные!$D$5*INDEX(Вводные!$G$13:$G$64,MATCH($A87,Вводные!$A$13:$A$64,0)),0))</f>
        <v>200000</v>
      </c>
      <c r="DG87" s="14" t="n">
        <f aca="false">INDEX(Вводные!$D$13:$F$64,MATCH($A87,Вводные!$A$13:$A$64,0),MATCH(DG$3,Вводные!$D$11:$F$11,0))*(1+IF(DG$4=$A87,Вводные!$D$5*INDEX(Вводные!$G$13:$G$64,MATCH($A87,Вводные!$A$13:$A$64,0)),0))</f>
        <v>200000</v>
      </c>
      <c r="DH87" s="14" t="n">
        <f aca="false">INDEX(Вводные!$D$13:$F$64,MATCH($A87,Вводные!$A$13:$A$64,0),MATCH(DH$3,Вводные!$D$11:$F$11,0))*(1+IF(DH$4=$A87,Вводные!$D$5*INDEX(Вводные!$G$13:$G$64,MATCH($A87,Вводные!$A$13:$A$64,0)),0))</f>
        <v>200000</v>
      </c>
      <c r="DI87" s="14" t="n">
        <f aca="false">INDEX(Вводные!$D$13:$F$64,MATCH($A87,Вводные!$A$13:$A$64,0),MATCH(DI$3,Вводные!$D$11:$F$11,0))*(1+IF(DI$4=$A87,Вводные!$D$5*INDEX(Вводные!$G$13:$G$64,MATCH($A87,Вводные!$A$13:$A$64,0)),0))</f>
        <v>200000</v>
      </c>
      <c r="DJ87" s="14" t="n">
        <f aca="false">INDEX(Вводные!$D$13:$F$64,MATCH($A87,Вводные!$A$13:$A$64,0),MATCH(DJ$3,Вводные!$D$11:$F$11,0))*(1+IF(DJ$4=$A87,Вводные!$D$5*INDEX(Вводные!$G$13:$G$64,MATCH($A87,Вводные!$A$13:$A$64,0)),0))</f>
        <v>200000</v>
      </c>
      <c r="DK87" s="14" t="n">
        <f aca="false">INDEX(Вводные!$D$13:$F$64,MATCH($A87,Вводные!$A$13:$A$64,0),MATCH(DK$3,Вводные!$D$11:$F$11,0))*(1+IF(DK$4=$A87,Вводные!$D$5*INDEX(Вводные!$G$13:$G$64,MATCH($A87,Вводные!$A$13:$A$64,0)),0))</f>
        <v>200000</v>
      </c>
      <c r="DL87" s="14" t="n">
        <f aca="false">INDEX(Вводные!$D$13:$F$64,MATCH($A87,Вводные!$A$13:$A$64,0),MATCH(DL$3,Вводные!$D$11:$F$11,0))*(1+IF(DL$4=$A87,Вводные!$D$5*INDEX(Вводные!$G$13:$G$64,MATCH($A87,Вводные!$A$13:$A$64,0)),0))</f>
        <v>200000</v>
      </c>
      <c r="DM87" s="14" t="n">
        <f aca="false">INDEX(Вводные!$D$13:$F$64,MATCH($A87,Вводные!$A$13:$A$64,0),MATCH(DM$3,Вводные!$D$11:$F$11,0))*(1+IF(DM$4=$A87,Вводные!$D$5*INDEX(Вводные!$G$13:$G$64,MATCH($A87,Вводные!$A$13:$A$64,0)),0))</f>
        <v>200000</v>
      </c>
      <c r="DN87" s="14" t="n">
        <f aca="false">INDEX(Вводные!$D$13:$F$64,MATCH($A87,Вводные!$A$13:$A$64,0),MATCH(DN$3,Вводные!$D$11:$F$11,0))*(1+IF(DN$4=$A87,Вводные!$D$5*INDEX(Вводные!$G$13:$G$64,MATCH($A87,Вводные!$A$13:$A$64,0)),0))</f>
        <v>200000</v>
      </c>
      <c r="DO87" s="14" t="n">
        <f aca="false">INDEX(Вводные!$D$13:$F$64,MATCH($A87,Вводные!$A$13:$A$64,0),MATCH(DO$3,Вводные!$D$11:$F$11,0))*(1+IF(DO$4=$A87,Вводные!$D$5*INDEX(Вводные!$G$13:$G$64,MATCH($A87,Вводные!$A$13:$A$64,0)),0))</f>
        <v>200000</v>
      </c>
      <c r="DP87" s="14" t="n">
        <f aca="false">INDEX(Вводные!$D$13:$F$64,MATCH($A87,Вводные!$A$13:$A$64,0),MATCH(DP$3,Вводные!$D$11:$F$11,0))*(1+IF(DP$4=$A87,Вводные!$D$5*INDEX(Вводные!$G$13:$G$64,MATCH($A87,Вводные!$A$13:$A$64,0)),0))</f>
        <v>200000</v>
      </c>
      <c r="DQ87" s="14" t="n">
        <f aca="false">INDEX(Вводные!$D$13:$F$64,MATCH($A87,Вводные!$A$13:$A$64,0),MATCH(DQ$3,Вводные!$D$11:$F$11,0))*(1+IF(DQ$4=$A87,Вводные!$D$5*INDEX(Вводные!$G$13:$G$64,MATCH($A87,Вводные!$A$13:$A$64,0)),0))</f>
        <v>200000</v>
      </c>
      <c r="DR87" s="14" t="n">
        <f aca="false">INDEX(Вводные!$D$13:$F$64,MATCH($A87,Вводные!$A$13:$A$64,0),MATCH(DR$3,Вводные!$D$11:$F$11,0))*(1+IF(DR$4=$A87,Вводные!$D$5*INDEX(Вводные!$G$13:$G$64,MATCH($A87,Вводные!$A$13:$A$64,0)),0))</f>
        <v>200000</v>
      </c>
      <c r="DS87" s="14" t="n">
        <f aca="false">INDEX(Вводные!$D$13:$F$64,MATCH($A87,Вводные!$A$13:$A$64,0),MATCH(DS$3,Вводные!$D$11:$F$11,0))*(1+IF(DS$4=$A87,Вводные!$D$5*INDEX(Вводные!$G$13:$G$64,MATCH($A87,Вводные!$A$13:$A$64,0)),0))</f>
        <v>200000</v>
      </c>
      <c r="DT87" s="14" t="n">
        <f aca="false">INDEX(Вводные!$D$13:$F$64,MATCH($A87,Вводные!$A$13:$A$64,0),MATCH(DT$3,Вводные!$D$11:$F$11,0))*(1+IF(DT$4=$A87,Вводные!$D$5*INDEX(Вводные!$G$13:$G$64,MATCH($A87,Вводные!$A$13:$A$64,0)),0))</f>
        <v>200000</v>
      </c>
      <c r="DU87" s="14" t="n">
        <f aca="false">INDEX(Вводные!$D$13:$F$64,MATCH($A87,Вводные!$A$13:$A$64,0),MATCH(DU$3,Вводные!$D$11:$F$11,0))*(1+IF(DU$4=$A87,Вводные!$D$5*INDEX(Вводные!$G$13:$G$64,MATCH($A87,Вводные!$A$13:$A$64,0)),0))</f>
        <v>200000</v>
      </c>
      <c r="DV87" s="14" t="n">
        <f aca="false">INDEX(Вводные!$D$13:$F$64,MATCH($A87,Вводные!$A$13:$A$64,0),MATCH(DV$3,Вводные!$D$11:$F$11,0))*(1+IF(DV$4=$A87,Вводные!$D$5*INDEX(Вводные!$G$13:$G$64,MATCH($A87,Вводные!$A$13:$A$64,0)),0))</f>
        <v>200000</v>
      </c>
      <c r="DW87" s="14" t="n">
        <f aca="false">INDEX(Вводные!$D$13:$F$64,MATCH($A87,Вводные!$A$13:$A$64,0),MATCH(DW$3,Вводные!$D$11:$F$11,0))*(1+IF(DW$4=$A87,Вводные!$D$5*INDEX(Вводные!$G$13:$G$64,MATCH($A87,Вводные!$A$13:$A$64,0)),0))</f>
        <v>200000</v>
      </c>
      <c r="DX87" s="14" t="n">
        <f aca="false">INDEX(Вводные!$D$13:$F$64,MATCH($A87,Вводные!$A$13:$A$64,0),MATCH(DX$3,Вводные!$D$11:$F$11,0))*(1+IF(DX$4=$A87,Вводные!$D$5*INDEX(Вводные!$G$13:$G$64,MATCH($A87,Вводные!$A$13:$A$64,0)),0))</f>
        <v>200000</v>
      </c>
      <c r="DY87" s="14" t="n">
        <f aca="false">INDEX(Вводные!$D$13:$F$64,MATCH($A87,Вводные!$A$13:$A$64,0),MATCH(DY$3,Вводные!$D$11:$F$11,0))*(1+IF(DY$4=$A87,Вводные!$D$5*INDEX(Вводные!$G$13:$G$64,MATCH($A87,Вводные!$A$13:$A$64,0)),0))</f>
        <v>200000</v>
      </c>
      <c r="DZ87" s="14" t="n">
        <f aca="false">INDEX(Вводные!$D$13:$F$64,MATCH($A87,Вводные!$A$13:$A$64,0),MATCH(DZ$3,Вводные!$D$11:$F$11,0))*(1+IF(DZ$4=$A87,Вводные!$D$5*INDEX(Вводные!$G$13:$G$64,MATCH($A87,Вводные!$A$13:$A$64,0)),0))</f>
        <v>200000</v>
      </c>
      <c r="EA87" s="14" t="n">
        <f aca="false">INDEX(Вводные!$D$13:$F$64,MATCH($A87,Вводные!$A$13:$A$64,0),MATCH(EA$3,Вводные!$D$11:$F$11,0))*(1+IF(EA$4=$A87,Вводные!$D$5*INDEX(Вводные!$G$13:$G$64,MATCH($A87,Вводные!$A$13:$A$64,0)),0))</f>
        <v>200000</v>
      </c>
      <c r="EB87" s="14" t="n">
        <f aca="false">INDEX(Вводные!$D$13:$F$64,MATCH($A87,Вводные!$A$13:$A$64,0),MATCH(EB$3,Вводные!$D$11:$F$11,0))*(1+IF(EB$4=$A87,Вводные!$D$5*INDEX(Вводные!$G$13:$G$64,MATCH($A87,Вводные!$A$13:$A$64,0)),0))</f>
        <v>200000</v>
      </c>
      <c r="EC87" s="14" t="n">
        <f aca="false">INDEX(Вводные!$D$13:$F$64,MATCH($A87,Вводные!$A$13:$A$64,0),MATCH(EC$3,Вводные!$D$11:$F$11,0))*(1+IF(EC$4=$A87,Вводные!$D$5*INDEX(Вводные!$G$13:$G$64,MATCH($A87,Вводные!$A$13:$A$64,0)),0))</f>
        <v>200000</v>
      </c>
      <c r="ED87" s="14" t="n">
        <f aca="false">INDEX(Вводные!$D$13:$F$64,MATCH($A87,Вводные!$A$13:$A$64,0),MATCH(ED$3,Вводные!$D$11:$F$11,0))*(1+IF(ED$4=$A87,Вводные!$D$5*INDEX(Вводные!$G$13:$G$64,MATCH($A87,Вводные!$A$13:$A$64,0)),0))</f>
        <v>200000</v>
      </c>
      <c r="EE87" s="14" t="n">
        <f aca="false">INDEX(Вводные!$D$13:$F$64,MATCH($A87,Вводные!$A$13:$A$64,0),MATCH(EE$3,Вводные!$D$11:$F$11,0))*(1+IF(EE$4=$A87,Вводные!$D$5*INDEX(Вводные!$G$13:$G$64,MATCH($A87,Вводные!$A$13:$A$64,0)),0))</f>
        <v>198000</v>
      </c>
      <c r="EF87" s="14" t="n">
        <f aca="false">INDEX(Вводные!$D$13:$F$64,MATCH($A87,Вводные!$A$13:$A$64,0),MATCH(EF$3,Вводные!$D$11:$F$11,0))*(1+IF(EF$4=$A87,Вводные!$D$5*INDEX(Вводные!$G$13:$G$64,MATCH($A87,Вводные!$A$13:$A$64,0)),0))</f>
        <v>300000</v>
      </c>
      <c r="EG87" s="14" t="n">
        <f aca="false">INDEX(Вводные!$D$13:$F$64,MATCH($A87,Вводные!$A$13:$A$64,0),MATCH(EG$3,Вводные!$D$11:$F$11,0))*(1+IF(EG$4=$A87,Вводные!$D$5*INDEX(Вводные!$G$13:$G$64,MATCH($A87,Вводные!$A$13:$A$64,0)),0))</f>
        <v>300000</v>
      </c>
      <c r="EH87" s="14" t="n">
        <f aca="false">INDEX(Вводные!$D$13:$F$64,MATCH($A87,Вводные!$A$13:$A$64,0),MATCH(EH$3,Вводные!$D$11:$F$11,0))*(1+IF(EH$4=$A87,Вводные!$D$5*INDEX(Вводные!$G$13:$G$64,MATCH($A87,Вводные!$A$13:$A$64,0)),0))</f>
        <v>300000</v>
      </c>
      <c r="EI87" s="14" t="n">
        <f aca="false">INDEX(Вводные!$D$13:$F$64,MATCH($A87,Вводные!$A$13:$A$64,0),MATCH(EI$3,Вводные!$D$11:$F$11,0))*(1+IF(EI$4=$A87,Вводные!$D$5*INDEX(Вводные!$G$13:$G$64,MATCH($A87,Вводные!$A$13:$A$64,0)),0))</f>
        <v>300000</v>
      </c>
      <c r="EJ87" s="14" t="n">
        <f aca="false">INDEX(Вводные!$D$13:$F$64,MATCH($A87,Вводные!$A$13:$A$64,0),MATCH(EJ$3,Вводные!$D$11:$F$11,0))*(1+IF(EJ$4=$A87,Вводные!$D$5*INDEX(Вводные!$G$13:$G$64,MATCH($A87,Вводные!$A$13:$A$64,0)),0))</f>
        <v>300000</v>
      </c>
      <c r="EK87" s="14" t="n">
        <f aca="false">INDEX(Вводные!$D$13:$F$64,MATCH($A87,Вводные!$A$13:$A$64,0),MATCH(EK$3,Вводные!$D$11:$F$11,0))*(1+IF(EK$4=$A87,Вводные!$D$5*INDEX(Вводные!$G$13:$G$64,MATCH($A87,Вводные!$A$13:$A$64,0)),0))</f>
        <v>300000</v>
      </c>
      <c r="EL87" s="14" t="n">
        <f aca="false">INDEX(Вводные!$D$13:$F$64,MATCH($A87,Вводные!$A$13:$A$64,0),MATCH(EL$3,Вводные!$D$11:$F$11,0))*(1+IF(EL$4=$A87,Вводные!$D$5*INDEX(Вводные!$G$13:$G$64,MATCH($A87,Вводные!$A$13:$A$64,0)),0))</f>
        <v>300000</v>
      </c>
      <c r="EM87" s="14" t="n">
        <f aca="false">INDEX(Вводные!$D$13:$F$64,MATCH($A87,Вводные!$A$13:$A$64,0),MATCH(EM$3,Вводные!$D$11:$F$11,0))*(1+IF(EM$4=$A87,Вводные!$D$5*INDEX(Вводные!$G$13:$G$64,MATCH($A87,Вводные!$A$13:$A$64,0)),0))</f>
        <v>300000</v>
      </c>
      <c r="EN87" s="14" t="n">
        <f aca="false">INDEX(Вводные!$D$13:$F$64,MATCH($A87,Вводные!$A$13:$A$64,0),MATCH(EN$3,Вводные!$D$11:$F$11,0))*(1+IF(EN$4=$A87,Вводные!$D$5*INDEX(Вводные!$G$13:$G$64,MATCH($A87,Вводные!$A$13:$A$64,0)),0))</f>
        <v>300000</v>
      </c>
      <c r="EO87" s="14" t="n">
        <f aca="false">INDEX(Вводные!$D$13:$F$64,MATCH($A87,Вводные!$A$13:$A$64,0),MATCH(EO$3,Вводные!$D$11:$F$11,0))*(1+IF(EO$4=$A87,Вводные!$D$5*INDEX(Вводные!$G$13:$G$64,MATCH($A87,Вводные!$A$13:$A$64,0)),0))</f>
        <v>300000</v>
      </c>
      <c r="EP87" s="14" t="n">
        <f aca="false">INDEX(Вводные!$D$13:$F$64,MATCH($A87,Вводные!$A$13:$A$64,0),MATCH(EP$3,Вводные!$D$11:$F$11,0))*(1+IF(EP$4=$A87,Вводные!$D$5*INDEX(Вводные!$G$13:$G$64,MATCH($A87,Вводные!$A$13:$A$64,0)),0))</f>
        <v>300000</v>
      </c>
      <c r="EQ87" s="14" t="n">
        <f aca="false">INDEX(Вводные!$D$13:$F$64,MATCH($A87,Вводные!$A$13:$A$64,0),MATCH(EQ$3,Вводные!$D$11:$F$11,0))*(1+IF(EQ$4=$A87,Вводные!$D$5*INDEX(Вводные!$G$13:$G$64,MATCH($A87,Вводные!$A$13:$A$64,0)),0))</f>
        <v>300000</v>
      </c>
      <c r="ER87" s="14" t="n">
        <f aca="false">INDEX(Вводные!$D$13:$F$64,MATCH($A87,Вводные!$A$13:$A$64,0),MATCH(ER$3,Вводные!$D$11:$F$11,0))*(1+IF(ER$4=$A87,Вводные!$D$5*INDEX(Вводные!$G$13:$G$64,MATCH($A87,Вводные!$A$13:$A$64,0)),0))</f>
        <v>300000</v>
      </c>
      <c r="ES87" s="14" t="n">
        <f aca="false">INDEX(Вводные!$D$13:$F$64,MATCH($A87,Вводные!$A$13:$A$64,0),MATCH(ES$3,Вводные!$D$11:$F$11,0))*(1+IF(ES$4=$A87,Вводные!$D$5*INDEX(Вводные!$G$13:$G$64,MATCH($A87,Вводные!$A$13:$A$64,0)),0))</f>
        <v>300000</v>
      </c>
      <c r="ET87" s="14" t="n">
        <f aca="false">INDEX(Вводные!$D$13:$F$64,MATCH($A87,Вводные!$A$13:$A$64,0),MATCH(ET$3,Вводные!$D$11:$F$11,0))*(1+IF(ET$4=$A87,Вводные!$D$5*INDEX(Вводные!$G$13:$G$64,MATCH($A87,Вводные!$A$13:$A$64,0)),0))</f>
        <v>300000</v>
      </c>
      <c r="EU87" s="14" t="n">
        <f aca="false">INDEX(Вводные!$D$13:$F$64,MATCH($A87,Вводные!$A$13:$A$64,0),MATCH(EU$3,Вводные!$D$11:$F$11,0))*(1+IF(EU$4=$A87,Вводные!$D$5*INDEX(Вводные!$G$13:$G$64,MATCH($A87,Вводные!$A$13:$A$64,0)),0))</f>
        <v>300000</v>
      </c>
      <c r="EV87" s="14" t="n">
        <f aca="false">INDEX(Вводные!$D$13:$F$64,MATCH($A87,Вводные!$A$13:$A$64,0),MATCH(EV$3,Вводные!$D$11:$F$11,0))*(1+IF(EV$4=$A87,Вводные!$D$5*INDEX(Вводные!$G$13:$G$64,MATCH($A87,Вводные!$A$13:$A$64,0)),0))</f>
        <v>300000</v>
      </c>
      <c r="EW87" s="14" t="n">
        <f aca="false">INDEX(Вводные!$D$13:$F$64,MATCH($A87,Вводные!$A$13:$A$64,0),MATCH(EW$3,Вводные!$D$11:$F$11,0))*(1+IF(EW$4=$A87,Вводные!$D$5*INDEX(Вводные!$G$13:$G$64,MATCH($A87,Вводные!$A$13:$A$64,0)),0))</f>
        <v>300000</v>
      </c>
      <c r="EX87" s="14" t="n">
        <f aca="false">INDEX(Вводные!$D$13:$F$64,MATCH($A87,Вводные!$A$13:$A$64,0),MATCH(EX$3,Вводные!$D$11:$F$11,0))*(1+IF(EX$4=$A87,Вводные!$D$5*INDEX(Вводные!$G$13:$G$64,MATCH($A87,Вводные!$A$13:$A$64,0)),0))</f>
        <v>300000</v>
      </c>
      <c r="EY87" s="14" t="n">
        <f aca="false">INDEX(Вводные!$D$13:$F$64,MATCH($A87,Вводные!$A$13:$A$64,0),MATCH(EY$3,Вводные!$D$11:$F$11,0))*(1+IF(EY$4=$A87,Вводные!$D$5*INDEX(Вводные!$G$13:$G$64,MATCH($A87,Вводные!$A$13:$A$64,0)),0))</f>
        <v>300000</v>
      </c>
      <c r="EZ87" s="14" t="n">
        <f aca="false">INDEX(Вводные!$D$13:$F$64,MATCH($A87,Вводные!$A$13:$A$64,0),MATCH(EZ$3,Вводные!$D$11:$F$11,0))*(1+IF(EZ$4=$A87,Вводные!$D$5*INDEX(Вводные!$G$13:$G$64,MATCH($A87,Вводные!$A$13:$A$64,0)),0))</f>
        <v>300000</v>
      </c>
      <c r="FA87" s="14" t="n">
        <f aca="false">INDEX(Вводные!$D$13:$F$64,MATCH($A87,Вводные!$A$13:$A$64,0),MATCH(FA$3,Вводные!$D$11:$F$11,0))*(1+IF(FA$4=$A87,Вводные!$D$5*INDEX(Вводные!$G$13:$G$64,MATCH($A87,Вводные!$A$13:$A$64,0)),0))</f>
        <v>300000</v>
      </c>
      <c r="FB87" s="14" t="n">
        <f aca="false">INDEX(Вводные!$D$13:$F$64,MATCH($A87,Вводные!$A$13:$A$64,0),MATCH(FB$3,Вводные!$D$11:$F$11,0))*(1+IF(FB$4=$A87,Вводные!$D$5*INDEX(Вводные!$G$13:$G$64,MATCH($A87,Вводные!$A$13:$A$64,0)),0))</f>
        <v>300000</v>
      </c>
      <c r="FC87" s="14" t="n">
        <f aca="false">INDEX(Вводные!$D$13:$F$64,MATCH($A87,Вводные!$A$13:$A$64,0),MATCH(FC$3,Вводные!$D$11:$F$11,0))*(1+IF(FC$4=$A87,Вводные!$D$5*INDEX(Вводные!$G$13:$G$64,MATCH($A87,Вводные!$A$13:$A$64,0)),0))</f>
        <v>300000</v>
      </c>
      <c r="FD87" s="14" t="n">
        <f aca="false">INDEX(Вводные!$D$13:$F$64,MATCH($A87,Вводные!$A$13:$A$64,0),MATCH(FD$3,Вводные!$D$11:$F$11,0))*(1+IF(FD$4=$A87,Вводные!$D$5*INDEX(Вводные!$G$13:$G$64,MATCH($A87,Вводные!$A$13:$A$64,0)),0))</f>
        <v>300000</v>
      </c>
      <c r="FE87" s="14" t="n">
        <f aca="false">INDEX(Вводные!$D$13:$F$64,MATCH($A87,Вводные!$A$13:$A$64,0),MATCH(FE$3,Вводные!$D$11:$F$11,0))*(1+IF(FE$4=$A87,Вводные!$D$5*INDEX(Вводные!$G$13:$G$64,MATCH($A87,Вводные!$A$13:$A$64,0)),0))</f>
        <v>300000</v>
      </c>
      <c r="FF87" s="14" t="n">
        <f aca="false">INDEX(Вводные!$D$13:$F$64,MATCH($A87,Вводные!$A$13:$A$64,0),MATCH(FF$3,Вводные!$D$11:$F$11,0))*(1+IF(FF$4=$A87,Вводные!$D$5*INDEX(Вводные!$G$13:$G$64,MATCH($A87,Вводные!$A$13:$A$64,0)),0))</f>
        <v>300000</v>
      </c>
      <c r="FG87" s="14" t="n">
        <f aca="false">INDEX(Вводные!$D$13:$F$64,MATCH($A87,Вводные!$A$13:$A$64,0),MATCH(FG$3,Вводные!$D$11:$F$11,0))*(1+IF(FG$4=$A87,Вводные!$D$5*INDEX(Вводные!$G$13:$G$64,MATCH($A87,Вводные!$A$13:$A$64,0)),0))</f>
        <v>300000</v>
      </c>
      <c r="FH87" s="14" t="n">
        <f aca="false">INDEX(Вводные!$D$13:$F$64,MATCH($A87,Вводные!$A$13:$A$64,0),MATCH(FH$3,Вводные!$D$11:$F$11,0))*(1+IF(FH$4=$A87,Вводные!$D$5*INDEX(Вводные!$G$13:$G$64,MATCH($A87,Вводные!$A$13:$A$64,0)),0))</f>
        <v>300000</v>
      </c>
      <c r="FI87" s="14" t="n">
        <f aca="false">INDEX(Вводные!$D$13:$F$64,MATCH($A87,Вводные!$A$13:$A$64,0),MATCH(FI$3,Вводные!$D$11:$F$11,0))*(1+IF(FI$4=$A87,Вводные!$D$5*INDEX(Вводные!$G$13:$G$64,MATCH($A87,Вводные!$A$13:$A$64,0)),0))</f>
        <v>300000</v>
      </c>
      <c r="FJ87" s="14" t="n">
        <f aca="false">INDEX(Вводные!$D$13:$F$64,MATCH($A87,Вводные!$A$13:$A$64,0),MATCH(FJ$3,Вводные!$D$11:$F$11,0))*(1+IF(FJ$4=$A87,Вводные!$D$5*INDEX(Вводные!$G$13:$G$64,MATCH($A87,Вводные!$A$13:$A$64,0)),0))</f>
        <v>300000</v>
      </c>
      <c r="FK87" s="14" t="n">
        <f aca="false">INDEX(Вводные!$D$13:$F$64,MATCH($A87,Вводные!$A$13:$A$64,0),MATCH(FK$3,Вводные!$D$11:$F$11,0))*(1+IF(FK$4=$A87,Вводные!$D$5*INDEX(Вводные!$G$13:$G$64,MATCH($A87,Вводные!$A$13:$A$64,0)),0))</f>
        <v>300000</v>
      </c>
      <c r="FL87" s="14" t="n">
        <f aca="false">INDEX(Вводные!$D$13:$F$64,MATCH($A87,Вводные!$A$13:$A$64,0),MATCH(FL$3,Вводные!$D$11:$F$11,0))*(1+IF(FL$4=$A87,Вводные!$D$5*INDEX(Вводные!$G$13:$G$64,MATCH($A87,Вводные!$A$13:$A$64,0)),0))</f>
        <v>300000</v>
      </c>
      <c r="FM87" s="14" t="n">
        <f aca="false">INDEX(Вводные!$D$13:$F$64,MATCH($A87,Вводные!$A$13:$A$64,0),MATCH(FM$3,Вводные!$D$11:$F$11,0))*(1+IF(FM$4=$A87,Вводные!$D$5*INDEX(Вводные!$G$13:$G$64,MATCH($A87,Вводные!$A$13:$A$64,0)),0))</f>
        <v>300000</v>
      </c>
      <c r="FN87" s="14" t="n">
        <f aca="false">INDEX(Вводные!$D$13:$F$64,MATCH($A87,Вводные!$A$13:$A$64,0),MATCH(FN$3,Вводные!$D$11:$F$11,0))*(1+IF(FN$4=$A87,Вводные!$D$5*INDEX(Вводные!$G$13:$G$64,MATCH($A87,Вводные!$A$13:$A$64,0)),0))</f>
        <v>300000</v>
      </c>
      <c r="FO87" s="14" t="n">
        <f aca="false">INDEX(Вводные!$D$13:$F$64,MATCH($A87,Вводные!$A$13:$A$64,0),MATCH(FO$3,Вводные!$D$11:$F$11,0))*(1+IF(FO$4=$A87,Вводные!$D$5*INDEX(Вводные!$G$13:$G$64,MATCH($A87,Вводные!$A$13:$A$64,0)),0))</f>
        <v>300000</v>
      </c>
      <c r="FP87" s="14" t="n">
        <f aca="false">INDEX(Вводные!$D$13:$F$64,MATCH($A87,Вводные!$A$13:$A$64,0),MATCH(FP$3,Вводные!$D$11:$F$11,0))*(1+IF(FP$4=$A87,Вводные!$D$5*INDEX(Вводные!$G$13:$G$64,MATCH($A87,Вводные!$A$13:$A$64,0)),0))</f>
        <v>300000</v>
      </c>
      <c r="FQ87" s="14" t="n">
        <f aca="false">INDEX(Вводные!$D$13:$F$64,MATCH($A87,Вводные!$A$13:$A$64,0),MATCH(FQ$3,Вводные!$D$11:$F$11,0))*(1+IF(FQ$4=$A87,Вводные!$D$5*INDEX(Вводные!$G$13:$G$64,MATCH($A87,Вводные!$A$13:$A$64,0)),0))</f>
        <v>300000</v>
      </c>
      <c r="FR87" s="14" t="n">
        <f aca="false">INDEX(Вводные!$D$13:$F$64,MATCH($A87,Вводные!$A$13:$A$64,0),MATCH(FR$3,Вводные!$D$11:$F$11,0))*(1+IF(FR$4=$A87,Вводные!$D$5*INDEX(Вводные!$G$13:$G$64,MATCH($A87,Вводные!$A$13:$A$64,0)),0))</f>
        <v>300000</v>
      </c>
      <c r="FS87" s="14" t="n">
        <f aca="false">INDEX(Вводные!$D$13:$F$64,MATCH($A87,Вводные!$A$13:$A$64,0),MATCH(FS$3,Вводные!$D$11:$F$11,0))*(1+IF(FS$4=$A87,Вводные!$D$5*INDEX(Вводные!$G$13:$G$64,MATCH($A87,Вводные!$A$13:$A$64,0)),0))</f>
        <v>300000</v>
      </c>
      <c r="FT87" s="14" t="n">
        <f aca="false">INDEX(Вводные!$D$13:$F$64,MATCH($A87,Вводные!$A$13:$A$64,0),MATCH(FT$3,Вводные!$D$11:$F$11,0))*(1+IF(FT$4=$A87,Вводные!$D$5*INDEX(Вводные!$G$13:$G$64,MATCH($A87,Вводные!$A$13:$A$64,0)),0))</f>
        <v>300000</v>
      </c>
      <c r="FU87" s="14" t="n">
        <f aca="false">INDEX(Вводные!$D$13:$F$64,MATCH($A87,Вводные!$A$13:$A$64,0),MATCH(FU$3,Вводные!$D$11:$F$11,0))*(1+IF(FU$4=$A87,Вводные!$D$5*INDEX(Вводные!$G$13:$G$64,MATCH($A87,Вводные!$A$13:$A$64,0)),0))</f>
        <v>297000</v>
      </c>
      <c r="FV87" s="14" t="n">
        <f aca="false">INDEX(Вводные!$D$13:$F$64,MATCH($A87,Вводные!$A$13:$A$64,0),MATCH(FV$3,Вводные!$D$11:$F$11,0))*(1+IF(FV$4=$A87,Вводные!$D$5*INDEX(Вводные!$G$13:$G$64,MATCH($A87,Вводные!$A$13:$A$64,0)),0))</f>
        <v>100000</v>
      </c>
      <c r="FW87" s="14" t="n">
        <f aca="false">INDEX(Вводные!$D$13:$F$64,MATCH($A87,Вводные!$A$13:$A$64,0),MATCH(FW$3,Вводные!$D$11:$F$11,0))*(1+IF(FW$4=$A87,Вводные!$D$5*INDEX(Вводные!$G$13:$G$64,MATCH($A87,Вводные!$A$13:$A$64,0)),0))</f>
        <v>100000</v>
      </c>
      <c r="FX87" s="14" t="n">
        <f aca="false">INDEX(Вводные!$D$13:$F$64,MATCH($A87,Вводные!$A$13:$A$64,0),MATCH(FX$3,Вводные!$D$11:$F$11,0))*(1+IF(FX$4=$A87,Вводные!$D$5*INDEX(Вводные!$G$13:$G$64,MATCH($A87,Вводные!$A$13:$A$64,0)),0))</f>
        <v>100000</v>
      </c>
      <c r="FY87" s="14" t="n">
        <f aca="false">INDEX(Вводные!$D$13:$F$64,MATCH($A87,Вводные!$A$13:$A$64,0),MATCH(FY$3,Вводные!$D$11:$F$11,0))*(1+IF(FY$4=$A87,Вводные!$D$5*INDEX(Вводные!$G$13:$G$64,MATCH($A87,Вводные!$A$13:$A$64,0)),0))</f>
        <v>100000</v>
      </c>
      <c r="FZ87" s="14" t="n">
        <f aca="false">INDEX(Вводные!$D$13:$F$64,MATCH($A87,Вводные!$A$13:$A$64,0),MATCH(FZ$3,Вводные!$D$11:$F$11,0))*(1+IF(FZ$4=$A87,Вводные!$D$5*INDEX(Вводные!$G$13:$G$64,MATCH($A87,Вводные!$A$13:$A$64,0)),0))</f>
        <v>100000</v>
      </c>
      <c r="GA87" s="14" t="n">
        <f aca="false">INDEX(Вводные!$D$13:$F$64,MATCH($A87,Вводные!$A$13:$A$64,0),MATCH(GA$3,Вводные!$D$11:$F$11,0))*(1+IF(GA$4=$A87,Вводные!$D$5*INDEX(Вводные!$G$13:$G$64,MATCH($A87,Вводные!$A$13:$A$64,0)),0))</f>
        <v>100000</v>
      </c>
      <c r="GB87" s="14" t="n">
        <f aca="false">INDEX(Вводные!$D$13:$F$64,MATCH($A87,Вводные!$A$13:$A$64,0),MATCH(GB$3,Вводные!$D$11:$F$11,0))*(1+IF(GB$4=$A87,Вводные!$D$5*INDEX(Вводные!$G$13:$G$64,MATCH($A87,Вводные!$A$13:$A$64,0)),0))</f>
        <v>100000</v>
      </c>
      <c r="GC87" s="14" t="n">
        <f aca="false">INDEX(Вводные!$D$13:$F$64,MATCH($A87,Вводные!$A$13:$A$64,0),MATCH(GC$3,Вводные!$D$11:$F$11,0))*(1+IF(GC$4=$A87,Вводные!$D$5*INDEX(Вводные!$G$13:$G$64,MATCH($A87,Вводные!$A$13:$A$64,0)),0))</f>
        <v>100000</v>
      </c>
      <c r="GD87" s="14" t="n">
        <f aca="false">INDEX(Вводные!$D$13:$F$64,MATCH($A87,Вводные!$A$13:$A$64,0),MATCH(GD$3,Вводные!$D$11:$F$11,0))*(1+IF(GD$4=$A87,Вводные!$D$5*INDEX(Вводные!$G$13:$G$64,MATCH($A87,Вводные!$A$13:$A$64,0)),0))</f>
        <v>100000</v>
      </c>
      <c r="GE87" s="14" t="n">
        <f aca="false">INDEX(Вводные!$D$13:$F$64,MATCH($A87,Вводные!$A$13:$A$64,0),MATCH(GE$3,Вводные!$D$11:$F$11,0))*(1+IF(GE$4=$A87,Вводные!$D$5*INDEX(Вводные!$G$13:$G$64,MATCH($A87,Вводные!$A$13:$A$64,0)),0))</f>
        <v>100000</v>
      </c>
      <c r="GF87" s="14" t="n">
        <f aca="false">INDEX(Вводные!$D$13:$F$64,MATCH($A87,Вводные!$A$13:$A$64,0),MATCH(GF$3,Вводные!$D$11:$F$11,0))*(1+IF(GF$4=$A87,Вводные!$D$5*INDEX(Вводные!$G$13:$G$64,MATCH($A87,Вводные!$A$13:$A$64,0)),0))</f>
        <v>100000</v>
      </c>
      <c r="GG87" s="14" t="n">
        <f aca="false">INDEX(Вводные!$D$13:$F$64,MATCH($A87,Вводные!$A$13:$A$64,0),MATCH(GG$3,Вводные!$D$11:$F$11,0))*(1+IF(GG$4=$A87,Вводные!$D$5*INDEX(Вводные!$G$13:$G$64,MATCH($A87,Вводные!$A$13:$A$64,0)),0))</f>
        <v>100000</v>
      </c>
      <c r="GH87" s="14" t="n">
        <f aca="false">INDEX(Вводные!$D$13:$F$64,MATCH($A87,Вводные!$A$13:$A$64,0),MATCH(GH$3,Вводные!$D$11:$F$11,0))*(1+IF(GH$4=$A87,Вводные!$D$5*INDEX(Вводные!$G$13:$G$64,MATCH($A87,Вводные!$A$13:$A$64,0)),0))</f>
        <v>100000</v>
      </c>
      <c r="GI87" s="14" t="n">
        <f aca="false">INDEX(Вводные!$D$13:$F$64,MATCH($A87,Вводные!$A$13:$A$64,0),MATCH(GI$3,Вводные!$D$11:$F$11,0))*(1+IF(GI$4=$A87,Вводные!$D$5*INDEX(Вводные!$G$13:$G$64,MATCH($A87,Вводные!$A$13:$A$64,0)),0))</f>
        <v>100000</v>
      </c>
      <c r="GJ87" s="14" t="n">
        <f aca="false">INDEX(Вводные!$D$13:$F$64,MATCH($A87,Вводные!$A$13:$A$64,0),MATCH(GJ$3,Вводные!$D$11:$F$11,0))*(1+IF(GJ$4=$A87,Вводные!$D$5*INDEX(Вводные!$G$13:$G$64,MATCH($A87,Вводные!$A$13:$A$64,0)),0))</f>
        <v>100000</v>
      </c>
      <c r="GK87" s="14" t="n">
        <f aca="false">INDEX(Вводные!$D$13:$F$64,MATCH($A87,Вводные!$A$13:$A$64,0),MATCH(GK$3,Вводные!$D$11:$F$11,0))*(1+IF(GK$4=$A87,Вводные!$D$5*INDEX(Вводные!$G$13:$G$64,MATCH($A87,Вводные!$A$13:$A$64,0)),0))</f>
        <v>100000</v>
      </c>
      <c r="GL87" s="14" t="n">
        <f aca="false">INDEX(Вводные!$D$13:$F$64,MATCH($A87,Вводные!$A$13:$A$64,0),MATCH(GL$3,Вводные!$D$11:$F$11,0))*(1+IF(GL$4=$A87,Вводные!$D$5*INDEX(Вводные!$G$13:$G$64,MATCH($A87,Вводные!$A$13:$A$64,0)),0))</f>
        <v>100000</v>
      </c>
      <c r="GM87" s="14" t="n">
        <f aca="false">INDEX(Вводные!$D$13:$F$64,MATCH($A87,Вводные!$A$13:$A$64,0),MATCH(GM$3,Вводные!$D$11:$F$11,0))*(1+IF(GM$4=$A87,Вводные!$D$5*INDEX(Вводные!$G$13:$G$64,MATCH($A87,Вводные!$A$13:$A$64,0)),0))</f>
        <v>100000</v>
      </c>
      <c r="GN87" s="14" t="n">
        <f aca="false">INDEX(Вводные!$D$13:$F$64,MATCH($A87,Вводные!$A$13:$A$64,0),MATCH(GN$3,Вводные!$D$11:$F$11,0))*(1+IF(GN$4=$A87,Вводные!$D$5*INDEX(Вводные!$G$13:$G$64,MATCH($A87,Вводные!$A$13:$A$64,0)),0))</f>
        <v>100000</v>
      </c>
      <c r="GO87" s="14" t="n">
        <f aca="false">INDEX(Вводные!$D$13:$F$64,MATCH($A87,Вводные!$A$13:$A$64,0),MATCH(GO$3,Вводные!$D$11:$F$11,0))*(1+IF(GO$4=$A87,Вводные!$D$5*INDEX(Вводные!$G$13:$G$64,MATCH($A87,Вводные!$A$13:$A$64,0)),0))</f>
        <v>100000</v>
      </c>
      <c r="GP87" s="14" t="n">
        <f aca="false">INDEX(Вводные!$D$13:$F$64,MATCH($A87,Вводные!$A$13:$A$64,0),MATCH(GP$3,Вводные!$D$11:$F$11,0))*(1+IF(GP$4=$A87,Вводные!$D$5*INDEX(Вводные!$G$13:$G$64,MATCH($A87,Вводные!$A$13:$A$64,0)),0))</f>
        <v>100000</v>
      </c>
      <c r="GQ87" s="14" t="n">
        <f aca="false">INDEX(Вводные!$D$13:$F$64,MATCH($A87,Вводные!$A$13:$A$64,0),MATCH(GQ$3,Вводные!$D$11:$F$11,0))*(1+IF(GQ$4=$A87,Вводные!$D$5*INDEX(Вводные!$G$13:$G$64,MATCH($A87,Вводные!$A$13:$A$64,0)),0))</f>
        <v>100000</v>
      </c>
      <c r="GR87" s="14" t="n">
        <f aca="false">INDEX(Вводные!$D$13:$F$64,MATCH($A87,Вводные!$A$13:$A$64,0),MATCH(GR$3,Вводные!$D$11:$F$11,0))*(1+IF(GR$4=$A87,Вводные!$D$5*INDEX(Вводные!$G$13:$G$64,MATCH($A87,Вводные!$A$13:$A$64,0)),0))</f>
        <v>100000</v>
      </c>
      <c r="GS87" s="14" t="n">
        <f aca="false">INDEX(Вводные!$D$13:$F$64,MATCH($A87,Вводные!$A$13:$A$64,0),MATCH(GS$3,Вводные!$D$11:$F$11,0))*(1+IF(GS$4=$A87,Вводные!$D$5*INDEX(Вводные!$G$13:$G$64,MATCH($A87,Вводные!$A$13:$A$64,0)),0))</f>
        <v>100000</v>
      </c>
      <c r="GT87" s="14" t="n">
        <f aca="false">INDEX(Вводные!$D$13:$F$64,MATCH($A87,Вводные!$A$13:$A$64,0),MATCH(GT$3,Вводные!$D$11:$F$11,0))*(1+IF(GT$4=$A87,Вводные!$D$5*INDEX(Вводные!$G$13:$G$64,MATCH($A87,Вводные!$A$13:$A$64,0)),0))</f>
        <v>100000</v>
      </c>
      <c r="GU87" s="14" t="n">
        <f aca="false">INDEX(Вводные!$D$13:$F$64,MATCH($A87,Вводные!$A$13:$A$64,0),MATCH(GU$3,Вводные!$D$11:$F$11,0))*(1+IF(GU$4=$A87,Вводные!$D$5*INDEX(Вводные!$G$13:$G$64,MATCH($A87,Вводные!$A$13:$A$64,0)),0))</f>
        <v>100000</v>
      </c>
      <c r="GV87" s="14" t="n">
        <f aca="false">INDEX(Вводные!$D$13:$F$64,MATCH($A87,Вводные!$A$13:$A$64,0),MATCH(GV$3,Вводные!$D$11:$F$11,0))*(1+IF(GV$4=$A87,Вводные!$D$5*INDEX(Вводные!$G$13:$G$64,MATCH($A87,Вводные!$A$13:$A$64,0)),0))</f>
        <v>100000</v>
      </c>
      <c r="GW87" s="14" t="n">
        <f aca="false">INDEX(Вводные!$D$13:$F$64,MATCH($A87,Вводные!$A$13:$A$64,0),MATCH(GW$3,Вводные!$D$11:$F$11,0))*(1+IF(GW$4=$A87,Вводные!$D$5*INDEX(Вводные!$G$13:$G$64,MATCH($A87,Вводные!$A$13:$A$64,0)),0))</f>
        <v>100000</v>
      </c>
      <c r="GX87" s="14" t="n">
        <f aca="false">INDEX(Вводные!$D$13:$F$64,MATCH($A87,Вводные!$A$13:$A$64,0),MATCH(GX$3,Вводные!$D$11:$F$11,0))*(1+IF(GX$4=$A87,Вводные!$D$5*INDEX(Вводные!$G$13:$G$64,MATCH($A87,Вводные!$A$13:$A$64,0)),0))</f>
        <v>100000</v>
      </c>
      <c r="GY87" s="14" t="n">
        <f aca="false">INDEX(Вводные!$D$13:$F$64,MATCH($A87,Вводные!$A$13:$A$64,0),MATCH(GY$3,Вводные!$D$11:$F$11,0))*(1+IF(GY$4=$A87,Вводные!$D$5*INDEX(Вводные!$G$13:$G$64,MATCH($A87,Вводные!$A$13:$A$64,0)),0))</f>
        <v>100000</v>
      </c>
      <c r="GZ87" s="14" t="n">
        <f aca="false">INDEX(Вводные!$D$13:$F$64,MATCH($A87,Вводные!$A$13:$A$64,0),MATCH(GZ$3,Вводные!$D$11:$F$11,0))*(1+IF(GZ$4=$A87,Вводные!$D$5*INDEX(Вводные!$G$13:$G$64,MATCH($A87,Вводные!$A$13:$A$64,0)),0))</f>
        <v>100000</v>
      </c>
      <c r="HA87" s="14" t="n">
        <f aca="false">INDEX(Вводные!$D$13:$F$64,MATCH($A87,Вводные!$A$13:$A$64,0),MATCH(HA$3,Вводные!$D$11:$F$11,0))*(1+IF(HA$4=$A87,Вводные!$D$5*INDEX(Вводные!$G$13:$G$64,MATCH($A87,Вводные!$A$13:$A$64,0)),0))</f>
        <v>100000</v>
      </c>
      <c r="HB87" s="14" t="n">
        <f aca="false">INDEX(Вводные!$D$13:$F$64,MATCH($A87,Вводные!$A$13:$A$64,0),MATCH(HB$3,Вводные!$D$11:$F$11,0))*(1+IF(HB$4=$A87,Вводные!$D$5*INDEX(Вводные!$G$13:$G$64,MATCH($A87,Вводные!$A$13:$A$64,0)),0))</f>
        <v>100000</v>
      </c>
      <c r="HC87" s="14" t="n">
        <f aca="false">INDEX(Вводные!$D$13:$F$64,MATCH($A87,Вводные!$A$13:$A$64,0),MATCH(HC$3,Вводные!$D$11:$F$11,0))*(1+IF(HC$4=$A87,Вводные!$D$5*INDEX(Вводные!$G$13:$G$64,MATCH($A87,Вводные!$A$13:$A$64,0)),0))</f>
        <v>100000</v>
      </c>
      <c r="HD87" s="14" t="n">
        <f aca="false">INDEX(Вводные!$D$13:$F$64,MATCH($A87,Вводные!$A$13:$A$64,0),MATCH(HD$3,Вводные!$D$11:$F$11,0))*(1+IF(HD$4=$A87,Вводные!$D$5*INDEX(Вводные!$G$13:$G$64,MATCH($A87,Вводные!$A$13:$A$64,0)),0))</f>
        <v>100000</v>
      </c>
      <c r="HE87" s="14" t="n">
        <f aca="false">INDEX(Вводные!$D$13:$F$64,MATCH($A87,Вводные!$A$13:$A$64,0),MATCH(HE$3,Вводные!$D$11:$F$11,0))*(1+IF(HE$4=$A87,Вводные!$D$5*INDEX(Вводные!$G$13:$G$64,MATCH($A87,Вводные!$A$13:$A$64,0)),0))</f>
        <v>100000</v>
      </c>
      <c r="HF87" s="14" t="n">
        <f aca="false">INDEX(Вводные!$D$13:$F$64,MATCH($A87,Вводные!$A$13:$A$64,0),MATCH(HF$3,Вводные!$D$11:$F$11,0))*(1+IF(HF$4=$A87,Вводные!$D$5*INDEX(Вводные!$G$13:$G$64,MATCH($A87,Вводные!$A$13:$A$64,0)),0))</f>
        <v>100000</v>
      </c>
      <c r="HG87" s="14" t="n">
        <f aca="false">INDEX(Вводные!$D$13:$F$64,MATCH($A87,Вводные!$A$13:$A$64,0),MATCH(HG$3,Вводные!$D$11:$F$11,0))*(1+IF(HG$4=$A87,Вводные!$D$5*INDEX(Вводные!$G$13:$G$64,MATCH($A87,Вводные!$A$13:$A$64,0)),0))</f>
        <v>100000</v>
      </c>
      <c r="HH87" s="14" t="n">
        <f aca="false">INDEX(Вводные!$D$13:$F$64,MATCH($A87,Вводные!$A$13:$A$64,0),MATCH(HH$3,Вводные!$D$11:$F$11,0))*(1+IF(HH$4=$A87,Вводные!$D$5*INDEX(Вводные!$G$13:$G$64,MATCH($A87,Вводные!$A$13:$A$64,0)),0))</f>
        <v>100000</v>
      </c>
      <c r="HI87" s="14" t="n">
        <f aca="false">INDEX(Вводные!$D$13:$F$64,MATCH($A87,Вводные!$A$13:$A$64,0),MATCH(HI$3,Вводные!$D$11:$F$11,0))*(1+IF(HI$4=$A87,Вводные!$D$5*INDEX(Вводные!$G$13:$G$64,MATCH($A87,Вводные!$A$13:$A$64,0)),0))</f>
        <v>100000</v>
      </c>
      <c r="HJ87" s="14" t="n">
        <f aca="false">INDEX(Вводные!$D$13:$F$64,MATCH($A87,Вводные!$A$13:$A$64,0),MATCH(HJ$3,Вводные!$D$11:$F$11,0))*(1+IF(HJ$4=$A87,Вводные!$D$5*INDEX(Вводные!$G$13:$G$64,MATCH($A87,Вводные!$A$13:$A$64,0)),0))</f>
        <v>100000</v>
      </c>
      <c r="HK87" s="14" t="n">
        <f aca="false">INDEX(Вводные!$D$13:$F$64,MATCH($A87,Вводные!$A$13:$A$64,0),MATCH(HK$3,Вводные!$D$11:$F$11,0))*(1+IF(HK$4=$A87,Вводные!$D$5*INDEX(Вводные!$G$13:$G$64,MATCH($A87,Вводные!$A$13:$A$64,0)),0))</f>
        <v>99000</v>
      </c>
      <c r="HL87" s="14" t="n">
        <f aca="false">INDEX(Вводные!$D$13:$F$64,MATCH($A87,Вводные!$A$13:$A$64,0),MATCH(HL$3,Вводные!$D$11:$F$11,0))*(1+IF(HL$4=$A87,Вводные!$D$5*INDEX(Вводные!$G$13:$G$64,MATCH($A87,Вводные!$A$13:$A$64,0)),0))</f>
        <v>200000</v>
      </c>
      <c r="HM87" s="14" t="n">
        <f aca="false">INDEX(Вводные!$D$13:$F$64,MATCH($A87,Вводные!$A$13:$A$64,0),MATCH(HM$3,Вводные!$D$11:$F$11,0))*(1+IF(HM$4=$A87,Вводные!$D$5*INDEX(Вводные!$G$13:$G$64,MATCH($A87,Вводные!$A$13:$A$64,0)),0))</f>
        <v>200000</v>
      </c>
      <c r="HN87" s="14" t="n">
        <f aca="false">INDEX(Вводные!$D$13:$F$64,MATCH($A87,Вводные!$A$13:$A$64,0),MATCH(HN$3,Вводные!$D$11:$F$11,0))*(1+IF(HN$4=$A87,Вводные!$D$5*INDEX(Вводные!$G$13:$G$64,MATCH($A87,Вводные!$A$13:$A$64,0)),0))</f>
        <v>200000</v>
      </c>
      <c r="HO87" s="14" t="n">
        <f aca="false">INDEX(Вводные!$D$13:$F$64,MATCH($A87,Вводные!$A$13:$A$64,0),MATCH(HO$3,Вводные!$D$11:$F$11,0))*(1+IF(HO$4=$A87,Вводные!$D$5*INDEX(Вводные!$G$13:$G$64,MATCH($A87,Вводные!$A$13:$A$64,0)),0))</f>
        <v>200000</v>
      </c>
      <c r="HP87" s="14" t="n">
        <f aca="false">INDEX(Вводные!$D$13:$F$64,MATCH($A87,Вводные!$A$13:$A$64,0),MATCH(HP$3,Вводные!$D$11:$F$11,0))*(1+IF(HP$4=$A87,Вводные!$D$5*INDEX(Вводные!$G$13:$G$64,MATCH($A87,Вводные!$A$13:$A$64,0)),0))</f>
        <v>200000</v>
      </c>
      <c r="HQ87" s="14" t="n">
        <f aca="false">INDEX(Вводные!$D$13:$F$64,MATCH($A87,Вводные!$A$13:$A$64,0),MATCH(HQ$3,Вводные!$D$11:$F$11,0))*(1+IF(HQ$4=$A87,Вводные!$D$5*INDEX(Вводные!$G$13:$G$64,MATCH($A87,Вводные!$A$13:$A$64,0)),0))</f>
        <v>200000</v>
      </c>
      <c r="HR87" s="14" t="n">
        <f aca="false">INDEX(Вводные!$D$13:$F$64,MATCH($A87,Вводные!$A$13:$A$64,0),MATCH(HR$3,Вводные!$D$11:$F$11,0))*(1+IF(HR$4=$A87,Вводные!$D$5*INDEX(Вводные!$G$13:$G$64,MATCH($A87,Вводные!$A$13:$A$64,0)),0))</f>
        <v>200000</v>
      </c>
      <c r="HS87" s="14" t="n">
        <f aca="false">INDEX(Вводные!$D$13:$F$64,MATCH($A87,Вводные!$A$13:$A$64,0),MATCH(HS$3,Вводные!$D$11:$F$11,0))*(1+IF(HS$4=$A87,Вводные!$D$5*INDEX(Вводные!$G$13:$G$64,MATCH($A87,Вводные!$A$13:$A$64,0)),0))</f>
        <v>200000</v>
      </c>
      <c r="HT87" s="14" t="n">
        <f aca="false">INDEX(Вводные!$D$13:$F$64,MATCH($A87,Вводные!$A$13:$A$64,0),MATCH(HT$3,Вводные!$D$11:$F$11,0))*(1+IF(HT$4=$A87,Вводные!$D$5*INDEX(Вводные!$G$13:$G$64,MATCH($A87,Вводные!$A$13:$A$64,0)),0))</f>
        <v>200000</v>
      </c>
      <c r="HU87" s="14" t="n">
        <f aca="false">INDEX(Вводные!$D$13:$F$64,MATCH($A87,Вводные!$A$13:$A$64,0),MATCH(HU$3,Вводные!$D$11:$F$11,0))*(1+IF(HU$4=$A87,Вводные!$D$5*INDEX(Вводные!$G$13:$G$64,MATCH($A87,Вводные!$A$13:$A$64,0)),0))</f>
        <v>200000</v>
      </c>
      <c r="HV87" s="14" t="n">
        <f aca="false">INDEX(Вводные!$D$13:$F$64,MATCH($A87,Вводные!$A$13:$A$64,0),MATCH(HV$3,Вводные!$D$11:$F$11,0))*(1+IF(HV$4=$A87,Вводные!$D$5*INDEX(Вводные!$G$13:$G$64,MATCH($A87,Вводные!$A$13:$A$64,0)),0))</f>
        <v>200000</v>
      </c>
      <c r="HW87" s="14" t="n">
        <f aca="false">INDEX(Вводные!$D$13:$F$64,MATCH($A87,Вводные!$A$13:$A$64,0),MATCH(HW$3,Вводные!$D$11:$F$11,0))*(1+IF(HW$4=$A87,Вводные!$D$5*INDEX(Вводные!$G$13:$G$64,MATCH($A87,Вводные!$A$13:$A$64,0)),0))</f>
        <v>200000</v>
      </c>
      <c r="HX87" s="14" t="n">
        <f aca="false">INDEX(Вводные!$D$13:$F$64,MATCH($A87,Вводные!$A$13:$A$64,0),MATCH(HX$3,Вводные!$D$11:$F$11,0))*(1+IF(HX$4=$A87,Вводные!$D$5*INDEX(Вводные!$G$13:$G$64,MATCH($A87,Вводные!$A$13:$A$64,0)),0))</f>
        <v>200000</v>
      </c>
      <c r="HY87" s="14" t="n">
        <f aca="false">INDEX(Вводные!$D$13:$F$64,MATCH($A87,Вводные!$A$13:$A$64,0),MATCH(HY$3,Вводные!$D$11:$F$11,0))*(1+IF(HY$4=$A87,Вводные!$D$5*INDEX(Вводные!$G$13:$G$64,MATCH($A87,Вводные!$A$13:$A$64,0)),0))</f>
        <v>200000</v>
      </c>
      <c r="HZ87" s="14" t="n">
        <f aca="false">INDEX(Вводные!$D$13:$F$64,MATCH($A87,Вводные!$A$13:$A$64,0),MATCH(HZ$3,Вводные!$D$11:$F$11,0))*(1+IF(HZ$4=$A87,Вводные!$D$5*INDEX(Вводные!$G$13:$G$64,MATCH($A87,Вводные!$A$13:$A$64,0)),0))</f>
        <v>200000</v>
      </c>
      <c r="IA87" s="14" t="n">
        <f aca="false">INDEX(Вводные!$D$13:$F$64,MATCH($A87,Вводные!$A$13:$A$64,0),MATCH(IA$3,Вводные!$D$11:$F$11,0))*(1+IF(IA$4=$A87,Вводные!$D$5*INDEX(Вводные!$G$13:$G$64,MATCH($A87,Вводные!$A$13:$A$64,0)),0))</f>
        <v>200000</v>
      </c>
      <c r="IB87" s="14" t="n">
        <f aca="false">INDEX(Вводные!$D$13:$F$64,MATCH($A87,Вводные!$A$13:$A$64,0),MATCH(IB$3,Вводные!$D$11:$F$11,0))*(1+IF(IB$4=$A87,Вводные!$D$5*INDEX(Вводные!$G$13:$G$64,MATCH($A87,Вводные!$A$13:$A$64,0)),0))</f>
        <v>200000</v>
      </c>
      <c r="IC87" s="14" t="n">
        <f aca="false">INDEX(Вводные!$D$13:$F$64,MATCH($A87,Вводные!$A$13:$A$64,0),MATCH(IC$3,Вводные!$D$11:$F$11,0))*(1+IF(IC$4=$A87,Вводные!$D$5*INDEX(Вводные!$G$13:$G$64,MATCH($A87,Вводные!$A$13:$A$64,0)),0))</f>
        <v>200000</v>
      </c>
      <c r="ID87" s="14" t="n">
        <f aca="false">INDEX(Вводные!$D$13:$F$64,MATCH($A87,Вводные!$A$13:$A$64,0),MATCH(ID$3,Вводные!$D$11:$F$11,0))*(1+IF(ID$4=$A87,Вводные!$D$5*INDEX(Вводные!$G$13:$G$64,MATCH($A87,Вводные!$A$13:$A$64,0)),0))</f>
        <v>200000</v>
      </c>
      <c r="IE87" s="14" t="n">
        <f aca="false">INDEX(Вводные!$D$13:$F$64,MATCH($A87,Вводные!$A$13:$A$64,0),MATCH(IE$3,Вводные!$D$11:$F$11,0))*(1+IF(IE$4=$A87,Вводные!$D$5*INDEX(Вводные!$G$13:$G$64,MATCH($A87,Вводные!$A$13:$A$64,0)),0))</f>
        <v>200000</v>
      </c>
      <c r="IF87" s="14" t="n">
        <f aca="false">INDEX(Вводные!$D$13:$F$64,MATCH($A87,Вводные!$A$13:$A$64,0),MATCH(IF$3,Вводные!$D$11:$F$11,0))*(1+IF(IF$4=$A87,Вводные!$D$5*INDEX(Вводные!$G$13:$G$64,MATCH($A87,Вводные!$A$13:$A$64,0)),0))</f>
        <v>200000</v>
      </c>
      <c r="IG87" s="14" t="n">
        <f aca="false">INDEX(Вводные!$D$13:$F$64,MATCH($A87,Вводные!$A$13:$A$64,0),MATCH(IG$3,Вводные!$D$11:$F$11,0))*(1+IF(IG$4=$A87,Вводные!$D$5*INDEX(Вводные!$G$13:$G$64,MATCH($A87,Вводные!$A$13:$A$64,0)),0))</f>
        <v>200000</v>
      </c>
      <c r="IH87" s="14" t="n">
        <f aca="false">INDEX(Вводные!$D$13:$F$64,MATCH($A87,Вводные!$A$13:$A$64,0),MATCH(IH$3,Вводные!$D$11:$F$11,0))*(1+IF(IH$4=$A87,Вводные!$D$5*INDEX(Вводные!$G$13:$G$64,MATCH($A87,Вводные!$A$13:$A$64,0)),0))</f>
        <v>200000</v>
      </c>
      <c r="II87" s="14" t="n">
        <f aca="false">INDEX(Вводные!$D$13:$F$64,MATCH($A87,Вводные!$A$13:$A$64,0),MATCH(II$3,Вводные!$D$11:$F$11,0))*(1+IF(II$4=$A87,Вводные!$D$5*INDEX(Вводные!$G$13:$G$64,MATCH($A87,Вводные!$A$13:$A$64,0)),0))</f>
        <v>200000</v>
      </c>
      <c r="IJ87" s="14" t="n">
        <f aca="false">INDEX(Вводные!$D$13:$F$64,MATCH($A87,Вводные!$A$13:$A$64,0),MATCH(IJ$3,Вводные!$D$11:$F$11,0))*(1+IF(IJ$4=$A87,Вводные!$D$5*INDEX(Вводные!$G$13:$G$64,MATCH($A87,Вводные!$A$13:$A$64,0)),0))</f>
        <v>200000</v>
      </c>
      <c r="IK87" s="14" t="n">
        <f aca="false">INDEX(Вводные!$D$13:$F$64,MATCH($A87,Вводные!$A$13:$A$64,0),MATCH(IK$3,Вводные!$D$11:$F$11,0))*(1+IF(IK$4=$A87,Вводные!$D$5*INDEX(Вводные!$G$13:$G$64,MATCH($A87,Вводные!$A$13:$A$64,0)),0))</f>
        <v>200000</v>
      </c>
      <c r="IL87" s="14" t="n">
        <f aca="false">INDEX(Вводные!$D$13:$F$64,MATCH($A87,Вводные!$A$13:$A$64,0),MATCH(IL$3,Вводные!$D$11:$F$11,0))*(1+IF(IL$4=$A87,Вводные!$D$5*INDEX(Вводные!$G$13:$G$64,MATCH($A87,Вводные!$A$13:$A$64,0)),0))</f>
        <v>200000</v>
      </c>
      <c r="IM87" s="14" t="n">
        <f aca="false">INDEX(Вводные!$D$13:$F$64,MATCH($A87,Вводные!$A$13:$A$64,0),MATCH(IM$3,Вводные!$D$11:$F$11,0))*(1+IF(IM$4=$A87,Вводные!$D$5*INDEX(Вводные!$G$13:$G$64,MATCH($A87,Вводные!$A$13:$A$64,0)),0))</f>
        <v>200000</v>
      </c>
      <c r="IN87" s="14" t="n">
        <f aca="false">INDEX(Вводные!$D$13:$F$64,MATCH($A87,Вводные!$A$13:$A$64,0),MATCH(IN$3,Вводные!$D$11:$F$11,0))*(1+IF(IN$4=$A87,Вводные!$D$5*INDEX(Вводные!$G$13:$G$64,MATCH($A87,Вводные!$A$13:$A$64,0)),0))</f>
        <v>200000</v>
      </c>
      <c r="IO87" s="14" t="n">
        <f aca="false">INDEX(Вводные!$D$13:$F$64,MATCH($A87,Вводные!$A$13:$A$64,0),MATCH(IO$3,Вводные!$D$11:$F$11,0))*(1+IF(IO$4=$A87,Вводные!$D$5*INDEX(Вводные!$G$13:$G$64,MATCH($A87,Вводные!$A$13:$A$64,0)),0))</f>
        <v>200000</v>
      </c>
      <c r="IP87" s="14" t="n">
        <f aca="false">INDEX(Вводные!$D$13:$F$64,MATCH($A87,Вводные!$A$13:$A$64,0),MATCH(IP$3,Вводные!$D$11:$F$11,0))*(1+IF(IP$4=$A87,Вводные!$D$5*INDEX(Вводные!$G$13:$G$64,MATCH($A87,Вводные!$A$13:$A$64,0)),0))</f>
        <v>200000</v>
      </c>
      <c r="IQ87" s="14" t="n">
        <f aca="false">INDEX(Вводные!$D$13:$F$64,MATCH($A87,Вводные!$A$13:$A$64,0),MATCH(IQ$3,Вводные!$D$11:$F$11,0))*(1+IF(IQ$4=$A87,Вводные!$D$5*INDEX(Вводные!$G$13:$G$64,MATCH($A87,Вводные!$A$13:$A$64,0)),0))</f>
        <v>200000</v>
      </c>
      <c r="IR87" s="14" t="n">
        <f aca="false">INDEX(Вводные!$D$13:$F$64,MATCH($A87,Вводные!$A$13:$A$64,0),MATCH(IR$3,Вводные!$D$11:$F$11,0))*(1+IF(IR$4=$A87,Вводные!$D$5*INDEX(Вводные!$G$13:$G$64,MATCH($A87,Вводные!$A$13:$A$64,0)),0))</f>
        <v>200000</v>
      </c>
      <c r="IS87" s="14" t="n">
        <f aca="false">INDEX(Вводные!$D$13:$F$64,MATCH($A87,Вводные!$A$13:$A$64,0),MATCH(IS$3,Вводные!$D$11:$F$11,0))*(1+IF(IS$4=$A87,Вводные!$D$5*INDEX(Вводные!$G$13:$G$64,MATCH($A87,Вводные!$A$13:$A$64,0)),0))</f>
        <v>200000</v>
      </c>
      <c r="IT87" s="14" t="n">
        <f aca="false">INDEX(Вводные!$D$13:$F$64,MATCH($A87,Вводные!$A$13:$A$64,0),MATCH(IT$3,Вводные!$D$11:$F$11,0))*(1+IF(IT$4=$A87,Вводные!$D$5*INDEX(Вводные!$G$13:$G$64,MATCH($A87,Вводные!$A$13:$A$64,0)),0))</f>
        <v>200000</v>
      </c>
      <c r="IU87" s="14" t="n">
        <f aca="false">INDEX(Вводные!$D$13:$F$64,MATCH($A87,Вводные!$A$13:$A$64,0),MATCH(IU$3,Вводные!$D$11:$F$11,0))*(1+IF(IU$4=$A87,Вводные!$D$5*INDEX(Вводные!$G$13:$G$64,MATCH($A87,Вводные!$A$13:$A$64,0)),0))</f>
        <v>200000</v>
      </c>
      <c r="IV87" s="14" t="n">
        <f aca="false">INDEX(Вводные!$D$13:$F$64,MATCH($A87,Вводные!$A$13:$A$64,0),MATCH(IV$3,Вводные!$D$11:$F$11,0))*(1+IF(IV$4=$A87,Вводные!$D$5*INDEX(Вводные!$G$13:$G$64,MATCH($A87,Вводные!$A$13:$A$64,0)),0))</f>
        <v>200000</v>
      </c>
      <c r="IW87" s="14" t="n">
        <f aca="false">INDEX(Вводные!$D$13:$F$64,MATCH($A87,Вводные!$A$13:$A$64,0),MATCH(IW$3,Вводные!$D$11:$F$11,0))*(1+IF(IW$4=$A87,Вводные!$D$5*INDEX(Вводные!$G$13:$G$64,MATCH($A87,Вводные!$A$13:$A$64,0)),0))</f>
        <v>200000</v>
      </c>
      <c r="IX87" s="14" t="n">
        <f aca="false">INDEX(Вводные!$D$13:$F$64,MATCH($A87,Вводные!$A$13:$A$64,0),MATCH(IX$3,Вводные!$D$11:$F$11,0))*(1+IF(IX$4=$A87,Вводные!$D$5*INDEX(Вводные!$G$13:$G$64,MATCH($A87,Вводные!$A$13:$A$64,0)),0))</f>
        <v>200000</v>
      </c>
      <c r="IY87" s="14" t="n">
        <f aca="false">INDEX(Вводные!$D$13:$F$64,MATCH($A87,Вводные!$A$13:$A$64,0),MATCH(IY$3,Вводные!$D$11:$F$11,0))*(1+IF(IY$4=$A87,Вводные!$D$5*INDEX(Вводные!$G$13:$G$64,MATCH($A87,Вводные!$A$13:$A$64,0)),0))</f>
        <v>200000</v>
      </c>
      <c r="IZ87" s="14" t="n">
        <f aca="false">INDEX(Вводные!$D$13:$F$64,MATCH($A87,Вводные!$A$13:$A$64,0),MATCH(IZ$3,Вводные!$D$11:$F$11,0))*(1+IF(IZ$4=$A87,Вводные!$D$5*INDEX(Вводные!$G$13:$G$64,MATCH($A87,Вводные!$A$13:$A$64,0)),0))</f>
        <v>200000</v>
      </c>
      <c r="JA87" s="14" t="n">
        <f aca="false">INDEX(Вводные!$D$13:$F$64,MATCH($A87,Вводные!$A$13:$A$64,0),MATCH(JA$3,Вводные!$D$11:$F$11,0))*(1+IF(JA$4=$A87,Вводные!$D$5*INDEX(Вводные!$G$13:$G$64,MATCH($A87,Вводные!$A$13:$A$64,0)),0))</f>
        <v>198000</v>
      </c>
    </row>
    <row r="88" customFormat="false" ht="15" hidden="false" customHeight="false" outlineLevel="0" collapsed="false">
      <c r="A88" s="2" t="s">
        <v>127</v>
      </c>
      <c r="B88" s="13" t="s">
        <v>128</v>
      </c>
      <c r="C88" s="13" t="s">
        <v>179</v>
      </c>
      <c r="D88" s="9" t="s">
        <v>297</v>
      </c>
      <c r="E88" s="59" t="n">
        <f aca="false">E87</f>
        <v>300000</v>
      </c>
      <c r="F88" s="59" t="n">
        <f aca="false">F87</f>
        <v>100000</v>
      </c>
      <c r="G88" s="59" t="n">
        <f aca="false">G87</f>
        <v>200000</v>
      </c>
      <c r="H88" s="59" t="n">
        <f aca="false">SUM(E88:G88)</f>
        <v>600000</v>
      </c>
      <c r="J88" s="59" t="n">
        <f aca="false">J87</f>
        <v>300000</v>
      </c>
      <c r="K88" s="59" t="n">
        <f aca="false">K87</f>
        <v>300000</v>
      </c>
      <c r="L88" s="59" t="n">
        <f aca="false">L87</f>
        <v>300000</v>
      </c>
      <c r="M88" s="59" t="n">
        <f aca="false">M87</f>
        <v>300000</v>
      </c>
      <c r="N88" s="59" t="n">
        <f aca="false">N87</f>
        <v>300000</v>
      </c>
      <c r="O88" s="59" t="n">
        <f aca="false">O87</f>
        <v>300000</v>
      </c>
      <c r="P88" s="59" t="n">
        <f aca="false">P87</f>
        <v>300000</v>
      </c>
      <c r="Q88" s="59" t="n">
        <f aca="false">Q87</f>
        <v>300000</v>
      </c>
      <c r="R88" s="59" t="n">
        <f aca="false">R87</f>
        <v>300000</v>
      </c>
      <c r="S88" s="59" t="n">
        <f aca="false">S87</f>
        <v>300000</v>
      </c>
      <c r="T88" s="59" t="n">
        <f aca="false">T87</f>
        <v>300000</v>
      </c>
      <c r="U88" s="59" t="n">
        <f aca="false">U87</f>
        <v>300000</v>
      </c>
      <c r="V88" s="59" t="n">
        <f aca="false">V87</f>
        <v>300000</v>
      </c>
      <c r="W88" s="59" t="n">
        <f aca="false">W87</f>
        <v>300000</v>
      </c>
      <c r="X88" s="59" t="n">
        <f aca="false">X87</f>
        <v>300000</v>
      </c>
      <c r="Y88" s="59" t="n">
        <f aca="false">Y87</f>
        <v>300000</v>
      </c>
      <c r="Z88" s="59" t="n">
        <f aca="false">Z87</f>
        <v>300000</v>
      </c>
      <c r="AA88" s="59" t="n">
        <f aca="false">AA87</f>
        <v>300000</v>
      </c>
      <c r="AB88" s="59" t="n">
        <f aca="false">AB87</f>
        <v>300000</v>
      </c>
      <c r="AC88" s="59" t="n">
        <f aca="false">AC87</f>
        <v>300000</v>
      </c>
      <c r="AD88" s="59" t="n">
        <f aca="false">AD87</f>
        <v>300000</v>
      </c>
      <c r="AE88" s="59" t="n">
        <f aca="false">AE87</f>
        <v>300000</v>
      </c>
      <c r="AF88" s="59" t="n">
        <f aca="false">AF87</f>
        <v>300000</v>
      </c>
      <c r="AG88" s="59" t="n">
        <f aca="false">AG87</f>
        <v>300000</v>
      </c>
      <c r="AH88" s="59" t="n">
        <f aca="false">AH87</f>
        <v>300000</v>
      </c>
      <c r="AI88" s="59" t="n">
        <f aca="false">AI87</f>
        <v>300000</v>
      </c>
      <c r="AJ88" s="59" t="n">
        <f aca="false">AJ87</f>
        <v>300000</v>
      </c>
      <c r="AK88" s="59" t="n">
        <f aca="false">AK87</f>
        <v>300000</v>
      </c>
      <c r="AL88" s="59" t="n">
        <f aca="false">AL87</f>
        <v>300000</v>
      </c>
      <c r="AM88" s="59" t="n">
        <f aca="false">AM87</f>
        <v>300000</v>
      </c>
      <c r="AN88" s="59" t="n">
        <f aca="false">AN87</f>
        <v>300000</v>
      </c>
      <c r="AO88" s="59" t="n">
        <f aca="false">AO87</f>
        <v>300000</v>
      </c>
      <c r="AP88" s="59" t="n">
        <f aca="false">AP87</f>
        <v>300000</v>
      </c>
      <c r="AQ88" s="59" t="n">
        <f aca="false">AQ87</f>
        <v>300000</v>
      </c>
      <c r="AR88" s="59" t="n">
        <f aca="false">AR87</f>
        <v>300000</v>
      </c>
      <c r="AS88" s="59" t="n">
        <f aca="false">AS87</f>
        <v>300000</v>
      </c>
      <c r="AT88" s="59" t="n">
        <f aca="false">AT87</f>
        <v>300000</v>
      </c>
      <c r="AU88" s="59" t="n">
        <f aca="false">AU87</f>
        <v>300000</v>
      </c>
      <c r="AV88" s="59" t="n">
        <f aca="false">AV87</f>
        <v>300000</v>
      </c>
      <c r="AW88" s="59" t="n">
        <f aca="false">AW87</f>
        <v>300000</v>
      </c>
      <c r="AX88" s="59" t="n">
        <f aca="false">AX87</f>
        <v>300000</v>
      </c>
      <c r="AY88" s="59" t="n">
        <f aca="false">AY87</f>
        <v>297000</v>
      </c>
      <c r="AZ88" s="59" t="n">
        <f aca="false">AZ87</f>
        <v>100000</v>
      </c>
      <c r="BA88" s="59" t="n">
        <f aca="false">BA87</f>
        <v>100000</v>
      </c>
      <c r="BB88" s="59" t="n">
        <f aca="false">BB87</f>
        <v>100000</v>
      </c>
      <c r="BC88" s="59" t="n">
        <f aca="false">BC87</f>
        <v>100000</v>
      </c>
      <c r="BD88" s="59" t="n">
        <f aca="false">BD87</f>
        <v>100000</v>
      </c>
      <c r="BE88" s="59" t="n">
        <f aca="false">BE87</f>
        <v>100000</v>
      </c>
      <c r="BF88" s="59" t="n">
        <f aca="false">BF87</f>
        <v>100000</v>
      </c>
      <c r="BG88" s="59" t="n">
        <f aca="false">BG87</f>
        <v>100000</v>
      </c>
      <c r="BH88" s="59" t="n">
        <f aca="false">BH87</f>
        <v>100000</v>
      </c>
      <c r="BI88" s="59" t="n">
        <f aca="false">BI87</f>
        <v>100000</v>
      </c>
      <c r="BJ88" s="59" t="n">
        <f aca="false">BJ87</f>
        <v>100000</v>
      </c>
      <c r="BK88" s="59" t="n">
        <f aca="false">BK87</f>
        <v>100000</v>
      </c>
      <c r="BL88" s="59" t="n">
        <f aca="false">BL87</f>
        <v>100000</v>
      </c>
      <c r="BM88" s="59" t="n">
        <f aca="false">BM87</f>
        <v>100000</v>
      </c>
      <c r="BN88" s="59" t="n">
        <f aca="false">BN87</f>
        <v>100000</v>
      </c>
      <c r="BO88" s="59" t="n">
        <f aca="false">BO87</f>
        <v>100000</v>
      </c>
      <c r="BP88" s="59" t="n">
        <f aca="false">BP87</f>
        <v>100000</v>
      </c>
      <c r="BQ88" s="59" t="n">
        <f aca="false">BQ87</f>
        <v>100000</v>
      </c>
      <c r="BR88" s="59" t="n">
        <f aca="false">BR87</f>
        <v>100000</v>
      </c>
      <c r="BS88" s="59" t="n">
        <f aca="false">BS87</f>
        <v>100000</v>
      </c>
      <c r="BT88" s="59" t="n">
        <f aca="false">BT87</f>
        <v>100000</v>
      </c>
      <c r="BU88" s="59" t="n">
        <f aca="false">BU87</f>
        <v>100000</v>
      </c>
      <c r="BV88" s="59" t="n">
        <f aca="false">BV87</f>
        <v>100000</v>
      </c>
      <c r="BW88" s="59" t="n">
        <f aca="false">BW87</f>
        <v>100000</v>
      </c>
      <c r="BX88" s="59" t="n">
        <f aca="false">BX87</f>
        <v>100000</v>
      </c>
      <c r="BY88" s="59" t="n">
        <f aca="false">BY87</f>
        <v>100000</v>
      </c>
      <c r="BZ88" s="59" t="n">
        <f aca="false">BZ87</f>
        <v>100000</v>
      </c>
      <c r="CA88" s="59" t="n">
        <f aca="false">CA87</f>
        <v>100000</v>
      </c>
      <c r="CB88" s="59" t="n">
        <f aca="false">CB87</f>
        <v>100000</v>
      </c>
      <c r="CC88" s="59" t="n">
        <f aca="false">CC87</f>
        <v>100000</v>
      </c>
      <c r="CD88" s="59" t="n">
        <f aca="false">CD87</f>
        <v>100000</v>
      </c>
      <c r="CE88" s="59" t="n">
        <f aca="false">CE87</f>
        <v>100000</v>
      </c>
      <c r="CF88" s="59" t="n">
        <f aca="false">CF87</f>
        <v>100000</v>
      </c>
      <c r="CG88" s="59" t="n">
        <f aca="false">CG87</f>
        <v>100000</v>
      </c>
      <c r="CH88" s="59" t="n">
        <f aca="false">CH87</f>
        <v>100000</v>
      </c>
      <c r="CI88" s="59" t="n">
        <f aca="false">CI87</f>
        <v>100000</v>
      </c>
      <c r="CJ88" s="59" t="n">
        <f aca="false">CJ87</f>
        <v>100000</v>
      </c>
      <c r="CK88" s="59" t="n">
        <f aca="false">CK87</f>
        <v>100000</v>
      </c>
      <c r="CL88" s="59" t="n">
        <f aca="false">CL87</f>
        <v>100000</v>
      </c>
      <c r="CM88" s="59" t="n">
        <f aca="false">CM87</f>
        <v>100000</v>
      </c>
      <c r="CN88" s="59" t="n">
        <f aca="false">CN87</f>
        <v>100000</v>
      </c>
      <c r="CO88" s="59" t="n">
        <f aca="false">CO87</f>
        <v>99000</v>
      </c>
      <c r="CP88" s="59" t="n">
        <f aca="false">CP87</f>
        <v>200000</v>
      </c>
      <c r="CQ88" s="59" t="n">
        <f aca="false">CQ87</f>
        <v>200000</v>
      </c>
      <c r="CR88" s="59" t="n">
        <f aca="false">CR87</f>
        <v>200000</v>
      </c>
      <c r="CS88" s="59" t="n">
        <f aca="false">CS87</f>
        <v>200000</v>
      </c>
      <c r="CT88" s="59" t="n">
        <f aca="false">CT87</f>
        <v>200000</v>
      </c>
      <c r="CU88" s="59" t="n">
        <f aca="false">CU87</f>
        <v>200000</v>
      </c>
      <c r="CV88" s="59" t="n">
        <f aca="false">CV87</f>
        <v>200000</v>
      </c>
      <c r="CW88" s="59" t="n">
        <f aca="false">CW87</f>
        <v>200000</v>
      </c>
      <c r="CX88" s="59" t="n">
        <f aca="false">CX87</f>
        <v>200000</v>
      </c>
      <c r="CY88" s="59" t="n">
        <f aca="false">CY87</f>
        <v>200000</v>
      </c>
      <c r="CZ88" s="59" t="n">
        <f aca="false">CZ87</f>
        <v>200000</v>
      </c>
      <c r="DA88" s="59" t="n">
        <f aca="false">DA87</f>
        <v>200000</v>
      </c>
      <c r="DB88" s="59" t="n">
        <f aca="false">DB87</f>
        <v>200000</v>
      </c>
      <c r="DC88" s="59" t="n">
        <f aca="false">DC87</f>
        <v>200000</v>
      </c>
      <c r="DD88" s="59" t="n">
        <f aca="false">DD87</f>
        <v>200000</v>
      </c>
      <c r="DE88" s="59" t="n">
        <f aca="false">DE87</f>
        <v>200000</v>
      </c>
      <c r="DF88" s="59" t="n">
        <f aca="false">DF87</f>
        <v>200000</v>
      </c>
      <c r="DG88" s="59" t="n">
        <f aca="false">DG87</f>
        <v>200000</v>
      </c>
      <c r="DH88" s="59" t="n">
        <f aca="false">DH87</f>
        <v>200000</v>
      </c>
      <c r="DI88" s="59" t="n">
        <f aca="false">DI87</f>
        <v>200000</v>
      </c>
      <c r="DJ88" s="59" t="n">
        <f aca="false">DJ87</f>
        <v>200000</v>
      </c>
      <c r="DK88" s="59" t="n">
        <f aca="false">DK87</f>
        <v>200000</v>
      </c>
      <c r="DL88" s="59" t="n">
        <f aca="false">DL87</f>
        <v>200000</v>
      </c>
      <c r="DM88" s="59" t="n">
        <f aca="false">DM87</f>
        <v>200000</v>
      </c>
      <c r="DN88" s="59" t="n">
        <f aca="false">DN87</f>
        <v>200000</v>
      </c>
      <c r="DO88" s="59" t="n">
        <f aca="false">DO87</f>
        <v>200000</v>
      </c>
      <c r="DP88" s="59" t="n">
        <f aca="false">DP87</f>
        <v>200000</v>
      </c>
      <c r="DQ88" s="59" t="n">
        <f aca="false">DQ87</f>
        <v>200000</v>
      </c>
      <c r="DR88" s="59" t="n">
        <f aca="false">DR87</f>
        <v>200000</v>
      </c>
      <c r="DS88" s="59" t="n">
        <f aca="false">DS87</f>
        <v>200000</v>
      </c>
      <c r="DT88" s="59" t="n">
        <f aca="false">DT87</f>
        <v>200000</v>
      </c>
      <c r="DU88" s="59" t="n">
        <f aca="false">DU87</f>
        <v>200000</v>
      </c>
      <c r="DV88" s="59" t="n">
        <f aca="false">DV87</f>
        <v>200000</v>
      </c>
      <c r="DW88" s="59" t="n">
        <f aca="false">DW87</f>
        <v>200000</v>
      </c>
      <c r="DX88" s="59" t="n">
        <f aca="false">DX87</f>
        <v>200000</v>
      </c>
      <c r="DY88" s="59" t="n">
        <f aca="false">DY87</f>
        <v>200000</v>
      </c>
      <c r="DZ88" s="59" t="n">
        <f aca="false">DZ87</f>
        <v>200000</v>
      </c>
      <c r="EA88" s="59" t="n">
        <f aca="false">EA87</f>
        <v>200000</v>
      </c>
      <c r="EB88" s="59" t="n">
        <f aca="false">EB87</f>
        <v>200000</v>
      </c>
      <c r="EC88" s="59" t="n">
        <f aca="false">EC87</f>
        <v>200000</v>
      </c>
      <c r="ED88" s="59" t="n">
        <f aca="false">ED87</f>
        <v>200000</v>
      </c>
      <c r="EE88" s="59" t="n">
        <f aca="false">EE87</f>
        <v>198000</v>
      </c>
      <c r="EF88" s="59" t="n">
        <f aca="false">EF87</f>
        <v>300000</v>
      </c>
      <c r="EG88" s="59" t="n">
        <f aca="false">EG87</f>
        <v>300000</v>
      </c>
      <c r="EH88" s="59" t="n">
        <f aca="false">EH87</f>
        <v>300000</v>
      </c>
      <c r="EI88" s="59" t="n">
        <f aca="false">EI87</f>
        <v>300000</v>
      </c>
      <c r="EJ88" s="59" t="n">
        <f aca="false">EJ87</f>
        <v>300000</v>
      </c>
      <c r="EK88" s="59" t="n">
        <f aca="false">EK87</f>
        <v>300000</v>
      </c>
      <c r="EL88" s="59" t="n">
        <f aca="false">EL87</f>
        <v>300000</v>
      </c>
      <c r="EM88" s="59" t="n">
        <f aca="false">EM87</f>
        <v>300000</v>
      </c>
      <c r="EN88" s="59" t="n">
        <f aca="false">EN87</f>
        <v>300000</v>
      </c>
      <c r="EO88" s="59" t="n">
        <f aca="false">EO87</f>
        <v>300000</v>
      </c>
      <c r="EP88" s="59" t="n">
        <f aca="false">EP87</f>
        <v>300000</v>
      </c>
      <c r="EQ88" s="59" t="n">
        <f aca="false">EQ87</f>
        <v>300000</v>
      </c>
      <c r="ER88" s="59" t="n">
        <f aca="false">ER87</f>
        <v>300000</v>
      </c>
      <c r="ES88" s="59" t="n">
        <f aca="false">ES87</f>
        <v>300000</v>
      </c>
      <c r="ET88" s="59" t="n">
        <f aca="false">ET87</f>
        <v>300000</v>
      </c>
      <c r="EU88" s="59" t="n">
        <f aca="false">EU87</f>
        <v>300000</v>
      </c>
      <c r="EV88" s="59" t="n">
        <f aca="false">EV87</f>
        <v>300000</v>
      </c>
      <c r="EW88" s="59" t="n">
        <f aca="false">EW87</f>
        <v>300000</v>
      </c>
      <c r="EX88" s="59" t="n">
        <f aca="false">EX87</f>
        <v>300000</v>
      </c>
      <c r="EY88" s="59" t="n">
        <f aca="false">EY87</f>
        <v>300000</v>
      </c>
      <c r="EZ88" s="59" t="n">
        <f aca="false">EZ87</f>
        <v>300000</v>
      </c>
      <c r="FA88" s="59" t="n">
        <f aca="false">FA87</f>
        <v>300000</v>
      </c>
      <c r="FB88" s="59" t="n">
        <f aca="false">FB87</f>
        <v>300000</v>
      </c>
      <c r="FC88" s="59" t="n">
        <f aca="false">FC87</f>
        <v>300000</v>
      </c>
      <c r="FD88" s="59" t="n">
        <f aca="false">FD87</f>
        <v>300000</v>
      </c>
      <c r="FE88" s="59" t="n">
        <f aca="false">FE87</f>
        <v>300000</v>
      </c>
      <c r="FF88" s="59" t="n">
        <f aca="false">FF87</f>
        <v>300000</v>
      </c>
      <c r="FG88" s="59" t="n">
        <f aca="false">FG87</f>
        <v>300000</v>
      </c>
      <c r="FH88" s="59" t="n">
        <f aca="false">FH87</f>
        <v>300000</v>
      </c>
      <c r="FI88" s="59" t="n">
        <f aca="false">FI87</f>
        <v>300000</v>
      </c>
      <c r="FJ88" s="59" t="n">
        <f aca="false">FJ87</f>
        <v>300000</v>
      </c>
      <c r="FK88" s="59" t="n">
        <f aca="false">FK87</f>
        <v>300000</v>
      </c>
      <c r="FL88" s="59" t="n">
        <f aca="false">FL87</f>
        <v>300000</v>
      </c>
      <c r="FM88" s="59" t="n">
        <f aca="false">FM87</f>
        <v>300000</v>
      </c>
      <c r="FN88" s="59" t="n">
        <f aca="false">FN87</f>
        <v>300000</v>
      </c>
      <c r="FO88" s="59" t="n">
        <f aca="false">FO87</f>
        <v>300000</v>
      </c>
      <c r="FP88" s="59" t="n">
        <f aca="false">FP87</f>
        <v>300000</v>
      </c>
      <c r="FQ88" s="59" t="n">
        <f aca="false">FQ87</f>
        <v>300000</v>
      </c>
      <c r="FR88" s="59" t="n">
        <f aca="false">FR87</f>
        <v>300000</v>
      </c>
      <c r="FS88" s="59" t="n">
        <f aca="false">FS87</f>
        <v>300000</v>
      </c>
      <c r="FT88" s="59" t="n">
        <f aca="false">FT87</f>
        <v>300000</v>
      </c>
      <c r="FU88" s="59" t="n">
        <f aca="false">FU87</f>
        <v>297000</v>
      </c>
      <c r="FV88" s="59" t="n">
        <f aca="false">FV87</f>
        <v>100000</v>
      </c>
      <c r="FW88" s="59" t="n">
        <f aca="false">FW87</f>
        <v>100000</v>
      </c>
      <c r="FX88" s="59" t="n">
        <f aca="false">FX87</f>
        <v>100000</v>
      </c>
      <c r="FY88" s="59" t="n">
        <f aca="false">FY87</f>
        <v>100000</v>
      </c>
      <c r="FZ88" s="59" t="n">
        <f aca="false">FZ87</f>
        <v>100000</v>
      </c>
      <c r="GA88" s="59" t="n">
        <f aca="false">GA87</f>
        <v>100000</v>
      </c>
      <c r="GB88" s="59" t="n">
        <f aca="false">GB87</f>
        <v>100000</v>
      </c>
      <c r="GC88" s="59" t="n">
        <f aca="false">GC87</f>
        <v>100000</v>
      </c>
      <c r="GD88" s="59" t="n">
        <f aca="false">GD87</f>
        <v>100000</v>
      </c>
      <c r="GE88" s="59" t="n">
        <f aca="false">GE87</f>
        <v>100000</v>
      </c>
      <c r="GF88" s="59" t="n">
        <f aca="false">GF87</f>
        <v>100000</v>
      </c>
      <c r="GG88" s="59" t="n">
        <f aca="false">GG87</f>
        <v>100000</v>
      </c>
      <c r="GH88" s="59" t="n">
        <f aca="false">GH87</f>
        <v>100000</v>
      </c>
      <c r="GI88" s="59" t="n">
        <f aca="false">GI87</f>
        <v>100000</v>
      </c>
      <c r="GJ88" s="59" t="n">
        <f aca="false">GJ87</f>
        <v>100000</v>
      </c>
      <c r="GK88" s="59" t="n">
        <f aca="false">GK87</f>
        <v>100000</v>
      </c>
      <c r="GL88" s="59" t="n">
        <f aca="false">GL87</f>
        <v>100000</v>
      </c>
      <c r="GM88" s="59" t="n">
        <f aca="false">GM87</f>
        <v>100000</v>
      </c>
      <c r="GN88" s="59" t="n">
        <f aca="false">GN87</f>
        <v>100000</v>
      </c>
      <c r="GO88" s="59" t="n">
        <f aca="false">GO87</f>
        <v>100000</v>
      </c>
      <c r="GP88" s="59" t="n">
        <f aca="false">GP87</f>
        <v>100000</v>
      </c>
      <c r="GQ88" s="59" t="n">
        <f aca="false">GQ87</f>
        <v>100000</v>
      </c>
      <c r="GR88" s="59" t="n">
        <f aca="false">GR87</f>
        <v>100000</v>
      </c>
      <c r="GS88" s="59" t="n">
        <f aca="false">GS87</f>
        <v>100000</v>
      </c>
      <c r="GT88" s="59" t="n">
        <f aca="false">GT87</f>
        <v>100000</v>
      </c>
      <c r="GU88" s="59" t="n">
        <f aca="false">GU87</f>
        <v>100000</v>
      </c>
      <c r="GV88" s="59" t="n">
        <f aca="false">GV87</f>
        <v>100000</v>
      </c>
      <c r="GW88" s="59" t="n">
        <f aca="false">GW87</f>
        <v>100000</v>
      </c>
      <c r="GX88" s="59" t="n">
        <f aca="false">GX87</f>
        <v>100000</v>
      </c>
      <c r="GY88" s="59" t="n">
        <f aca="false">GY87</f>
        <v>100000</v>
      </c>
      <c r="GZ88" s="59" t="n">
        <f aca="false">GZ87</f>
        <v>100000</v>
      </c>
      <c r="HA88" s="59" t="n">
        <f aca="false">HA87</f>
        <v>100000</v>
      </c>
      <c r="HB88" s="59" t="n">
        <f aca="false">HB87</f>
        <v>100000</v>
      </c>
      <c r="HC88" s="59" t="n">
        <f aca="false">HC87</f>
        <v>100000</v>
      </c>
      <c r="HD88" s="59" t="n">
        <f aca="false">HD87</f>
        <v>100000</v>
      </c>
      <c r="HE88" s="59" t="n">
        <f aca="false">HE87</f>
        <v>100000</v>
      </c>
      <c r="HF88" s="59" t="n">
        <f aca="false">HF87</f>
        <v>100000</v>
      </c>
      <c r="HG88" s="59" t="n">
        <f aca="false">HG87</f>
        <v>100000</v>
      </c>
      <c r="HH88" s="59" t="n">
        <f aca="false">HH87</f>
        <v>100000</v>
      </c>
      <c r="HI88" s="59" t="n">
        <f aca="false">HI87</f>
        <v>100000</v>
      </c>
      <c r="HJ88" s="59" t="n">
        <f aca="false">HJ87</f>
        <v>100000</v>
      </c>
      <c r="HK88" s="59" t="n">
        <f aca="false">HK87</f>
        <v>99000</v>
      </c>
      <c r="HL88" s="59" t="n">
        <f aca="false">HL87</f>
        <v>200000</v>
      </c>
      <c r="HM88" s="59" t="n">
        <f aca="false">HM87</f>
        <v>200000</v>
      </c>
      <c r="HN88" s="59" t="n">
        <f aca="false">HN87</f>
        <v>200000</v>
      </c>
      <c r="HO88" s="59" t="n">
        <f aca="false">HO87</f>
        <v>200000</v>
      </c>
      <c r="HP88" s="59" t="n">
        <f aca="false">HP87</f>
        <v>200000</v>
      </c>
      <c r="HQ88" s="59" t="n">
        <f aca="false">HQ87</f>
        <v>200000</v>
      </c>
      <c r="HR88" s="59" t="n">
        <f aca="false">HR87</f>
        <v>200000</v>
      </c>
      <c r="HS88" s="59" t="n">
        <f aca="false">HS87</f>
        <v>200000</v>
      </c>
      <c r="HT88" s="59" t="n">
        <f aca="false">HT87</f>
        <v>200000</v>
      </c>
      <c r="HU88" s="59" t="n">
        <f aca="false">HU87</f>
        <v>200000</v>
      </c>
      <c r="HV88" s="59" t="n">
        <f aca="false">HV87</f>
        <v>200000</v>
      </c>
      <c r="HW88" s="59" t="n">
        <f aca="false">HW87</f>
        <v>200000</v>
      </c>
      <c r="HX88" s="59" t="n">
        <f aca="false">HX87</f>
        <v>200000</v>
      </c>
      <c r="HY88" s="59" t="n">
        <f aca="false">HY87</f>
        <v>200000</v>
      </c>
      <c r="HZ88" s="59" t="n">
        <f aca="false">HZ87</f>
        <v>200000</v>
      </c>
      <c r="IA88" s="59" t="n">
        <f aca="false">IA87</f>
        <v>200000</v>
      </c>
      <c r="IB88" s="59" t="n">
        <f aca="false">IB87</f>
        <v>200000</v>
      </c>
      <c r="IC88" s="59" t="n">
        <f aca="false">IC87</f>
        <v>200000</v>
      </c>
      <c r="ID88" s="59" t="n">
        <f aca="false">ID87</f>
        <v>200000</v>
      </c>
      <c r="IE88" s="59" t="n">
        <f aca="false">IE87</f>
        <v>200000</v>
      </c>
      <c r="IF88" s="59" t="n">
        <f aca="false">IF87</f>
        <v>200000</v>
      </c>
      <c r="IG88" s="59" t="n">
        <f aca="false">IG87</f>
        <v>200000</v>
      </c>
      <c r="IH88" s="59" t="n">
        <f aca="false">IH87</f>
        <v>200000</v>
      </c>
      <c r="II88" s="59" t="n">
        <f aca="false">II87</f>
        <v>200000</v>
      </c>
      <c r="IJ88" s="59" t="n">
        <f aca="false">IJ87</f>
        <v>200000</v>
      </c>
      <c r="IK88" s="59" t="n">
        <f aca="false">IK87</f>
        <v>200000</v>
      </c>
      <c r="IL88" s="59" t="n">
        <f aca="false">IL87</f>
        <v>200000</v>
      </c>
      <c r="IM88" s="59" t="n">
        <f aca="false">IM87</f>
        <v>200000</v>
      </c>
      <c r="IN88" s="59" t="n">
        <f aca="false">IN87</f>
        <v>200000</v>
      </c>
      <c r="IO88" s="59" t="n">
        <f aca="false">IO87</f>
        <v>200000</v>
      </c>
      <c r="IP88" s="59" t="n">
        <f aca="false">IP87</f>
        <v>200000</v>
      </c>
      <c r="IQ88" s="59" t="n">
        <f aca="false">IQ87</f>
        <v>200000</v>
      </c>
      <c r="IR88" s="59" t="n">
        <f aca="false">IR87</f>
        <v>200000</v>
      </c>
      <c r="IS88" s="59" t="n">
        <f aca="false">IS87</f>
        <v>200000</v>
      </c>
      <c r="IT88" s="59" t="n">
        <f aca="false">IT87</f>
        <v>200000</v>
      </c>
      <c r="IU88" s="59" t="n">
        <f aca="false">IU87</f>
        <v>200000</v>
      </c>
      <c r="IV88" s="59" t="n">
        <f aca="false">IV87</f>
        <v>200000</v>
      </c>
      <c r="IW88" s="59" t="n">
        <f aca="false">IW87</f>
        <v>200000</v>
      </c>
      <c r="IX88" s="59" t="n">
        <f aca="false">IX87</f>
        <v>200000</v>
      </c>
      <c r="IY88" s="59" t="n">
        <f aca="false">IY87</f>
        <v>200000</v>
      </c>
      <c r="IZ88" s="59" t="n">
        <f aca="false">IZ87</f>
        <v>200000</v>
      </c>
      <c r="JA88" s="59" t="n">
        <f aca="false">JA87</f>
        <v>198000</v>
      </c>
    </row>
    <row r="89" customFormat="false" ht="15" hidden="false" customHeight="false" outlineLevel="0" collapsed="false">
      <c r="A89" s="16" t="s">
        <v>129</v>
      </c>
      <c r="B89" s="16" t="s">
        <v>130</v>
      </c>
      <c r="C89" s="26" t="s">
        <v>179</v>
      </c>
      <c r="D89" s="24" t="s">
        <v>293</v>
      </c>
      <c r="E89" s="62" t="n">
        <f aca="false">E86+E88</f>
        <v>1314250</v>
      </c>
      <c r="F89" s="62" t="n">
        <f aca="false">F86+F88</f>
        <v>553300</v>
      </c>
      <c r="G89" s="62" t="n">
        <f aca="false">G86+G88</f>
        <v>602000</v>
      </c>
      <c r="H89" s="62" t="n">
        <f aca="false">SUM(E89:G89)</f>
        <v>2469550</v>
      </c>
      <c r="J89" s="59" t="n">
        <f aca="false">J86+J88</f>
        <v>1314250</v>
      </c>
      <c r="K89" s="59" t="n">
        <f aca="false">K86+K88</f>
        <v>1314992.5</v>
      </c>
      <c r="L89" s="59" t="n">
        <f aca="false">L86+L88</f>
        <v>1314992.5</v>
      </c>
      <c r="M89" s="59" t="n">
        <f aca="false">M86+M88</f>
        <v>1314992.5</v>
      </c>
      <c r="N89" s="59" t="n">
        <f aca="false">N86+N88</f>
        <v>1314850</v>
      </c>
      <c r="O89" s="59" t="n">
        <f aca="false">O86+O88</f>
        <v>1314250</v>
      </c>
      <c r="P89" s="59" t="n">
        <f aca="false">P86+P88</f>
        <v>1314250</v>
      </c>
      <c r="Q89" s="59" t="n">
        <f aca="false">Q86+Q88</f>
        <v>1314250</v>
      </c>
      <c r="R89" s="59" t="n">
        <f aca="false">R86+R88</f>
        <v>1314250</v>
      </c>
      <c r="S89" s="59" t="n">
        <f aca="false">S86+S88</f>
        <v>1314250</v>
      </c>
      <c r="T89" s="59" t="n">
        <f aca="false">T86+T88</f>
        <v>1314250</v>
      </c>
      <c r="U89" s="59" t="n">
        <f aca="false">U86+U88</f>
        <v>1314250</v>
      </c>
      <c r="V89" s="59" t="n">
        <f aca="false">V86+V88</f>
        <v>1314250</v>
      </c>
      <c r="W89" s="59" t="n">
        <f aca="false">W86+W88</f>
        <v>1314250</v>
      </c>
      <c r="X89" s="59" t="n">
        <f aca="false">X86+X88</f>
        <v>1324392.5</v>
      </c>
      <c r="Y89" s="59" t="n">
        <f aca="false">Y86+Y88</f>
        <v>1324392.5</v>
      </c>
      <c r="Z89" s="59" t="n">
        <f aca="false">Z86+Z88</f>
        <v>1314250</v>
      </c>
      <c r="AA89" s="59" t="n">
        <f aca="false">AA86+AA88</f>
        <v>1314250</v>
      </c>
      <c r="AB89" s="59" t="n">
        <f aca="false">AB86+AB88</f>
        <v>1304107.5</v>
      </c>
      <c r="AC89" s="59" t="n">
        <f aca="false">AC86+AC88</f>
        <v>1314250</v>
      </c>
      <c r="AD89" s="59" t="n">
        <f aca="false">AD86+AD88</f>
        <v>1314250</v>
      </c>
      <c r="AE89" s="59" t="n">
        <f aca="false">AE86+AE88</f>
        <v>1314250</v>
      </c>
      <c r="AF89" s="59" t="n">
        <f aca="false">AF86+AF88</f>
        <v>1314250</v>
      </c>
      <c r="AG89" s="59" t="n">
        <f aca="false">AG86+AG88</f>
        <v>1314250</v>
      </c>
      <c r="AH89" s="59" t="n">
        <f aca="false">AH86+AH88</f>
        <v>1314250</v>
      </c>
      <c r="AI89" s="59" t="n">
        <f aca="false">AI86+AI88</f>
        <v>1314250</v>
      </c>
      <c r="AJ89" s="59" t="n">
        <f aca="false">AJ86+AJ88</f>
        <v>1314250</v>
      </c>
      <c r="AK89" s="59" t="n">
        <f aca="false">AK86+AK88</f>
        <v>1314250</v>
      </c>
      <c r="AL89" s="59" t="n">
        <f aca="false">AL86+AL88</f>
        <v>1314250</v>
      </c>
      <c r="AM89" s="59" t="n">
        <f aca="false">AM86+AM88</f>
        <v>1314250</v>
      </c>
      <c r="AN89" s="59" t="n">
        <f aca="false">AN86+AN88</f>
        <v>1314250</v>
      </c>
      <c r="AO89" s="59" t="n">
        <f aca="false">AO86+AO88</f>
        <v>1314250</v>
      </c>
      <c r="AP89" s="59" t="n">
        <f aca="false">AP86+AP88</f>
        <v>1314250</v>
      </c>
      <c r="AQ89" s="59" t="n">
        <f aca="false">AQ86+AQ88</f>
        <v>1314250</v>
      </c>
      <c r="AR89" s="59" t="n">
        <f aca="false">AR86+AR88</f>
        <v>1314250</v>
      </c>
      <c r="AS89" s="59" t="n">
        <f aca="false">AS86+AS88</f>
        <v>1314250</v>
      </c>
      <c r="AT89" s="59" t="n">
        <f aca="false">AT86+AT88</f>
        <v>1314250</v>
      </c>
      <c r="AU89" s="59" t="n">
        <f aca="false">AU86+AU88</f>
        <v>1314250</v>
      </c>
      <c r="AV89" s="59" t="n">
        <f aca="false">AV86+AV88</f>
        <v>1314250</v>
      </c>
      <c r="AW89" s="59" t="n">
        <f aca="false">AW86+AW88</f>
        <v>1314250</v>
      </c>
      <c r="AX89" s="59" t="n">
        <f aca="false">AX86+AX88</f>
        <v>1314250</v>
      </c>
      <c r="AY89" s="59" t="n">
        <f aca="false">AY86+AY88</f>
        <v>1311250</v>
      </c>
      <c r="AZ89" s="59" t="n">
        <f aca="false">AZ86+AZ88</f>
        <v>553300</v>
      </c>
      <c r="BA89" s="59" t="n">
        <f aca="false">BA86+BA88</f>
        <v>553468</v>
      </c>
      <c r="BB89" s="59" t="n">
        <f aca="false">BB86+BB88</f>
        <v>553468</v>
      </c>
      <c r="BC89" s="59" t="n">
        <f aca="false">BC86+BC88</f>
        <v>553468</v>
      </c>
      <c r="BD89" s="59" t="n">
        <f aca="false">BD86+BD88</f>
        <v>553435</v>
      </c>
      <c r="BE89" s="59" t="n">
        <f aca="false">BE86+BE88</f>
        <v>553300</v>
      </c>
      <c r="BF89" s="59" t="n">
        <f aca="false">BF86+BF88</f>
        <v>553300</v>
      </c>
      <c r="BG89" s="59" t="n">
        <f aca="false">BG86+BG88</f>
        <v>553300</v>
      </c>
      <c r="BH89" s="59" t="n">
        <f aca="false">BH86+BH88</f>
        <v>553300</v>
      </c>
      <c r="BI89" s="59" t="n">
        <f aca="false">BI86+BI88</f>
        <v>553300</v>
      </c>
      <c r="BJ89" s="59" t="n">
        <f aca="false">BJ86+BJ88</f>
        <v>553300</v>
      </c>
      <c r="BK89" s="59" t="n">
        <f aca="false">BK86+BK88</f>
        <v>553300</v>
      </c>
      <c r="BL89" s="59" t="n">
        <f aca="false">BL86+BL88</f>
        <v>553300</v>
      </c>
      <c r="BM89" s="59" t="n">
        <f aca="false">BM86+BM88</f>
        <v>553300</v>
      </c>
      <c r="BN89" s="59" t="n">
        <f aca="false">BN86+BN88</f>
        <v>557833</v>
      </c>
      <c r="BO89" s="59" t="n">
        <f aca="false">BO86+BO88</f>
        <v>557833</v>
      </c>
      <c r="BP89" s="59" t="n">
        <f aca="false">BP86+BP88</f>
        <v>553300</v>
      </c>
      <c r="BQ89" s="59" t="n">
        <f aca="false">BQ86+BQ88</f>
        <v>553300</v>
      </c>
      <c r="BR89" s="59" t="n">
        <f aca="false">BR86+BR88</f>
        <v>548767</v>
      </c>
      <c r="BS89" s="59" t="n">
        <f aca="false">BS86+BS88</f>
        <v>553300</v>
      </c>
      <c r="BT89" s="59" t="n">
        <f aca="false">BT86+BT88</f>
        <v>553300</v>
      </c>
      <c r="BU89" s="59" t="n">
        <f aca="false">BU86+BU88</f>
        <v>553300</v>
      </c>
      <c r="BV89" s="59" t="n">
        <f aca="false">BV86+BV88</f>
        <v>553300</v>
      </c>
      <c r="BW89" s="59" t="n">
        <f aca="false">BW86+BW88</f>
        <v>553300</v>
      </c>
      <c r="BX89" s="59" t="n">
        <f aca="false">BX86+BX88</f>
        <v>553300</v>
      </c>
      <c r="BY89" s="59" t="n">
        <f aca="false">BY86+BY88</f>
        <v>553300</v>
      </c>
      <c r="BZ89" s="59" t="n">
        <f aca="false">BZ86+BZ88</f>
        <v>553300</v>
      </c>
      <c r="CA89" s="59" t="n">
        <f aca="false">CA86+CA88</f>
        <v>553300</v>
      </c>
      <c r="CB89" s="59" t="n">
        <f aca="false">CB86+CB88</f>
        <v>553300</v>
      </c>
      <c r="CC89" s="59" t="n">
        <f aca="false">CC86+CC88</f>
        <v>553300</v>
      </c>
      <c r="CD89" s="59" t="n">
        <f aca="false">CD86+CD88</f>
        <v>553300</v>
      </c>
      <c r="CE89" s="59" t="n">
        <f aca="false">CE86+CE88</f>
        <v>553300</v>
      </c>
      <c r="CF89" s="59" t="n">
        <f aca="false">CF86+CF88</f>
        <v>553300</v>
      </c>
      <c r="CG89" s="59" t="n">
        <f aca="false">CG86+CG88</f>
        <v>553300</v>
      </c>
      <c r="CH89" s="59" t="n">
        <f aca="false">CH86+CH88</f>
        <v>553300</v>
      </c>
      <c r="CI89" s="59" t="n">
        <f aca="false">CI86+CI88</f>
        <v>553300</v>
      </c>
      <c r="CJ89" s="59" t="n">
        <f aca="false">CJ86+CJ88</f>
        <v>553300</v>
      </c>
      <c r="CK89" s="59" t="n">
        <f aca="false">CK86+CK88</f>
        <v>553300</v>
      </c>
      <c r="CL89" s="59" t="n">
        <f aca="false">CL86+CL88</f>
        <v>553300</v>
      </c>
      <c r="CM89" s="59" t="n">
        <f aca="false">CM86+CM88</f>
        <v>553300</v>
      </c>
      <c r="CN89" s="59" t="n">
        <f aca="false">CN86+CN88</f>
        <v>553300</v>
      </c>
      <c r="CO89" s="59" t="n">
        <f aca="false">CO86+CO88</f>
        <v>552300</v>
      </c>
      <c r="CP89" s="59" t="n">
        <f aca="false">CP86+CP88</f>
        <v>602000</v>
      </c>
      <c r="CQ89" s="59" t="n">
        <f aca="false">CQ86+CQ88</f>
        <v>602180</v>
      </c>
      <c r="CR89" s="59" t="n">
        <f aca="false">CR86+CR88</f>
        <v>602180</v>
      </c>
      <c r="CS89" s="59" t="n">
        <f aca="false">CS86+CS88</f>
        <v>602180</v>
      </c>
      <c r="CT89" s="59" t="n">
        <f aca="false">CT86+CT88</f>
        <v>602160</v>
      </c>
      <c r="CU89" s="59" t="n">
        <f aca="false">CU86+CU88</f>
        <v>602000</v>
      </c>
      <c r="CV89" s="59" t="n">
        <f aca="false">CV86+CV88</f>
        <v>602000</v>
      </c>
      <c r="CW89" s="59" t="n">
        <f aca="false">CW86+CW88</f>
        <v>602000</v>
      </c>
      <c r="CX89" s="59" t="n">
        <f aca="false">CX86+CX88</f>
        <v>602000</v>
      </c>
      <c r="CY89" s="59" t="n">
        <f aca="false">CY86+CY88</f>
        <v>602000</v>
      </c>
      <c r="CZ89" s="59" t="n">
        <f aca="false">CZ86+CZ88</f>
        <v>602000</v>
      </c>
      <c r="DA89" s="59" t="n">
        <f aca="false">DA86+DA88</f>
        <v>602000</v>
      </c>
      <c r="DB89" s="59" t="n">
        <f aca="false">DB86+DB88</f>
        <v>602000</v>
      </c>
      <c r="DC89" s="59" t="n">
        <f aca="false">DC86+DC88</f>
        <v>602000</v>
      </c>
      <c r="DD89" s="59" t="n">
        <f aca="false">DD86+DD88</f>
        <v>606020</v>
      </c>
      <c r="DE89" s="59" t="n">
        <f aca="false">DE86+DE88</f>
        <v>606020</v>
      </c>
      <c r="DF89" s="59" t="n">
        <f aca="false">DF86+DF88</f>
        <v>602000</v>
      </c>
      <c r="DG89" s="59" t="n">
        <f aca="false">DG86+DG88</f>
        <v>602000</v>
      </c>
      <c r="DH89" s="59" t="n">
        <f aca="false">DH86+DH88</f>
        <v>597980</v>
      </c>
      <c r="DI89" s="59" t="n">
        <f aca="false">DI86+DI88</f>
        <v>602000</v>
      </c>
      <c r="DJ89" s="59" t="n">
        <f aca="false">DJ86+DJ88</f>
        <v>602000</v>
      </c>
      <c r="DK89" s="59" t="n">
        <f aca="false">DK86+DK88</f>
        <v>602000</v>
      </c>
      <c r="DL89" s="59" t="n">
        <f aca="false">DL86+DL88</f>
        <v>602000</v>
      </c>
      <c r="DM89" s="59" t="n">
        <f aca="false">DM86+DM88</f>
        <v>602000</v>
      </c>
      <c r="DN89" s="59" t="n">
        <f aca="false">DN86+DN88</f>
        <v>602000</v>
      </c>
      <c r="DO89" s="59" t="n">
        <f aca="false">DO86+DO88</f>
        <v>602000</v>
      </c>
      <c r="DP89" s="59" t="n">
        <f aca="false">DP86+DP88</f>
        <v>602000</v>
      </c>
      <c r="DQ89" s="59" t="n">
        <f aca="false">DQ86+DQ88</f>
        <v>602000</v>
      </c>
      <c r="DR89" s="59" t="n">
        <f aca="false">DR86+DR88</f>
        <v>602000</v>
      </c>
      <c r="DS89" s="59" t="n">
        <f aca="false">DS86+DS88</f>
        <v>602000</v>
      </c>
      <c r="DT89" s="59" t="n">
        <f aca="false">DT86+DT88</f>
        <v>602000</v>
      </c>
      <c r="DU89" s="59" t="n">
        <f aca="false">DU86+DU88</f>
        <v>602000</v>
      </c>
      <c r="DV89" s="59" t="n">
        <f aca="false">DV86+DV88</f>
        <v>602000</v>
      </c>
      <c r="DW89" s="59" t="n">
        <f aca="false">DW86+DW88</f>
        <v>602000</v>
      </c>
      <c r="DX89" s="59" t="n">
        <f aca="false">DX86+DX88</f>
        <v>602000</v>
      </c>
      <c r="DY89" s="59" t="n">
        <f aca="false">DY86+DY88</f>
        <v>602000</v>
      </c>
      <c r="DZ89" s="59" t="n">
        <f aca="false">DZ86+DZ88</f>
        <v>602000</v>
      </c>
      <c r="EA89" s="59" t="n">
        <f aca="false">EA86+EA88</f>
        <v>602000</v>
      </c>
      <c r="EB89" s="59" t="n">
        <f aca="false">EB86+EB88</f>
        <v>602000</v>
      </c>
      <c r="EC89" s="59" t="n">
        <f aca="false">EC86+EC88</f>
        <v>602000</v>
      </c>
      <c r="ED89" s="59" t="n">
        <f aca="false">ED86+ED88</f>
        <v>602000</v>
      </c>
      <c r="EE89" s="59" t="n">
        <f aca="false">EE86+EE88</f>
        <v>600000</v>
      </c>
      <c r="EF89" s="59" t="n">
        <f aca="false">EF86+EF88</f>
        <v>1537500</v>
      </c>
      <c r="EG89" s="59" t="n">
        <f aca="false">EG86+EG88</f>
        <v>1549875</v>
      </c>
      <c r="EH89" s="59" t="n">
        <f aca="false">EH86+EH88</f>
        <v>1549875</v>
      </c>
      <c r="EI89" s="59" t="n">
        <f aca="false">EI86+EI88</f>
        <v>1549875</v>
      </c>
      <c r="EJ89" s="59" t="n">
        <f aca="false">EJ86+EJ88</f>
        <v>1550000</v>
      </c>
      <c r="EK89" s="59" t="n">
        <f aca="false">EK86+EK88</f>
        <v>1537500</v>
      </c>
      <c r="EL89" s="59" t="n">
        <f aca="false">EL86+EL88</f>
        <v>1537500</v>
      </c>
      <c r="EM89" s="59" t="n">
        <f aca="false">EM86+EM88</f>
        <v>1537500</v>
      </c>
      <c r="EN89" s="59" t="n">
        <f aca="false">EN86+EN88</f>
        <v>1537500</v>
      </c>
      <c r="EO89" s="59" t="n">
        <f aca="false">EO86+EO88</f>
        <v>1537500</v>
      </c>
      <c r="EP89" s="59" t="n">
        <f aca="false">EP86+EP88</f>
        <v>1537500</v>
      </c>
      <c r="EQ89" s="59" t="n">
        <f aca="false">EQ86+EQ88</f>
        <v>1537500</v>
      </c>
      <c r="ER89" s="59" t="n">
        <f aca="false">ER86+ER88</f>
        <v>1537500</v>
      </c>
      <c r="ES89" s="59" t="n">
        <f aca="false">ES86+ES88</f>
        <v>1537500</v>
      </c>
      <c r="ET89" s="59" t="n">
        <f aca="false">ET86+ET88</f>
        <v>1549875</v>
      </c>
      <c r="EU89" s="59" t="n">
        <f aca="false">EU86+EU88</f>
        <v>1549875</v>
      </c>
      <c r="EV89" s="59" t="n">
        <f aca="false">EV86+EV88</f>
        <v>1537500</v>
      </c>
      <c r="EW89" s="59" t="n">
        <f aca="false">EW86+EW88</f>
        <v>1537500</v>
      </c>
      <c r="EX89" s="59" t="n">
        <f aca="false">EX86+EX88</f>
        <v>1525125</v>
      </c>
      <c r="EY89" s="59" t="n">
        <f aca="false">EY86+EY88</f>
        <v>1537500</v>
      </c>
      <c r="EZ89" s="59" t="n">
        <f aca="false">EZ86+EZ88</f>
        <v>1537500</v>
      </c>
      <c r="FA89" s="59" t="n">
        <f aca="false">FA86+FA88</f>
        <v>1537500</v>
      </c>
      <c r="FB89" s="59" t="n">
        <f aca="false">FB86+FB88</f>
        <v>1537500</v>
      </c>
      <c r="FC89" s="59" t="n">
        <f aca="false">FC86+FC88</f>
        <v>1537500</v>
      </c>
      <c r="FD89" s="59" t="n">
        <f aca="false">FD86+FD88</f>
        <v>1537500</v>
      </c>
      <c r="FE89" s="59" t="n">
        <f aca="false">FE86+FE88</f>
        <v>1537500</v>
      </c>
      <c r="FF89" s="59" t="n">
        <f aca="false">FF86+FF88</f>
        <v>1537500</v>
      </c>
      <c r="FG89" s="59" t="n">
        <f aca="false">FG86+FG88</f>
        <v>1537500</v>
      </c>
      <c r="FH89" s="59" t="n">
        <f aca="false">FH86+FH88</f>
        <v>1537500</v>
      </c>
      <c r="FI89" s="59" t="n">
        <f aca="false">FI86+FI88</f>
        <v>1537500</v>
      </c>
      <c r="FJ89" s="59" t="n">
        <f aca="false">FJ86+FJ88</f>
        <v>1537500</v>
      </c>
      <c r="FK89" s="59" t="n">
        <f aca="false">FK86+FK88</f>
        <v>1537500</v>
      </c>
      <c r="FL89" s="59" t="n">
        <f aca="false">FL86+FL88</f>
        <v>1537500</v>
      </c>
      <c r="FM89" s="59" t="n">
        <f aca="false">FM86+FM88</f>
        <v>1537500</v>
      </c>
      <c r="FN89" s="59" t="n">
        <f aca="false">FN86+FN88</f>
        <v>1537500</v>
      </c>
      <c r="FO89" s="59" t="n">
        <f aca="false">FO86+FO88</f>
        <v>1537500</v>
      </c>
      <c r="FP89" s="59" t="n">
        <f aca="false">FP86+FP88</f>
        <v>1537500</v>
      </c>
      <c r="FQ89" s="59" t="n">
        <f aca="false">FQ86+FQ88</f>
        <v>1537500</v>
      </c>
      <c r="FR89" s="59" t="n">
        <f aca="false">FR86+FR88</f>
        <v>1537500</v>
      </c>
      <c r="FS89" s="59" t="n">
        <f aca="false">FS86+FS88</f>
        <v>1537500</v>
      </c>
      <c r="FT89" s="59" t="n">
        <f aca="false">FT86+FT88</f>
        <v>1537500</v>
      </c>
      <c r="FU89" s="59" t="n">
        <f aca="false">FU86+FU88</f>
        <v>1534500</v>
      </c>
      <c r="FV89" s="59" t="n">
        <f aca="false">FV86+FV88</f>
        <v>660000</v>
      </c>
      <c r="FW89" s="59" t="n">
        <f aca="false">FW86+FW88</f>
        <v>665600</v>
      </c>
      <c r="FX89" s="59" t="n">
        <f aca="false">FX86+FX88</f>
        <v>665600</v>
      </c>
      <c r="FY89" s="59" t="n">
        <f aca="false">FY86+FY88</f>
        <v>665600</v>
      </c>
      <c r="FZ89" s="59" t="n">
        <f aca="false">FZ86+FZ88</f>
        <v>665656.565656566</v>
      </c>
      <c r="GA89" s="59" t="n">
        <f aca="false">GA86+GA88</f>
        <v>660000</v>
      </c>
      <c r="GB89" s="59" t="n">
        <f aca="false">GB86+GB88</f>
        <v>660000</v>
      </c>
      <c r="GC89" s="59" t="n">
        <f aca="false">GC86+GC88</f>
        <v>660000</v>
      </c>
      <c r="GD89" s="59" t="n">
        <f aca="false">GD86+GD88</f>
        <v>660000</v>
      </c>
      <c r="GE89" s="59" t="n">
        <f aca="false">GE86+GE88</f>
        <v>660000</v>
      </c>
      <c r="GF89" s="59" t="n">
        <f aca="false">GF86+GF88</f>
        <v>660000</v>
      </c>
      <c r="GG89" s="59" t="n">
        <f aca="false">GG86+GG88</f>
        <v>660000</v>
      </c>
      <c r="GH89" s="59" t="n">
        <f aca="false">GH86+GH88</f>
        <v>660000</v>
      </c>
      <c r="GI89" s="59" t="n">
        <f aca="false">GI86+GI88</f>
        <v>660000</v>
      </c>
      <c r="GJ89" s="59" t="n">
        <f aca="false">GJ86+GJ88</f>
        <v>665600</v>
      </c>
      <c r="GK89" s="59" t="n">
        <f aca="false">GK86+GK88</f>
        <v>665600</v>
      </c>
      <c r="GL89" s="59" t="n">
        <f aca="false">GL86+GL88</f>
        <v>660000</v>
      </c>
      <c r="GM89" s="59" t="n">
        <f aca="false">GM86+GM88</f>
        <v>660000</v>
      </c>
      <c r="GN89" s="59" t="n">
        <f aca="false">GN86+GN88</f>
        <v>654400</v>
      </c>
      <c r="GO89" s="59" t="n">
        <f aca="false">GO86+GO88</f>
        <v>660000</v>
      </c>
      <c r="GP89" s="59" t="n">
        <f aca="false">GP86+GP88</f>
        <v>660000</v>
      </c>
      <c r="GQ89" s="59" t="n">
        <f aca="false">GQ86+GQ88</f>
        <v>660000</v>
      </c>
      <c r="GR89" s="59" t="n">
        <f aca="false">GR86+GR88</f>
        <v>660000</v>
      </c>
      <c r="GS89" s="59" t="n">
        <f aca="false">GS86+GS88</f>
        <v>660000</v>
      </c>
      <c r="GT89" s="59" t="n">
        <f aca="false">GT86+GT88</f>
        <v>660000</v>
      </c>
      <c r="GU89" s="59" t="n">
        <f aca="false">GU86+GU88</f>
        <v>660000</v>
      </c>
      <c r="GV89" s="59" t="n">
        <f aca="false">GV86+GV88</f>
        <v>660000</v>
      </c>
      <c r="GW89" s="59" t="n">
        <f aca="false">GW86+GW88</f>
        <v>660000</v>
      </c>
      <c r="GX89" s="59" t="n">
        <f aca="false">GX86+GX88</f>
        <v>660000</v>
      </c>
      <c r="GY89" s="59" t="n">
        <f aca="false">GY86+GY88</f>
        <v>660000</v>
      </c>
      <c r="GZ89" s="59" t="n">
        <f aca="false">GZ86+GZ88</f>
        <v>660000</v>
      </c>
      <c r="HA89" s="59" t="n">
        <f aca="false">HA86+HA88</f>
        <v>660000</v>
      </c>
      <c r="HB89" s="59" t="n">
        <f aca="false">HB86+HB88</f>
        <v>660000</v>
      </c>
      <c r="HC89" s="59" t="n">
        <f aca="false">HC86+HC88</f>
        <v>660000</v>
      </c>
      <c r="HD89" s="59" t="n">
        <f aca="false">HD86+HD88</f>
        <v>660000</v>
      </c>
      <c r="HE89" s="59" t="n">
        <f aca="false">HE86+HE88</f>
        <v>660000</v>
      </c>
      <c r="HF89" s="59" t="n">
        <f aca="false">HF86+HF88</f>
        <v>660000</v>
      </c>
      <c r="HG89" s="59" t="n">
        <f aca="false">HG86+HG88</f>
        <v>660000</v>
      </c>
      <c r="HH89" s="59" t="n">
        <f aca="false">HH86+HH88</f>
        <v>660000</v>
      </c>
      <c r="HI89" s="59" t="n">
        <f aca="false">HI86+HI88</f>
        <v>660000</v>
      </c>
      <c r="HJ89" s="59" t="n">
        <f aca="false">HJ86+HJ88</f>
        <v>660000</v>
      </c>
      <c r="HK89" s="59" t="n">
        <f aca="false">HK86+HK88</f>
        <v>659000</v>
      </c>
      <c r="HL89" s="59" t="n">
        <f aca="false">HL86+HL88</f>
        <v>650000</v>
      </c>
      <c r="HM89" s="59" t="n">
        <f aca="false">HM86+HM88</f>
        <v>654500</v>
      </c>
      <c r="HN89" s="59" t="n">
        <f aca="false">HN86+HN88</f>
        <v>654500</v>
      </c>
      <c r="HO89" s="59" t="n">
        <f aca="false">HO86+HO88</f>
        <v>654500</v>
      </c>
      <c r="HP89" s="59" t="n">
        <f aca="false">HP86+HP88</f>
        <v>654545.454545455</v>
      </c>
      <c r="HQ89" s="59" t="n">
        <f aca="false">HQ86+HQ88</f>
        <v>650000</v>
      </c>
      <c r="HR89" s="59" t="n">
        <f aca="false">HR86+HR88</f>
        <v>650000</v>
      </c>
      <c r="HS89" s="59" t="n">
        <f aca="false">HS86+HS88</f>
        <v>650000</v>
      </c>
      <c r="HT89" s="59" t="n">
        <f aca="false">HT86+HT88</f>
        <v>650000</v>
      </c>
      <c r="HU89" s="59" t="n">
        <f aca="false">HU86+HU88</f>
        <v>650000</v>
      </c>
      <c r="HV89" s="59" t="n">
        <f aca="false">HV86+HV88</f>
        <v>650000</v>
      </c>
      <c r="HW89" s="59" t="n">
        <f aca="false">HW86+HW88</f>
        <v>650000</v>
      </c>
      <c r="HX89" s="59" t="n">
        <f aca="false">HX86+HX88</f>
        <v>650000</v>
      </c>
      <c r="HY89" s="59" t="n">
        <f aca="false">HY86+HY88</f>
        <v>650000</v>
      </c>
      <c r="HZ89" s="59" t="n">
        <f aca="false">HZ86+HZ88</f>
        <v>654500</v>
      </c>
      <c r="IA89" s="59" t="n">
        <f aca="false">IA86+IA88</f>
        <v>654500</v>
      </c>
      <c r="IB89" s="59" t="n">
        <f aca="false">IB86+IB88</f>
        <v>650000</v>
      </c>
      <c r="IC89" s="59" t="n">
        <f aca="false">IC86+IC88</f>
        <v>650000</v>
      </c>
      <c r="ID89" s="59" t="n">
        <f aca="false">ID86+ID88</f>
        <v>645500</v>
      </c>
      <c r="IE89" s="59" t="n">
        <f aca="false">IE86+IE88</f>
        <v>650000</v>
      </c>
      <c r="IF89" s="59" t="n">
        <f aca="false">IF86+IF88</f>
        <v>650000</v>
      </c>
      <c r="IG89" s="59" t="n">
        <f aca="false">IG86+IG88</f>
        <v>650000</v>
      </c>
      <c r="IH89" s="59" t="n">
        <f aca="false">IH86+IH88</f>
        <v>650000</v>
      </c>
      <c r="II89" s="59" t="n">
        <f aca="false">II86+II88</f>
        <v>650000</v>
      </c>
      <c r="IJ89" s="59" t="n">
        <f aca="false">IJ86+IJ88</f>
        <v>650000</v>
      </c>
      <c r="IK89" s="59" t="n">
        <f aca="false">IK86+IK88</f>
        <v>650000</v>
      </c>
      <c r="IL89" s="59" t="n">
        <f aca="false">IL86+IL88</f>
        <v>650000</v>
      </c>
      <c r="IM89" s="59" t="n">
        <f aca="false">IM86+IM88</f>
        <v>650000</v>
      </c>
      <c r="IN89" s="59" t="n">
        <f aca="false">IN86+IN88</f>
        <v>650000</v>
      </c>
      <c r="IO89" s="59" t="n">
        <f aca="false">IO86+IO88</f>
        <v>650000</v>
      </c>
      <c r="IP89" s="59" t="n">
        <f aca="false">IP86+IP88</f>
        <v>650000</v>
      </c>
      <c r="IQ89" s="59" t="n">
        <f aca="false">IQ86+IQ88</f>
        <v>650000</v>
      </c>
      <c r="IR89" s="59" t="n">
        <f aca="false">IR86+IR88</f>
        <v>650000</v>
      </c>
      <c r="IS89" s="59" t="n">
        <f aca="false">IS86+IS88</f>
        <v>650000</v>
      </c>
      <c r="IT89" s="59" t="n">
        <f aca="false">IT86+IT88</f>
        <v>650000</v>
      </c>
      <c r="IU89" s="59" t="n">
        <f aca="false">IU86+IU88</f>
        <v>650000</v>
      </c>
      <c r="IV89" s="59" t="n">
        <f aca="false">IV86+IV88</f>
        <v>650000</v>
      </c>
      <c r="IW89" s="59" t="n">
        <f aca="false">IW86+IW88</f>
        <v>650000</v>
      </c>
      <c r="IX89" s="59" t="n">
        <f aca="false">IX86+IX88</f>
        <v>650000</v>
      </c>
      <c r="IY89" s="59" t="n">
        <f aca="false">IY86+IY88</f>
        <v>650000</v>
      </c>
      <c r="IZ89" s="59" t="n">
        <f aca="false">IZ86+IZ88</f>
        <v>650000</v>
      </c>
      <c r="JA89" s="59" t="n">
        <f aca="false">JA86+JA88</f>
        <v>648000</v>
      </c>
    </row>
    <row r="90" customFormat="false" ht="15" hidden="false" customHeight="false" outlineLevel="0" collapsed="false">
      <c r="A90" s="4" t="s">
        <v>732</v>
      </c>
      <c r="B90" s="5"/>
      <c r="C90" s="5"/>
      <c r="D90" s="5"/>
      <c r="E90" s="5"/>
      <c r="F90" s="5"/>
      <c r="G90" s="5"/>
      <c r="H90" s="5"/>
    </row>
    <row r="91" customFormat="false" ht="15" hidden="false" customHeight="false" outlineLevel="0" collapsed="false">
      <c r="A91" s="16" t="s">
        <v>131</v>
      </c>
      <c r="B91" s="16" t="s">
        <v>132</v>
      </c>
      <c r="C91" s="26" t="s">
        <v>179</v>
      </c>
      <c r="D91" s="24" t="s">
        <v>178</v>
      </c>
      <c r="E91" s="63" t="n">
        <f aca="false">E65-E81-E84-E89</f>
        <v>31786705.5</v>
      </c>
      <c r="F91" s="63" t="n">
        <f aca="false">F65-F81-F84-F89</f>
        <v>23410277</v>
      </c>
      <c r="G91" s="63" t="n">
        <f aca="false">G65-G81-G84-G89</f>
        <v>26356132</v>
      </c>
      <c r="H91" s="63" t="n">
        <f aca="false">SUM(E91:G91)</f>
        <v>81553114.5</v>
      </c>
      <c r="J91" s="22" t="n">
        <f aca="false">J65-J81-J84-J89</f>
        <v>31786705.5</v>
      </c>
      <c r="K91" s="22" t="n">
        <f aca="false">K65-K81-K84-K89</f>
        <v>31744300.155</v>
      </c>
      <c r="L91" s="22" t="n">
        <f aca="false">L65-L81-L84-L89</f>
        <v>31756000.155</v>
      </c>
      <c r="M91" s="22" t="n">
        <f aca="false">M65-M81-M84-M89</f>
        <v>31756000.155</v>
      </c>
      <c r="N91" s="22" t="n">
        <f aca="false">N65-N81-N84-N89</f>
        <v>31809893.1</v>
      </c>
      <c r="O91" s="22" t="n">
        <f aca="false">O65-O81-O84-O89</f>
        <v>31909389.18</v>
      </c>
      <c r="P91" s="22" t="n">
        <f aca="false">P65-P81-P84-P89</f>
        <v>31909389.18</v>
      </c>
      <c r="Q91" s="22" t="n">
        <f aca="false">Q65-Q81-Q84-Q89</f>
        <v>31909389.18</v>
      </c>
      <c r="R91" s="22" t="n">
        <f aca="false">R65-R81-R84-R89</f>
        <v>31940060.1</v>
      </c>
      <c r="S91" s="22" t="n">
        <f aca="false">S65-S81-S84-S89</f>
        <v>31817376.42</v>
      </c>
      <c r="T91" s="22" t="n">
        <f aca="false">T65-T81-T84-T89</f>
        <v>31924643.5</v>
      </c>
      <c r="U91" s="22" t="n">
        <f aca="false">U65-U81-U84-U89</f>
        <v>31908415.5</v>
      </c>
      <c r="V91" s="22" t="n">
        <f aca="false">V65-V81-V84-V89</f>
        <v>32030125.5</v>
      </c>
      <c r="W91" s="22" t="n">
        <f aca="false">W65-W81-W84-W89</f>
        <v>31884073.5</v>
      </c>
      <c r="X91" s="22" t="n">
        <f aca="false">X65-X81-X84-X89</f>
        <v>31877988</v>
      </c>
      <c r="Y91" s="22" t="n">
        <f aca="false">Y65-Y81-Y84-Y89</f>
        <v>31877988</v>
      </c>
      <c r="Z91" s="22" t="n">
        <f aca="false">Z65-Z81-Z84-Z89</f>
        <v>32030125.5</v>
      </c>
      <c r="AA91" s="22" t="n">
        <f aca="false">AA65-AA81-AA84-AA89</f>
        <v>31928700.5</v>
      </c>
      <c r="AB91" s="22" t="n">
        <f aca="false">AB65-AB81-AB84-AB89</f>
        <v>31796848</v>
      </c>
      <c r="AC91" s="22" t="n">
        <f aca="false">AC65-AC81-AC84-AC89</f>
        <v>31824739.875</v>
      </c>
      <c r="AD91" s="22" t="n">
        <f aca="false">AD65-AD81-AD84-AD89</f>
        <v>31824739.875</v>
      </c>
      <c r="AE91" s="22" t="n">
        <f aca="false">AE65-AE81-AE84-AE89</f>
        <v>31824739.875</v>
      </c>
      <c r="AF91" s="22" t="n">
        <f aca="false">AF65-AF81-AF84-AF89</f>
        <v>31798876.5</v>
      </c>
      <c r="AG91" s="22" t="n">
        <f aca="false">AG65-AG81-AG84-AG89</f>
        <v>31798876.5</v>
      </c>
      <c r="AH91" s="22" t="n">
        <f aca="false">AH65-AH81-AH84-AH89</f>
        <v>31798876.5</v>
      </c>
      <c r="AI91" s="22" t="n">
        <f aca="false">AI65-AI81-AI84-AI89</f>
        <v>31794819.5</v>
      </c>
      <c r="AJ91" s="22" t="n">
        <f aca="false">AJ65-AJ81-AJ84-AJ89</f>
        <v>31794819.5</v>
      </c>
      <c r="AK91" s="22" t="n">
        <f aca="false">AK65-AK81-AK84-AK89</f>
        <v>31811047.5</v>
      </c>
      <c r="AL91" s="22" t="n">
        <f aca="false">AL65-AL81-AL84-AL89</f>
        <v>31811047.5</v>
      </c>
      <c r="AM91" s="22" t="n">
        <f aca="false">AM65-AM81-AM84-AM89</f>
        <v>31794819.5</v>
      </c>
      <c r="AN91" s="22" t="n">
        <f aca="false">AN65-AN81-AN84-AN89</f>
        <v>31812061.75</v>
      </c>
      <c r="AO91" s="22" t="n">
        <f aca="false">AO65-AO81-AO84-AO89</f>
        <v>31812061.75</v>
      </c>
      <c r="AP91" s="22" t="n">
        <f aca="false">AP65-AP81-AP84-AP89</f>
        <v>31791205.5</v>
      </c>
      <c r="AQ91" s="22" t="n">
        <f aca="false">AQ65-AQ81-AQ84-AQ89</f>
        <v>31793905.5</v>
      </c>
      <c r="AR91" s="22" t="n">
        <f aca="false">AR65-AR81-AR84-AR89</f>
        <v>31793905.5</v>
      </c>
      <c r="AS91" s="22" t="n">
        <f aca="false">AS65-AS81-AS84-AS89</f>
        <v>31795833.75</v>
      </c>
      <c r="AT91" s="22" t="n">
        <f aca="false">AT65-AT81-AT84-AT89</f>
        <v>31795833.75</v>
      </c>
      <c r="AU91" s="22" t="n">
        <f aca="false">AU65-AU81-AU84-AU89</f>
        <v>31795833.75</v>
      </c>
      <c r="AV91" s="22" t="n">
        <f aca="false">AV65-AV81-AV84-AV89</f>
        <v>31786705.5</v>
      </c>
      <c r="AW91" s="22" t="n">
        <f aca="false">AW65-AW81-AW84-AW89</f>
        <v>31786705.5</v>
      </c>
      <c r="AX91" s="22" t="n">
        <f aca="false">AX65-AX81-AX84-AX89</f>
        <v>31846105.5</v>
      </c>
      <c r="AY91" s="22" t="n">
        <f aca="false">AY65-AY81-AY84-AY89</f>
        <v>31789705.5</v>
      </c>
      <c r="AZ91" s="22" t="n">
        <f aca="false">AZ65-AZ81-AZ84-AZ89</f>
        <v>23410277</v>
      </c>
      <c r="BA91" s="22" t="n">
        <f aca="false">BA65-BA81-BA84-BA89</f>
        <v>23402292.92</v>
      </c>
      <c r="BB91" s="22" t="n">
        <f aca="false">BB65-BB81-BB84-BB89</f>
        <v>23402832.92</v>
      </c>
      <c r="BC91" s="22" t="n">
        <f aca="false">BC65-BC81-BC84-BC89</f>
        <v>23402832.92</v>
      </c>
      <c r="BD91" s="22" t="n">
        <f aca="false">BD65-BD81-BD84-BD89</f>
        <v>23417795.15</v>
      </c>
      <c r="BE91" s="22" t="n">
        <f aca="false">BE65-BE81-BE84-BE89</f>
        <v>23452161.92</v>
      </c>
      <c r="BF91" s="22" t="n">
        <f aca="false">BF65-BF81-BF84-BF89</f>
        <v>23452161.92</v>
      </c>
      <c r="BG91" s="22" t="n">
        <f aca="false">BG65-BG81-BG84-BG89</f>
        <v>23452161.92</v>
      </c>
      <c r="BH91" s="22" t="n">
        <f aca="false">BH65-BH81-BH84-BH89</f>
        <v>23462633.15</v>
      </c>
      <c r="BI91" s="22" t="n">
        <f aca="false">BI65-BI81-BI84-BI89</f>
        <v>23420748.23</v>
      </c>
      <c r="BJ91" s="22" t="n">
        <f aca="false">BJ65-BJ81-BJ84-BJ89</f>
        <v>23534179</v>
      </c>
      <c r="BK91" s="22" t="n">
        <f aca="false">BK65-BK81-BK84-BK89</f>
        <v>23458629</v>
      </c>
      <c r="BL91" s="22" t="n">
        <f aca="false">BL65-BL81-BL84-BL89</f>
        <v>23531157</v>
      </c>
      <c r="BM91" s="22" t="n">
        <f aca="false">BM65-BM81-BM84-BM89</f>
        <v>23470717</v>
      </c>
      <c r="BN91" s="22" t="n">
        <f aca="false">BN65-BN81-BN84-BN89</f>
        <v>23473739</v>
      </c>
      <c r="BO91" s="22" t="n">
        <f aca="false">BO65-BO81-BO84-BO89</f>
        <v>23473739</v>
      </c>
      <c r="BP91" s="22" t="n">
        <f aca="false">BP65-BP81-BP84-BP89</f>
        <v>23636927</v>
      </c>
      <c r="BQ91" s="22" t="n">
        <f aca="false">BQ65-BQ81-BQ84-BQ89</f>
        <v>23568932</v>
      </c>
      <c r="BR91" s="22" t="n">
        <f aca="false">BR65-BR81-BR84-BR89</f>
        <v>23414810</v>
      </c>
      <c r="BS91" s="22" t="n">
        <f aca="false">BS65-BS81-BS84-BS89</f>
        <v>23432942</v>
      </c>
      <c r="BT91" s="22" t="n">
        <f aca="false">BT65-BT81-BT84-BT89</f>
        <v>23432942</v>
      </c>
      <c r="BU91" s="22" t="n">
        <f aca="false">BU65-BU81-BU84-BU89</f>
        <v>23432942</v>
      </c>
      <c r="BV91" s="22" t="n">
        <f aca="false">BV65-BV81-BV84-BV89</f>
        <v>23461046.6</v>
      </c>
      <c r="BW91" s="22" t="n">
        <f aca="false">BW65-BW81-BW84-BW89</f>
        <v>23461046.6</v>
      </c>
      <c r="BX91" s="22" t="n">
        <f aca="false">BX65-BX81-BX84-BX89</f>
        <v>23461046.6</v>
      </c>
      <c r="BY91" s="22" t="n">
        <f aca="false">BY65-BY81-BY84-BY89</f>
        <v>23470717</v>
      </c>
      <c r="BZ91" s="22" t="n">
        <f aca="false">BZ65-BZ81-BZ84-BZ89</f>
        <v>23470717</v>
      </c>
      <c r="CA91" s="22" t="n">
        <f aca="false">CA65-CA81-CA84-CA89</f>
        <v>23432942</v>
      </c>
      <c r="CB91" s="22" t="n">
        <f aca="false">CB65-CB81-CB84-CB89</f>
        <v>23432942</v>
      </c>
      <c r="CC91" s="22" t="n">
        <f aca="false">CC65-CC81-CC84-CC89</f>
        <v>23425387</v>
      </c>
      <c r="CD91" s="22" t="n">
        <f aca="false">CD65-CD81-CD84-CD89</f>
        <v>23417076.5</v>
      </c>
      <c r="CE91" s="22" t="n">
        <f aca="false">CE65-CE81-CE84-CE89</f>
        <v>23417076.5</v>
      </c>
      <c r="CF91" s="22" t="n">
        <f aca="false">CF65-CF81-CF84-CF89</f>
        <v>23410337</v>
      </c>
      <c r="CG91" s="22" t="n">
        <f aca="false">CG65-CG81-CG84-CG89</f>
        <v>23410757</v>
      </c>
      <c r="CH91" s="22" t="n">
        <f aca="false">CH65-CH81-CH84-CH89</f>
        <v>23410757</v>
      </c>
      <c r="CI91" s="22" t="n">
        <f aca="false">CI65-CI81-CI84-CI89</f>
        <v>23415943.25</v>
      </c>
      <c r="CJ91" s="22" t="n">
        <f aca="false">CJ65-CJ81-CJ84-CJ89</f>
        <v>23415943.25</v>
      </c>
      <c r="CK91" s="22" t="n">
        <f aca="false">CK65-CK81-CK84-CK89</f>
        <v>23415943.25</v>
      </c>
      <c r="CL91" s="22" t="n">
        <f aca="false">CL65-CL81-CL84-CL89</f>
        <v>23470118.5841584</v>
      </c>
      <c r="CM91" s="22" t="n">
        <f aca="false">CM65-CM81-CM84-CM89</f>
        <v>23470717</v>
      </c>
      <c r="CN91" s="22" t="n">
        <f aca="false">CN65-CN81-CN84-CN89</f>
        <v>23427077</v>
      </c>
      <c r="CO91" s="22" t="n">
        <f aca="false">CO65-CO81-CO84-CO89</f>
        <v>23411277</v>
      </c>
      <c r="CP91" s="22" t="n">
        <f aca="false">CP65-CP81-CP84-CP89</f>
        <v>26356132</v>
      </c>
      <c r="CQ91" s="22" t="n">
        <f aca="false">CQ65-CQ81-CQ84-CQ89</f>
        <v>26361087.88</v>
      </c>
      <c r="CR91" s="22" t="n">
        <f aca="false">CR65-CR81-CR84-CR89</f>
        <v>26362947.88</v>
      </c>
      <c r="CS91" s="22" t="n">
        <f aca="false">CS65-CS81-CS84-CS89</f>
        <v>26362947.88</v>
      </c>
      <c r="CT91" s="22" t="n">
        <f aca="false">CT65-CT81-CT84-CT89</f>
        <v>26366990.56</v>
      </c>
      <c r="CU91" s="22" t="n">
        <f aca="false">CU65-CU81-CU84-CU89</f>
        <v>26416335.52</v>
      </c>
      <c r="CV91" s="22" t="n">
        <f aca="false">CV65-CV81-CV84-CV89</f>
        <v>26416335.52</v>
      </c>
      <c r="CW91" s="22" t="n">
        <f aca="false">CW65-CW81-CW84-CW89</f>
        <v>26416335.52</v>
      </c>
      <c r="CX91" s="22" t="n">
        <f aca="false">CX65-CX81-CX84-CX89</f>
        <v>26456471.2</v>
      </c>
      <c r="CY91" s="22" t="n">
        <f aca="false">CY65-CY81-CY84-CY89</f>
        <v>26396267.68</v>
      </c>
      <c r="CZ91" s="22" t="n">
        <f aca="false">CZ65-CZ81-CZ84-CZ89</f>
        <v>26451607</v>
      </c>
      <c r="DA91" s="22" t="n">
        <f aca="false">DA65-DA81-DA84-DA89</f>
        <v>26406382</v>
      </c>
      <c r="DB91" s="22" t="n">
        <f aca="false">DB65-DB81-DB84-DB89</f>
        <v>26607382</v>
      </c>
      <c r="DC91" s="22" t="n">
        <f aca="false">DC65-DC81-DC84-DC89</f>
        <v>26532007</v>
      </c>
      <c r="DD91" s="22" t="n">
        <f aca="false">DD65-DD81-DD84-DD89</f>
        <v>26412412</v>
      </c>
      <c r="DE91" s="22" t="n">
        <f aca="false">DE65-DE81-DE84-DE89</f>
        <v>26412412</v>
      </c>
      <c r="DF91" s="22" t="n">
        <f aca="false">DF65-DF81-DF84-DF89</f>
        <v>26677732</v>
      </c>
      <c r="DG91" s="22" t="n">
        <f aca="false">DG65-DG81-DG84-DG89</f>
        <v>26617432</v>
      </c>
      <c r="DH91" s="22" t="n">
        <f aca="false">DH65-DH81-DH84-DH89</f>
        <v>26360152</v>
      </c>
      <c r="DI91" s="22" t="n">
        <f aca="false">DI65-DI81-DI84-DI89</f>
        <v>26364172</v>
      </c>
      <c r="DJ91" s="22" t="n">
        <f aca="false">DJ65-DJ81-DJ84-DJ89</f>
        <v>26364172</v>
      </c>
      <c r="DK91" s="22" t="n">
        <f aca="false">DK65-DK81-DK84-DK89</f>
        <v>26364172</v>
      </c>
      <c r="DL91" s="22" t="n">
        <f aca="false">DL65-DL81-DL84-DL89</f>
        <v>26456632</v>
      </c>
      <c r="DM91" s="22" t="n">
        <f aca="false">DM65-DM81-DM84-DM89</f>
        <v>26456632</v>
      </c>
      <c r="DN91" s="22" t="n">
        <f aca="false">DN65-DN81-DN84-DN89</f>
        <v>26456632</v>
      </c>
      <c r="DO91" s="22" t="n">
        <f aca="false">DO65-DO81-DO84-DO89</f>
        <v>26371207</v>
      </c>
      <c r="DP91" s="22" t="n">
        <f aca="false">DP65-DP81-DP84-DP89</f>
        <v>26371207</v>
      </c>
      <c r="DQ91" s="22" t="n">
        <f aca="false">DQ65-DQ81-DQ84-DQ89</f>
        <v>26356132</v>
      </c>
      <c r="DR91" s="22" t="n">
        <f aca="false">DR65-DR81-DR84-DR89</f>
        <v>26356132</v>
      </c>
      <c r="DS91" s="22" t="n">
        <f aca="false">DS65-DS81-DS84-DS89</f>
        <v>26386282</v>
      </c>
      <c r="DT91" s="22" t="n">
        <f aca="false">DT65-DT81-DT84-DT89</f>
        <v>26357579.2</v>
      </c>
      <c r="DU91" s="22" t="n">
        <f aca="false">DU65-DU81-DU84-DU89</f>
        <v>26357579.2</v>
      </c>
      <c r="DV91" s="22" t="n">
        <f aca="false">DV65-DV81-DV84-DV89</f>
        <v>26356192</v>
      </c>
      <c r="DW91" s="22" t="n">
        <f aca="false">DW65-DW81-DW84-DW89</f>
        <v>26357932</v>
      </c>
      <c r="DX91" s="22" t="n">
        <f aca="false">DX65-DX81-DX84-DX89</f>
        <v>26357932</v>
      </c>
      <c r="DY91" s="22" t="n">
        <f aca="false">DY65-DY81-DY84-DY89</f>
        <v>26362162</v>
      </c>
      <c r="DZ91" s="22" t="n">
        <f aca="false">DZ65-DZ81-DZ84-DZ89</f>
        <v>26362162</v>
      </c>
      <c r="EA91" s="22" t="n">
        <f aca="false">EA65-EA81-EA84-EA89</f>
        <v>26362162</v>
      </c>
      <c r="EB91" s="22" t="n">
        <f aca="false">EB65-EB81-EB84-EB89</f>
        <v>26395933.980198</v>
      </c>
      <c r="EC91" s="22" t="n">
        <f aca="false">EC65-EC81-EC84-EC89</f>
        <v>26396332</v>
      </c>
      <c r="ED91" s="22" t="n">
        <f aca="false">ED65-ED81-ED84-ED89</f>
        <v>26361532</v>
      </c>
      <c r="EE91" s="22" t="n">
        <f aca="false">EE65-EE81-EE84-EE89</f>
        <v>26358132</v>
      </c>
      <c r="EF91" s="22" t="n">
        <f aca="false">EF65-EF81-EF84-EF89</f>
        <v>40414425</v>
      </c>
      <c r="EG91" s="22" t="n">
        <f aca="false">EG65-EG81-EG84-EG89</f>
        <v>40821569.25</v>
      </c>
      <c r="EH91" s="22" t="n">
        <f aca="false">EH65-EH81-EH84-EH89</f>
        <v>40833269.25</v>
      </c>
      <c r="EI91" s="22" t="n">
        <f aca="false">EI65-EI81-EI84-EI89</f>
        <v>40833269.25</v>
      </c>
      <c r="EJ91" s="22" t="n">
        <f aca="false">EJ65-EJ81-EJ84-EJ89</f>
        <v>40897500</v>
      </c>
      <c r="EK91" s="22" t="n">
        <f aca="false">EK65-EK81-EK84-EK89</f>
        <v>40564113</v>
      </c>
      <c r="EL91" s="22" t="n">
        <f aca="false">EL65-EL81-EL84-EL89</f>
        <v>40564113</v>
      </c>
      <c r="EM91" s="22" t="n">
        <f aca="false">EM65-EM81-EM84-EM89</f>
        <v>40564113</v>
      </c>
      <c r="EN91" s="22" t="n">
        <f aca="false">EN65-EN81-EN84-EN89</f>
        <v>40601535</v>
      </c>
      <c r="EO91" s="22" t="n">
        <f aca="false">EO65-EO81-EO84-EO89</f>
        <v>40451847</v>
      </c>
      <c r="EP91" s="22" t="n">
        <f aca="false">EP65-EP81-EP84-EP89</f>
        <v>40582725</v>
      </c>
      <c r="EQ91" s="22" t="n">
        <f aca="false">EQ65-EQ81-EQ84-EQ89</f>
        <v>40562925</v>
      </c>
      <c r="ER91" s="22" t="n">
        <f aca="false">ER65-ER81-ER84-ER89</f>
        <v>40711425</v>
      </c>
      <c r="ES91" s="22" t="n">
        <f aca="false">ES65-ES81-ES84-ES89</f>
        <v>40533225</v>
      </c>
      <c r="ET91" s="22" t="n">
        <f aca="false">ET65-ET81-ET84-ET89</f>
        <v>40525800</v>
      </c>
      <c r="EU91" s="22" t="n">
        <f aca="false">EU65-EU81-EU84-EU89</f>
        <v>40525800</v>
      </c>
      <c r="EV91" s="22" t="n">
        <f aca="false">EV65-EV81-EV84-EV89</f>
        <v>40711425</v>
      </c>
      <c r="EW91" s="22" t="n">
        <f aca="false">EW65-EW81-EW84-EW89</f>
        <v>40587675</v>
      </c>
      <c r="EX91" s="22" t="n">
        <f aca="false">EX65-EX81-EX84-EX89</f>
        <v>40426800</v>
      </c>
      <c r="EY91" s="22" t="n">
        <f aca="false">EY65-EY81-EY84-EY89</f>
        <v>40460831.25</v>
      </c>
      <c r="EZ91" s="22" t="n">
        <f aca="false">EZ65-EZ81-EZ84-EZ89</f>
        <v>40460831.25</v>
      </c>
      <c r="FA91" s="22" t="n">
        <f aca="false">FA65-FA81-FA84-FA89</f>
        <v>40460831.25</v>
      </c>
      <c r="FB91" s="22" t="n">
        <f aca="false">FB65-FB81-FB84-FB89</f>
        <v>40429275</v>
      </c>
      <c r="FC91" s="22" t="n">
        <f aca="false">FC65-FC81-FC84-FC89</f>
        <v>40429275</v>
      </c>
      <c r="FD91" s="22" t="n">
        <f aca="false">FD65-FD81-FD84-FD89</f>
        <v>40429275</v>
      </c>
      <c r="FE91" s="22" t="n">
        <f aca="false">FE65-FE81-FE84-FE89</f>
        <v>40424325</v>
      </c>
      <c r="FF91" s="22" t="n">
        <f aca="false">FF65-FF81-FF84-FF89</f>
        <v>40424325</v>
      </c>
      <c r="FG91" s="22" t="n">
        <f aca="false">FG65-FG81-FG84-FG89</f>
        <v>40444125</v>
      </c>
      <c r="FH91" s="22" t="n">
        <f aca="false">FH65-FH81-FH84-FH89</f>
        <v>40444125</v>
      </c>
      <c r="FI91" s="22" t="n">
        <f aca="false">FI65-FI81-FI84-FI89</f>
        <v>40424325</v>
      </c>
      <c r="FJ91" s="22" t="n">
        <f aca="false">FJ65-FJ81-FJ84-FJ89</f>
        <v>40445362.5</v>
      </c>
      <c r="FK91" s="22" t="n">
        <f aca="false">FK65-FK81-FK84-FK89</f>
        <v>40445362.5</v>
      </c>
      <c r="FL91" s="22" t="n">
        <f aca="false">FL65-FL81-FL84-FL89</f>
        <v>40418925</v>
      </c>
      <c r="FM91" s="22" t="n">
        <f aca="false">FM65-FM81-FM84-FM89</f>
        <v>40421625</v>
      </c>
      <c r="FN91" s="22" t="n">
        <f aca="false">FN65-FN81-FN84-FN89</f>
        <v>40421625</v>
      </c>
      <c r="FO91" s="22" t="n">
        <f aca="false">FO65-FO81-FO84-FO89</f>
        <v>40425562.5</v>
      </c>
      <c r="FP91" s="22" t="n">
        <f aca="false">FP65-FP81-FP84-FP89</f>
        <v>40425562.5</v>
      </c>
      <c r="FQ91" s="22" t="n">
        <f aca="false">FQ65-FQ81-FQ84-FQ89</f>
        <v>40425562.5</v>
      </c>
      <c r="FR91" s="22" t="n">
        <f aca="false">FR65-FR81-FR84-FR89</f>
        <v>40414425</v>
      </c>
      <c r="FS91" s="22" t="n">
        <f aca="false">FS65-FS81-FS84-FS89</f>
        <v>40414425</v>
      </c>
      <c r="FT91" s="22" t="n">
        <f aca="false">FT65-FT81-FT84-FT89</f>
        <v>40473825</v>
      </c>
      <c r="FU91" s="22" t="n">
        <f aca="false">FU65-FU81-FU84-FU89</f>
        <v>40417425</v>
      </c>
      <c r="FV91" s="22" t="n">
        <f aca="false">FV65-FV81-FV84-FV89</f>
        <v>29352400</v>
      </c>
      <c r="FW91" s="22" t="n">
        <f aca="false">FW65-FW81-FW84-FW89</f>
        <v>29646924</v>
      </c>
      <c r="FX91" s="22" t="n">
        <f aca="false">FX65-FX81-FX84-FX89</f>
        <v>29647464</v>
      </c>
      <c r="FY91" s="22" t="n">
        <f aca="false">FY65-FY81-FY84-FY89</f>
        <v>29647464</v>
      </c>
      <c r="FZ91" s="22" t="n">
        <f aca="false">FZ65-FZ81-FZ84-FZ89</f>
        <v>29667414.1414141</v>
      </c>
      <c r="GA91" s="22" t="n">
        <f aca="false">GA65-GA81-GA84-GA89</f>
        <v>29404144</v>
      </c>
      <c r="GB91" s="22" t="n">
        <f aca="false">GB65-GB81-GB84-GB89</f>
        <v>29404144</v>
      </c>
      <c r="GC91" s="22" t="n">
        <f aca="false">GC65-GC81-GC84-GC89</f>
        <v>29404144</v>
      </c>
      <c r="GD91" s="22" t="n">
        <f aca="false">GD65-GD81-GD84-GD89</f>
        <v>29417080</v>
      </c>
      <c r="GE91" s="22" t="n">
        <f aca="false">GE65-GE81-GE84-GE89</f>
        <v>29365336</v>
      </c>
      <c r="GF91" s="22" t="n">
        <f aca="false">GF65-GF81-GF84-GF89</f>
        <v>29505466.6666667</v>
      </c>
      <c r="GG91" s="22" t="n">
        <f aca="false">GG65-GG81-GG84-GG89</f>
        <v>29412133.3333333</v>
      </c>
      <c r="GH91" s="22" t="n">
        <f aca="false">GH65-GH81-GH84-GH89</f>
        <v>29501733.3333333</v>
      </c>
      <c r="GI91" s="22" t="n">
        <f aca="false">GI65-GI81-GI84-GI89</f>
        <v>29427066.6666667</v>
      </c>
      <c r="GJ91" s="22" t="n">
        <f aca="false">GJ65-GJ81-GJ84-GJ89</f>
        <v>29430800</v>
      </c>
      <c r="GK91" s="22" t="n">
        <f aca="false">GK65-GK81-GK84-GK89</f>
        <v>29430800</v>
      </c>
      <c r="GL91" s="22" t="n">
        <f aca="false">GL65-GL81-GL84-GL89</f>
        <v>29632400</v>
      </c>
      <c r="GM91" s="22" t="n">
        <f aca="false">GM65-GM81-GM84-GM89</f>
        <v>29548400</v>
      </c>
      <c r="GN91" s="22" t="n">
        <f aca="false">GN65-GN81-GN84-GN89</f>
        <v>29358000</v>
      </c>
      <c r="GO91" s="22" t="n">
        <f aca="false">GO65-GO81-GO84-GO89</f>
        <v>29380400</v>
      </c>
      <c r="GP91" s="22" t="n">
        <f aca="false">GP65-GP81-GP84-GP89</f>
        <v>29380400</v>
      </c>
      <c r="GQ91" s="22" t="n">
        <f aca="false">GQ65-GQ81-GQ84-GQ89</f>
        <v>29380400</v>
      </c>
      <c r="GR91" s="22" t="n">
        <f aca="false">GR65-GR81-GR84-GR89</f>
        <v>29415120</v>
      </c>
      <c r="GS91" s="22" t="n">
        <f aca="false">GS65-GS81-GS84-GS89</f>
        <v>29415120</v>
      </c>
      <c r="GT91" s="22" t="n">
        <f aca="false">GT65-GT81-GT84-GT89</f>
        <v>29415120</v>
      </c>
      <c r="GU91" s="22" t="n">
        <f aca="false">GU65-GU81-GU84-GU89</f>
        <v>29427066.6666667</v>
      </c>
      <c r="GV91" s="22" t="n">
        <f aca="false">GV65-GV81-GV84-GV89</f>
        <v>29427066.6666667</v>
      </c>
      <c r="GW91" s="22" t="n">
        <f aca="false">GW65-GW81-GW84-GW89</f>
        <v>29380400</v>
      </c>
      <c r="GX91" s="22" t="n">
        <f aca="false">GX65-GX81-GX84-GX89</f>
        <v>29380400</v>
      </c>
      <c r="GY91" s="22" t="n">
        <f aca="false">GY65-GY81-GY84-GY89</f>
        <v>29371066.6666667</v>
      </c>
      <c r="GZ91" s="22" t="n">
        <f aca="false">GZ65-GZ81-GZ84-GZ89</f>
        <v>29360800</v>
      </c>
      <c r="HA91" s="22" t="n">
        <f aca="false">HA65-HA81-HA84-HA89</f>
        <v>29360800</v>
      </c>
      <c r="HB91" s="22" t="n">
        <f aca="false">HB65-HB81-HB84-HB89</f>
        <v>29352460</v>
      </c>
      <c r="HC91" s="22" t="n">
        <f aca="false">HC65-HC81-HC84-HC89</f>
        <v>29352880</v>
      </c>
      <c r="HD91" s="22" t="n">
        <f aca="false">HD65-HD81-HD84-HD89</f>
        <v>29352880</v>
      </c>
      <c r="HE91" s="22" t="n">
        <f aca="false">HE65-HE81-HE84-HE89</f>
        <v>29359400</v>
      </c>
      <c r="HF91" s="22" t="n">
        <f aca="false">HF65-HF81-HF84-HF89</f>
        <v>29359400</v>
      </c>
      <c r="HG91" s="22" t="n">
        <f aca="false">HG65-HG81-HG84-HG89</f>
        <v>29359400</v>
      </c>
      <c r="HH91" s="22" t="n">
        <f aca="false">HH65-HH81-HH84-HH89</f>
        <v>29426327.3927393</v>
      </c>
      <c r="HI91" s="22" t="n">
        <f aca="false">HI65-HI81-HI84-HI89</f>
        <v>29427066.6666667</v>
      </c>
      <c r="HJ91" s="22" t="n">
        <f aca="false">HJ65-HJ81-HJ84-HJ89</f>
        <v>29369200</v>
      </c>
      <c r="HK91" s="22" t="n">
        <f aca="false">HK65-HK81-HK84-HK89</f>
        <v>29353400</v>
      </c>
      <c r="HL91" s="22" t="n">
        <f aca="false">HL65-HL81-HL84-HL89</f>
        <v>29613700</v>
      </c>
      <c r="HM91" s="22" t="n">
        <f aca="false">HM65-HM81-HM84-HM89</f>
        <v>29911837</v>
      </c>
      <c r="HN91" s="22" t="n">
        <f aca="false">HN65-HN81-HN84-HN89</f>
        <v>29913697</v>
      </c>
      <c r="HO91" s="22" t="n">
        <f aca="false">HO65-HO81-HO84-HO89</f>
        <v>29913697</v>
      </c>
      <c r="HP91" s="22" t="n">
        <f aca="false">HP65-HP81-HP84-HP89</f>
        <v>29922181.8181818</v>
      </c>
      <c r="HQ91" s="22" t="n">
        <f aca="false">HQ65-HQ81-HQ84-HQ89</f>
        <v>29681092</v>
      </c>
      <c r="HR91" s="22" t="n">
        <f aca="false">HR65-HR81-HR84-HR89</f>
        <v>29681092</v>
      </c>
      <c r="HS91" s="22" t="n">
        <f aca="false">HS65-HS81-HS84-HS89</f>
        <v>29681092</v>
      </c>
      <c r="HT91" s="22" t="n">
        <f aca="false">HT65-HT81-HT84-HT89</f>
        <v>29726020</v>
      </c>
      <c r="HU91" s="22" t="n">
        <f aca="false">HU65-HU81-HU84-HU89</f>
        <v>29658628</v>
      </c>
      <c r="HV91" s="22" t="n">
        <f aca="false">HV65-HV81-HV84-HV89</f>
        <v>29720575</v>
      </c>
      <c r="HW91" s="22" t="n">
        <f aca="false">HW65-HW81-HW84-HW89</f>
        <v>29669950</v>
      </c>
      <c r="HX91" s="22" t="n">
        <f aca="false">HX65-HX81-HX84-HX89</f>
        <v>29894950</v>
      </c>
      <c r="HY91" s="22" t="n">
        <f aca="false">HY65-HY81-HY84-HY89</f>
        <v>29810575</v>
      </c>
      <c r="HZ91" s="22" t="n">
        <f aca="false">HZ65-HZ81-HZ84-HZ89</f>
        <v>29676700</v>
      </c>
      <c r="IA91" s="22" t="n">
        <f aca="false">IA65-IA81-IA84-IA89</f>
        <v>29676700</v>
      </c>
      <c r="IB91" s="22" t="n">
        <f aca="false">IB65-IB81-IB84-IB89</f>
        <v>29973700</v>
      </c>
      <c r="IC91" s="22" t="n">
        <f aca="false">IC65-IC81-IC84-IC89</f>
        <v>29906200</v>
      </c>
      <c r="ID91" s="22" t="n">
        <f aca="false">ID65-ID81-ID84-ID89</f>
        <v>29618200</v>
      </c>
      <c r="IE91" s="22" t="n">
        <f aca="false">IE65-IE81-IE84-IE89</f>
        <v>29622700</v>
      </c>
      <c r="IF91" s="22" t="n">
        <f aca="false">IF65-IF81-IF84-IF89</f>
        <v>29622700</v>
      </c>
      <c r="IG91" s="22" t="n">
        <f aca="false">IG65-IG81-IG84-IG89</f>
        <v>29622700</v>
      </c>
      <c r="IH91" s="22" t="n">
        <f aca="false">IH65-IH81-IH84-IH89</f>
        <v>29726200</v>
      </c>
      <c r="II91" s="22" t="n">
        <f aca="false">II65-II81-II84-II89</f>
        <v>29726200</v>
      </c>
      <c r="IJ91" s="22" t="n">
        <f aca="false">IJ65-IJ81-IJ84-IJ89</f>
        <v>29726200</v>
      </c>
      <c r="IK91" s="22" t="n">
        <f aca="false">IK65-IK81-IK84-IK89</f>
        <v>29630575</v>
      </c>
      <c r="IL91" s="22" t="n">
        <f aca="false">IL65-IL81-IL84-IL89</f>
        <v>29630575</v>
      </c>
      <c r="IM91" s="22" t="n">
        <f aca="false">IM65-IM81-IM84-IM89</f>
        <v>29613700</v>
      </c>
      <c r="IN91" s="22" t="n">
        <f aca="false">IN65-IN81-IN84-IN89</f>
        <v>29613700</v>
      </c>
      <c r="IO91" s="22" t="n">
        <f aca="false">IO65-IO81-IO84-IO89</f>
        <v>29647450</v>
      </c>
      <c r="IP91" s="22" t="n">
        <f aca="false">IP65-IP81-IP84-IP89</f>
        <v>29615320</v>
      </c>
      <c r="IQ91" s="22" t="n">
        <f aca="false">IQ65-IQ81-IQ84-IQ89</f>
        <v>29615320</v>
      </c>
      <c r="IR91" s="22" t="n">
        <f aca="false">IR65-IR81-IR84-IR89</f>
        <v>29613760</v>
      </c>
      <c r="IS91" s="22" t="n">
        <f aca="false">IS65-IS81-IS84-IS89</f>
        <v>29615500</v>
      </c>
      <c r="IT91" s="22" t="n">
        <f aca="false">IT65-IT81-IT84-IT89</f>
        <v>29615500</v>
      </c>
      <c r="IU91" s="22" t="n">
        <f aca="false">IU65-IU81-IU84-IU89</f>
        <v>29620450</v>
      </c>
      <c r="IV91" s="22" t="n">
        <f aca="false">IV65-IV81-IV84-IV89</f>
        <v>29620450</v>
      </c>
      <c r="IW91" s="22" t="n">
        <f aca="false">IW65-IW81-IW84-IW89</f>
        <v>29620450</v>
      </c>
      <c r="IX91" s="22" t="n">
        <f aca="false">IX65-IX81-IX84-IX89</f>
        <v>29658254.4554455</v>
      </c>
      <c r="IY91" s="22" t="n">
        <f aca="false">IY65-IY81-IY84-IY89</f>
        <v>29658700</v>
      </c>
      <c r="IZ91" s="22" t="n">
        <f aca="false">IZ65-IZ81-IZ84-IZ89</f>
        <v>29619100</v>
      </c>
      <c r="JA91" s="22" t="n">
        <f aca="false">JA65-JA81-JA84-JA89</f>
        <v>29615700</v>
      </c>
    </row>
    <row r="92" customFormat="false" ht="15" hidden="false" customHeight="false" outlineLevel="0" collapsed="false">
      <c r="A92" s="4" t="s">
        <v>315</v>
      </c>
      <c r="B92" s="5"/>
      <c r="C92" s="5"/>
      <c r="D92" s="5"/>
      <c r="E92" s="5"/>
      <c r="F92" s="5"/>
      <c r="G92" s="5"/>
      <c r="H92" s="5"/>
    </row>
    <row r="93" customFormat="false" ht="15" hidden="false" customHeight="false" outlineLevel="0" collapsed="false">
      <c r="A93" s="2" t="s">
        <v>146</v>
      </c>
      <c r="B93" s="13" t="s">
        <v>147</v>
      </c>
      <c r="C93" s="13" t="s">
        <v>179</v>
      </c>
      <c r="D93" s="9" t="s">
        <v>316</v>
      </c>
      <c r="E93" s="59" t="n">
        <f aca="false">IF(E16&gt;0,E65/E16,0)</f>
        <v>86.092</v>
      </c>
      <c r="F93" s="59" t="n">
        <f aca="false">IF(F16&gt;0,F65/F16,0)</f>
        <v>2183.2</v>
      </c>
      <c r="G93" s="59" t="n">
        <f aca="false">IF(G16&gt;0,G65/G16,0)</f>
        <v>80726</v>
      </c>
      <c r="H93" s="59" t="n">
        <f aca="false">IF(H16&gt;0,H65/H16,0)</f>
        <v>208.747963691817</v>
      </c>
      <c r="J93" s="59" t="n">
        <f aca="false">IF(J16&gt;0,J65/J16,0)</f>
        <v>86.092</v>
      </c>
      <c r="K93" s="59" t="n">
        <f aca="false">IF(K16&gt;0,K65/K16,0)</f>
        <v>86.092</v>
      </c>
      <c r="L93" s="59" t="n">
        <f aca="false">IF(L16&gt;0,L65/L16,0)</f>
        <v>86.092</v>
      </c>
      <c r="M93" s="59" t="n">
        <f aca="false">IF(M16&gt;0,M65/M16,0)</f>
        <v>86.092</v>
      </c>
      <c r="N93" s="59" t="n">
        <f aca="false">IF(N16&gt;0,N65/N16,0)</f>
        <v>86.092</v>
      </c>
      <c r="O93" s="59" t="n">
        <f aca="false">IF(O16&gt;0,O65/O16,0)</f>
        <v>86.33392</v>
      </c>
      <c r="P93" s="59" t="n">
        <f aca="false">IF(P16&gt;0,P65/P16,0)</f>
        <v>86.33392</v>
      </c>
      <c r="Q93" s="59" t="n">
        <f aca="false">IF(Q16&gt;0,Q65/Q16,0)</f>
        <v>86.33392</v>
      </c>
      <c r="R93" s="59" t="n">
        <f aca="false">IF(R16&gt;0,R65/R16,0)</f>
        <v>86.3944</v>
      </c>
      <c r="S93" s="59" t="n">
        <f aca="false">IF(S16&gt;0,S65/S16,0)</f>
        <v>86.15248</v>
      </c>
      <c r="T93" s="59" t="n">
        <f aca="false">IF(T16&gt;0,T65/T16,0)</f>
        <v>86.364</v>
      </c>
      <c r="U93" s="59" t="n">
        <f aca="false">IF(U16&gt;0,U65/U16,0)</f>
        <v>86.332</v>
      </c>
      <c r="V93" s="59" t="n">
        <f aca="false">IF(V16&gt;0,V65/V16,0)</f>
        <v>86.572</v>
      </c>
      <c r="W93" s="59" t="n">
        <f aca="false">IF(W16&gt;0,W65/W16,0)</f>
        <v>86.284</v>
      </c>
      <c r="X93" s="59" t="n">
        <f aca="false">IF(X16&gt;0,X65/X16,0)</f>
        <v>86.292</v>
      </c>
      <c r="Y93" s="59" t="n">
        <f aca="false">IF(Y16&gt;0,Y65/Y16,0)</f>
        <v>86.292</v>
      </c>
      <c r="Z93" s="59" t="n">
        <f aca="false">IF(Z16&gt;0,Z65/Z16,0)</f>
        <v>86.572</v>
      </c>
      <c r="AA93" s="59" t="n">
        <f aca="false">IF(AA16&gt;0,AA65/AA16,0)</f>
        <v>86.372</v>
      </c>
      <c r="AB93" s="59" t="n">
        <f aca="false">IF(AB16&gt;0,AB65/AB16,0)</f>
        <v>86.092</v>
      </c>
      <c r="AC93" s="59" t="n">
        <f aca="false">IF(AC16&gt;0,AC65/AC16,0)</f>
        <v>86.167</v>
      </c>
      <c r="AD93" s="59" t="n">
        <f aca="false">IF(AD16&gt;0,AD65/AD16,0)</f>
        <v>86.167</v>
      </c>
      <c r="AE93" s="59" t="n">
        <f aca="false">IF(AE16&gt;0,AE65/AE16,0)</f>
        <v>86.167</v>
      </c>
      <c r="AF93" s="59" t="n">
        <f aca="false">IF(AF16&gt;0,AF65/AF16,0)</f>
        <v>86.116</v>
      </c>
      <c r="AG93" s="59" t="n">
        <f aca="false">IF(AG16&gt;0,AG65/AG16,0)</f>
        <v>86.116</v>
      </c>
      <c r="AH93" s="59" t="n">
        <f aca="false">IF(AH16&gt;0,AH65/AH16,0)</f>
        <v>86.116</v>
      </c>
      <c r="AI93" s="59" t="n">
        <f aca="false">IF(AI16&gt;0,AI65/AI16,0)</f>
        <v>86.108</v>
      </c>
      <c r="AJ93" s="59" t="n">
        <f aca="false">IF(AJ16&gt;0,AJ65/AJ16,0)</f>
        <v>86.108</v>
      </c>
      <c r="AK93" s="59" t="n">
        <f aca="false">IF(AK16&gt;0,AK65/AK16,0)</f>
        <v>86.14</v>
      </c>
      <c r="AL93" s="59" t="n">
        <f aca="false">IF(AL16&gt;0,AL65/AL16,0)</f>
        <v>86.14</v>
      </c>
      <c r="AM93" s="59" t="n">
        <f aca="false">IF(AM16&gt;0,AM65/AM16,0)</f>
        <v>86.108</v>
      </c>
      <c r="AN93" s="59" t="n">
        <f aca="false">IF(AN16&gt;0,AN65/AN16,0)</f>
        <v>86.092</v>
      </c>
      <c r="AO93" s="59" t="n">
        <f aca="false">IF(AO16&gt;0,AO65/AO16,0)</f>
        <v>86.092</v>
      </c>
      <c r="AP93" s="59" t="n">
        <f aca="false">IF(AP16&gt;0,AP65/AP16,0)</f>
        <v>86.092</v>
      </c>
      <c r="AQ93" s="59" t="n">
        <f aca="false">IF(AQ16&gt;0,AQ65/AQ16,0)</f>
        <v>86.092</v>
      </c>
      <c r="AR93" s="59" t="n">
        <f aca="false">IF(AR16&gt;0,AR65/AR16,0)</f>
        <v>86.092</v>
      </c>
      <c r="AS93" s="59" t="n">
        <f aca="false">IF(AS16&gt;0,AS65/AS16,0)</f>
        <v>86.092</v>
      </c>
      <c r="AT93" s="59" t="n">
        <f aca="false">IF(AT16&gt;0,AT65/AT16,0)</f>
        <v>86.092</v>
      </c>
      <c r="AU93" s="59" t="n">
        <f aca="false">IF(AU16&gt;0,AU65/AU16,0)</f>
        <v>86.092</v>
      </c>
      <c r="AV93" s="59" t="n">
        <f aca="false">IF(AV16&gt;0,AV65/AV16,0)</f>
        <v>86.092</v>
      </c>
      <c r="AW93" s="59" t="n">
        <f aca="false">IF(AW16&gt;0,AW65/AW16,0)</f>
        <v>86.092</v>
      </c>
      <c r="AX93" s="59" t="n">
        <f aca="false">IF(AX16&gt;0,AX65/AX16,0)</f>
        <v>86.092</v>
      </c>
      <c r="AY93" s="59" t="n">
        <f aca="false">IF(AY16&gt;0,AY65/AY16,0)</f>
        <v>86.092</v>
      </c>
      <c r="AZ93" s="59" t="n">
        <f aca="false">IF(AZ16&gt;0,AZ65/AZ16,0)</f>
        <v>2183.2</v>
      </c>
      <c r="BA93" s="59" t="n">
        <f aca="false">IF(BA16&gt;0,BA65/BA16,0)</f>
        <v>2183.2</v>
      </c>
      <c r="BB93" s="59" t="n">
        <f aca="false">IF(BB16&gt;0,BB65/BB16,0)</f>
        <v>2183.2</v>
      </c>
      <c r="BC93" s="59" t="n">
        <f aca="false">IF(BC16&gt;0,BC65/BC16,0)</f>
        <v>2183.2</v>
      </c>
      <c r="BD93" s="59" t="n">
        <f aca="false">IF(BD16&gt;0,BD65/BD16,0)</f>
        <v>2183.2</v>
      </c>
      <c r="BE93" s="59" t="n">
        <f aca="false">IF(BE16&gt;0,BE65/BE16,0)</f>
        <v>2185.972</v>
      </c>
      <c r="BF93" s="59" t="n">
        <f aca="false">IF(BF16&gt;0,BF65/BF16,0)</f>
        <v>2185.972</v>
      </c>
      <c r="BG93" s="59" t="n">
        <f aca="false">IF(BG16&gt;0,BG65/BG16,0)</f>
        <v>2185.972</v>
      </c>
      <c r="BH93" s="59" t="n">
        <f aca="false">IF(BH16&gt;0,BH65/BH16,0)</f>
        <v>2186.665</v>
      </c>
      <c r="BI93" s="59" t="n">
        <f aca="false">IF(BI16&gt;0,BI65/BI16,0)</f>
        <v>2183.893</v>
      </c>
      <c r="BJ93" s="59" t="n">
        <f aca="false">IF(BJ16&gt;0,BJ65/BJ16,0)</f>
        <v>2191.4</v>
      </c>
      <c r="BK93" s="59" t="n">
        <f aca="false">IF(BK16&gt;0,BK65/BK16,0)</f>
        <v>2186.4</v>
      </c>
      <c r="BL93" s="59" t="n">
        <f aca="false">IF(BL16&gt;0,BL65/BL16,0)</f>
        <v>2191.2</v>
      </c>
      <c r="BM93" s="59" t="n">
        <f aca="false">IF(BM16&gt;0,BM65/BM16,0)</f>
        <v>2187.2</v>
      </c>
      <c r="BN93" s="59" t="n">
        <f aca="false">IF(BN16&gt;0,BN65/BN16,0)</f>
        <v>2187.7</v>
      </c>
      <c r="BO93" s="59" t="n">
        <f aca="false">IF(BO16&gt;0,BO65/BO16,0)</f>
        <v>2187.7</v>
      </c>
      <c r="BP93" s="59" t="n">
        <f aca="false">IF(BP16&gt;0,BP65/BP16,0)</f>
        <v>2198.2</v>
      </c>
      <c r="BQ93" s="59" t="n">
        <f aca="false">IF(BQ16&gt;0,BQ65/BQ16,0)</f>
        <v>2193.7</v>
      </c>
      <c r="BR93" s="59" t="n">
        <f aca="false">IF(BR16&gt;0,BR65/BR16,0)</f>
        <v>2183.2</v>
      </c>
      <c r="BS93" s="59" t="n">
        <f aca="false">IF(BS16&gt;0,BS65/BS16,0)</f>
        <v>2184.7</v>
      </c>
      <c r="BT93" s="59" t="n">
        <f aca="false">IF(BT16&gt;0,BT65/BT16,0)</f>
        <v>2184.7</v>
      </c>
      <c r="BU93" s="59" t="n">
        <f aca="false">IF(BU16&gt;0,BU65/BU16,0)</f>
        <v>2184.7</v>
      </c>
      <c r="BV93" s="59" t="n">
        <f aca="false">IF(BV16&gt;0,BV65/BV16,0)</f>
        <v>2186.56</v>
      </c>
      <c r="BW93" s="59" t="n">
        <f aca="false">IF(BW16&gt;0,BW65/BW16,0)</f>
        <v>2186.56</v>
      </c>
      <c r="BX93" s="59" t="n">
        <f aca="false">IF(BX16&gt;0,BX65/BX16,0)</f>
        <v>2186.56</v>
      </c>
      <c r="BY93" s="59" t="n">
        <f aca="false">IF(BY16&gt;0,BY65/BY16,0)</f>
        <v>2187.2</v>
      </c>
      <c r="BZ93" s="59" t="n">
        <f aca="false">IF(BZ16&gt;0,BZ65/BZ16,0)</f>
        <v>2187.2</v>
      </c>
      <c r="CA93" s="59" t="n">
        <f aca="false">IF(CA16&gt;0,CA65/CA16,0)</f>
        <v>2184.7</v>
      </c>
      <c r="CB93" s="59" t="n">
        <f aca="false">IF(CB16&gt;0,CB65/CB16,0)</f>
        <v>2184.7</v>
      </c>
      <c r="CC93" s="59" t="n">
        <f aca="false">IF(CC16&gt;0,CC65/CC16,0)</f>
        <v>2184.2</v>
      </c>
      <c r="CD93" s="59" t="n">
        <f aca="false">IF(CD16&gt;0,CD65/CD16,0)</f>
        <v>2183.2</v>
      </c>
      <c r="CE93" s="59" t="n">
        <f aca="false">IF(CE16&gt;0,CE65/CE16,0)</f>
        <v>2183.2</v>
      </c>
      <c r="CF93" s="59" t="n">
        <f aca="false">IF(CF16&gt;0,CF65/CF16,0)</f>
        <v>2183.2</v>
      </c>
      <c r="CG93" s="59" t="n">
        <f aca="false">IF(CG16&gt;0,CG65/CG16,0)</f>
        <v>2183.2</v>
      </c>
      <c r="CH93" s="59" t="n">
        <f aca="false">IF(CH16&gt;0,CH65/CH16,0)</f>
        <v>2183.2</v>
      </c>
      <c r="CI93" s="59" t="n">
        <f aca="false">IF(CI16&gt;0,CI65/CI16,0)</f>
        <v>2183.2</v>
      </c>
      <c r="CJ93" s="59" t="n">
        <f aca="false">IF(CJ16&gt;0,CJ65/CJ16,0)</f>
        <v>2183.2</v>
      </c>
      <c r="CK93" s="59" t="n">
        <f aca="false">IF(CK16&gt;0,CK65/CK16,0)</f>
        <v>2183.2</v>
      </c>
      <c r="CL93" s="59" t="n">
        <f aca="false">IF(CL16&gt;0,CL65/CL16,0)</f>
        <v>2183.2</v>
      </c>
      <c r="CM93" s="59" t="n">
        <f aca="false">IF(CM16&gt;0,CM65/CM16,0)</f>
        <v>2183.2</v>
      </c>
      <c r="CN93" s="59" t="n">
        <f aca="false">IF(CN16&gt;0,CN65/CN16,0)</f>
        <v>2183.2</v>
      </c>
      <c r="CO93" s="59" t="n">
        <f aca="false">IF(CO16&gt;0,CO65/CO16,0)</f>
        <v>2183.2</v>
      </c>
      <c r="CP93" s="59" t="n">
        <f aca="false">IF(CP16&gt;0,CP65/CP16,0)</f>
        <v>80726</v>
      </c>
      <c r="CQ93" s="59" t="n">
        <f aca="false">IF(CQ16&gt;0,CQ65/CQ16,0)</f>
        <v>80726</v>
      </c>
      <c r="CR93" s="59" t="n">
        <f aca="false">IF(CR16&gt;0,CR65/CR16,0)</f>
        <v>80726</v>
      </c>
      <c r="CS93" s="59" t="n">
        <f aca="false">IF(CS16&gt;0,CS65/CS16,0)</f>
        <v>80726</v>
      </c>
      <c r="CT93" s="59" t="n">
        <f aca="false">IF(CT16&gt;0,CT65/CT16,0)</f>
        <v>80726</v>
      </c>
      <c r="CU93" s="59" t="n">
        <f aca="false">IF(CU16&gt;0,CU65/CU16,0)</f>
        <v>80875.76</v>
      </c>
      <c r="CV93" s="59" t="n">
        <f aca="false">IF(CV16&gt;0,CV65/CV16,0)</f>
        <v>80875.76</v>
      </c>
      <c r="CW93" s="59" t="n">
        <f aca="false">IF(CW16&gt;0,CW65/CW16,0)</f>
        <v>80875.76</v>
      </c>
      <c r="CX93" s="59" t="n">
        <f aca="false">IF(CX16&gt;0,CX65/CX16,0)</f>
        <v>80975.6</v>
      </c>
      <c r="CY93" s="59" t="n">
        <f aca="false">IF(CY16&gt;0,CY65/CY16,0)</f>
        <v>80825.84</v>
      </c>
      <c r="CZ93" s="59" t="n">
        <f aca="false">IF(CZ16&gt;0,CZ65/CZ16,0)</f>
        <v>80963.5</v>
      </c>
      <c r="DA93" s="59" t="n">
        <f aca="false">IF(DA16&gt;0,DA65/DA16,0)</f>
        <v>80851</v>
      </c>
      <c r="DB93" s="59" t="n">
        <f aca="false">IF(DB16&gt;0,DB65/DB16,0)</f>
        <v>81351</v>
      </c>
      <c r="DC93" s="59" t="n">
        <f aca="false">IF(DC16&gt;0,DC65/DC16,0)</f>
        <v>81163.5</v>
      </c>
      <c r="DD93" s="59" t="n">
        <f aca="false">IF(DD16&gt;0,DD65/DD16,0)</f>
        <v>80876</v>
      </c>
      <c r="DE93" s="59" t="n">
        <f aca="false">IF(DE16&gt;0,DE65/DE16,0)</f>
        <v>80876</v>
      </c>
      <c r="DF93" s="59" t="n">
        <f aca="false">IF(DF16&gt;0,DF65/DF16,0)</f>
        <v>81526</v>
      </c>
      <c r="DG93" s="59" t="n">
        <f aca="false">IF(DG16&gt;0,DG65/DG16,0)</f>
        <v>81376</v>
      </c>
      <c r="DH93" s="59" t="n">
        <f aca="false">IF(DH16&gt;0,DH65/DH16,0)</f>
        <v>80726</v>
      </c>
      <c r="DI93" s="59" t="n">
        <f aca="false">IF(DI16&gt;0,DI65/DI16,0)</f>
        <v>80746</v>
      </c>
      <c r="DJ93" s="59" t="n">
        <f aca="false">IF(DJ16&gt;0,DJ65/DJ16,0)</f>
        <v>80746</v>
      </c>
      <c r="DK93" s="59" t="n">
        <f aca="false">IF(DK16&gt;0,DK65/DK16,0)</f>
        <v>80746</v>
      </c>
      <c r="DL93" s="59" t="n">
        <f aca="false">IF(DL16&gt;0,DL65/DL16,0)</f>
        <v>80976</v>
      </c>
      <c r="DM93" s="59" t="n">
        <f aca="false">IF(DM16&gt;0,DM65/DM16,0)</f>
        <v>80976</v>
      </c>
      <c r="DN93" s="59" t="n">
        <f aca="false">IF(DN16&gt;0,DN65/DN16,0)</f>
        <v>80976</v>
      </c>
      <c r="DO93" s="59" t="n">
        <f aca="false">IF(DO16&gt;0,DO65/DO16,0)</f>
        <v>80763.5</v>
      </c>
      <c r="DP93" s="59" t="n">
        <f aca="false">IF(DP16&gt;0,DP65/DP16,0)</f>
        <v>80763.5</v>
      </c>
      <c r="DQ93" s="59" t="n">
        <f aca="false">IF(DQ16&gt;0,DQ65/DQ16,0)</f>
        <v>80726</v>
      </c>
      <c r="DR93" s="59" t="n">
        <f aca="false">IF(DR16&gt;0,DR65/DR16,0)</f>
        <v>80726</v>
      </c>
      <c r="DS93" s="59" t="n">
        <f aca="false">IF(DS16&gt;0,DS65/DS16,0)</f>
        <v>80801</v>
      </c>
      <c r="DT93" s="59" t="n">
        <f aca="false">IF(DT16&gt;0,DT65/DT16,0)</f>
        <v>80726</v>
      </c>
      <c r="DU93" s="59" t="n">
        <f aca="false">IF(DU16&gt;0,DU65/DU16,0)</f>
        <v>80726</v>
      </c>
      <c r="DV93" s="59" t="n">
        <f aca="false">IF(DV16&gt;0,DV65/DV16,0)</f>
        <v>80726</v>
      </c>
      <c r="DW93" s="59" t="n">
        <f aca="false">IF(DW16&gt;0,DW65/DW16,0)</f>
        <v>80726</v>
      </c>
      <c r="DX93" s="59" t="n">
        <f aca="false">IF(DX16&gt;0,DX65/DX16,0)</f>
        <v>80726</v>
      </c>
      <c r="DY93" s="59" t="n">
        <f aca="false">IF(DY16&gt;0,DY65/DY16,0)</f>
        <v>80726</v>
      </c>
      <c r="DZ93" s="59" t="n">
        <f aca="false">IF(DZ16&gt;0,DZ65/DZ16,0)</f>
        <v>80726</v>
      </c>
      <c r="EA93" s="59" t="n">
        <f aca="false">IF(EA16&gt;0,EA65/EA16,0)</f>
        <v>80726</v>
      </c>
      <c r="EB93" s="59" t="n">
        <f aca="false">IF(EB16&gt;0,EB65/EB16,0)</f>
        <v>80726</v>
      </c>
      <c r="EC93" s="59" t="n">
        <f aca="false">IF(EC16&gt;0,EC65/EC16,0)</f>
        <v>80726</v>
      </c>
      <c r="ED93" s="59" t="n">
        <f aca="false">IF(ED16&gt;0,ED65/ED16,0)</f>
        <v>80726</v>
      </c>
      <c r="EE93" s="59" t="n">
        <f aca="false">IF(EE16&gt;0,EE65/EE16,0)</f>
        <v>80726</v>
      </c>
      <c r="EF93" s="59" t="n">
        <f aca="false">IF(EF16&gt;0,EF65/EF16,0)</f>
        <v>86.092</v>
      </c>
      <c r="EG93" s="59" t="n">
        <f aca="false">IF(EG16&gt;0,EG65/EG16,0)</f>
        <v>86.092</v>
      </c>
      <c r="EH93" s="59" t="n">
        <f aca="false">IF(EH16&gt;0,EH65/EH16,0)</f>
        <v>86.092</v>
      </c>
      <c r="EI93" s="59" t="n">
        <f aca="false">IF(EI16&gt;0,EI65/EI16,0)</f>
        <v>86.092</v>
      </c>
      <c r="EJ93" s="59" t="n">
        <f aca="false">IF(EJ16&gt;0,EJ65/EJ16,0)</f>
        <v>86.092</v>
      </c>
      <c r="EK93" s="59" t="n">
        <f aca="false">IF(EK16&gt;0,EK65/EK16,0)</f>
        <v>86.33392</v>
      </c>
      <c r="EL93" s="59" t="n">
        <f aca="false">IF(EL16&gt;0,EL65/EL16,0)</f>
        <v>86.33392</v>
      </c>
      <c r="EM93" s="59" t="n">
        <f aca="false">IF(EM16&gt;0,EM65/EM16,0)</f>
        <v>86.33392</v>
      </c>
      <c r="EN93" s="59" t="n">
        <f aca="false">IF(EN16&gt;0,EN65/EN16,0)</f>
        <v>86.3944</v>
      </c>
      <c r="EO93" s="59" t="n">
        <f aca="false">IF(EO16&gt;0,EO65/EO16,0)</f>
        <v>86.15248</v>
      </c>
      <c r="EP93" s="59" t="n">
        <f aca="false">IF(EP16&gt;0,EP65/EP16,0)</f>
        <v>86.364</v>
      </c>
      <c r="EQ93" s="59" t="n">
        <f aca="false">IF(EQ16&gt;0,EQ65/EQ16,0)</f>
        <v>86.332</v>
      </c>
      <c r="ER93" s="59" t="n">
        <f aca="false">IF(ER16&gt;0,ER65/ER16,0)</f>
        <v>86.572</v>
      </c>
      <c r="ES93" s="59" t="n">
        <f aca="false">IF(ES16&gt;0,ES65/ES16,0)</f>
        <v>86.284</v>
      </c>
      <c r="ET93" s="59" t="n">
        <f aca="false">IF(ET16&gt;0,ET65/ET16,0)</f>
        <v>86.292</v>
      </c>
      <c r="EU93" s="59" t="n">
        <f aca="false">IF(EU16&gt;0,EU65/EU16,0)</f>
        <v>86.292</v>
      </c>
      <c r="EV93" s="59" t="n">
        <f aca="false">IF(EV16&gt;0,EV65/EV16,0)</f>
        <v>86.572</v>
      </c>
      <c r="EW93" s="59" t="n">
        <f aca="false">IF(EW16&gt;0,EW65/EW16,0)</f>
        <v>86.372</v>
      </c>
      <c r="EX93" s="59" t="n">
        <f aca="false">IF(EX16&gt;0,EX65/EX16,0)</f>
        <v>86.092</v>
      </c>
      <c r="EY93" s="59" t="n">
        <f aca="false">IF(EY16&gt;0,EY65/EY16,0)</f>
        <v>86.167</v>
      </c>
      <c r="EZ93" s="59" t="n">
        <f aca="false">IF(EZ16&gt;0,EZ65/EZ16,0)</f>
        <v>86.167</v>
      </c>
      <c r="FA93" s="59" t="n">
        <f aca="false">IF(FA16&gt;0,FA65/FA16,0)</f>
        <v>86.167</v>
      </c>
      <c r="FB93" s="59" t="n">
        <f aca="false">IF(FB16&gt;0,FB65/FB16,0)</f>
        <v>86.116</v>
      </c>
      <c r="FC93" s="59" t="n">
        <f aca="false">IF(FC16&gt;0,FC65/FC16,0)</f>
        <v>86.116</v>
      </c>
      <c r="FD93" s="59" t="n">
        <f aca="false">IF(FD16&gt;0,FD65/FD16,0)</f>
        <v>86.116</v>
      </c>
      <c r="FE93" s="59" t="n">
        <f aca="false">IF(FE16&gt;0,FE65/FE16,0)</f>
        <v>86.108</v>
      </c>
      <c r="FF93" s="59" t="n">
        <f aca="false">IF(FF16&gt;0,FF65/FF16,0)</f>
        <v>86.108</v>
      </c>
      <c r="FG93" s="59" t="n">
        <f aca="false">IF(FG16&gt;0,FG65/FG16,0)</f>
        <v>86.14</v>
      </c>
      <c r="FH93" s="59" t="n">
        <f aca="false">IF(FH16&gt;0,FH65/FH16,0)</f>
        <v>86.14</v>
      </c>
      <c r="FI93" s="59" t="n">
        <f aca="false">IF(FI16&gt;0,FI65/FI16,0)</f>
        <v>86.108</v>
      </c>
      <c r="FJ93" s="59" t="n">
        <f aca="false">IF(FJ16&gt;0,FJ65/FJ16,0)</f>
        <v>86.092</v>
      </c>
      <c r="FK93" s="59" t="n">
        <f aca="false">IF(FK16&gt;0,FK65/FK16,0)</f>
        <v>86.092</v>
      </c>
      <c r="FL93" s="59" t="n">
        <f aca="false">IF(FL16&gt;0,FL65/FL16,0)</f>
        <v>86.092</v>
      </c>
      <c r="FM93" s="59" t="n">
        <f aca="false">IF(FM16&gt;0,FM65/FM16,0)</f>
        <v>86.092</v>
      </c>
      <c r="FN93" s="59" t="n">
        <f aca="false">IF(FN16&gt;0,FN65/FN16,0)</f>
        <v>86.092</v>
      </c>
      <c r="FO93" s="59" t="n">
        <f aca="false">IF(FO16&gt;0,FO65/FO16,0)</f>
        <v>86.092</v>
      </c>
      <c r="FP93" s="59" t="n">
        <f aca="false">IF(FP16&gt;0,FP65/FP16,0)</f>
        <v>86.092</v>
      </c>
      <c r="FQ93" s="59" t="n">
        <f aca="false">IF(FQ16&gt;0,FQ65/FQ16,0)</f>
        <v>86.092</v>
      </c>
      <c r="FR93" s="59" t="n">
        <f aca="false">IF(FR16&gt;0,FR65/FR16,0)</f>
        <v>86.092</v>
      </c>
      <c r="FS93" s="59" t="n">
        <f aca="false">IF(FS16&gt;0,FS65/FS16,0)</f>
        <v>86.092</v>
      </c>
      <c r="FT93" s="59" t="n">
        <f aca="false">IF(FT16&gt;0,FT65/FT16,0)</f>
        <v>86.092</v>
      </c>
      <c r="FU93" s="59" t="n">
        <f aca="false">IF(FU16&gt;0,FU65/FU16,0)</f>
        <v>86.092</v>
      </c>
      <c r="FV93" s="59" t="n">
        <f aca="false">IF(FV16&gt;0,FV65/FV16,0)</f>
        <v>2183.2</v>
      </c>
      <c r="FW93" s="59" t="n">
        <f aca="false">IF(FW16&gt;0,FW65/FW16,0)</f>
        <v>2183.2</v>
      </c>
      <c r="FX93" s="59" t="n">
        <f aca="false">IF(FX16&gt;0,FX65/FX16,0)</f>
        <v>2183.2</v>
      </c>
      <c r="FY93" s="59" t="n">
        <f aca="false">IF(FY16&gt;0,FY65/FY16,0)</f>
        <v>2183.2</v>
      </c>
      <c r="FZ93" s="59" t="n">
        <f aca="false">IF(FZ16&gt;0,FZ65/FZ16,0)</f>
        <v>2183.2</v>
      </c>
      <c r="GA93" s="59" t="n">
        <f aca="false">IF(GA16&gt;0,GA65/GA16,0)</f>
        <v>2185.972</v>
      </c>
      <c r="GB93" s="59" t="n">
        <f aca="false">IF(GB16&gt;0,GB65/GB16,0)</f>
        <v>2185.972</v>
      </c>
      <c r="GC93" s="59" t="n">
        <f aca="false">IF(GC16&gt;0,GC65/GC16,0)</f>
        <v>2185.972</v>
      </c>
      <c r="GD93" s="59" t="n">
        <f aca="false">IF(GD16&gt;0,GD65/GD16,0)</f>
        <v>2186.665</v>
      </c>
      <c r="GE93" s="59" t="n">
        <f aca="false">IF(GE16&gt;0,GE65/GE16,0)</f>
        <v>2183.893</v>
      </c>
      <c r="GF93" s="59" t="n">
        <f aca="false">IF(GF16&gt;0,GF65/GF16,0)</f>
        <v>2191.4</v>
      </c>
      <c r="GG93" s="59" t="n">
        <f aca="false">IF(GG16&gt;0,GG65/GG16,0)</f>
        <v>2186.4</v>
      </c>
      <c r="GH93" s="59" t="n">
        <f aca="false">IF(GH16&gt;0,GH65/GH16,0)</f>
        <v>2191.2</v>
      </c>
      <c r="GI93" s="59" t="n">
        <f aca="false">IF(GI16&gt;0,GI65/GI16,0)</f>
        <v>2187.2</v>
      </c>
      <c r="GJ93" s="59" t="n">
        <f aca="false">IF(GJ16&gt;0,GJ65/GJ16,0)</f>
        <v>2187.7</v>
      </c>
      <c r="GK93" s="59" t="n">
        <f aca="false">IF(GK16&gt;0,GK65/GK16,0)</f>
        <v>2187.7</v>
      </c>
      <c r="GL93" s="59" t="n">
        <f aca="false">IF(GL16&gt;0,GL65/GL16,0)</f>
        <v>2198.2</v>
      </c>
      <c r="GM93" s="59" t="n">
        <f aca="false">IF(GM16&gt;0,GM65/GM16,0)</f>
        <v>2193.7</v>
      </c>
      <c r="GN93" s="59" t="n">
        <f aca="false">IF(GN16&gt;0,GN65/GN16,0)</f>
        <v>2183.2</v>
      </c>
      <c r="GO93" s="59" t="n">
        <f aca="false">IF(GO16&gt;0,GO65/GO16,0)</f>
        <v>2184.7</v>
      </c>
      <c r="GP93" s="59" t="n">
        <f aca="false">IF(GP16&gt;0,GP65/GP16,0)</f>
        <v>2184.7</v>
      </c>
      <c r="GQ93" s="59" t="n">
        <f aca="false">IF(GQ16&gt;0,GQ65/GQ16,0)</f>
        <v>2184.7</v>
      </c>
      <c r="GR93" s="59" t="n">
        <f aca="false">IF(GR16&gt;0,GR65/GR16,0)</f>
        <v>2186.56</v>
      </c>
      <c r="GS93" s="59" t="n">
        <f aca="false">IF(GS16&gt;0,GS65/GS16,0)</f>
        <v>2186.56</v>
      </c>
      <c r="GT93" s="59" t="n">
        <f aca="false">IF(GT16&gt;0,GT65/GT16,0)</f>
        <v>2186.56</v>
      </c>
      <c r="GU93" s="59" t="n">
        <f aca="false">IF(GU16&gt;0,GU65/GU16,0)</f>
        <v>2187.2</v>
      </c>
      <c r="GV93" s="59" t="n">
        <f aca="false">IF(GV16&gt;0,GV65/GV16,0)</f>
        <v>2187.2</v>
      </c>
      <c r="GW93" s="59" t="n">
        <f aca="false">IF(GW16&gt;0,GW65/GW16,0)</f>
        <v>2184.7</v>
      </c>
      <c r="GX93" s="59" t="n">
        <f aca="false">IF(GX16&gt;0,GX65/GX16,0)</f>
        <v>2184.7</v>
      </c>
      <c r="GY93" s="59" t="n">
        <f aca="false">IF(GY16&gt;0,GY65/GY16,0)</f>
        <v>2184.2</v>
      </c>
      <c r="GZ93" s="59" t="n">
        <f aca="false">IF(GZ16&gt;0,GZ65/GZ16,0)</f>
        <v>2183.2</v>
      </c>
      <c r="HA93" s="59" t="n">
        <f aca="false">IF(HA16&gt;0,HA65/HA16,0)</f>
        <v>2183.2</v>
      </c>
      <c r="HB93" s="59" t="n">
        <f aca="false">IF(HB16&gt;0,HB65/HB16,0)</f>
        <v>2183.2</v>
      </c>
      <c r="HC93" s="59" t="n">
        <f aca="false">IF(HC16&gt;0,HC65/HC16,0)</f>
        <v>2183.2</v>
      </c>
      <c r="HD93" s="59" t="n">
        <f aca="false">IF(HD16&gt;0,HD65/HD16,0)</f>
        <v>2183.2</v>
      </c>
      <c r="HE93" s="59" t="n">
        <f aca="false">IF(HE16&gt;0,HE65/HE16,0)</f>
        <v>2183.2</v>
      </c>
      <c r="HF93" s="59" t="n">
        <f aca="false">IF(HF16&gt;0,HF65/HF16,0)</f>
        <v>2183.2</v>
      </c>
      <c r="HG93" s="59" t="n">
        <f aca="false">IF(HG16&gt;0,HG65/HG16,0)</f>
        <v>2183.2</v>
      </c>
      <c r="HH93" s="59" t="n">
        <f aca="false">IF(HH16&gt;0,HH65/HH16,0)</f>
        <v>2183.2</v>
      </c>
      <c r="HI93" s="59" t="n">
        <f aca="false">IF(HI16&gt;0,HI65/HI16,0)</f>
        <v>2183.2</v>
      </c>
      <c r="HJ93" s="59" t="n">
        <f aca="false">IF(HJ16&gt;0,HJ65/HJ16,0)</f>
        <v>2183.2</v>
      </c>
      <c r="HK93" s="59" t="n">
        <f aca="false">IF(HK16&gt;0,HK65/HK16,0)</f>
        <v>2183.2</v>
      </c>
      <c r="HL93" s="59" t="n">
        <f aca="false">IF(HL16&gt;0,HL65/HL16,0)</f>
        <v>80726</v>
      </c>
      <c r="HM93" s="59" t="n">
        <f aca="false">IF(HM16&gt;0,HM65/HM16,0)</f>
        <v>80726</v>
      </c>
      <c r="HN93" s="59" t="n">
        <f aca="false">IF(HN16&gt;0,HN65/HN16,0)</f>
        <v>80726</v>
      </c>
      <c r="HO93" s="59" t="n">
        <f aca="false">IF(HO16&gt;0,HO65/HO16,0)</f>
        <v>80726</v>
      </c>
      <c r="HP93" s="59" t="n">
        <f aca="false">IF(HP16&gt;0,HP65/HP16,0)</f>
        <v>80726</v>
      </c>
      <c r="HQ93" s="59" t="n">
        <f aca="false">IF(HQ16&gt;0,HQ65/HQ16,0)</f>
        <v>80875.76</v>
      </c>
      <c r="HR93" s="59" t="n">
        <f aca="false">IF(HR16&gt;0,HR65/HR16,0)</f>
        <v>80875.76</v>
      </c>
      <c r="HS93" s="59" t="n">
        <f aca="false">IF(HS16&gt;0,HS65/HS16,0)</f>
        <v>80875.76</v>
      </c>
      <c r="HT93" s="59" t="n">
        <f aca="false">IF(HT16&gt;0,HT65/HT16,0)</f>
        <v>80975.6</v>
      </c>
      <c r="HU93" s="59" t="n">
        <f aca="false">IF(HU16&gt;0,HU65/HU16,0)</f>
        <v>80825.84</v>
      </c>
      <c r="HV93" s="59" t="n">
        <f aca="false">IF(HV16&gt;0,HV65/HV16,0)</f>
        <v>80963.5</v>
      </c>
      <c r="HW93" s="59" t="n">
        <f aca="false">IF(HW16&gt;0,HW65/HW16,0)</f>
        <v>80851</v>
      </c>
      <c r="HX93" s="59" t="n">
        <f aca="false">IF(HX16&gt;0,HX65/HX16,0)</f>
        <v>81351</v>
      </c>
      <c r="HY93" s="59" t="n">
        <f aca="false">IF(HY16&gt;0,HY65/HY16,0)</f>
        <v>81163.5</v>
      </c>
      <c r="HZ93" s="59" t="n">
        <f aca="false">IF(HZ16&gt;0,HZ65/HZ16,0)</f>
        <v>80876</v>
      </c>
      <c r="IA93" s="59" t="n">
        <f aca="false">IF(IA16&gt;0,IA65/IA16,0)</f>
        <v>80876</v>
      </c>
      <c r="IB93" s="59" t="n">
        <f aca="false">IF(IB16&gt;0,IB65/IB16,0)</f>
        <v>81526</v>
      </c>
      <c r="IC93" s="59" t="n">
        <f aca="false">IF(IC16&gt;0,IC65/IC16,0)</f>
        <v>81376</v>
      </c>
      <c r="ID93" s="59" t="n">
        <f aca="false">IF(ID16&gt;0,ID65/ID16,0)</f>
        <v>80726</v>
      </c>
      <c r="IE93" s="59" t="n">
        <f aca="false">IF(IE16&gt;0,IE65/IE16,0)</f>
        <v>80746</v>
      </c>
      <c r="IF93" s="59" t="n">
        <f aca="false">IF(IF16&gt;0,IF65/IF16,0)</f>
        <v>80746</v>
      </c>
      <c r="IG93" s="59" t="n">
        <f aca="false">IF(IG16&gt;0,IG65/IG16,0)</f>
        <v>80746</v>
      </c>
      <c r="IH93" s="59" t="n">
        <f aca="false">IF(IH16&gt;0,IH65/IH16,0)</f>
        <v>80976</v>
      </c>
      <c r="II93" s="59" t="n">
        <f aca="false">IF(II16&gt;0,II65/II16,0)</f>
        <v>80976</v>
      </c>
      <c r="IJ93" s="59" t="n">
        <f aca="false">IF(IJ16&gt;0,IJ65/IJ16,0)</f>
        <v>80976</v>
      </c>
      <c r="IK93" s="59" t="n">
        <f aca="false">IF(IK16&gt;0,IK65/IK16,0)</f>
        <v>80763.5</v>
      </c>
      <c r="IL93" s="59" t="n">
        <f aca="false">IF(IL16&gt;0,IL65/IL16,0)</f>
        <v>80763.5</v>
      </c>
      <c r="IM93" s="59" t="n">
        <f aca="false">IF(IM16&gt;0,IM65/IM16,0)</f>
        <v>80726</v>
      </c>
      <c r="IN93" s="59" t="n">
        <f aca="false">IF(IN16&gt;0,IN65/IN16,0)</f>
        <v>80726</v>
      </c>
      <c r="IO93" s="59" t="n">
        <f aca="false">IF(IO16&gt;0,IO65/IO16,0)</f>
        <v>80801</v>
      </c>
      <c r="IP93" s="59" t="n">
        <f aca="false">IF(IP16&gt;0,IP65/IP16,0)</f>
        <v>80726</v>
      </c>
      <c r="IQ93" s="59" t="n">
        <f aca="false">IF(IQ16&gt;0,IQ65/IQ16,0)</f>
        <v>80726</v>
      </c>
      <c r="IR93" s="59" t="n">
        <f aca="false">IF(IR16&gt;0,IR65/IR16,0)</f>
        <v>80726</v>
      </c>
      <c r="IS93" s="59" t="n">
        <f aca="false">IF(IS16&gt;0,IS65/IS16,0)</f>
        <v>80726</v>
      </c>
      <c r="IT93" s="59" t="n">
        <f aca="false">IF(IT16&gt;0,IT65/IT16,0)</f>
        <v>80726</v>
      </c>
      <c r="IU93" s="59" t="n">
        <f aca="false">IF(IU16&gt;0,IU65/IU16,0)</f>
        <v>80726</v>
      </c>
      <c r="IV93" s="59" t="n">
        <f aca="false">IF(IV16&gt;0,IV65/IV16,0)</f>
        <v>80726</v>
      </c>
      <c r="IW93" s="59" t="n">
        <f aca="false">IF(IW16&gt;0,IW65/IW16,0)</f>
        <v>80726</v>
      </c>
      <c r="IX93" s="59" t="n">
        <f aca="false">IF(IX16&gt;0,IX65/IX16,0)</f>
        <v>80726</v>
      </c>
      <c r="IY93" s="59" t="n">
        <f aca="false">IF(IY16&gt;0,IY65/IY16,0)</f>
        <v>80726</v>
      </c>
      <c r="IZ93" s="59" t="n">
        <f aca="false">IF(IZ16&gt;0,IZ65/IZ16,0)</f>
        <v>80726</v>
      </c>
      <c r="JA93" s="59" t="n">
        <f aca="false">IF(JA16&gt;0,JA65/JA16,0)</f>
        <v>80726</v>
      </c>
    </row>
    <row r="94" customFormat="false" ht="15" hidden="false" customHeight="false" outlineLevel="0" collapsed="false">
      <c r="A94" s="2" t="s">
        <v>148</v>
      </c>
      <c r="B94" s="13" t="s">
        <v>149</v>
      </c>
      <c r="C94" s="13" t="s">
        <v>318</v>
      </c>
      <c r="D94" s="9" t="s">
        <v>317</v>
      </c>
      <c r="E94" s="61" t="n">
        <f aca="false">IF(E19&gt;0,E65/E19*10000,0)</f>
        <v>107.615</v>
      </c>
      <c r="F94" s="61" t="n">
        <f aca="false">IF(F19&gt;0,F65/F19*10000,0)</f>
        <v>109.16</v>
      </c>
      <c r="G94" s="61" t="n">
        <f aca="false">IF(G19&gt;0,G65/G19*10000,0)</f>
        <v>32.2904</v>
      </c>
      <c r="H94" s="61" t="n">
        <f aca="false">IF(H19&gt;0,H65/H19*10000,0)</f>
        <v>63.6928072275089</v>
      </c>
      <c r="J94" s="61" t="n">
        <f aca="false">IF(J19&gt;0,J65/J19*10000,0)</f>
        <v>107.615</v>
      </c>
      <c r="K94" s="61" t="n">
        <f aca="false">IF(K19&gt;0,K65/K19*10000,0)</f>
        <v>107.615</v>
      </c>
      <c r="L94" s="61" t="n">
        <f aca="false">IF(L19&gt;0,L65/L19*10000,0)</f>
        <v>107.615</v>
      </c>
      <c r="M94" s="61" t="n">
        <f aca="false">IF(M19&gt;0,M65/M19*10000,0)</f>
        <v>107.615</v>
      </c>
      <c r="N94" s="61" t="n">
        <f aca="false">IF(N19&gt;0,N65/N19*10000,0)</f>
        <v>107.615</v>
      </c>
      <c r="O94" s="61" t="n">
        <f aca="false">IF(O19&gt;0,O65/O19*10000,0)</f>
        <v>107.9174</v>
      </c>
      <c r="P94" s="61" t="n">
        <f aca="false">IF(P19&gt;0,P65/P19*10000,0)</f>
        <v>107.9174</v>
      </c>
      <c r="Q94" s="61" t="n">
        <f aca="false">IF(Q19&gt;0,Q65/Q19*10000,0)</f>
        <v>107.9174</v>
      </c>
      <c r="R94" s="61" t="n">
        <f aca="false">IF(R19&gt;0,R65/R19*10000,0)</f>
        <v>107.993</v>
      </c>
      <c r="S94" s="61" t="n">
        <f aca="false">IF(S19&gt;0,S65/S19*10000,0)</f>
        <v>107.6906</v>
      </c>
      <c r="T94" s="61" t="n">
        <f aca="false">IF(T19&gt;0,T65/T19*10000,0)</f>
        <v>106.886138613861</v>
      </c>
      <c r="U94" s="61" t="n">
        <f aca="false">IF(U19&gt;0,U65/U19*10000,0)</f>
        <v>107.915</v>
      </c>
      <c r="V94" s="61" t="n">
        <f aca="false">IF(V19&gt;0,V65/V19*10000,0)</f>
        <v>108.215</v>
      </c>
      <c r="W94" s="61" t="n">
        <f aca="false">IF(W19&gt;0,W65/W19*10000,0)</f>
        <v>107.855</v>
      </c>
      <c r="X94" s="61" t="n">
        <f aca="false">IF(X19&gt;0,X65/X19*10000,0)</f>
        <v>107.865</v>
      </c>
      <c r="Y94" s="61" t="n">
        <f aca="false">IF(Y19&gt;0,Y65/Y19*10000,0)</f>
        <v>107.865</v>
      </c>
      <c r="Z94" s="61" t="n">
        <f aca="false">IF(Z19&gt;0,Z65/Z19*10000,0)</f>
        <v>108.215</v>
      </c>
      <c r="AA94" s="61" t="n">
        <f aca="false">IF(AA19&gt;0,AA65/AA19*10000,0)</f>
        <v>107.965</v>
      </c>
      <c r="AB94" s="61" t="n">
        <f aca="false">IF(AB19&gt;0,AB65/AB19*10000,0)</f>
        <v>107.615</v>
      </c>
      <c r="AC94" s="61" t="n">
        <f aca="false">IF(AC19&gt;0,AC65/AC19*10000,0)</f>
        <v>107.70875</v>
      </c>
      <c r="AD94" s="61" t="n">
        <f aca="false">IF(AD19&gt;0,AD65/AD19*10000,0)</f>
        <v>107.70875</v>
      </c>
      <c r="AE94" s="61" t="n">
        <f aca="false">IF(AE19&gt;0,AE65/AE19*10000,0)</f>
        <v>107.70875</v>
      </c>
      <c r="AF94" s="61" t="n">
        <f aca="false">IF(AF19&gt;0,AF65/AF19*10000,0)</f>
        <v>107.645</v>
      </c>
      <c r="AG94" s="61" t="n">
        <f aca="false">IF(AG19&gt;0,AG65/AG19*10000,0)</f>
        <v>107.645</v>
      </c>
      <c r="AH94" s="61" t="n">
        <f aca="false">IF(AH19&gt;0,AH65/AH19*10000,0)</f>
        <v>107.645</v>
      </c>
      <c r="AI94" s="61" t="n">
        <f aca="false">IF(AI19&gt;0,AI65/AI19*10000,0)</f>
        <v>107.635</v>
      </c>
      <c r="AJ94" s="61" t="n">
        <f aca="false">IF(AJ19&gt;0,AJ65/AJ19*10000,0)</f>
        <v>107.635</v>
      </c>
      <c r="AK94" s="61" t="n">
        <f aca="false">IF(AK19&gt;0,AK65/AK19*10000,0)</f>
        <v>107.675</v>
      </c>
      <c r="AL94" s="61" t="n">
        <f aca="false">IF(AL19&gt;0,AL65/AL19*10000,0)</f>
        <v>107.675</v>
      </c>
      <c r="AM94" s="61" t="n">
        <f aca="false">IF(AM19&gt;0,AM65/AM19*10000,0)</f>
        <v>107.635</v>
      </c>
      <c r="AN94" s="61" t="n">
        <f aca="false">IF(AN19&gt;0,AN65/AN19*10000,0)</f>
        <v>107.615</v>
      </c>
      <c r="AO94" s="61" t="n">
        <f aca="false">IF(AO19&gt;0,AO65/AO19*10000,0)</f>
        <v>107.615</v>
      </c>
      <c r="AP94" s="61" t="n">
        <f aca="false">IF(AP19&gt;0,AP65/AP19*10000,0)</f>
        <v>107.615</v>
      </c>
      <c r="AQ94" s="61" t="n">
        <f aca="false">IF(AQ19&gt;0,AQ65/AQ19*10000,0)</f>
        <v>107.615</v>
      </c>
      <c r="AR94" s="61" t="n">
        <f aca="false">IF(AR19&gt;0,AR65/AR19*10000,0)</f>
        <v>107.615</v>
      </c>
      <c r="AS94" s="61" t="n">
        <f aca="false">IF(AS19&gt;0,AS65/AS19*10000,0)</f>
        <v>107.615</v>
      </c>
      <c r="AT94" s="61" t="n">
        <f aca="false">IF(AT19&gt;0,AT65/AT19*10000,0)</f>
        <v>107.615</v>
      </c>
      <c r="AU94" s="61" t="n">
        <f aca="false">IF(AU19&gt;0,AU65/AU19*10000,0)</f>
        <v>107.615</v>
      </c>
      <c r="AV94" s="61" t="n">
        <f aca="false">IF(AV19&gt;0,AV65/AV19*10000,0)</f>
        <v>107.615</v>
      </c>
      <c r="AW94" s="61" t="n">
        <f aca="false">IF(AW19&gt;0,AW65/AW19*10000,0)</f>
        <v>107.615</v>
      </c>
      <c r="AX94" s="61" t="n">
        <f aca="false">IF(AX19&gt;0,AX65/AX19*10000,0)</f>
        <v>107.615</v>
      </c>
      <c r="AY94" s="61" t="n">
        <f aca="false">IF(AY19&gt;0,AY65/AY19*10000,0)</f>
        <v>107.615</v>
      </c>
      <c r="AZ94" s="61" t="n">
        <f aca="false">IF(AZ19&gt;0,AZ65/AZ19*10000,0)</f>
        <v>109.16</v>
      </c>
      <c r="BA94" s="61" t="n">
        <f aca="false">IF(BA19&gt;0,BA65/BA19*10000,0)</f>
        <v>109.16</v>
      </c>
      <c r="BB94" s="61" t="n">
        <f aca="false">IF(BB19&gt;0,BB65/BB19*10000,0)</f>
        <v>109.16</v>
      </c>
      <c r="BC94" s="61" t="n">
        <f aca="false">IF(BC19&gt;0,BC65/BC19*10000,0)</f>
        <v>109.16</v>
      </c>
      <c r="BD94" s="61" t="n">
        <f aca="false">IF(BD19&gt;0,BD65/BD19*10000,0)</f>
        <v>109.16</v>
      </c>
      <c r="BE94" s="61" t="n">
        <f aca="false">IF(BE19&gt;0,BE65/BE19*10000,0)</f>
        <v>109.2986</v>
      </c>
      <c r="BF94" s="61" t="n">
        <f aca="false">IF(BF19&gt;0,BF65/BF19*10000,0)</f>
        <v>109.2986</v>
      </c>
      <c r="BG94" s="61" t="n">
        <f aca="false">IF(BG19&gt;0,BG65/BG19*10000,0)</f>
        <v>109.2986</v>
      </c>
      <c r="BH94" s="61" t="n">
        <f aca="false">IF(BH19&gt;0,BH65/BH19*10000,0)</f>
        <v>109.33325</v>
      </c>
      <c r="BI94" s="61" t="n">
        <f aca="false">IF(BI19&gt;0,BI65/BI19*10000,0)</f>
        <v>109.19465</v>
      </c>
      <c r="BJ94" s="61" t="n">
        <f aca="false">IF(BJ19&gt;0,BJ65/BJ19*10000,0)</f>
        <v>108.485148514851</v>
      </c>
      <c r="BK94" s="61" t="n">
        <f aca="false">IF(BK19&gt;0,BK65/BK19*10000,0)</f>
        <v>109.32</v>
      </c>
      <c r="BL94" s="61" t="n">
        <f aca="false">IF(BL19&gt;0,BL65/BL19*10000,0)</f>
        <v>109.56</v>
      </c>
      <c r="BM94" s="61" t="n">
        <f aca="false">IF(BM19&gt;0,BM65/BM19*10000,0)</f>
        <v>109.36</v>
      </c>
      <c r="BN94" s="61" t="n">
        <f aca="false">IF(BN19&gt;0,BN65/BN19*10000,0)</f>
        <v>109.385</v>
      </c>
      <c r="BO94" s="61" t="n">
        <f aca="false">IF(BO19&gt;0,BO65/BO19*10000,0)</f>
        <v>109.385</v>
      </c>
      <c r="BP94" s="61" t="n">
        <f aca="false">IF(BP19&gt;0,BP65/BP19*10000,0)</f>
        <v>109.91</v>
      </c>
      <c r="BQ94" s="61" t="n">
        <f aca="false">IF(BQ19&gt;0,BQ65/BQ19*10000,0)</f>
        <v>109.685</v>
      </c>
      <c r="BR94" s="61" t="n">
        <f aca="false">IF(BR19&gt;0,BR65/BR19*10000,0)</f>
        <v>109.16</v>
      </c>
      <c r="BS94" s="61" t="n">
        <f aca="false">IF(BS19&gt;0,BS65/BS19*10000,0)</f>
        <v>109.235</v>
      </c>
      <c r="BT94" s="61" t="n">
        <f aca="false">IF(BT19&gt;0,BT65/BT19*10000,0)</f>
        <v>109.235</v>
      </c>
      <c r="BU94" s="61" t="n">
        <f aca="false">IF(BU19&gt;0,BU65/BU19*10000,0)</f>
        <v>109.235</v>
      </c>
      <c r="BV94" s="61" t="n">
        <f aca="false">IF(BV19&gt;0,BV65/BV19*10000,0)</f>
        <v>109.328</v>
      </c>
      <c r="BW94" s="61" t="n">
        <f aca="false">IF(BW19&gt;0,BW65/BW19*10000,0)</f>
        <v>109.328</v>
      </c>
      <c r="BX94" s="61" t="n">
        <f aca="false">IF(BX19&gt;0,BX65/BX19*10000,0)</f>
        <v>109.328</v>
      </c>
      <c r="BY94" s="61" t="n">
        <f aca="false">IF(BY19&gt;0,BY65/BY19*10000,0)</f>
        <v>109.36</v>
      </c>
      <c r="BZ94" s="61" t="n">
        <f aca="false">IF(BZ19&gt;0,BZ65/BZ19*10000,0)</f>
        <v>109.36</v>
      </c>
      <c r="CA94" s="61" t="n">
        <f aca="false">IF(CA19&gt;0,CA65/CA19*10000,0)</f>
        <v>109.235</v>
      </c>
      <c r="CB94" s="61" t="n">
        <f aca="false">IF(CB19&gt;0,CB65/CB19*10000,0)</f>
        <v>109.235</v>
      </c>
      <c r="CC94" s="61" t="n">
        <f aca="false">IF(CC19&gt;0,CC65/CC19*10000,0)</f>
        <v>109.21</v>
      </c>
      <c r="CD94" s="61" t="n">
        <f aca="false">IF(CD19&gt;0,CD65/CD19*10000,0)</f>
        <v>109.16</v>
      </c>
      <c r="CE94" s="61" t="n">
        <f aca="false">IF(CE19&gt;0,CE65/CE19*10000,0)</f>
        <v>109.16</v>
      </c>
      <c r="CF94" s="61" t="n">
        <f aca="false">IF(CF19&gt;0,CF65/CF19*10000,0)</f>
        <v>109.16</v>
      </c>
      <c r="CG94" s="61" t="n">
        <f aca="false">IF(CG19&gt;0,CG65/CG19*10000,0)</f>
        <v>109.16</v>
      </c>
      <c r="CH94" s="61" t="n">
        <f aca="false">IF(CH19&gt;0,CH65/CH19*10000,0)</f>
        <v>109.16</v>
      </c>
      <c r="CI94" s="61" t="n">
        <f aca="false">IF(CI19&gt;0,CI65/CI19*10000,0)</f>
        <v>109.16</v>
      </c>
      <c r="CJ94" s="61" t="n">
        <f aca="false">IF(CJ19&gt;0,CJ65/CJ19*10000,0)</f>
        <v>109.16</v>
      </c>
      <c r="CK94" s="61" t="n">
        <f aca="false">IF(CK19&gt;0,CK65/CK19*10000,0)</f>
        <v>109.16</v>
      </c>
      <c r="CL94" s="61" t="n">
        <f aca="false">IF(CL19&gt;0,CL65/CL19*10000,0)</f>
        <v>109.16</v>
      </c>
      <c r="CM94" s="61" t="n">
        <f aca="false">IF(CM19&gt;0,CM65/CM19*10000,0)</f>
        <v>109.16</v>
      </c>
      <c r="CN94" s="61" t="n">
        <f aca="false">IF(CN19&gt;0,CN65/CN19*10000,0)</f>
        <v>109.16</v>
      </c>
      <c r="CO94" s="61" t="n">
        <f aca="false">IF(CO19&gt;0,CO65/CO19*10000,0)</f>
        <v>109.16</v>
      </c>
      <c r="CP94" s="61" t="n">
        <f aca="false">IF(CP19&gt;0,CP65/CP19*10000,0)</f>
        <v>32.2904</v>
      </c>
      <c r="CQ94" s="61" t="n">
        <f aca="false">IF(CQ19&gt;0,CQ65/CQ19*10000,0)</f>
        <v>32.2904</v>
      </c>
      <c r="CR94" s="61" t="n">
        <f aca="false">IF(CR19&gt;0,CR65/CR19*10000,0)</f>
        <v>32.2904</v>
      </c>
      <c r="CS94" s="61" t="n">
        <f aca="false">IF(CS19&gt;0,CS65/CS19*10000,0)</f>
        <v>32.2904</v>
      </c>
      <c r="CT94" s="61" t="n">
        <f aca="false">IF(CT19&gt;0,CT65/CT19*10000,0)</f>
        <v>32.2904</v>
      </c>
      <c r="CU94" s="61" t="n">
        <f aca="false">IF(CU19&gt;0,CU65/CU19*10000,0)</f>
        <v>32.350304</v>
      </c>
      <c r="CV94" s="61" t="n">
        <f aca="false">IF(CV19&gt;0,CV65/CV19*10000,0)</f>
        <v>32.350304</v>
      </c>
      <c r="CW94" s="61" t="n">
        <f aca="false">IF(CW19&gt;0,CW65/CW19*10000,0)</f>
        <v>32.350304</v>
      </c>
      <c r="CX94" s="61" t="n">
        <f aca="false">IF(CX19&gt;0,CX65/CX19*10000,0)</f>
        <v>32.39024</v>
      </c>
      <c r="CY94" s="61" t="n">
        <f aca="false">IF(CY19&gt;0,CY65/CY19*10000,0)</f>
        <v>32.330336</v>
      </c>
      <c r="CZ94" s="61" t="n">
        <f aca="false">IF(CZ19&gt;0,CZ65/CZ19*10000,0)</f>
        <v>32.0647524752475</v>
      </c>
      <c r="DA94" s="61" t="n">
        <f aca="false">IF(DA19&gt;0,DA65/DA19*10000,0)</f>
        <v>32.3404</v>
      </c>
      <c r="DB94" s="61" t="n">
        <f aca="false">IF(DB19&gt;0,DB65/DB19*10000,0)</f>
        <v>32.5404</v>
      </c>
      <c r="DC94" s="61" t="n">
        <f aca="false">IF(DC19&gt;0,DC65/DC19*10000,0)</f>
        <v>32.4654</v>
      </c>
      <c r="DD94" s="61" t="n">
        <f aca="false">IF(DD19&gt;0,DD65/DD19*10000,0)</f>
        <v>32.3504</v>
      </c>
      <c r="DE94" s="61" t="n">
        <f aca="false">IF(DE19&gt;0,DE65/DE19*10000,0)</f>
        <v>32.3504</v>
      </c>
      <c r="DF94" s="61" t="n">
        <f aca="false">IF(DF19&gt;0,DF65/DF19*10000,0)</f>
        <v>32.6104</v>
      </c>
      <c r="DG94" s="61" t="n">
        <f aca="false">IF(DG19&gt;0,DG65/DG19*10000,0)</f>
        <v>32.5504</v>
      </c>
      <c r="DH94" s="61" t="n">
        <f aca="false">IF(DH19&gt;0,DH65/DH19*10000,0)</f>
        <v>32.2904</v>
      </c>
      <c r="DI94" s="61" t="n">
        <f aca="false">IF(DI19&gt;0,DI65/DI19*10000,0)</f>
        <v>32.2984</v>
      </c>
      <c r="DJ94" s="61" t="n">
        <f aca="false">IF(DJ19&gt;0,DJ65/DJ19*10000,0)</f>
        <v>32.2984</v>
      </c>
      <c r="DK94" s="61" t="n">
        <f aca="false">IF(DK19&gt;0,DK65/DK19*10000,0)</f>
        <v>32.2984</v>
      </c>
      <c r="DL94" s="61" t="n">
        <f aca="false">IF(DL19&gt;0,DL65/DL19*10000,0)</f>
        <v>32.3904</v>
      </c>
      <c r="DM94" s="61" t="n">
        <f aca="false">IF(DM19&gt;0,DM65/DM19*10000,0)</f>
        <v>32.3904</v>
      </c>
      <c r="DN94" s="61" t="n">
        <f aca="false">IF(DN19&gt;0,DN65/DN19*10000,0)</f>
        <v>32.3904</v>
      </c>
      <c r="DO94" s="61" t="n">
        <f aca="false">IF(DO19&gt;0,DO65/DO19*10000,0)</f>
        <v>32.3054</v>
      </c>
      <c r="DP94" s="61" t="n">
        <f aca="false">IF(DP19&gt;0,DP65/DP19*10000,0)</f>
        <v>32.3054</v>
      </c>
      <c r="DQ94" s="61" t="n">
        <f aca="false">IF(DQ19&gt;0,DQ65/DQ19*10000,0)</f>
        <v>32.2904</v>
      </c>
      <c r="DR94" s="61" t="n">
        <f aca="false">IF(DR19&gt;0,DR65/DR19*10000,0)</f>
        <v>32.2904</v>
      </c>
      <c r="DS94" s="61" t="n">
        <f aca="false">IF(DS19&gt;0,DS65/DS19*10000,0)</f>
        <v>32.3204</v>
      </c>
      <c r="DT94" s="61" t="n">
        <f aca="false">IF(DT19&gt;0,DT65/DT19*10000,0)</f>
        <v>32.2904</v>
      </c>
      <c r="DU94" s="61" t="n">
        <f aca="false">IF(DU19&gt;0,DU65/DU19*10000,0)</f>
        <v>32.2904</v>
      </c>
      <c r="DV94" s="61" t="n">
        <f aca="false">IF(DV19&gt;0,DV65/DV19*10000,0)</f>
        <v>32.2904</v>
      </c>
      <c r="DW94" s="61" t="n">
        <f aca="false">IF(DW19&gt;0,DW65/DW19*10000,0)</f>
        <v>32.2904</v>
      </c>
      <c r="DX94" s="61" t="n">
        <f aca="false">IF(DX19&gt;0,DX65/DX19*10000,0)</f>
        <v>32.2904</v>
      </c>
      <c r="DY94" s="61" t="n">
        <f aca="false">IF(DY19&gt;0,DY65/DY19*10000,0)</f>
        <v>32.2904</v>
      </c>
      <c r="DZ94" s="61" t="n">
        <f aca="false">IF(DZ19&gt;0,DZ65/DZ19*10000,0)</f>
        <v>32.2904</v>
      </c>
      <c r="EA94" s="61" t="n">
        <f aca="false">IF(EA19&gt;0,EA65/EA19*10000,0)</f>
        <v>32.2904</v>
      </c>
      <c r="EB94" s="61" t="n">
        <f aca="false">IF(EB19&gt;0,EB65/EB19*10000,0)</f>
        <v>32.2904</v>
      </c>
      <c r="EC94" s="61" t="n">
        <f aca="false">IF(EC19&gt;0,EC65/EC19*10000,0)</f>
        <v>32.2904</v>
      </c>
      <c r="ED94" s="61" t="n">
        <f aca="false">IF(ED19&gt;0,ED65/ED19*10000,0)</f>
        <v>32.2904</v>
      </c>
      <c r="EE94" s="61" t="n">
        <f aca="false">IF(EE19&gt;0,EE65/EE19*10000,0)</f>
        <v>32.2904</v>
      </c>
      <c r="EF94" s="61" t="n">
        <f aca="false">IF(EF19&gt;0,EF65/EF19*10000,0)</f>
        <v>107.615</v>
      </c>
      <c r="EG94" s="61" t="n">
        <f aca="false">IF(EG19&gt;0,EG65/EG19*10000,0)</f>
        <v>107.615</v>
      </c>
      <c r="EH94" s="61" t="n">
        <f aca="false">IF(EH19&gt;0,EH65/EH19*10000,0)</f>
        <v>107.615</v>
      </c>
      <c r="EI94" s="61" t="n">
        <f aca="false">IF(EI19&gt;0,EI65/EI19*10000,0)</f>
        <v>107.615</v>
      </c>
      <c r="EJ94" s="61" t="n">
        <f aca="false">IF(EJ19&gt;0,EJ65/EJ19*10000,0)</f>
        <v>107.615</v>
      </c>
      <c r="EK94" s="61" t="n">
        <f aca="false">IF(EK19&gt;0,EK65/EK19*10000,0)</f>
        <v>107.9174</v>
      </c>
      <c r="EL94" s="61" t="n">
        <f aca="false">IF(EL19&gt;0,EL65/EL19*10000,0)</f>
        <v>107.9174</v>
      </c>
      <c r="EM94" s="61" t="n">
        <f aca="false">IF(EM19&gt;0,EM65/EM19*10000,0)</f>
        <v>107.9174</v>
      </c>
      <c r="EN94" s="61" t="n">
        <f aca="false">IF(EN19&gt;0,EN65/EN19*10000,0)</f>
        <v>107.993</v>
      </c>
      <c r="EO94" s="61" t="n">
        <f aca="false">IF(EO19&gt;0,EO65/EO19*10000,0)</f>
        <v>107.6906</v>
      </c>
      <c r="EP94" s="61" t="n">
        <f aca="false">IF(EP19&gt;0,EP65/EP19*10000,0)</f>
        <v>106.886138613861</v>
      </c>
      <c r="EQ94" s="61" t="n">
        <f aca="false">IF(EQ19&gt;0,EQ65/EQ19*10000,0)</f>
        <v>107.915</v>
      </c>
      <c r="ER94" s="61" t="n">
        <f aca="false">IF(ER19&gt;0,ER65/ER19*10000,0)</f>
        <v>108.215</v>
      </c>
      <c r="ES94" s="61" t="n">
        <f aca="false">IF(ES19&gt;0,ES65/ES19*10000,0)</f>
        <v>107.855</v>
      </c>
      <c r="ET94" s="61" t="n">
        <f aca="false">IF(ET19&gt;0,ET65/ET19*10000,0)</f>
        <v>107.865</v>
      </c>
      <c r="EU94" s="61" t="n">
        <f aca="false">IF(EU19&gt;0,EU65/EU19*10000,0)</f>
        <v>107.865</v>
      </c>
      <c r="EV94" s="61" t="n">
        <f aca="false">IF(EV19&gt;0,EV65/EV19*10000,0)</f>
        <v>108.215</v>
      </c>
      <c r="EW94" s="61" t="n">
        <f aca="false">IF(EW19&gt;0,EW65/EW19*10000,0)</f>
        <v>107.965</v>
      </c>
      <c r="EX94" s="61" t="n">
        <f aca="false">IF(EX19&gt;0,EX65/EX19*10000,0)</f>
        <v>107.615</v>
      </c>
      <c r="EY94" s="61" t="n">
        <f aca="false">IF(EY19&gt;0,EY65/EY19*10000,0)</f>
        <v>107.70875</v>
      </c>
      <c r="EZ94" s="61" t="n">
        <f aca="false">IF(EZ19&gt;0,EZ65/EZ19*10000,0)</f>
        <v>107.70875</v>
      </c>
      <c r="FA94" s="61" t="n">
        <f aca="false">IF(FA19&gt;0,FA65/FA19*10000,0)</f>
        <v>107.70875</v>
      </c>
      <c r="FB94" s="61" t="n">
        <f aca="false">IF(FB19&gt;0,FB65/FB19*10000,0)</f>
        <v>107.645</v>
      </c>
      <c r="FC94" s="61" t="n">
        <f aca="false">IF(FC19&gt;0,FC65/FC19*10000,0)</f>
        <v>107.645</v>
      </c>
      <c r="FD94" s="61" t="n">
        <f aca="false">IF(FD19&gt;0,FD65/FD19*10000,0)</f>
        <v>107.645</v>
      </c>
      <c r="FE94" s="61" t="n">
        <f aca="false">IF(FE19&gt;0,FE65/FE19*10000,0)</f>
        <v>107.635</v>
      </c>
      <c r="FF94" s="61" t="n">
        <f aca="false">IF(FF19&gt;0,FF65/FF19*10000,0)</f>
        <v>107.635</v>
      </c>
      <c r="FG94" s="61" t="n">
        <f aca="false">IF(FG19&gt;0,FG65/FG19*10000,0)</f>
        <v>107.675</v>
      </c>
      <c r="FH94" s="61" t="n">
        <f aca="false">IF(FH19&gt;0,FH65/FH19*10000,0)</f>
        <v>107.675</v>
      </c>
      <c r="FI94" s="61" t="n">
        <f aca="false">IF(FI19&gt;0,FI65/FI19*10000,0)</f>
        <v>107.635</v>
      </c>
      <c r="FJ94" s="61" t="n">
        <f aca="false">IF(FJ19&gt;0,FJ65/FJ19*10000,0)</f>
        <v>107.615</v>
      </c>
      <c r="FK94" s="61" t="n">
        <f aca="false">IF(FK19&gt;0,FK65/FK19*10000,0)</f>
        <v>107.615</v>
      </c>
      <c r="FL94" s="61" t="n">
        <f aca="false">IF(FL19&gt;0,FL65/FL19*10000,0)</f>
        <v>107.615</v>
      </c>
      <c r="FM94" s="61" t="n">
        <f aca="false">IF(FM19&gt;0,FM65/FM19*10000,0)</f>
        <v>107.615</v>
      </c>
      <c r="FN94" s="61" t="n">
        <f aca="false">IF(FN19&gt;0,FN65/FN19*10000,0)</f>
        <v>107.615</v>
      </c>
      <c r="FO94" s="61" t="n">
        <f aca="false">IF(FO19&gt;0,FO65/FO19*10000,0)</f>
        <v>107.615</v>
      </c>
      <c r="FP94" s="61" t="n">
        <f aca="false">IF(FP19&gt;0,FP65/FP19*10000,0)</f>
        <v>107.615</v>
      </c>
      <c r="FQ94" s="61" t="n">
        <f aca="false">IF(FQ19&gt;0,FQ65/FQ19*10000,0)</f>
        <v>107.615</v>
      </c>
      <c r="FR94" s="61" t="n">
        <f aca="false">IF(FR19&gt;0,FR65/FR19*10000,0)</f>
        <v>107.615</v>
      </c>
      <c r="FS94" s="61" t="n">
        <f aca="false">IF(FS19&gt;0,FS65/FS19*10000,0)</f>
        <v>107.615</v>
      </c>
      <c r="FT94" s="61" t="n">
        <f aca="false">IF(FT19&gt;0,FT65/FT19*10000,0)</f>
        <v>107.615</v>
      </c>
      <c r="FU94" s="61" t="n">
        <f aca="false">IF(FU19&gt;0,FU65/FU19*10000,0)</f>
        <v>107.615</v>
      </c>
      <c r="FV94" s="61" t="n">
        <f aca="false">IF(FV19&gt;0,FV65/FV19*10000,0)</f>
        <v>109.16</v>
      </c>
      <c r="FW94" s="61" t="n">
        <f aca="false">IF(FW19&gt;0,FW65/FW19*10000,0)</f>
        <v>109.16</v>
      </c>
      <c r="FX94" s="61" t="n">
        <f aca="false">IF(FX19&gt;0,FX65/FX19*10000,0)</f>
        <v>109.16</v>
      </c>
      <c r="FY94" s="61" t="n">
        <f aca="false">IF(FY19&gt;0,FY65/FY19*10000,0)</f>
        <v>109.16</v>
      </c>
      <c r="FZ94" s="61" t="n">
        <f aca="false">IF(FZ19&gt;0,FZ65/FZ19*10000,0)</f>
        <v>109.16</v>
      </c>
      <c r="GA94" s="61" t="n">
        <f aca="false">IF(GA19&gt;0,GA65/GA19*10000,0)</f>
        <v>109.2986</v>
      </c>
      <c r="GB94" s="61" t="n">
        <f aca="false">IF(GB19&gt;0,GB65/GB19*10000,0)</f>
        <v>109.2986</v>
      </c>
      <c r="GC94" s="61" t="n">
        <f aca="false">IF(GC19&gt;0,GC65/GC19*10000,0)</f>
        <v>109.2986</v>
      </c>
      <c r="GD94" s="61" t="n">
        <f aca="false">IF(GD19&gt;0,GD65/GD19*10000,0)</f>
        <v>109.33325</v>
      </c>
      <c r="GE94" s="61" t="n">
        <f aca="false">IF(GE19&gt;0,GE65/GE19*10000,0)</f>
        <v>109.19465</v>
      </c>
      <c r="GF94" s="61" t="n">
        <f aca="false">IF(GF19&gt;0,GF65/GF19*10000,0)</f>
        <v>108.485148514852</v>
      </c>
      <c r="GG94" s="61" t="n">
        <f aca="false">IF(GG19&gt;0,GG65/GG19*10000,0)</f>
        <v>109.32</v>
      </c>
      <c r="GH94" s="61" t="n">
        <f aca="false">IF(GH19&gt;0,GH65/GH19*10000,0)</f>
        <v>109.56</v>
      </c>
      <c r="GI94" s="61" t="n">
        <f aca="false">IF(GI19&gt;0,GI65/GI19*10000,0)</f>
        <v>109.36</v>
      </c>
      <c r="GJ94" s="61" t="n">
        <f aca="false">IF(GJ19&gt;0,GJ65/GJ19*10000,0)</f>
        <v>109.385</v>
      </c>
      <c r="GK94" s="61" t="n">
        <f aca="false">IF(GK19&gt;0,GK65/GK19*10000,0)</f>
        <v>109.385</v>
      </c>
      <c r="GL94" s="61" t="n">
        <f aca="false">IF(GL19&gt;0,GL65/GL19*10000,0)</f>
        <v>109.91</v>
      </c>
      <c r="GM94" s="61" t="n">
        <f aca="false">IF(GM19&gt;0,GM65/GM19*10000,0)</f>
        <v>109.685</v>
      </c>
      <c r="GN94" s="61" t="n">
        <f aca="false">IF(GN19&gt;0,GN65/GN19*10000,0)</f>
        <v>109.16</v>
      </c>
      <c r="GO94" s="61" t="n">
        <f aca="false">IF(GO19&gt;0,GO65/GO19*10000,0)</f>
        <v>109.235</v>
      </c>
      <c r="GP94" s="61" t="n">
        <f aca="false">IF(GP19&gt;0,GP65/GP19*10000,0)</f>
        <v>109.235</v>
      </c>
      <c r="GQ94" s="61" t="n">
        <f aca="false">IF(GQ19&gt;0,GQ65/GQ19*10000,0)</f>
        <v>109.235</v>
      </c>
      <c r="GR94" s="61" t="n">
        <f aca="false">IF(GR19&gt;0,GR65/GR19*10000,0)</f>
        <v>109.328</v>
      </c>
      <c r="GS94" s="61" t="n">
        <f aca="false">IF(GS19&gt;0,GS65/GS19*10000,0)</f>
        <v>109.328</v>
      </c>
      <c r="GT94" s="61" t="n">
        <f aca="false">IF(GT19&gt;0,GT65/GT19*10000,0)</f>
        <v>109.328</v>
      </c>
      <c r="GU94" s="61" t="n">
        <f aca="false">IF(GU19&gt;0,GU65/GU19*10000,0)</f>
        <v>109.36</v>
      </c>
      <c r="GV94" s="61" t="n">
        <f aca="false">IF(GV19&gt;0,GV65/GV19*10000,0)</f>
        <v>109.36</v>
      </c>
      <c r="GW94" s="61" t="n">
        <f aca="false">IF(GW19&gt;0,GW65/GW19*10000,0)</f>
        <v>109.235</v>
      </c>
      <c r="GX94" s="61" t="n">
        <f aca="false">IF(GX19&gt;0,GX65/GX19*10000,0)</f>
        <v>109.235</v>
      </c>
      <c r="GY94" s="61" t="n">
        <f aca="false">IF(GY19&gt;0,GY65/GY19*10000,0)</f>
        <v>109.21</v>
      </c>
      <c r="GZ94" s="61" t="n">
        <f aca="false">IF(GZ19&gt;0,GZ65/GZ19*10000,0)</f>
        <v>109.16</v>
      </c>
      <c r="HA94" s="61" t="n">
        <f aca="false">IF(HA19&gt;0,HA65/HA19*10000,0)</f>
        <v>109.16</v>
      </c>
      <c r="HB94" s="61" t="n">
        <f aca="false">IF(HB19&gt;0,HB65/HB19*10000,0)</f>
        <v>109.16</v>
      </c>
      <c r="HC94" s="61" t="n">
        <f aca="false">IF(HC19&gt;0,HC65/HC19*10000,0)</f>
        <v>109.16</v>
      </c>
      <c r="HD94" s="61" t="n">
        <f aca="false">IF(HD19&gt;0,HD65/HD19*10000,0)</f>
        <v>109.16</v>
      </c>
      <c r="HE94" s="61" t="n">
        <f aca="false">IF(HE19&gt;0,HE65/HE19*10000,0)</f>
        <v>109.16</v>
      </c>
      <c r="HF94" s="61" t="n">
        <f aca="false">IF(HF19&gt;0,HF65/HF19*10000,0)</f>
        <v>109.16</v>
      </c>
      <c r="HG94" s="61" t="n">
        <f aca="false">IF(HG19&gt;0,HG65/HG19*10000,0)</f>
        <v>109.16</v>
      </c>
      <c r="HH94" s="61" t="n">
        <f aca="false">IF(HH19&gt;0,HH65/HH19*10000,0)</f>
        <v>109.16</v>
      </c>
      <c r="HI94" s="61" t="n">
        <f aca="false">IF(HI19&gt;0,HI65/HI19*10000,0)</f>
        <v>109.16</v>
      </c>
      <c r="HJ94" s="61" t="n">
        <f aca="false">IF(HJ19&gt;0,HJ65/HJ19*10000,0)</f>
        <v>109.16</v>
      </c>
      <c r="HK94" s="61" t="n">
        <f aca="false">IF(HK19&gt;0,HK65/HK19*10000,0)</f>
        <v>109.16</v>
      </c>
      <c r="HL94" s="61" t="n">
        <f aca="false">IF(HL19&gt;0,HL65/HL19*10000,0)</f>
        <v>32.2904</v>
      </c>
      <c r="HM94" s="61" t="n">
        <f aca="false">IF(HM19&gt;0,HM65/HM19*10000,0)</f>
        <v>32.2904</v>
      </c>
      <c r="HN94" s="61" t="n">
        <f aca="false">IF(HN19&gt;0,HN65/HN19*10000,0)</f>
        <v>32.2904</v>
      </c>
      <c r="HO94" s="61" t="n">
        <f aca="false">IF(HO19&gt;0,HO65/HO19*10000,0)</f>
        <v>32.2904</v>
      </c>
      <c r="HP94" s="61" t="n">
        <f aca="false">IF(HP19&gt;0,HP65/HP19*10000,0)</f>
        <v>32.2904</v>
      </c>
      <c r="HQ94" s="61" t="n">
        <f aca="false">IF(HQ19&gt;0,HQ65/HQ19*10000,0)</f>
        <v>32.350304</v>
      </c>
      <c r="HR94" s="61" t="n">
        <f aca="false">IF(HR19&gt;0,HR65/HR19*10000,0)</f>
        <v>32.350304</v>
      </c>
      <c r="HS94" s="61" t="n">
        <f aca="false">IF(HS19&gt;0,HS65/HS19*10000,0)</f>
        <v>32.350304</v>
      </c>
      <c r="HT94" s="61" t="n">
        <f aca="false">IF(HT19&gt;0,HT65/HT19*10000,0)</f>
        <v>32.39024</v>
      </c>
      <c r="HU94" s="61" t="n">
        <f aca="false">IF(HU19&gt;0,HU65/HU19*10000,0)</f>
        <v>32.330336</v>
      </c>
      <c r="HV94" s="61" t="n">
        <f aca="false">IF(HV19&gt;0,HV65/HV19*10000,0)</f>
        <v>32.0647524752475</v>
      </c>
      <c r="HW94" s="61" t="n">
        <f aca="false">IF(HW19&gt;0,HW65/HW19*10000,0)</f>
        <v>32.3404</v>
      </c>
      <c r="HX94" s="61" t="n">
        <f aca="false">IF(HX19&gt;0,HX65/HX19*10000,0)</f>
        <v>32.5404</v>
      </c>
      <c r="HY94" s="61" t="n">
        <f aca="false">IF(HY19&gt;0,HY65/HY19*10000,0)</f>
        <v>32.4654</v>
      </c>
      <c r="HZ94" s="61" t="n">
        <f aca="false">IF(HZ19&gt;0,HZ65/HZ19*10000,0)</f>
        <v>32.3504</v>
      </c>
      <c r="IA94" s="61" t="n">
        <f aca="false">IF(IA19&gt;0,IA65/IA19*10000,0)</f>
        <v>32.3504</v>
      </c>
      <c r="IB94" s="61" t="n">
        <f aca="false">IF(IB19&gt;0,IB65/IB19*10000,0)</f>
        <v>32.6104</v>
      </c>
      <c r="IC94" s="61" t="n">
        <f aca="false">IF(IC19&gt;0,IC65/IC19*10000,0)</f>
        <v>32.5504</v>
      </c>
      <c r="ID94" s="61" t="n">
        <f aca="false">IF(ID19&gt;0,ID65/ID19*10000,0)</f>
        <v>32.2904</v>
      </c>
      <c r="IE94" s="61" t="n">
        <f aca="false">IF(IE19&gt;0,IE65/IE19*10000,0)</f>
        <v>32.2984</v>
      </c>
      <c r="IF94" s="61" t="n">
        <f aca="false">IF(IF19&gt;0,IF65/IF19*10000,0)</f>
        <v>32.2984</v>
      </c>
      <c r="IG94" s="61" t="n">
        <f aca="false">IF(IG19&gt;0,IG65/IG19*10000,0)</f>
        <v>32.2984</v>
      </c>
      <c r="IH94" s="61" t="n">
        <f aca="false">IF(IH19&gt;0,IH65/IH19*10000,0)</f>
        <v>32.3904</v>
      </c>
      <c r="II94" s="61" t="n">
        <f aca="false">IF(II19&gt;0,II65/II19*10000,0)</f>
        <v>32.3904</v>
      </c>
      <c r="IJ94" s="61" t="n">
        <f aca="false">IF(IJ19&gt;0,IJ65/IJ19*10000,0)</f>
        <v>32.3904</v>
      </c>
      <c r="IK94" s="61" t="n">
        <f aca="false">IF(IK19&gt;0,IK65/IK19*10000,0)</f>
        <v>32.3054</v>
      </c>
      <c r="IL94" s="61" t="n">
        <f aca="false">IF(IL19&gt;0,IL65/IL19*10000,0)</f>
        <v>32.3054</v>
      </c>
      <c r="IM94" s="61" t="n">
        <f aca="false">IF(IM19&gt;0,IM65/IM19*10000,0)</f>
        <v>32.2904</v>
      </c>
      <c r="IN94" s="61" t="n">
        <f aca="false">IF(IN19&gt;0,IN65/IN19*10000,0)</f>
        <v>32.2904</v>
      </c>
      <c r="IO94" s="61" t="n">
        <f aca="false">IF(IO19&gt;0,IO65/IO19*10000,0)</f>
        <v>32.3204</v>
      </c>
      <c r="IP94" s="61" t="n">
        <f aca="false">IF(IP19&gt;0,IP65/IP19*10000,0)</f>
        <v>32.2904</v>
      </c>
      <c r="IQ94" s="61" t="n">
        <f aca="false">IF(IQ19&gt;0,IQ65/IQ19*10000,0)</f>
        <v>32.2904</v>
      </c>
      <c r="IR94" s="61" t="n">
        <f aca="false">IF(IR19&gt;0,IR65/IR19*10000,0)</f>
        <v>32.2904</v>
      </c>
      <c r="IS94" s="61" t="n">
        <f aca="false">IF(IS19&gt;0,IS65/IS19*10000,0)</f>
        <v>32.2904</v>
      </c>
      <c r="IT94" s="61" t="n">
        <f aca="false">IF(IT19&gt;0,IT65/IT19*10000,0)</f>
        <v>32.2904</v>
      </c>
      <c r="IU94" s="61" t="n">
        <f aca="false">IF(IU19&gt;0,IU65/IU19*10000,0)</f>
        <v>32.2904</v>
      </c>
      <c r="IV94" s="61" t="n">
        <f aca="false">IF(IV19&gt;0,IV65/IV19*10000,0)</f>
        <v>32.2904</v>
      </c>
      <c r="IW94" s="61" t="n">
        <f aca="false">IF(IW19&gt;0,IW65/IW19*10000,0)</f>
        <v>32.2904</v>
      </c>
      <c r="IX94" s="61" t="n">
        <f aca="false">IF(IX19&gt;0,IX65/IX19*10000,0)</f>
        <v>32.2904</v>
      </c>
      <c r="IY94" s="61" t="n">
        <f aca="false">IF(IY19&gt;0,IY65/IY19*10000,0)</f>
        <v>32.2904</v>
      </c>
      <c r="IZ94" s="61" t="n">
        <f aca="false">IF(IZ19&gt;0,IZ65/IZ19*10000,0)</f>
        <v>32.2904</v>
      </c>
      <c r="JA94" s="61" t="n">
        <f aca="false">IF(JA19&gt;0,JA65/JA19*10000,0)</f>
        <v>32.2904</v>
      </c>
    </row>
    <row r="95" customFormat="false" ht="15" hidden="false" customHeight="false" outlineLevel="0" collapsed="false">
      <c r="A95" s="2" t="s">
        <v>150</v>
      </c>
      <c r="B95" s="13" t="s">
        <v>151</v>
      </c>
      <c r="C95" s="13" t="s">
        <v>194</v>
      </c>
      <c r="D95" s="9" t="s">
        <v>319</v>
      </c>
      <c r="E95" s="15" t="n">
        <f aca="false">IF(E65&gt;0,E91/E65,0)</f>
        <v>0.728060887132327</v>
      </c>
      <c r="F95" s="15" t="n">
        <f aca="false">IF(F65&gt;0,F91/F65,0)</f>
        <v>0.709657121744801</v>
      </c>
      <c r="G95" s="15" t="n">
        <f aca="false">IF(G65&gt;0,G91/G65,0)</f>
        <v>0.812161105628116</v>
      </c>
      <c r="H95" s="15" t="n">
        <f aca="false">IF(H65&gt;0,H91/H65,0)</f>
        <v>0.747511969805849</v>
      </c>
      <c r="J95" s="15" t="n">
        <f aca="false">IF(J65&gt;0,J91/J65,0)</f>
        <v>0.728060887132327</v>
      </c>
      <c r="K95" s="15" t="n">
        <f aca="false">IF(K65&gt;0,K91/K65,0)</f>
        <v>0.726557721171406</v>
      </c>
      <c r="L95" s="15" t="n">
        <f aca="false">IF(L65&gt;0,L91/L65,0)</f>
        <v>0.726825508626042</v>
      </c>
      <c r="M95" s="15" t="n">
        <f aca="false">IF(M65&gt;0,M91/M65,0)</f>
        <v>0.726825508626042</v>
      </c>
      <c r="N95" s="15" t="n">
        <f aca="false">IF(N65&gt;0,N91/N65,0)</f>
        <v>0.728161230756944</v>
      </c>
      <c r="O95" s="15" t="n">
        <f aca="false">IF(O65&gt;0,O91/O65,0)</f>
        <v>0.728822899446664</v>
      </c>
      <c r="P95" s="15" t="n">
        <f aca="false">IF(P65&gt;0,P91/P65,0)</f>
        <v>0.728822899446664</v>
      </c>
      <c r="Q95" s="15" t="n">
        <f aca="false">IF(Q65&gt;0,Q91/Q65,0)</f>
        <v>0.728822899446664</v>
      </c>
      <c r="R95" s="15" t="n">
        <f aca="false">IF(R65&gt;0,R91/R65,0)</f>
        <v>0.729012735721254</v>
      </c>
      <c r="S95" s="15" t="n">
        <f aca="false">IF(S65&gt;0,S91/S65,0)</f>
        <v>0.728251791416757</v>
      </c>
      <c r="T95" s="15" t="n">
        <f aca="false">IF(T65&gt;0,T91/T65,0)</f>
        <v>0.728917348605858</v>
      </c>
      <c r="U95" s="15" t="n">
        <f aca="false">IF(U65&gt;0,U91/U65,0)</f>
        <v>0.728816868542329</v>
      </c>
      <c r="V95" s="15" t="n">
        <f aca="false">IF(V65&gt;0,V91/V65,0)</f>
        <v>0.729568658399902</v>
      </c>
      <c r="W95" s="15" t="n">
        <f aca="false">IF(W65&gt;0,W91/W65,0)</f>
        <v>0.728666008703772</v>
      </c>
      <c r="X95" s="15" t="n">
        <f aca="false">IF(X65&gt;0,X91/X65,0)</f>
        <v>0.728459392469711</v>
      </c>
      <c r="Y95" s="15" t="n">
        <f aca="false">IF(Y65&gt;0,Y91/Y65,0)</f>
        <v>0.728459392469711</v>
      </c>
      <c r="Z95" s="15" t="n">
        <f aca="false">IF(Z65&gt;0,Z91/Z65,0)</f>
        <v>0.729568658399902</v>
      </c>
      <c r="AA95" s="15" t="n">
        <f aca="false">IF(AA65&gt;0,AA91/AA65,0)</f>
        <v>0.728942456988333</v>
      </c>
      <c r="AB95" s="15" t="n">
        <f aca="false">IF(AB65&gt;0,AB91/AB65,0)</f>
        <v>0.728293196754592</v>
      </c>
      <c r="AC95" s="15" t="n">
        <f aca="false">IF(AC65&gt;0,AC91/AC65,0)</f>
        <v>0.728297583703695</v>
      </c>
      <c r="AD95" s="15" t="n">
        <f aca="false">IF(AD65&gt;0,AD91/AD65,0)</f>
        <v>0.728297583703695</v>
      </c>
      <c r="AE95" s="15" t="n">
        <f aca="false">IF(AE65&gt;0,AE91/AE65,0)</f>
        <v>0.728297583703695</v>
      </c>
      <c r="AF95" s="15" t="n">
        <f aca="false">IF(AF65&gt;0,AF91/AF65,0)</f>
        <v>0.728136674891963</v>
      </c>
      <c r="AG95" s="15" t="n">
        <f aca="false">IF(AG65&gt;0,AG91/AG65,0)</f>
        <v>0.728136674891963</v>
      </c>
      <c r="AH95" s="15" t="n">
        <f aca="false">IF(AH65&gt;0,AH91/AH65,0)</f>
        <v>0.728136674891963</v>
      </c>
      <c r="AI95" s="15" t="n">
        <f aca="false">IF(AI65&gt;0,AI91/AI65,0)</f>
        <v>0.728111416999539</v>
      </c>
      <c r="AJ95" s="15" t="n">
        <f aca="false">IF(AJ65&gt;0,AJ91/AJ65,0)</f>
        <v>0.728111416999539</v>
      </c>
      <c r="AK95" s="15" t="n">
        <f aca="false">IF(AK65&gt;0,AK91/AK65,0)</f>
        <v>0.728212420420203</v>
      </c>
      <c r="AL95" s="15" t="n">
        <f aca="false">IF(AL65&gt;0,AL91/AL65,0)</f>
        <v>0.728212420420203</v>
      </c>
      <c r="AM95" s="15" t="n">
        <f aca="false">IF(AM65&gt;0,AM91/AM65,0)</f>
        <v>0.728111416999539</v>
      </c>
      <c r="AN95" s="15" t="n">
        <f aca="false">IF(AN65&gt;0,AN91/AN65,0)</f>
        <v>0.728641661187989</v>
      </c>
      <c r="AO95" s="15" t="n">
        <f aca="false">IF(AO65&gt;0,AO91/AO65,0)</f>
        <v>0.728641661187989</v>
      </c>
      <c r="AP95" s="15" t="n">
        <f aca="false">IF(AP65&gt;0,AP91/AP65,0)</f>
        <v>0.728163957706662</v>
      </c>
      <c r="AQ95" s="15" t="n">
        <f aca="false">IF(AQ65&gt;0,AQ91/AQ65,0)</f>
        <v>0.728225800051263</v>
      </c>
      <c r="AR95" s="15" t="n">
        <f aca="false">IF(AR65&gt;0,AR91/AR65,0)</f>
        <v>0.728225800051263</v>
      </c>
      <c r="AS95" s="15" t="n">
        <f aca="false">IF(AS65&gt;0,AS91/AS65,0)</f>
        <v>0.728269965792365</v>
      </c>
      <c r="AT95" s="15" t="n">
        <f aca="false">IF(AT65&gt;0,AT91/AT65,0)</f>
        <v>0.728269965792365</v>
      </c>
      <c r="AU95" s="15" t="n">
        <f aca="false">IF(AU65&gt;0,AU91/AU65,0)</f>
        <v>0.728269965792365</v>
      </c>
      <c r="AV95" s="15" t="n">
        <f aca="false">IF(AV65&gt;0,AV91/AV65,0)</f>
        <v>0.728060887132327</v>
      </c>
      <c r="AW95" s="15" t="n">
        <f aca="false">IF(AW65&gt;0,AW91/AW65,0)</f>
        <v>0.728060887132327</v>
      </c>
      <c r="AX95" s="15" t="n">
        <f aca="false">IF(AX65&gt;0,AX91/AX65,0)</f>
        <v>0.729421418713546</v>
      </c>
      <c r="AY95" s="15" t="n">
        <f aca="false">IF(AY65&gt;0,AY91/AY65,0)</f>
        <v>0.72812960084855</v>
      </c>
      <c r="AZ95" s="15" t="n">
        <f aca="false">IF(AZ65&gt;0,AZ91/AZ65,0)</f>
        <v>0.709657121744801</v>
      </c>
      <c r="BA95" s="15" t="n">
        <f aca="false">IF(BA65&gt;0,BA91/BA65,0)</f>
        <v>0.709152270217395</v>
      </c>
      <c r="BB95" s="15" t="n">
        <f aca="false">IF(BB65&gt;0,BB91/BB65,0)</f>
        <v>0.709168633666363</v>
      </c>
      <c r="BC95" s="15" t="n">
        <f aca="false">IF(BC65&gt;0,BC91/BC65,0)</f>
        <v>0.709168633666363</v>
      </c>
      <c r="BD95" s="15" t="n">
        <f aca="false">IF(BD65&gt;0,BD91/BD65,0)</f>
        <v>0.709673674110513</v>
      </c>
      <c r="BE95" s="15" t="n">
        <f aca="false">IF(BE65&gt;0,BE91/BE65,0)</f>
        <v>0.710025301418888</v>
      </c>
      <c r="BF95" s="15" t="n">
        <f aca="false">IF(BF65&gt;0,BF91/BF65,0)</f>
        <v>0.710025301418888</v>
      </c>
      <c r="BG95" s="15" t="n">
        <f aca="false">IF(BG65&gt;0,BG91/BG65,0)</f>
        <v>0.710025301418888</v>
      </c>
      <c r="BH95" s="15" t="n">
        <f aca="false">IF(BH65&gt;0,BH91/BH65,0)</f>
        <v>0.710117200482584</v>
      </c>
      <c r="BI95" s="15" t="n">
        <f aca="false">IF(BI65&gt;0,BI91/BI65,0)</f>
        <v>0.709749254287298</v>
      </c>
      <c r="BJ95" s="15" t="n">
        <f aca="false">IF(BJ65&gt;0,BJ91/BJ65,0)</f>
        <v>0.710743555805991</v>
      </c>
      <c r="BK95" s="15" t="n">
        <f aca="false">IF(BK65&gt;0,BK91/BK65,0)</f>
        <v>0.710082065584179</v>
      </c>
      <c r="BL95" s="15" t="n">
        <f aca="false">IF(BL65&gt;0,BL91/BL65,0)</f>
        <v>0.710717154159022</v>
      </c>
      <c r="BM95" s="15" t="n">
        <f aca="false">IF(BM65&gt;0,BM91/BM65,0)</f>
        <v>0.710188107257338</v>
      </c>
      <c r="BN95" s="15" t="n">
        <f aca="false">IF(BN65&gt;0,BN91/BN65,0)</f>
        <v>0.710117213600242</v>
      </c>
      <c r="BO95" s="15" t="n">
        <f aca="false">IF(BO65&gt;0,BO91/BO65,0)</f>
        <v>0.710117213600242</v>
      </c>
      <c r="BP95" s="15" t="n">
        <f aca="false">IF(BP65&gt;0,BP91/BP65,0)</f>
        <v>0.711638353285984</v>
      </c>
      <c r="BQ95" s="15" t="n">
        <f aca="false">IF(BQ65&gt;0,BQ91/BQ65,0)</f>
        <v>0.71104682873376</v>
      </c>
      <c r="BR95" s="15" t="n">
        <f aca="false">IF(BR65&gt;0,BR91/BR65,0)</f>
        <v>0.709794534716586</v>
      </c>
      <c r="BS95" s="15" t="n">
        <f aca="false">IF(BS65&gt;0,BS91/BS65,0)</f>
        <v>0.709856469168879</v>
      </c>
      <c r="BT95" s="15" t="n">
        <f aca="false">IF(BT65&gt;0,BT91/BT65,0)</f>
        <v>0.709856469168879</v>
      </c>
      <c r="BU95" s="15" t="n">
        <f aca="false">IF(BU65&gt;0,BU91/BU65,0)</f>
        <v>0.709856469168879</v>
      </c>
      <c r="BV95" s="15" t="n">
        <f aca="false">IF(BV65&gt;0,BV91/BV65,0)</f>
        <v>0.710103280126431</v>
      </c>
      <c r="BW95" s="15" t="n">
        <f aca="false">IF(BW65&gt;0,BW91/BW65,0)</f>
        <v>0.710103280126431</v>
      </c>
      <c r="BX95" s="15" t="n">
        <f aca="false">IF(BX65&gt;0,BX91/BX65,0)</f>
        <v>0.710103280126431</v>
      </c>
      <c r="BY95" s="15" t="n">
        <f aca="false">IF(BY65&gt;0,BY91/BY65,0)</f>
        <v>0.710188107257338</v>
      </c>
      <c r="BZ95" s="15" t="n">
        <f aca="false">IF(BZ65&gt;0,BZ91/BZ65,0)</f>
        <v>0.710188107257338</v>
      </c>
      <c r="CA95" s="15" t="n">
        <f aca="false">IF(CA65&gt;0,CA91/CA65,0)</f>
        <v>0.709856469168879</v>
      </c>
      <c r="CB95" s="15" t="n">
        <f aca="false">IF(CB65&gt;0,CB91/CB65,0)</f>
        <v>0.709856469168879</v>
      </c>
      <c r="CC95" s="15" t="n">
        <f aca="false">IF(CC65&gt;0,CC91/CC65,0)</f>
        <v>0.709790050450165</v>
      </c>
      <c r="CD95" s="15" t="n">
        <f aca="false">IF(CD65&gt;0,CD91/CD65,0)</f>
        <v>0.709863241202478</v>
      </c>
      <c r="CE95" s="15" t="n">
        <f aca="false">IF(CE65&gt;0,CE91/CE65,0)</f>
        <v>0.709863241202478</v>
      </c>
      <c r="CF95" s="15" t="n">
        <f aca="false">IF(CF65&gt;0,CF91/CF65,0)</f>
        <v>0.709658940579636</v>
      </c>
      <c r="CG95" s="15" t="n">
        <f aca="false">IF(CG65&gt;0,CG91/CG65,0)</f>
        <v>0.709671672423481</v>
      </c>
      <c r="CH95" s="15" t="n">
        <f aca="false">IF(CH65&gt;0,CH91/CH65,0)</f>
        <v>0.709671672423481</v>
      </c>
      <c r="CI95" s="15" t="n">
        <f aca="false">IF(CI65&gt;0,CI91/CI65,0)</f>
        <v>0.709828887959532</v>
      </c>
      <c r="CJ95" s="15" t="n">
        <f aca="false">IF(CJ65&gt;0,CJ91/CJ65,0)</f>
        <v>0.709828887959532</v>
      </c>
      <c r="CK95" s="15" t="n">
        <f aca="false">IF(CK65&gt;0,CK91/CK65,0)</f>
        <v>0.709828887959532</v>
      </c>
      <c r="CL95" s="15" t="n">
        <f aca="false">IF(CL65&gt;0,CL91/CL65,0)</f>
        <v>0.71147115437562</v>
      </c>
      <c r="CM95" s="15" t="n">
        <f aca="false">IF(CM65&gt;0,CM91/CM65,0)</f>
        <v>0.711489294701928</v>
      </c>
      <c r="CN95" s="15" t="n">
        <f aca="false">IF(CN65&gt;0,CN91/CN65,0)</f>
        <v>0.710166395498602</v>
      </c>
      <c r="CO95" s="15" t="n">
        <f aca="false">IF(CO65&gt;0,CO91/CO65,0)</f>
        <v>0.709687435658718</v>
      </c>
      <c r="CP95" s="15" t="n">
        <f aca="false">IF(CP65&gt;0,CP91/CP65,0)</f>
        <v>0.812161105628116</v>
      </c>
      <c r="CQ95" s="15" t="n">
        <f aca="false">IF(CQ65&gt;0,CQ91/CQ65,0)</f>
        <v>0.81195026066883</v>
      </c>
      <c r="CR95" s="15" t="n">
        <f aca="false">IF(CR65&gt;0,CR91/CR65,0)</f>
        <v>0.812007550697668</v>
      </c>
      <c r="CS95" s="15" t="n">
        <f aca="false">IF(CS65&gt;0,CS91/CS65,0)</f>
        <v>0.812007550697668</v>
      </c>
      <c r="CT95" s="15" t="n">
        <f aca="false">IF(CT65&gt;0,CT91/CT65,0)</f>
        <v>0.812172458156867</v>
      </c>
      <c r="CU95" s="15" t="n">
        <f aca="false">IF(CU65&gt;0,CU91/CU65,0)</f>
        <v>0.812508932378939</v>
      </c>
      <c r="CV95" s="15" t="n">
        <f aca="false">IF(CV65&gt;0,CV91/CV65,0)</f>
        <v>0.812508932378939</v>
      </c>
      <c r="CW95" s="15" t="n">
        <f aca="false">IF(CW65&gt;0,CW91/CW65,0)</f>
        <v>0.812508932378939</v>
      </c>
      <c r="CX95" s="15" t="n">
        <f aca="false">IF(CX65&gt;0,CX91/CX65,0)</f>
        <v>0.812740102116382</v>
      </c>
      <c r="CY95" s="15" t="n">
        <f aca="false">IF(CY65&gt;0,CY91/CY65,0)</f>
        <v>0.812393133346159</v>
      </c>
      <c r="CZ95" s="15" t="n">
        <f aca="false">IF(CZ65&gt;0,CZ91/CZ65,0)</f>
        <v>0.812712116113253</v>
      </c>
      <c r="DA95" s="15" t="n">
        <f aca="false">IF(DA65&gt;0,DA91/DA65,0)</f>
        <v>0.812451514674343</v>
      </c>
      <c r="DB95" s="15" t="n">
        <f aca="false">IF(DB65&gt;0,DB91/DB65,0)</f>
        <v>0.813604226290216</v>
      </c>
      <c r="DC95" s="15" t="n">
        <f aca="false">IF(DC65&gt;0,DC91/DC65,0)</f>
        <v>0.813173623770973</v>
      </c>
      <c r="DD95" s="15" t="n">
        <f aca="false">IF(DD65&gt;0,DD91/DD65,0)</f>
        <v>0.812385842684299</v>
      </c>
      <c r="DE95" s="15" t="n">
        <f aca="false">IF(DE65&gt;0,DE91/DE65,0)</f>
        <v>0.812385842684299</v>
      </c>
      <c r="DF95" s="15" t="n">
        <f aca="false">IF(DF65&gt;0,DF91/DF65,0)</f>
        <v>0.814004334972099</v>
      </c>
      <c r="DG95" s="15" t="n">
        <f aca="false">IF(DG65&gt;0,DG91/DG65,0)</f>
        <v>0.813661490033122</v>
      </c>
      <c r="DH95" s="15" t="n">
        <f aca="false">IF(DH65&gt;0,DH91/DH65,0)</f>
        <v>0.812284981454988</v>
      </c>
      <c r="DI95" s="15" t="n">
        <f aca="false">IF(DI65&gt;0,DI91/DI65,0)</f>
        <v>0.812207631497973</v>
      </c>
      <c r="DJ95" s="15" t="n">
        <f aca="false">IF(DJ65&gt;0,DJ91/DJ65,0)</f>
        <v>0.812207631497973</v>
      </c>
      <c r="DK95" s="15" t="n">
        <f aca="false">IF(DK65&gt;0,DK91/DK65,0)</f>
        <v>0.812207631497973</v>
      </c>
      <c r="DL95" s="15" t="n">
        <f aca="false">IF(DL65&gt;0,DL91/DL65,0)</f>
        <v>0.812741027130697</v>
      </c>
      <c r="DM95" s="15" t="n">
        <f aca="false">IF(DM65&gt;0,DM91/DM65,0)</f>
        <v>0.812741027130697</v>
      </c>
      <c r="DN95" s="15" t="n">
        <f aca="false">IF(DN65&gt;0,DN91/DN65,0)</f>
        <v>0.812741027130697</v>
      </c>
      <c r="DO95" s="15" t="n">
        <f aca="false">IF(DO65&gt;0,DO91/DO65,0)</f>
        <v>0.812248322731622</v>
      </c>
      <c r="DP95" s="15" t="n">
        <f aca="false">IF(DP65&gt;0,DP91/DP65,0)</f>
        <v>0.812248322731622</v>
      </c>
      <c r="DQ95" s="15" t="n">
        <f aca="false">IF(DQ65&gt;0,DQ91/DQ65,0)</f>
        <v>0.812161105628116</v>
      </c>
      <c r="DR95" s="15" t="n">
        <f aca="false">IF(DR65&gt;0,DR91/DR65,0)</f>
        <v>0.812161105628116</v>
      </c>
      <c r="DS95" s="15" t="n">
        <f aca="false">IF(DS65&gt;0,DS91/DS65,0)</f>
        <v>0.812335458879659</v>
      </c>
      <c r="DT95" s="15" t="n">
        <f aca="false">IF(DT65&gt;0,DT91/DT65,0)</f>
        <v>0.81220570092579</v>
      </c>
      <c r="DU95" s="15" t="n">
        <f aca="false">IF(DU65&gt;0,DU91/DU65,0)</f>
        <v>0.81220570092579</v>
      </c>
      <c r="DV95" s="15" t="n">
        <f aca="false">IF(DV65&gt;0,DV91/DV65,0)</f>
        <v>0.812162954521055</v>
      </c>
      <c r="DW95" s="15" t="n">
        <f aca="false">IF(DW65&gt;0,DW91/DW65,0)</f>
        <v>0.812216572416268</v>
      </c>
      <c r="DX95" s="15" t="n">
        <f aca="false">IF(DX65&gt;0,DX91/DX65,0)</f>
        <v>0.812216572416268</v>
      </c>
      <c r="DY95" s="15" t="n">
        <f aca="false">IF(DY65&gt;0,DY91/DY65,0)</f>
        <v>0.812346919368423</v>
      </c>
      <c r="DZ95" s="15" t="n">
        <f aca="false">IF(DZ65&gt;0,DZ91/DZ65,0)</f>
        <v>0.812346919368423</v>
      </c>
      <c r="EA95" s="15" t="n">
        <f aca="false">IF(EA65&gt;0,EA91/EA65,0)</f>
        <v>0.812346919368423</v>
      </c>
      <c r="EB95" s="15" t="n">
        <f aca="false">IF(EB65&gt;0,EB91/EB65,0)</f>
        <v>0.813387598963474</v>
      </c>
      <c r="EC95" s="15" t="n">
        <f aca="false">IF(EC65&gt;0,EC91/EC65,0)</f>
        <v>0.813399863896828</v>
      </c>
      <c r="ED95" s="15" t="n">
        <f aca="false">IF(ED65&gt;0,ED91/ED65,0)</f>
        <v>0.81232750599257</v>
      </c>
      <c r="EE95" s="15" t="n">
        <f aca="false">IF(EE65&gt;0,EE91/EE65,0)</f>
        <v>0.812222735392729</v>
      </c>
      <c r="EF95" s="15" t="n">
        <f aca="false">IF(EF65&gt;0,EF91/EF65,0)</f>
        <v>0.75867958026579</v>
      </c>
      <c r="EG95" s="15" t="n">
        <f aca="false">IF(EG65&gt;0,EG91/EG65,0)</f>
        <v>0.758735340151122</v>
      </c>
      <c r="EH95" s="15" t="n">
        <f aca="false">IF(EH65&gt;0,EH91/EH65,0)</f>
        <v>0.758952803703917</v>
      </c>
      <c r="EI95" s="15" t="n">
        <f aca="false">IF(EI65&gt;0,EI91/EI65,0)</f>
        <v>0.758952803703917</v>
      </c>
      <c r="EJ95" s="15" t="n">
        <f aca="false">IF(EJ65&gt;0,EJ91/EJ65,0)</f>
        <v>0.760070622125168</v>
      </c>
      <c r="EK95" s="15" t="n">
        <f aca="false">IF(EK65&gt;0,EK91/EK65,0)</f>
        <v>0.759355794619802</v>
      </c>
      <c r="EL95" s="15" t="n">
        <f aca="false">IF(EL65&gt;0,EL91/EL65,0)</f>
        <v>0.759355794619802</v>
      </c>
      <c r="EM95" s="15" t="n">
        <f aca="false">IF(EM65&gt;0,EM91/EM65,0)</f>
        <v>0.759355794619802</v>
      </c>
      <c r="EN95" s="15" t="n">
        <f aca="false">IF(EN65&gt;0,EN91/EN65,0)</f>
        <v>0.759524256482393</v>
      </c>
      <c r="EO95" s="15" t="n">
        <f aca="false">IF(EO65&gt;0,EO91/EO65,0)</f>
        <v>0.758848989886796</v>
      </c>
      <c r="EP95" s="15" t="n">
        <f aca="false">IF(EP65&gt;0,EP91/EP65,0)</f>
        <v>0.759439609377083</v>
      </c>
      <c r="EQ95" s="15" t="n">
        <f aca="false">IF(EQ65&gt;0,EQ91/EQ65,0)</f>
        <v>0.759350442758681</v>
      </c>
      <c r="ER95" s="15" t="n">
        <f aca="false">IF(ER65&gt;0,ER91/ER65,0)</f>
        <v>0.760017585642499</v>
      </c>
      <c r="ES95" s="15" t="n">
        <f aca="false">IF(ES65&gt;0,ES91/ES65,0)</f>
        <v>0.759216568822058</v>
      </c>
      <c r="ET95" s="15" t="n">
        <f aca="false">IF(ET65&gt;0,ET91/ET65,0)</f>
        <v>0.75900712029206</v>
      </c>
      <c r="EU95" s="15" t="n">
        <f aca="false">IF(EU65&gt;0,EU91/EU65,0)</f>
        <v>0.75900712029206</v>
      </c>
      <c r="EV95" s="15" t="n">
        <f aca="false">IF(EV65&gt;0,EV91/EV65,0)</f>
        <v>0.760017585642499</v>
      </c>
      <c r="EW95" s="15" t="n">
        <f aca="false">IF(EW65&gt;0,EW91/EW65,0)</f>
        <v>0.759461890708128</v>
      </c>
      <c r="EX95" s="15" t="n">
        <f aca="false">IF(EX65&gt;0,EX91/EX65,0)</f>
        <v>0.758911889888055</v>
      </c>
      <c r="EY95" s="15" t="n">
        <f aca="false">IF(EY65&gt;0,EY91/EY65,0)</f>
        <v>0.758889626240236</v>
      </c>
      <c r="EZ95" s="15" t="n">
        <f aca="false">IF(EZ65&gt;0,EZ91/EZ65,0)</f>
        <v>0.758889626240236</v>
      </c>
      <c r="FA95" s="15" t="n">
        <f aca="false">IF(FA65&gt;0,FA91/FA65,0)</f>
        <v>0.758889626240236</v>
      </c>
      <c r="FB95" s="15" t="n">
        <f aca="false">IF(FB65&gt;0,FB91/FB65,0)</f>
        <v>0.758746834783808</v>
      </c>
      <c r="FC95" s="15" t="n">
        <f aca="false">IF(FC65&gt;0,FC91/FC65,0)</f>
        <v>0.758746834783808</v>
      </c>
      <c r="FD95" s="15" t="n">
        <f aca="false">IF(FD65&gt;0,FD91/FD65,0)</f>
        <v>0.758746834783808</v>
      </c>
      <c r="FE95" s="15" t="n">
        <f aca="false">IF(FE65&gt;0,FE91/FE65,0)</f>
        <v>0.758724420776727</v>
      </c>
      <c r="FF95" s="15" t="n">
        <f aca="false">IF(FF65&gt;0,FF91/FF65,0)</f>
        <v>0.758724420776727</v>
      </c>
      <c r="FG95" s="15" t="n">
        <f aca="false">IF(FG65&gt;0,FG91/FG65,0)</f>
        <v>0.758814051825429</v>
      </c>
      <c r="FH95" s="15" t="n">
        <f aca="false">IF(FH65&gt;0,FH91/FH65,0)</f>
        <v>0.758814051825429</v>
      </c>
      <c r="FI95" s="15" t="n">
        <f aca="false">IF(FI65&gt;0,FI91/FI65,0)</f>
        <v>0.758724420776727</v>
      </c>
      <c r="FJ95" s="15" t="n">
        <f aca="false">IF(FJ65&gt;0,FJ91/FJ65,0)</f>
        <v>0.759260354321452</v>
      </c>
      <c r="FK95" s="15" t="n">
        <f aca="false">IF(FK65&gt;0,FK91/FK65,0)</f>
        <v>0.759260354321452</v>
      </c>
      <c r="FL95" s="15" t="n">
        <f aca="false">IF(FL65&gt;0,FL91/FL65,0)</f>
        <v>0.758764056492068</v>
      </c>
      <c r="FM95" s="15" t="n">
        <f aca="false">IF(FM65&gt;0,FM91/FM65,0)</f>
        <v>0.758814742227835</v>
      </c>
      <c r="FN95" s="15" t="n">
        <f aca="false">IF(FN65&gt;0,FN91/FN65,0)</f>
        <v>0.758814742227835</v>
      </c>
      <c r="FO95" s="15" t="n">
        <f aca="false">IF(FO65&gt;0,FO91/FO65,0)</f>
        <v>0.758888658925829</v>
      </c>
      <c r="FP95" s="15" t="n">
        <f aca="false">IF(FP65&gt;0,FP91/FP65,0)</f>
        <v>0.758888658925829</v>
      </c>
      <c r="FQ95" s="15" t="n">
        <f aca="false">IF(FQ65&gt;0,FQ91/FQ65,0)</f>
        <v>0.758888658925829</v>
      </c>
      <c r="FR95" s="15" t="n">
        <f aca="false">IF(FR65&gt;0,FR91/FR65,0)</f>
        <v>0.75867958026579</v>
      </c>
      <c r="FS95" s="15" t="n">
        <f aca="false">IF(FS65&gt;0,FS91/FS65,0)</f>
        <v>0.75867958026579</v>
      </c>
      <c r="FT95" s="15" t="n">
        <f aca="false">IF(FT65&gt;0,FT91/FT65,0)</f>
        <v>0.75979466645266</v>
      </c>
      <c r="FU95" s="15" t="n">
        <f aca="false">IF(FU65&gt;0,FU91/FU65,0)</f>
        <v>0.758735897749976</v>
      </c>
      <c r="FV95" s="15" t="n">
        <f aca="false">IF(FV65&gt;0,FV91/FV65,0)</f>
        <v>0.720250091608648</v>
      </c>
      <c r="FW95" s="15" t="n">
        <f aca="false">IF(FW65&gt;0,FW91/FW65,0)</f>
        <v>0.720274386688525</v>
      </c>
      <c r="FX95" s="15" t="n">
        <f aca="false">IF(FX65&gt;0,FX91/FX65,0)</f>
        <v>0.720287506031659</v>
      </c>
      <c r="FY95" s="15" t="n">
        <f aca="false">IF(FY65&gt;0,FY91/FY65,0)</f>
        <v>0.720287506031659</v>
      </c>
      <c r="FZ95" s="15" t="n">
        <f aca="false">IF(FZ65&gt;0,FZ91/FZ65,0)</f>
        <v>0.720700119091242</v>
      </c>
      <c r="GA95" s="15" t="n">
        <f aca="false">IF(GA65&gt;0,GA91/GA65,0)</f>
        <v>0.720604838488325</v>
      </c>
      <c r="GB95" s="15" t="n">
        <f aca="false">IF(GB65&gt;0,GB91/GB65,0)</f>
        <v>0.720604838488325</v>
      </c>
      <c r="GC95" s="15" t="n">
        <f aca="false">IF(GC65&gt;0,GC91/GC65,0)</f>
        <v>0.720604838488325</v>
      </c>
      <c r="GD95" s="15" t="n">
        <f aca="false">IF(GD65&gt;0,GD91/GD65,0)</f>
        <v>0.720693384674836</v>
      </c>
      <c r="GE95" s="15" t="n">
        <f aca="false">IF(GE65&gt;0,GE91/GE65,0)</f>
        <v>0.720338862755639</v>
      </c>
      <c r="GF95" s="15" t="n">
        <f aca="false">IF(GF65&gt;0,GF91/GF65,0)</f>
        <v>0.721296887834261</v>
      </c>
      <c r="GG95" s="15" t="n">
        <f aca="false">IF(GG65&gt;0,GG91/GG65,0)</f>
        <v>0.720659531650201</v>
      </c>
      <c r="GH95" s="15" t="n">
        <f aca="false">IF(GH65&gt;0,GH91/GH65,0)</f>
        <v>0.7212714494341</v>
      </c>
      <c r="GI95" s="15" t="n">
        <f aca="false">IF(GI65&gt;0,GI91/GI65,0)</f>
        <v>0.720761704462326</v>
      </c>
      <c r="GJ95" s="15" t="n">
        <f aca="false">IF(GJ65&gt;0,GJ91/GJ65,0)</f>
        <v>0.720688394203959</v>
      </c>
      <c r="GK95" s="15" t="n">
        <f aca="false">IF(GK65&gt;0,GK91/GK65,0)</f>
        <v>0.720688394203959</v>
      </c>
      <c r="GL95" s="15" t="n">
        <f aca="false">IF(GL65&gt;0,GL91/GL65,0)</f>
        <v>0.722159039213902</v>
      </c>
      <c r="GM95" s="15" t="n">
        <f aca="false">IF(GM65&gt;0,GM91/GM65,0)</f>
        <v>0.721589096047773</v>
      </c>
      <c r="GN95" s="15" t="n">
        <f aca="false">IF(GN65&gt;0,GN91/GN65,0)</f>
        <v>0.720387504580432</v>
      </c>
      <c r="GO95" s="15" t="n">
        <f aca="false">IF(GO65&gt;0,GO91/GO65,0)</f>
        <v>0.720442165972445</v>
      </c>
      <c r="GP95" s="15" t="n">
        <f aca="false">IF(GP65&gt;0,GP91/GP65,0)</f>
        <v>0.720442165972445</v>
      </c>
      <c r="GQ95" s="15" t="n">
        <f aca="false">IF(GQ65&gt;0,GQ91/GQ65,0)</f>
        <v>0.720442165972445</v>
      </c>
      <c r="GR95" s="15" t="n">
        <f aca="false">IF(GR65&gt;0,GR91/GR65,0)</f>
        <v>0.720679972193766</v>
      </c>
      <c r="GS95" s="15" t="n">
        <f aca="false">IF(GS65&gt;0,GS91/GS65,0)</f>
        <v>0.720679972193766</v>
      </c>
      <c r="GT95" s="15" t="n">
        <f aca="false">IF(GT65&gt;0,GT91/GT65,0)</f>
        <v>0.720679972193766</v>
      </c>
      <c r="GU95" s="15" t="n">
        <f aca="false">IF(GU65&gt;0,GU91/GU65,0)</f>
        <v>0.720761704462326</v>
      </c>
      <c r="GV95" s="15" t="n">
        <f aca="false">IF(GV65&gt;0,GV91/GV65,0)</f>
        <v>0.720761704462326</v>
      </c>
      <c r="GW95" s="15" t="n">
        <f aca="false">IF(GW65&gt;0,GW91/GW65,0)</f>
        <v>0.720442165972445</v>
      </c>
      <c r="GX95" s="15" t="n">
        <f aca="false">IF(GX65&gt;0,GX91/GX65,0)</f>
        <v>0.720442165972445</v>
      </c>
      <c r="GY95" s="15" t="n">
        <f aca="false">IF(GY65&gt;0,GY91/GY65,0)</f>
        <v>0.720378170497207</v>
      </c>
      <c r="GZ95" s="15" t="n">
        <f aca="false">IF(GZ65&gt;0,GZ91/GZ65,0)</f>
        <v>0.720456211066325</v>
      </c>
      <c r="HA95" s="15" t="n">
        <f aca="false">IF(HA65&gt;0,HA91/HA65,0)</f>
        <v>0.720456211066325</v>
      </c>
      <c r="HB95" s="15" t="n">
        <f aca="false">IF(HB65&gt;0,HB91/HB65,0)</f>
        <v>0.720251563890488</v>
      </c>
      <c r="HC95" s="15" t="n">
        <f aca="false">IF(HC65&gt;0,HC91/HC65,0)</f>
        <v>0.720261869863372</v>
      </c>
      <c r="HD95" s="15" t="n">
        <f aca="false">IF(HD65&gt;0,HD91/HD65,0)</f>
        <v>0.720261869863372</v>
      </c>
      <c r="HE95" s="15" t="n">
        <f aca="false">IF(HE65&gt;0,HE91/HE65,0)</f>
        <v>0.720421857823379</v>
      </c>
      <c r="HF95" s="15" t="n">
        <f aca="false">IF(HF65&gt;0,HF91/HF65,0)</f>
        <v>0.720421857823379</v>
      </c>
      <c r="HG95" s="15" t="n">
        <f aca="false">IF(HG65&gt;0,HG91/HG65,0)</f>
        <v>0.720421857823379</v>
      </c>
      <c r="HH95" s="15" t="n">
        <f aca="false">IF(HH65&gt;0,HH91/HH65,0)</f>
        <v>0.722064124239467</v>
      </c>
      <c r="HI95" s="15" t="n">
        <f aca="false">IF(HI65&gt;0,HI91/HI65,0)</f>
        <v>0.722082264565775</v>
      </c>
      <c r="HJ95" s="15" t="n">
        <f aca="false">IF(HJ65&gt;0,HJ91/HJ65,0)</f>
        <v>0.720662330524001</v>
      </c>
      <c r="HK95" s="15" t="n">
        <f aca="false">IF(HK65&gt;0,HK91/HK65,0)</f>
        <v>0.720274629639324</v>
      </c>
      <c r="HL95" s="15" t="n">
        <f aca="false">IF(HL65&gt;0,HL91/HL65,0)</f>
        <v>0.81520479426978</v>
      </c>
      <c r="HM95" s="15" t="n">
        <f aca="false">IF(HM65&gt;0,HM91/HM65,0)</f>
        <v>0.815259305084684</v>
      </c>
      <c r="HN95" s="15" t="n">
        <f aca="false">IF(HN65&gt;0,HN91/HN65,0)</f>
        <v>0.815310000142546</v>
      </c>
      <c r="HO95" s="15" t="n">
        <f aca="false">IF(HO65&gt;0,HO91/HO65,0)</f>
        <v>0.815310000142546</v>
      </c>
      <c r="HP95" s="15" t="n">
        <f aca="false">IF(HP65&gt;0,HP91/HP65,0)</f>
        <v>0.815459703193519</v>
      </c>
      <c r="HQ95" s="15" t="n">
        <f aca="false">IF(HQ65&gt;0,HQ91/HQ65,0)</f>
        <v>0.815546984933709</v>
      </c>
      <c r="HR95" s="15" t="n">
        <f aca="false">IF(HR65&gt;0,HR91/HR65,0)</f>
        <v>0.815546984933709</v>
      </c>
      <c r="HS95" s="15" t="n">
        <f aca="false">IF(HS65&gt;0,HS91/HS65,0)</f>
        <v>0.815546984933709</v>
      </c>
      <c r="HT95" s="15" t="n">
        <f aca="false">IF(HT65&gt;0,HT91/HT65,0)</f>
        <v>0.815774408861709</v>
      </c>
      <c r="HU95" s="15" t="n">
        <f aca="false">IF(HU65&gt;0,HU91/HU65,0)</f>
        <v>0.815433062275904</v>
      </c>
      <c r="HV95" s="15" t="n">
        <f aca="false">IF(HV65&gt;0,HV91/HV65,0)</f>
        <v>0.815746876335907</v>
      </c>
      <c r="HW95" s="15" t="n">
        <f aca="false">IF(HW65&gt;0,HW91/HW65,0)</f>
        <v>0.815490497609457</v>
      </c>
      <c r="HX95" s="15" t="n">
        <f aca="false">IF(HX65&gt;0,HX91/HX65,0)</f>
        <v>0.816624531010341</v>
      </c>
      <c r="HY95" s="15" t="n">
        <f aca="false">IF(HY65&gt;0,HY91/HY65,0)</f>
        <v>0.816200905853274</v>
      </c>
      <c r="HZ95" s="15" t="n">
        <f aca="false">IF(HZ65&gt;0,HZ91/HZ65,0)</f>
        <v>0.815423886223629</v>
      </c>
      <c r="IA95" s="15" t="n">
        <f aca="false">IF(IA65&gt;0,IA91/IA65,0)</f>
        <v>0.815423886223629</v>
      </c>
      <c r="IB95" s="15" t="n">
        <f aca="false">IF(IB65&gt;0,IB91/IB65,0)</f>
        <v>0.817018156443616</v>
      </c>
      <c r="IC95" s="15" t="n">
        <f aca="false">IF(IC65&gt;0,IC91/IC65,0)</f>
        <v>0.816680866867654</v>
      </c>
      <c r="ID95" s="15" t="n">
        <f aca="false">IF(ID65&gt;0,ID91/ID65,0)</f>
        <v>0.815328670096651</v>
      </c>
      <c r="IE95" s="15" t="n">
        <f aca="false">IF(IE65&gt;0,IE91/IE65,0)</f>
        <v>0.81525056624752</v>
      </c>
      <c r="IF95" s="15" t="n">
        <f aca="false">IF(IF65&gt;0,IF91/IF65,0)</f>
        <v>0.81525056624752</v>
      </c>
      <c r="IG95" s="15" t="n">
        <f aca="false">IF(IG65&gt;0,IG91/IG65,0)</f>
        <v>0.81525056624752</v>
      </c>
      <c r="IH95" s="15" t="n">
        <f aca="false">IF(IH65&gt;0,IH91/IH65,0)</f>
        <v>0.815775318887352</v>
      </c>
      <c r="II95" s="15" t="n">
        <f aca="false">IF(II65&gt;0,II91/II65,0)</f>
        <v>0.815775318887352</v>
      </c>
      <c r="IJ95" s="15" t="n">
        <f aca="false">IF(IJ65&gt;0,IJ91/IJ65,0)</f>
        <v>0.815775318887352</v>
      </c>
      <c r="IK95" s="15" t="n">
        <f aca="false">IF(IK65&gt;0,IK91/IK65,0)</f>
        <v>0.815290598131857</v>
      </c>
      <c r="IL95" s="15" t="n">
        <f aca="false">IF(IL65&gt;0,IL91/IL65,0)</f>
        <v>0.815290598131857</v>
      </c>
      <c r="IM95" s="15" t="n">
        <f aca="false">IF(IM65&gt;0,IM91/IM65,0)</f>
        <v>0.81520479426978</v>
      </c>
      <c r="IN95" s="15" t="n">
        <f aca="false">IF(IN65&gt;0,IN91/IN65,0)</f>
        <v>0.81520479426978</v>
      </c>
      <c r="IO95" s="15" t="n">
        <f aca="false">IF(IO65&gt;0,IO91/IO65,0)</f>
        <v>0.815376322350246</v>
      </c>
      <c r="IP95" s="15" t="n">
        <f aca="false">IF(IP65&gt;0,IP91/IP65,0)</f>
        <v>0.815249389567453</v>
      </c>
      <c r="IQ95" s="15" t="n">
        <f aca="false">IF(IQ65&gt;0,IQ91/IQ65,0)</f>
        <v>0.815249389567453</v>
      </c>
      <c r="IR95" s="15" t="n">
        <f aca="false">IF(IR65&gt;0,IR91/IR65,0)</f>
        <v>0.815206445947471</v>
      </c>
      <c r="IS95" s="15" t="n">
        <f aca="false">IF(IS65&gt;0,IS91/IS65,0)</f>
        <v>0.815254344600528</v>
      </c>
      <c r="IT95" s="15" t="n">
        <f aca="false">IF(IT65&gt;0,IT91/IT65,0)</f>
        <v>0.815254344600528</v>
      </c>
      <c r="IU95" s="15" t="n">
        <f aca="false">IF(IU65&gt;0,IU91/IU65,0)</f>
        <v>0.815390608010086</v>
      </c>
      <c r="IV95" s="15" t="n">
        <f aca="false">IF(IV65&gt;0,IV91/IV65,0)</f>
        <v>0.815390608010086</v>
      </c>
      <c r="IW95" s="15" t="n">
        <f aca="false">IF(IW65&gt;0,IW91/IW65,0)</f>
        <v>0.815390608010086</v>
      </c>
      <c r="IX95" s="15" t="n">
        <f aca="false">IF(IX65&gt;0,IX91/IX65,0)</f>
        <v>0.816431287605137</v>
      </c>
      <c r="IY95" s="15" t="n">
        <f aca="false">IF(IY65&gt;0,IY91/IY65,0)</f>
        <v>0.816443552538491</v>
      </c>
      <c r="IZ95" s="15" t="n">
        <f aca="false">IF(IZ65&gt;0,IZ91/IZ65,0)</f>
        <v>0.815353445262025</v>
      </c>
      <c r="JA95" s="15" t="n">
        <f aca="false">IF(JA65&gt;0,JA91/JA65,0)</f>
        <v>0.815259850192833</v>
      </c>
    </row>
    <row r="96" customFormat="false" ht="15" hidden="false" customHeight="false" outlineLevel="0" collapsed="false">
      <c r="A96" s="2" t="s">
        <v>152</v>
      </c>
      <c r="B96" s="13" t="s">
        <v>153</v>
      </c>
      <c r="C96" s="13" t="s">
        <v>179</v>
      </c>
      <c r="D96" s="9" t="s">
        <v>320</v>
      </c>
      <c r="E96" s="59" t="n">
        <f aca="false">IF(E16&gt;0,E91/E16,0)</f>
        <v>62.6802178949963</v>
      </c>
      <c r="F96" s="59" t="n">
        <f aca="false">IF(F16&gt;0,F91/F16,0)</f>
        <v>1549.32342819325</v>
      </c>
      <c r="G96" s="59" t="n">
        <f aca="false">IF(G16&gt;0,G91/G16,0)</f>
        <v>65562.5174129353</v>
      </c>
      <c r="H96" s="59" t="n">
        <f aca="false">IF(H16&gt;0,H91/H16,0)</f>
        <v>156.04160153223</v>
      </c>
      <c r="J96" s="59" t="n">
        <f aca="false">IF(J16&gt;0,J91/J16,0)</f>
        <v>62.6802178949963</v>
      </c>
      <c r="K96" s="59" t="n">
        <f aca="false">IF(K16&gt;0,K91/K16,0)</f>
        <v>62.5508073310887</v>
      </c>
      <c r="L96" s="59" t="n">
        <f aca="false">IF(L16&gt;0,L91/L16,0)</f>
        <v>62.5738616886332</v>
      </c>
      <c r="M96" s="59" t="n">
        <f aca="false">IF(M16&gt;0,M91/M16,0)</f>
        <v>62.5738616886332</v>
      </c>
      <c r="N96" s="59" t="n">
        <f aca="false">IF(N16&gt;0,N91/N16,0)</f>
        <v>62.6888566783269</v>
      </c>
      <c r="O96" s="59" t="n">
        <f aca="false">IF(O16&gt;0,O91/O16,0)</f>
        <v>62.9221378949963</v>
      </c>
      <c r="P96" s="59" t="n">
        <f aca="false">IF(P16&gt;0,P91/P16,0)</f>
        <v>62.9221378949963</v>
      </c>
      <c r="Q96" s="59" t="n">
        <f aca="false">IF(Q16&gt;0,Q91/Q16,0)</f>
        <v>62.9221378949963</v>
      </c>
      <c r="R96" s="59" t="n">
        <f aca="false">IF(R16&gt;0,R91/R16,0)</f>
        <v>62.9826178949963</v>
      </c>
      <c r="S96" s="59" t="n">
        <f aca="false">IF(S16&gt;0,S91/S16,0)</f>
        <v>62.7406978949963</v>
      </c>
      <c r="T96" s="59" t="n">
        <f aca="false">IF(T16&gt;0,T91/T16,0)</f>
        <v>62.9522178949963</v>
      </c>
      <c r="U96" s="59" t="n">
        <f aca="false">IF(U16&gt;0,U91/U16,0)</f>
        <v>62.9202178949963</v>
      </c>
      <c r="V96" s="59" t="n">
        <f aca="false">IF(V16&gt;0,V91/V16,0)</f>
        <v>63.1602178949963</v>
      </c>
      <c r="W96" s="59" t="n">
        <f aca="false">IF(W16&gt;0,W91/W16,0)</f>
        <v>62.8722178949963</v>
      </c>
      <c r="X96" s="59" t="n">
        <f aca="false">IF(X16&gt;0,X91/X16,0)</f>
        <v>62.8602178949963</v>
      </c>
      <c r="Y96" s="59" t="n">
        <f aca="false">IF(Y16&gt;0,Y91/Y16,0)</f>
        <v>62.8602178949963</v>
      </c>
      <c r="Z96" s="59" t="n">
        <f aca="false">IF(Z16&gt;0,Z91/Z16,0)</f>
        <v>63.1602178949963</v>
      </c>
      <c r="AA96" s="59" t="n">
        <f aca="false">IF(AA16&gt;0,AA91/AA16,0)</f>
        <v>62.9602178949963</v>
      </c>
      <c r="AB96" s="59" t="n">
        <f aca="false">IF(AB16&gt;0,AB91/AB16,0)</f>
        <v>62.7002178949963</v>
      </c>
      <c r="AC96" s="59" t="n">
        <f aca="false">IF(AC16&gt;0,AC91/AC16,0)</f>
        <v>62.7552178949963</v>
      </c>
      <c r="AD96" s="59" t="n">
        <f aca="false">IF(AD16&gt;0,AD91/AD16,0)</f>
        <v>62.7552178949963</v>
      </c>
      <c r="AE96" s="59" t="n">
        <f aca="false">IF(AE16&gt;0,AE91/AE16,0)</f>
        <v>62.7552178949963</v>
      </c>
      <c r="AF96" s="59" t="n">
        <f aca="false">IF(AF16&gt;0,AF91/AF16,0)</f>
        <v>62.7042178949963</v>
      </c>
      <c r="AG96" s="59" t="n">
        <f aca="false">IF(AG16&gt;0,AG91/AG16,0)</f>
        <v>62.7042178949963</v>
      </c>
      <c r="AH96" s="59" t="n">
        <f aca="false">IF(AH16&gt;0,AH91/AH16,0)</f>
        <v>62.7042178949963</v>
      </c>
      <c r="AI96" s="59" t="n">
        <f aca="false">IF(AI16&gt;0,AI91/AI16,0)</f>
        <v>62.6962178949963</v>
      </c>
      <c r="AJ96" s="59" t="n">
        <f aca="false">IF(AJ16&gt;0,AJ91/AJ16,0)</f>
        <v>62.6962178949963</v>
      </c>
      <c r="AK96" s="59" t="n">
        <f aca="false">IF(AK16&gt;0,AK91/AK16,0)</f>
        <v>62.7282178949963</v>
      </c>
      <c r="AL96" s="59" t="n">
        <f aca="false">IF(AL16&gt;0,AL91/AL16,0)</f>
        <v>62.7282178949963</v>
      </c>
      <c r="AM96" s="59" t="n">
        <f aca="false">IF(AM16&gt;0,AM91/AM16,0)</f>
        <v>62.6962178949963</v>
      </c>
      <c r="AN96" s="59" t="n">
        <f aca="false">IF(AN16&gt;0,AN91/AN16,0)</f>
        <v>62.7302178949963</v>
      </c>
      <c r="AO96" s="59" t="n">
        <f aca="false">IF(AO16&gt;0,AO91/AO16,0)</f>
        <v>62.7302178949963</v>
      </c>
      <c r="AP96" s="59" t="n">
        <f aca="false">IF(AP16&gt;0,AP91/AP16,0)</f>
        <v>62.6890914468819</v>
      </c>
      <c r="AQ96" s="59" t="n">
        <f aca="false">IF(AQ16&gt;0,AQ91/AQ16,0)</f>
        <v>62.6944155780133</v>
      </c>
      <c r="AR96" s="59" t="n">
        <f aca="false">IF(AR16&gt;0,AR91/AR16,0)</f>
        <v>62.6944155780133</v>
      </c>
      <c r="AS96" s="59" t="n">
        <f aca="false">IF(AS16&gt;0,AS91/AS16,0)</f>
        <v>62.6982178949963</v>
      </c>
      <c r="AT96" s="59" t="n">
        <f aca="false">IF(AT16&gt;0,AT91/AT16,0)</f>
        <v>62.6982178949963</v>
      </c>
      <c r="AU96" s="59" t="n">
        <f aca="false">IF(AU16&gt;0,AU91/AU16,0)</f>
        <v>62.6982178949963</v>
      </c>
      <c r="AV96" s="59" t="n">
        <f aca="false">IF(AV16&gt;0,AV91/AV16,0)</f>
        <v>62.6802178949963</v>
      </c>
      <c r="AW96" s="59" t="n">
        <f aca="false">IF(AW16&gt;0,AW91/AW16,0)</f>
        <v>62.6802178949963</v>
      </c>
      <c r="AX96" s="59" t="n">
        <f aca="false">IF(AX16&gt;0,AX91/AX16,0)</f>
        <v>62.7973487798866</v>
      </c>
      <c r="AY96" s="59" t="n">
        <f aca="false">IF(AY16&gt;0,AY91/AY16,0)</f>
        <v>62.6861335962534</v>
      </c>
      <c r="AZ96" s="59" t="n">
        <f aca="false">IF(AZ16&gt;0,AZ91/AZ16,0)</f>
        <v>1549.32342819325</v>
      </c>
      <c r="BA96" s="59" t="n">
        <f aca="false">IF(BA16&gt;0,BA91/BA16,0)</f>
        <v>1548.22123633862</v>
      </c>
      <c r="BB96" s="59" t="n">
        <f aca="false">IF(BB16&gt;0,BB91/BB16,0)</f>
        <v>1548.2569610204</v>
      </c>
      <c r="BC96" s="59" t="n">
        <f aca="false">IF(BC16&gt;0,BC91/BC16,0)</f>
        <v>1548.2569610204</v>
      </c>
      <c r="BD96" s="59" t="n">
        <f aca="false">IF(BD16&gt;0,BD91/BD16,0)</f>
        <v>1549.35956531807</v>
      </c>
      <c r="BE96" s="59" t="n">
        <f aca="false">IF(BE16&gt;0,BE91/BE16,0)</f>
        <v>1552.09542819325</v>
      </c>
      <c r="BF96" s="59" t="n">
        <f aca="false">IF(BF16&gt;0,BF91/BF16,0)</f>
        <v>1552.09542819325</v>
      </c>
      <c r="BG96" s="59" t="n">
        <f aca="false">IF(BG16&gt;0,BG91/BG16,0)</f>
        <v>1552.09542819325</v>
      </c>
      <c r="BH96" s="59" t="n">
        <f aca="false">IF(BH16&gt;0,BH91/BH16,0)</f>
        <v>1552.78842819325</v>
      </c>
      <c r="BI96" s="59" t="n">
        <f aca="false">IF(BI16&gt;0,BI91/BI16,0)</f>
        <v>1550.01642819325</v>
      </c>
      <c r="BJ96" s="59" t="n">
        <f aca="false">IF(BJ16&gt;0,BJ91/BJ16,0)</f>
        <v>1557.52342819325</v>
      </c>
      <c r="BK96" s="59" t="n">
        <f aca="false">IF(BK16&gt;0,BK91/BK16,0)</f>
        <v>1552.52342819325</v>
      </c>
      <c r="BL96" s="59" t="n">
        <f aca="false">IF(BL16&gt;0,BL91/BL16,0)</f>
        <v>1557.32342819325</v>
      </c>
      <c r="BM96" s="59" t="n">
        <f aca="false">IF(BM16&gt;0,BM91/BM16,0)</f>
        <v>1553.32342819325</v>
      </c>
      <c r="BN96" s="59" t="n">
        <f aca="false">IF(BN16&gt;0,BN91/BN16,0)</f>
        <v>1553.52342819325</v>
      </c>
      <c r="BO96" s="59" t="n">
        <f aca="false">IF(BO16&gt;0,BO91/BO16,0)</f>
        <v>1553.52342819325</v>
      </c>
      <c r="BP96" s="59" t="n">
        <f aca="false">IF(BP16&gt;0,BP91/BP16,0)</f>
        <v>1564.32342819325</v>
      </c>
      <c r="BQ96" s="59" t="n">
        <f aca="false">IF(BQ16&gt;0,BQ91/BQ16,0)</f>
        <v>1559.82342819325</v>
      </c>
      <c r="BR96" s="59" t="n">
        <f aca="false">IF(BR16&gt;0,BR91/BR16,0)</f>
        <v>1549.62342819325</v>
      </c>
      <c r="BS96" s="59" t="n">
        <f aca="false">IF(BS16&gt;0,BS91/BS16,0)</f>
        <v>1550.82342819325</v>
      </c>
      <c r="BT96" s="59" t="n">
        <f aca="false">IF(BT16&gt;0,BT91/BT16,0)</f>
        <v>1550.82342819325</v>
      </c>
      <c r="BU96" s="59" t="n">
        <f aca="false">IF(BU16&gt;0,BU91/BU16,0)</f>
        <v>1550.82342819325</v>
      </c>
      <c r="BV96" s="59" t="n">
        <f aca="false">IF(BV16&gt;0,BV91/BV16,0)</f>
        <v>1552.68342819325</v>
      </c>
      <c r="BW96" s="59" t="n">
        <f aca="false">IF(BW16&gt;0,BW91/BW16,0)</f>
        <v>1552.68342819325</v>
      </c>
      <c r="BX96" s="59" t="n">
        <f aca="false">IF(BX16&gt;0,BX91/BX16,0)</f>
        <v>1552.68342819325</v>
      </c>
      <c r="BY96" s="59" t="n">
        <f aca="false">IF(BY16&gt;0,BY91/BY16,0)</f>
        <v>1553.32342819325</v>
      </c>
      <c r="BZ96" s="59" t="n">
        <f aca="false">IF(BZ16&gt;0,BZ91/BZ16,0)</f>
        <v>1553.32342819325</v>
      </c>
      <c r="CA96" s="59" t="n">
        <f aca="false">IF(CA16&gt;0,CA91/CA16,0)</f>
        <v>1550.82342819325</v>
      </c>
      <c r="CB96" s="59" t="n">
        <f aca="false">IF(CB16&gt;0,CB91/CB16,0)</f>
        <v>1550.82342819325</v>
      </c>
      <c r="CC96" s="59" t="n">
        <f aca="false">IF(CC16&gt;0,CC91/CC16,0)</f>
        <v>1550.32342819325</v>
      </c>
      <c r="CD96" s="59" t="n">
        <f aca="false">IF(CD16&gt;0,CD91/CD16,0)</f>
        <v>1549.77342819325</v>
      </c>
      <c r="CE96" s="59" t="n">
        <f aca="false">IF(CE16&gt;0,CE91/CE16,0)</f>
        <v>1549.77342819325</v>
      </c>
      <c r="CF96" s="59" t="n">
        <f aca="false">IF(CF16&gt;0,CF91/CF16,0)</f>
        <v>1549.32739907346</v>
      </c>
      <c r="CG96" s="59" t="n">
        <f aca="false">IF(CG16&gt;0,CG91/CG16,0)</f>
        <v>1549.35519523494</v>
      </c>
      <c r="CH96" s="59" t="n">
        <f aca="false">IF(CH16&gt;0,CH91/CH16,0)</f>
        <v>1549.35519523494</v>
      </c>
      <c r="CI96" s="59" t="n">
        <f aca="false">IF(CI16&gt;0,CI91/CI16,0)</f>
        <v>1549.69842819325</v>
      </c>
      <c r="CJ96" s="59" t="n">
        <f aca="false">IF(CJ16&gt;0,CJ91/CJ16,0)</f>
        <v>1549.69842819325</v>
      </c>
      <c r="CK96" s="59" t="n">
        <f aca="false">IF(CK16&gt;0,CK91/CK16,0)</f>
        <v>1549.69842819325</v>
      </c>
      <c r="CL96" s="59" t="n">
        <f aca="false">IF(CL16&gt;0,CL91/CL16,0)</f>
        <v>1553.28382423285</v>
      </c>
      <c r="CM96" s="59" t="n">
        <f aca="false">IF(CM16&gt;0,CM91/CM16,0)</f>
        <v>1553.32342819325</v>
      </c>
      <c r="CN96" s="59" t="n">
        <f aca="false">IF(CN16&gt;0,CN91/CN16,0)</f>
        <v>1550.43527465255</v>
      </c>
      <c r="CO96" s="59" t="n">
        <f aca="false">IF(CO16&gt;0,CO91/CO16,0)</f>
        <v>1549.38960953011</v>
      </c>
      <c r="CP96" s="59" t="n">
        <f aca="false">IF(CP16&gt;0,CP91/CP16,0)</f>
        <v>65562.5174129353</v>
      </c>
      <c r="CQ96" s="59" t="n">
        <f aca="false">IF(CQ16&gt;0,CQ91/CQ16,0)</f>
        <v>65545.496742752</v>
      </c>
      <c r="CR96" s="59" t="n">
        <f aca="false">IF(CR16&gt;0,CR91/CR16,0)</f>
        <v>65550.12153762</v>
      </c>
      <c r="CS96" s="59" t="n">
        <f aca="false">IF(CS16&gt;0,CS91/CS16,0)</f>
        <v>65550.12153762</v>
      </c>
      <c r="CT96" s="59" t="n">
        <f aca="false">IF(CT16&gt;0,CT91/CT16,0)</f>
        <v>65563.4338571713</v>
      </c>
      <c r="CU96" s="59" t="n">
        <f aca="false">IF(CU16&gt;0,CU91/CU16,0)</f>
        <v>65712.2774129353</v>
      </c>
      <c r="CV96" s="59" t="n">
        <f aca="false">IF(CV16&gt;0,CV91/CV16,0)</f>
        <v>65712.2774129353</v>
      </c>
      <c r="CW96" s="59" t="n">
        <f aca="false">IF(CW16&gt;0,CW91/CW16,0)</f>
        <v>65712.2774129353</v>
      </c>
      <c r="CX96" s="59" t="n">
        <f aca="false">IF(CX16&gt;0,CX91/CX16,0)</f>
        <v>65812.1174129353</v>
      </c>
      <c r="CY96" s="59" t="n">
        <f aca="false">IF(CY16&gt;0,CY91/CY16,0)</f>
        <v>65662.3574129353</v>
      </c>
      <c r="CZ96" s="59" t="n">
        <f aca="false">IF(CZ16&gt;0,CZ91/CZ16,0)</f>
        <v>65800.0174129353</v>
      </c>
      <c r="DA96" s="59" t="n">
        <f aca="false">IF(DA16&gt;0,DA91/DA16,0)</f>
        <v>65687.5174129353</v>
      </c>
      <c r="DB96" s="59" t="n">
        <f aca="false">IF(DB16&gt;0,DB91/DB16,0)</f>
        <v>66187.5174129353</v>
      </c>
      <c r="DC96" s="59" t="n">
        <f aca="false">IF(DC16&gt;0,DC91/DC16,0)</f>
        <v>66000.0174129353</v>
      </c>
      <c r="DD96" s="59" t="n">
        <f aca="false">IF(DD16&gt;0,DD91/DD16,0)</f>
        <v>65702.5174129353</v>
      </c>
      <c r="DE96" s="59" t="n">
        <f aca="false">IF(DE16&gt;0,DE91/DE16,0)</f>
        <v>65702.5174129353</v>
      </c>
      <c r="DF96" s="59" t="n">
        <f aca="false">IF(DF16&gt;0,DF91/DF16,0)</f>
        <v>66362.5174129353</v>
      </c>
      <c r="DG96" s="59" t="n">
        <f aca="false">IF(DG16&gt;0,DG91/DG16,0)</f>
        <v>66212.5174129353</v>
      </c>
      <c r="DH96" s="59" t="n">
        <f aca="false">IF(DH16&gt;0,DH91/DH16,0)</f>
        <v>65572.5174129353</v>
      </c>
      <c r="DI96" s="59" t="n">
        <f aca="false">IF(DI16&gt;0,DI91/DI16,0)</f>
        <v>65582.5174129353</v>
      </c>
      <c r="DJ96" s="59" t="n">
        <f aca="false">IF(DJ16&gt;0,DJ91/DJ16,0)</f>
        <v>65582.5174129353</v>
      </c>
      <c r="DK96" s="59" t="n">
        <f aca="false">IF(DK16&gt;0,DK91/DK16,0)</f>
        <v>65582.5174129353</v>
      </c>
      <c r="DL96" s="59" t="n">
        <f aca="false">IF(DL16&gt;0,DL91/DL16,0)</f>
        <v>65812.5174129353</v>
      </c>
      <c r="DM96" s="59" t="n">
        <f aca="false">IF(DM16&gt;0,DM91/DM16,0)</f>
        <v>65812.5174129353</v>
      </c>
      <c r="DN96" s="59" t="n">
        <f aca="false">IF(DN16&gt;0,DN91/DN16,0)</f>
        <v>65812.5174129353</v>
      </c>
      <c r="DO96" s="59" t="n">
        <f aca="false">IF(DO16&gt;0,DO91/DO16,0)</f>
        <v>65600.0174129353</v>
      </c>
      <c r="DP96" s="59" t="n">
        <f aca="false">IF(DP16&gt;0,DP91/DP16,0)</f>
        <v>65600.0174129353</v>
      </c>
      <c r="DQ96" s="59" t="n">
        <f aca="false">IF(DQ16&gt;0,DQ91/DQ16,0)</f>
        <v>65562.5174129353</v>
      </c>
      <c r="DR96" s="59" t="n">
        <f aca="false">IF(DR16&gt;0,DR91/DR16,0)</f>
        <v>65562.5174129353</v>
      </c>
      <c r="DS96" s="59" t="n">
        <f aca="false">IF(DS16&gt;0,DS91/DS16,0)</f>
        <v>65637.5174129353</v>
      </c>
      <c r="DT96" s="59" t="n">
        <f aca="false">IF(DT16&gt;0,DT91/DT16,0)</f>
        <v>65566.1174129354</v>
      </c>
      <c r="DU96" s="59" t="n">
        <f aca="false">IF(DU16&gt;0,DU91/DU16,0)</f>
        <v>65566.1174129354</v>
      </c>
      <c r="DV96" s="59" t="n">
        <f aca="false">IF(DV16&gt;0,DV91/DV16,0)</f>
        <v>65562.6666666667</v>
      </c>
      <c r="DW96" s="59" t="n">
        <f aca="false">IF(DW16&gt;0,DW91/DW16,0)</f>
        <v>65566.9950248756</v>
      </c>
      <c r="DX96" s="59" t="n">
        <f aca="false">IF(DX16&gt;0,DX91/DX16,0)</f>
        <v>65566.9950248756</v>
      </c>
      <c r="DY96" s="59" t="n">
        <f aca="false">IF(DY16&gt;0,DY91/DY16,0)</f>
        <v>65577.5174129353</v>
      </c>
      <c r="DZ96" s="59" t="n">
        <f aca="false">IF(DZ16&gt;0,DZ91/DZ16,0)</f>
        <v>65577.5174129353</v>
      </c>
      <c r="EA96" s="59" t="n">
        <f aca="false">IF(EA16&gt;0,EA91/EA16,0)</f>
        <v>65577.5174129353</v>
      </c>
      <c r="EB96" s="59" t="n">
        <f aca="false">IF(EB16&gt;0,EB91/EB16,0)</f>
        <v>65661.5273139254</v>
      </c>
      <c r="EC96" s="59" t="n">
        <f aca="false">IF(EC16&gt;0,EC91/EC16,0)</f>
        <v>65662.5174129353</v>
      </c>
      <c r="ED96" s="59" t="n">
        <f aca="false">IF(ED16&gt;0,ED91/ED16,0)</f>
        <v>65575.9502487562</v>
      </c>
      <c r="EE96" s="59" t="n">
        <f aca="false">IF(EE16&gt;0,EE91/EE16,0)</f>
        <v>65567.4925373135</v>
      </c>
      <c r="EF96" s="59" t="n">
        <f aca="false">IF(EF16&gt;0,EF91/EF16,0)</f>
        <v>65.3162424242424</v>
      </c>
      <c r="EG96" s="59" t="n">
        <f aca="false">IF(EG16&gt;0,EG91/EG16,0)</f>
        <v>65.3210429042904</v>
      </c>
      <c r="EH96" s="59" t="n">
        <f aca="false">IF(EH16&gt;0,EH91/EH16,0)</f>
        <v>65.3397647764777</v>
      </c>
      <c r="EI96" s="59" t="n">
        <f aca="false">IF(EI16&gt;0,EI91/EI16,0)</f>
        <v>65.3397647764777</v>
      </c>
      <c r="EJ96" s="59" t="n">
        <f aca="false">IF(EJ16&gt;0,EJ91/EJ16,0)</f>
        <v>65.436</v>
      </c>
      <c r="EK96" s="59" t="n">
        <f aca="false">IF(EK16&gt;0,EK91/EK16,0)</f>
        <v>65.5581624242424</v>
      </c>
      <c r="EL96" s="59" t="n">
        <f aca="false">IF(EL16&gt;0,EL91/EL16,0)</f>
        <v>65.5581624242424</v>
      </c>
      <c r="EM96" s="59" t="n">
        <f aca="false">IF(EM16&gt;0,EM91/EM16,0)</f>
        <v>65.5581624242424</v>
      </c>
      <c r="EN96" s="59" t="n">
        <f aca="false">IF(EN16&gt;0,EN91/EN16,0)</f>
        <v>65.6186424242424</v>
      </c>
      <c r="EO96" s="59" t="n">
        <f aca="false">IF(EO16&gt;0,EO91/EO16,0)</f>
        <v>65.3767224242424</v>
      </c>
      <c r="EP96" s="59" t="n">
        <f aca="false">IF(EP16&gt;0,EP91/EP16,0)</f>
        <v>65.5882424242424</v>
      </c>
      <c r="EQ96" s="59" t="n">
        <f aca="false">IF(EQ16&gt;0,EQ91/EQ16,0)</f>
        <v>65.5562424242424</v>
      </c>
      <c r="ER96" s="59" t="n">
        <f aca="false">IF(ER16&gt;0,ER91/ER16,0)</f>
        <v>65.7962424242424</v>
      </c>
      <c r="ES96" s="59" t="n">
        <f aca="false">IF(ES16&gt;0,ES91/ES16,0)</f>
        <v>65.5082424242424</v>
      </c>
      <c r="ET96" s="59" t="n">
        <f aca="false">IF(ET16&gt;0,ET91/ET16,0)</f>
        <v>65.4962424242424</v>
      </c>
      <c r="EU96" s="59" t="n">
        <f aca="false">IF(EU16&gt;0,EU91/EU16,0)</f>
        <v>65.4962424242424</v>
      </c>
      <c r="EV96" s="59" t="n">
        <f aca="false">IF(EV16&gt;0,EV91/EV16,0)</f>
        <v>65.7962424242424</v>
      </c>
      <c r="EW96" s="59" t="n">
        <f aca="false">IF(EW16&gt;0,EW91/EW16,0)</f>
        <v>65.5962424242424</v>
      </c>
      <c r="EX96" s="59" t="n">
        <f aca="false">IF(EX16&gt;0,EX91/EX16,0)</f>
        <v>65.3362424242424</v>
      </c>
      <c r="EY96" s="59" t="n">
        <f aca="false">IF(EY16&gt;0,EY91/EY16,0)</f>
        <v>65.3912424242424</v>
      </c>
      <c r="EZ96" s="59" t="n">
        <f aca="false">IF(EZ16&gt;0,EZ91/EZ16,0)</f>
        <v>65.3912424242424</v>
      </c>
      <c r="FA96" s="59" t="n">
        <f aca="false">IF(FA16&gt;0,FA91/FA16,0)</f>
        <v>65.3912424242424</v>
      </c>
      <c r="FB96" s="59" t="n">
        <f aca="false">IF(FB16&gt;0,FB91/FB16,0)</f>
        <v>65.3402424242424</v>
      </c>
      <c r="FC96" s="59" t="n">
        <f aca="false">IF(FC16&gt;0,FC91/FC16,0)</f>
        <v>65.3402424242424</v>
      </c>
      <c r="FD96" s="59" t="n">
        <f aca="false">IF(FD16&gt;0,FD91/FD16,0)</f>
        <v>65.3402424242424</v>
      </c>
      <c r="FE96" s="59" t="n">
        <f aca="false">IF(FE16&gt;0,FE91/FE16,0)</f>
        <v>65.3322424242424</v>
      </c>
      <c r="FF96" s="59" t="n">
        <f aca="false">IF(FF16&gt;0,FF91/FF16,0)</f>
        <v>65.3322424242424</v>
      </c>
      <c r="FG96" s="59" t="n">
        <f aca="false">IF(FG16&gt;0,FG91/FG16,0)</f>
        <v>65.3642424242424</v>
      </c>
      <c r="FH96" s="59" t="n">
        <f aca="false">IF(FH16&gt;0,FH91/FH16,0)</f>
        <v>65.3642424242424</v>
      </c>
      <c r="FI96" s="59" t="n">
        <f aca="false">IF(FI16&gt;0,FI91/FI16,0)</f>
        <v>65.3322424242424</v>
      </c>
      <c r="FJ96" s="59" t="n">
        <f aca="false">IF(FJ16&gt;0,FJ91/FJ16,0)</f>
        <v>65.3662424242424</v>
      </c>
      <c r="FK96" s="59" t="n">
        <f aca="false">IF(FK16&gt;0,FK91/FK16,0)</f>
        <v>65.3662424242424</v>
      </c>
      <c r="FL96" s="59" t="n">
        <f aca="false">IF(FL16&gt;0,FL91/FL16,0)</f>
        <v>65.3235151515152</v>
      </c>
      <c r="FM96" s="59" t="n">
        <f aca="false">IF(FM16&gt;0,FM91/FM16,0)</f>
        <v>65.3278787878788</v>
      </c>
      <c r="FN96" s="59" t="n">
        <f aca="false">IF(FN16&gt;0,FN91/FN16,0)</f>
        <v>65.3278787878788</v>
      </c>
      <c r="FO96" s="59" t="n">
        <f aca="false">IF(FO16&gt;0,FO91/FO16,0)</f>
        <v>65.3342424242424</v>
      </c>
      <c r="FP96" s="59" t="n">
        <f aca="false">IF(FP16&gt;0,FP91/FP16,0)</f>
        <v>65.3342424242424</v>
      </c>
      <c r="FQ96" s="59" t="n">
        <f aca="false">IF(FQ16&gt;0,FQ91/FQ16,0)</f>
        <v>65.3342424242424</v>
      </c>
      <c r="FR96" s="59" t="n">
        <f aca="false">IF(FR16&gt;0,FR91/FR16,0)</f>
        <v>65.3162424242424</v>
      </c>
      <c r="FS96" s="59" t="n">
        <f aca="false">IF(FS16&gt;0,FS91/FS16,0)</f>
        <v>65.3162424242424</v>
      </c>
      <c r="FT96" s="59" t="n">
        <f aca="false">IF(FT16&gt;0,FT91/FT16,0)</f>
        <v>65.4122424242424</v>
      </c>
      <c r="FU96" s="59" t="n">
        <f aca="false">IF(FU16&gt;0,FU91/FU16,0)</f>
        <v>65.3210909090909</v>
      </c>
      <c r="FV96" s="59" t="n">
        <f aca="false">IF(FV16&gt;0,FV91/FV16,0)</f>
        <v>1572.45</v>
      </c>
      <c r="FW96" s="59" t="n">
        <f aca="false">IF(FW16&gt;0,FW91/FW16,0)</f>
        <v>1572.50304101839</v>
      </c>
      <c r="FX96" s="59" t="n">
        <f aca="false">IF(FX16&gt;0,FX91/FX16,0)</f>
        <v>1572.53168316832</v>
      </c>
      <c r="FY96" s="59" t="n">
        <f aca="false">IF(FY16&gt;0,FY91/FY16,0)</f>
        <v>1572.53168316832</v>
      </c>
      <c r="FZ96" s="59" t="n">
        <f aca="false">IF(FZ16&gt;0,FZ91/FZ16,0)</f>
        <v>1573.4325</v>
      </c>
      <c r="GA96" s="59" t="n">
        <f aca="false">IF(GA16&gt;0,GA91/GA16,0)</f>
        <v>1575.222</v>
      </c>
      <c r="GB96" s="59" t="n">
        <f aca="false">IF(GB16&gt;0,GB91/GB16,0)</f>
        <v>1575.222</v>
      </c>
      <c r="GC96" s="59" t="n">
        <f aca="false">IF(GC16&gt;0,GC91/GC16,0)</f>
        <v>1575.222</v>
      </c>
      <c r="GD96" s="59" t="n">
        <f aca="false">IF(GD16&gt;0,GD91/GD16,0)</f>
        <v>1575.915</v>
      </c>
      <c r="GE96" s="59" t="n">
        <f aca="false">IF(GE16&gt;0,GE91/GE16,0)</f>
        <v>1573.143</v>
      </c>
      <c r="GF96" s="59" t="n">
        <f aca="false">IF(GF16&gt;0,GF91/GF16,0)</f>
        <v>1580.65</v>
      </c>
      <c r="GG96" s="59" t="n">
        <f aca="false">IF(GG16&gt;0,GG91/GG16,0)</f>
        <v>1575.65</v>
      </c>
      <c r="GH96" s="59" t="n">
        <f aca="false">IF(GH16&gt;0,GH91/GH16,0)</f>
        <v>1580.45</v>
      </c>
      <c r="GI96" s="59" t="n">
        <f aca="false">IF(GI16&gt;0,GI91/GI16,0)</f>
        <v>1576.45</v>
      </c>
      <c r="GJ96" s="59" t="n">
        <f aca="false">IF(GJ16&gt;0,GJ91/GJ16,0)</f>
        <v>1576.65</v>
      </c>
      <c r="GK96" s="59" t="n">
        <f aca="false">IF(GK16&gt;0,GK91/GK16,0)</f>
        <v>1576.65</v>
      </c>
      <c r="GL96" s="59" t="n">
        <f aca="false">IF(GL16&gt;0,GL91/GL16,0)</f>
        <v>1587.45</v>
      </c>
      <c r="GM96" s="59" t="n">
        <f aca="false">IF(GM16&gt;0,GM91/GM16,0)</f>
        <v>1582.95</v>
      </c>
      <c r="GN96" s="59" t="n">
        <f aca="false">IF(GN16&gt;0,GN91/GN16,0)</f>
        <v>1572.75</v>
      </c>
      <c r="GO96" s="59" t="n">
        <f aca="false">IF(GO16&gt;0,GO91/GO16,0)</f>
        <v>1573.95</v>
      </c>
      <c r="GP96" s="59" t="n">
        <f aca="false">IF(GP16&gt;0,GP91/GP16,0)</f>
        <v>1573.95</v>
      </c>
      <c r="GQ96" s="59" t="n">
        <f aca="false">IF(GQ16&gt;0,GQ91/GQ16,0)</f>
        <v>1573.95</v>
      </c>
      <c r="GR96" s="59" t="n">
        <f aca="false">IF(GR16&gt;0,GR91/GR16,0)</f>
        <v>1575.81</v>
      </c>
      <c r="GS96" s="59" t="n">
        <f aca="false">IF(GS16&gt;0,GS91/GS16,0)</f>
        <v>1575.81</v>
      </c>
      <c r="GT96" s="59" t="n">
        <f aca="false">IF(GT16&gt;0,GT91/GT16,0)</f>
        <v>1575.81</v>
      </c>
      <c r="GU96" s="59" t="n">
        <f aca="false">IF(GU16&gt;0,GU91/GU16,0)</f>
        <v>1576.45</v>
      </c>
      <c r="GV96" s="59" t="n">
        <f aca="false">IF(GV16&gt;0,GV91/GV16,0)</f>
        <v>1576.45</v>
      </c>
      <c r="GW96" s="59" t="n">
        <f aca="false">IF(GW16&gt;0,GW91/GW16,0)</f>
        <v>1573.95</v>
      </c>
      <c r="GX96" s="59" t="n">
        <f aca="false">IF(GX16&gt;0,GX91/GX16,0)</f>
        <v>1573.95</v>
      </c>
      <c r="GY96" s="59" t="n">
        <f aca="false">IF(GY16&gt;0,GY91/GY16,0)</f>
        <v>1573.45</v>
      </c>
      <c r="GZ96" s="59" t="n">
        <f aca="false">IF(GZ16&gt;0,GZ91/GZ16,0)</f>
        <v>1572.9</v>
      </c>
      <c r="HA96" s="59" t="n">
        <f aca="false">IF(HA16&gt;0,HA91/HA16,0)</f>
        <v>1572.9</v>
      </c>
      <c r="HB96" s="59" t="n">
        <f aca="false">IF(HB16&gt;0,HB91/HB16,0)</f>
        <v>1572.45321428571</v>
      </c>
      <c r="HC96" s="59" t="n">
        <f aca="false">IF(HC16&gt;0,HC91/HC16,0)</f>
        <v>1572.47571428571</v>
      </c>
      <c r="HD96" s="59" t="n">
        <f aca="false">IF(HD16&gt;0,HD91/HD16,0)</f>
        <v>1572.47571428571</v>
      </c>
      <c r="HE96" s="59" t="n">
        <f aca="false">IF(HE16&gt;0,HE91/HE16,0)</f>
        <v>1572.825</v>
      </c>
      <c r="HF96" s="59" t="n">
        <f aca="false">IF(HF16&gt;0,HF91/HF16,0)</f>
        <v>1572.825</v>
      </c>
      <c r="HG96" s="59" t="n">
        <f aca="false">IF(HG16&gt;0,HG91/HG16,0)</f>
        <v>1572.825</v>
      </c>
      <c r="HH96" s="59" t="n">
        <f aca="false">IF(HH16&gt;0,HH91/HH16,0)</f>
        <v>1576.4103960396</v>
      </c>
      <c r="HI96" s="59" t="n">
        <f aca="false">IF(HI16&gt;0,HI91/HI16,0)</f>
        <v>1576.45</v>
      </c>
      <c r="HJ96" s="59" t="n">
        <f aca="false">IF(HJ16&gt;0,HJ91/HJ16,0)</f>
        <v>1573.35</v>
      </c>
      <c r="HK96" s="59" t="n">
        <f aca="false">IF(HK16&gt;0,HK91/HK16,0)</f>
        <v>1572.50357142857</v>
      </c>
      <c r="HL96" s="59" t="n">
        <f aca="false">IF(HL16&gt;0,HL91/HL16,0)</f>
        <v>65808.2222222222</v>
      </c>
      <c r="HM96" s="59" t="n">
        <f aca="false">IF(HM16&gt;0,HM91/HM16,0)</f>
        <v>65812.6226622662</v>
      </c>
      <c r="HN96" s="59" t="n">
        <f aca="false">IF(HN16&gt;0,HN91/HN16,0)</f>
        <v>65816.7150715072</v>
      </c>
      <c r="HO96" s="59" t="n">
        <f aca="false">IF(HO16&gt;0,HO91/HO16,0)</f>
        <v>65816.7150715072</v>
      </c>
      <c r="HP96" s="59" t="n">
        <f aca="false">IF(HP16&gt;0,HP91/HP16,0)</f>
        <v>65828.8</v>
      </c>
      <c r="HQ96" s="59" t="n">
        <f aca="false">IF(HQ16&gt;0,HQ91/HQ16,0)</f>
        <v>65957.9822222222</v>
      </c>
      <c r="HR96" s="59" t="n">
        <f aca="false">IF(HR16&gt;0,HR91/HR16,0)</f>
        <v>65957.9822222222</v>
      </c>
      <c r="HS96" s="59" t="n">
        <f aca="false">IF(HS16&gt;0,HS91/HS16,0)</f>
        <v>65957.9822222222</v>
      </c>
      <c r="HT96" s="59" t="n">
        <f aca="false">IF(HT16&gt;0,HT91/HT16,0)</f>
        <v>66057.8222222222</v>
      </c>
      <c r="HU96" s="59" t="n">
        <f aca="false">IF(HU16&gt;0,HU91/HU16,0)</f>
        <v>65908.0622222222</v>
      </c>
      <c r="HV96" s="59" t="n">
        <f aca="false">IF(HV16&gt;0,HV91/HV16,0)</f>
        <v>66045.7222222222</v>
      </c>
      <c r="HW96" s="59" t="n">
        <f aca="false">IF(HW16&gt;0,HW91/HW16,0)</f>
        <v>65933.2222222222</v>
      </c>
      <c r="HX96" s="59" t="n">
        <f aca="false">IF(HX16&gt;0,HX91/HX16,0)</f>
        <v>66433.2222222222</v>
      </c>
      <c r="HY96" s="59" t="n">
        <f aca="false">IF(HY16&gt;0,HY91/HY16,0)</f>
        <v>66245.7222222222</v>
      </c>
      <c r="HZ96" s="59" t="n">
        <f aca="false">IF(HZ16&gt;0,HZ91/HZ16,0)</f>
        <v>65948.2222222222</v>
      </c>
      <c r="IA96" s="59" t="n">
        <f aca="false">IF(IA16&gt;0,IA91/IA16,0)</f>
        <v>65948.2222222222</v>
      </c>
      <c r="IB96" s="59" t="n">
        <f aca="false">IF(IB16&gt;0,IB91/IB16,0)</f>
        <v>66608.2222222222</v>
      </c>
      <c r="IC96" s="59" t="n">
        <f aca="false">IF(IC16&gt;0,IC91/IC16,0)</f>
        <v>66458.2222222222</v>
      </c>
      <c r="ID96" s="59" t="n">
        <f aca="false">IF(ID16&gt;0,ID91/ID16,0)</f>
        <v>65818.2222222222</v>
      </c>
      <c r="IE96" s="59" t="n">
        <f aca="false">IF(IE16&gt;0,IE91/IE16,0)</f>
        <v>65828.2222222222</v>
      </c>
      <c r="IF96" s="59" t="n">
        <f aca="false">IF(IF16&gt;0,IF91/IF16,0)</f>
        <v>65828.2222222222</v>
      </c>
      <c r="IG96" s="59" t="n">
        <f aca="false">IF(IG16&gt;0,IG91/IG16,0)</f>
        <v>65828.2222222222</v>
      </c>
      <c r="IH96" s="59" t="n">
        <f aca="false">IF(IH16&gt;0,IH91/IH16,0)</f>
        <v>66058.2222222222</v>
      </c>
      <c r="II96" s="59" t="n">
        <f aca="false">IF(II16&gt;0,II91/II16,0)</f>
        <v>66058.2222222222</v>
      </c>
      <c r="IJ96" s="59" t="n">
        <f aca="false">IF(IJ16&gt;0,IJ91/IJ16,0)</f>
        <v>66058.2222222222</v>
      </c>
      <c r="IK96" s="59" t="n">
        <f aca="false">IF(IK16&gt;0,IK91/IK16,0)</f>
        <v>65845.7222222222</v>
      </c>
      <c r="IL96" s="59" t="n">
        <f aca="false">IF(IL16&gt;0,IL91/IL16,0)</f>
        <v>65845.7222222222</v>
      </c>
      <c r="IM96" s="59" t="n">
        <f aca="false">IF(IM16&gt;0,IM91/IM16,0)</f>
        <v>65808.2222222222</v>
      </c>
      <c r="IN96" s="59" t="n">
        <f aca="false">IF(IN16&gt;0,IN91/IN16,0)</f>
        <v>65808.2222222222</v>
      </c>
      <c r="IO96" s="59" t="n">
        <f aca="false">IF(IO16&gt;0,IO91/IO16,0)</f>
        <v>65883.2222222222</v>
      </c>
      <c r="IP96" s="59" t="n">
        <f aca="false">IF(IP16&gt;0,IP91/IP16,0)</f>
        <v>65811.8222222222</v>
      </c>
      <c r="IQ96" s="59" t="n">
        <f aca="false">IF(IQ16&gt;0,IQ91/IQ16,0)</f>
        <v>65811.8222222222</v>
      </c>
      <c r="IR96" s="59" t="n">
        <f aca="false">IF(IR16&gt;0,IR91/IR16,0)</f>
        <v>65808.3555555556</v>
      </c>
      <c r="IS96" s="59" t="n">
        <f aca="false">IF(IS16&gt;0,IS91/IS16,0)</f>
        <v>65812.2222222222</v>
      </c>
      <c r="IT96" s="59" t="n">
        <f aca="false">IF(IT16&gt;0,IT91/IT16,0)</f>
        <v>65812.2222222222</v>
      </c>
      <c r="IU96" s="59" t="n">
        <f aca="false">IF(IU16&gt;0,IU91/IU16,0)</f>
        <v>65823.2222222222</v>
      </c>
      <c r="IV96" s="59" t="n">
        <f aca="false">IF(IV16&gt;0,IV91/IV16,0)</f>
        <v>65823.2222222222</v>
      </c>
      <c r="IW96" s="59" t="n">
        <f aca="false">IF(IW16&gt;0,IW91/IW16,0)</f>
        <v>65823.2222222222</v>
      </c>
      <c r="IX96" s="59" t="n">
        <f aca="false">IF(IX16&gt;0,IX91/IX16,0)</f>
        <v>65907.2321232123</v>
      </c>
      <c r="IY96" s="59" t="n">
        <f aca="false">IF(IY16&gt;0,IY91/IY16,0)</f>
        <v>65908.2222222222</v>
      </c>
      <c r="IZ96" s="59" t="n">
        <f aca="false">IF(IZ16&gt;0,IZ91/IZ16,0)</f>
        <v>65820.2222222222</v>
      </c>
      <c r="JA96" s="59" t="n">
        <f aca="false">IF(JA16&gt;0,JA91/JA16,0)</f>
        <v>65812.6666666667</v>
      </c>
    </row>
    <row r="97" customFormat="false" ht="15" hidden="false" customHeight="false" outlineLevel="0" collapsed="false">
      <c r="A97" s="2" t="s">
        <v>321</v>
      </c>
      <c r="B97" s="13" t="s">
        <v>322</v>
      </c>
      <c r="C97" s="13" t="s">
        <v>179</v>
      </c>
      <c r="D97" s="9" t="s">
        <v>323</v>
      </c>
      <c r="E97" s="59" t="n">
        <f aca="false">IF(E16&gt;0,(E65-E81-E89)/E16,0)</f>
        <v>74.3933063840276</v>
      </c>
      <c r="F97" s="59" t="n">
        <f aca="false">IF(F16&gt;0,(F65-F81-F89)/F16,0)</f>
        <v>1660.5080741231</v>
      </c>
      <c r="G97" s="59" t="n">
        <f aca="false">IF(G16&gt;0,(G65-G81-G89)/G16,0)</f>
        <v>66905.8009950249</v>
      </c>
      <c r="H97" s="59" t="n">
        <f aca="false">IF(H16&gt;0,(H65-H81-H89)/H16,0)</f>
        <v>171.654732634697</v>
      </c>
      <c r="J97" s="59" t="n">
        <f aca="false">IF(J16&gt;0,(J65-J81-J89)/J16,0)</f>
        <v>74.3933063840276</v>
      </c>
      <c r="K97" s="59" t="n">
        <f aca="false">IF(K16&gt;0,(K65-K81-K89)/K16,0)</f>
        <v>74.3723725150679</v>
      </c>
      <c r="L97" s="59" t="n">
        <f aca="false">IF(L16&gt;0,(L65-L81-L89)/L16,0)</f>
        <v>74.3954268726124</v>
      </c>
      <c r="M97" s="59" t="n">
        <f aca="false">IF(M16&gt;0,(M65-M81-M89)/M16,0)</f>
        <v>74.3954268726124</v>
      </c>
      <c r="N97" s="59" t="n">
        <f aca="false">IF(N16&gt;0,(N65-N81-N89)/N16,0)</f>
        <v>74.3950201507612</v>
      </c>
      <c r="O97" s="59" t="n">
        <f aca="false">IF(O16&gt;0,(O65-O81-O89)/O16,0)</f>
        <v>74.6352263840276</v>
      </c>
      <c r="P97" s="59" t="n">
        <f aca="false">IF(P16&gt;0,(P65-P81-P89)/P16,0)</f>
        <v>74.6352263840276</v>
      </c>
      <c r="Q97" s="59" t="n">
        <f aca="false">IF(Q16&gt;0,(Q65-Q81-Q89)/Q16,0)</f>
        <v>74.6352263840276</v>
      </c>
      <c r="R97" s="59" t="n">
        <f aca="false">IF(R16&gt;0,(R65-R81-R89)/R16,0)</f>
        <v>74.6957063840276</v>
      </c>
      <c r="S97" s="59" t="n">
        <f aca="false">IF(S16&gt;0,(S65-S81-S89)/S16,0)</f>
        <v>74.4537863840276</v>
      </c>
      <c r="T97" s="59" t="n">
        <f aca="false">IF(T16&gt;0,(T65-T81-T89)/T16,0)</f>
        <v>74.6653063840276</v>
      </c>
      <c r="U97" s="59" t="n">
        <f aca="false">IF(U16&gt;0,(U65-U81-U89)/U16,0)</f>
        <v>74.6333063840276</v>
      </c>
      <c r="V97" s="59" t="n">
        <f aca="false">IF(V16&gt;0,(V65-V81-V89)/V16,0)</f>
        <v>74.8733063840276</v>
      </c>
      <c r="W97" s="59" t="n">
        <f aca="false">IF(W16&gt;0,(W65-W81-W89)/W16,0)</f>
        <v>74.5853063840276</v>
      </c>
      <c r="X97" s="59" t="n">
        <f aca="false">IF(X16&gt;0,(X65-X81-X89)/X16,0)</f>
        <v>74.5733063840276</v>
      </c>
      <c r="Y97" s="59" t="n">
        <f aca="false">IF(Y16&gt;0,(Y65-Y81-Y89)/Y16,0)</f>
        <v>74.5733063840276</v>
      </c>
      <c r="Z97" s="59" t="n">
        <f aca="false">IF(Z16&gt;0,(Z65-Z81-Z89)/Z16,0)</f>
        <v>74.8733063840276</v>
      </c>
      <c r="AA97" s="59" t="n">
        <f aca="false">IF(AA16&gt;0,(AA65-AA81-AA89)/AA16,0)</f>
        <v>74.6733063840276</v>
      </c>
      <c r="AB97" s="59" t="n">
        <f aca="false">IF(AB16&gt;0,(AB65-AB81-AB89)/AB16,0)</f>
        <v>74.4133063840276</v>
      </c>
      <c r="AC97" s="59" t="n">
        <f aca="false">IF(AC16&gt;0,(AC65-AC81-AC89)/AC16,0)</f>
        <v>74.4683063840276</v>
      </c>
      <c r="AD97" s="59" t="n">
        <f aca="false">IF(AD16&gt;0,(AD65-AD81-AD89)/AD16,0)</f>
        <v>74.4683063840276</v>
      </c>
      <c r="AE97" s="59" t="n">
        <f aca="false">IF(AE16&gt;0,(AE65-AE81-AE89)/AE16,0)</f>
        <v>74.4683063840276</v>
      </c>
      <c r="AF97" s="59" t="n">
        <f aca="false">IF(AF16&gt;0,(AF65-AF81-AF89)/AF16,0)</f>
        <v>74.4173063840276</v>
      </c>
      <c r="AG97" s="59" t="n">
        <f aca="false">IF(AG16&gt;0,(AG65-AG81-AG89)/AG16,0)</f>
        <v>74.4173063840276</v>
      </c>
      <c r="AH97" s="59" t="n">
        <f aca="false">IF(AH16&gt;0,(AH65-AH81-AH89)/AH16,0)</f>
        <v>74.4173063840276</v>
      </c>
      <c r="AI97" s="59" t="n">
        <f aca="false">IF(AI16&gt;0,(AI65-AI81-AI89)/AI16,0)</f>
        <v>74.4093063840276</v>
      </c>
      <c r="AJ97" s="59" t="n">
        <f aca="false">IF(AJ16&gt;0,(AJ65-AJ81-AJ89)/AJ16,0)</f>
        <v>74.4093063840276</v>
      </c>
      <c r="AK97" s="59" t="n">
        <f aca="false">IF(AK16&gt;0,(AK65-AK81-AK89)/AK16,0)</f>
        <v>74.4413063840276</v>
      </c>
      <c r="AL97" s="59" t="n">
        <f aca="false">IF(AL16&gt;0,(AL65-AL81-AL89)/AL16,0)</f>
        <v>74.4413063840276</v>
      </c>
      <c r="AM97" s="59" t="n">
        <f aca="false">IF(AM16&gt;0,(AM65-AM81-AM89)/AM16,0)</f>
        <v>74.4093063840276</v>
      </c>
      <c r="AN97" s="59" t="n">
        <f aca="false">IF(AN16&gt;0,(AN65-AN81-AN89)/AN16,0)</f>
        <v>74.4433063840276</v>
      </c>
      <c r="AO97" s="59" t="n">
        <f aca="false">IF(AO16&gt;0,(AO65-AO81-AO89)/AO16,0)</f>
        <v>74.4433063840276</v>
      </c>
      <c r="AP97" s="59" t="n">
        <f aca="false">IF(AP16&gt;0,(AP65-AP81-AP89)/AP16,0)</f>
        <v>74.4021799359132</v>
      </c>
      <c r="AQ97" s="59" t="n">
        <f aca="false">IF(AQ16&gt;0,(AQ65-AQ81-AQ89)/AQ16,0)</f>
        <v>74.4075040670446</v>
      </c>
      <c r="AR97" s="59" t="n">
        <f aca="false">IF(AR16&gt;0,(AR65-AR81-AR89)/AR16,0)</f>
        <v>74.4075040670446</v>
      </c>
      <c r="AS97" s="59" t="n">
        <f aca="false">IF(AS16&gt;0,(AS65-AS81-AS89)/AS16,0)</f>
        <v>74.4113063840276</v>
      </c>
      <c r="AT97" s="59" t="n">
        <f aca="false">IF(AT16&gt;0,(AT65-AT81-AT89)/AT16,0)</f>
        <v>74.4113063840276</v>
      </c>
      <c r="AU97" s="59" t="n">
        <f aca="false">IF(AU16&gt;0,(AU65-AU81-AU89)/AU16,0)</f>
        <v>74.4113063840276</v>
      </c>
      <c r="AV97" s="59" t="n">
        <f aca="false">IF(AV16&gt;0,(AV65-AV81-AV89)/AV16,0)</f>
        <v>74.3933063840276</v>
      </c>
      <c r="AW97" s="59" t="n">
        <f aca="false">IF(AW16&gt;0,(AW65-AW81-AW89)/AW16,0)</f>
        <v>74.3933063840276</v>
      </c>
      <c r="AX97" s="59" t="n">
        <f aca="false">IF(AX16&gt;0,(AX65-AX81-AX89)/AX16,0)</f>
        <v>74.3933063840276</v>
      </c>
      <c r="AY97" s="59" t="n">
        <f aca="false">IF(AY16&gt;0,(AY65-AY81-AY89)/AY16,0)</f>
        <v>74.3992220852847</v>
      </c>
      <c r="AZ97" s="59" t="n">
        <f aca="false">IF(AZ16&gt;0,(AZ65-AZ81-AZ89)/AZ16,0)</f>
        <v>1660.5080741231</v>
      </c>
      <c r="BA97" s="59" t="n">
        <f aca="false">IF(BA16&gt;0,(BA65-BA81-BA89)/BA16,0)</f>
        <v>1660.47612532748</v>
      </c>
      <c r="BB97" s="59" t="n">
        <f aca="false">IF(BB16&gt;0,(BB65-BB81-BB89)/BB16,0)</f>
        <v>1660.51185000926</v>
      </c>
      <c r="BC97" s="59" t="n">
        <f aca="false">IF(BC16&gt;0,(BC65-BC81-BC89)/BC16,0)</f>
        <v>1660.51185000926</v>
      </c>
      <c r="BD97" s="59" t="n">
        <f aca="false">IF(BD16&gt;0,(BD65-BD81-BD89)/BD16,0)</f>
        <v>1660.51110853816</v>
      </c>
      <c r="BE97" s="59" t="n">
        <f aca="false">IF(BE16&gt;0,(BE65-BE81-BE89)/BE16,0)</f>
        <v>1663.2800741231</v>
      </c>
      <c r="BF97" s="59" t="n">
        <f aca="false">IF(BF16&gt;0,(BF65-BF81-BF89)/BF16,0)</f>
        <v>1663.2800741231</v>
      </c>
      <c r="BG97" s="59" t="n">
        <f aca="false">IF(BG16&gt;0,(BG65-BG81-BG89)/BG16,0)</f>
        <v>1663.2800741231</v>
      </c>
      <c r="BH97" s="59" t="n">
        <f aca="false">IF(BH16&gt;0,(BH65-BH81-BH89)/BH16,0)</f>
        <v>1663.9730741231</v>
      </c>
      <c r="BI97" s="59" t="n">
        <f aca="false">IF(BI16&gt;0,(BI65-BI81-BI89)/BI16,0)</f>
        <v>1661.2010741231</v>
      </c>
      <c r="BJ97" s="59" t="n">
        <f aca="false">IF(BJ16&gt;0,(BJ65-BJ81-BJ89)/BJ16,0)</f>
        <v>1668.7080741231</v>
      </c>
      <c r="BK97" s="59" t="n">
        <f aca="false">IF(BK16&gt;0,(BK65-BK81-BK89)/BK16,0)</f>
        <v>1663.7080741231</v>
      </c>
      <c r="BL97" s="59" t="n">
        <f aca="false">IF(BL16&gt;0,(BL65-BL81-BL89)/BL16,0)</f>
        <v>1668.5080741231</v>
      </c>
      <c r="BM97" s="59" t="n">
        <f aca="false">IF(BM16&gt;0,(BM65-BM81-BM89)/BM16,0)</f>
        <v>1664.5080741231</v>
      </c>
      <c r="BN97" s="59" t="n">
        <f aca="false">IF(BN16&gt;0,(BN65-BN81-BN89)/BN16,0)</f>
        <v>1664.7080741231</v>
      </c>
      <c r="BO97" s="59" t="n">
        <f aca="false">IF(BO16&gt;0,(BO65-BO81-BO89)/BO16,0)</f>
        <v>1664.7080741231</v>
      </c>
      <c r="BP97" s="59" t="n">
        <f aca="false">IF(BP16&gt;0,(BP65-BP81-BP89)/BP16,0)</f>
        <v>1675.5080741231</v>
      </c>
      <c r="BQ97" s="59" t="n">
        <f aca="false">IF(BQ16&gt;0,(BQ65-BQ81-BQ89)/BQ16,0)</f>
        <v>1671.0080741231</v>
      </c>
      <c r="BR97" s="59" t="n">
        <f aca="false">IF(BR16&gt;0,(BR65-BR81-BR89)/BR16,0)</f>
        <v>1660.8080741231</v>
      </c>
      <c r="BS97" s="59" t="n">
        <f aca="false">IF(BS16&gt;0,(BS65-BS81-BS89)/BS16,0)</f>
        <v>1662.0080741231</v>
      </c>
      <c r="BT97" s="59" t="n">
        <f aca="false">IF(BT16&gt;0,(BT65-BT81-BT89)/BT16,0)</f>
        <v>1662.0080741231</v>
      </c>
      <c r="BU97" s="59" t="n">
        <f aca="false">IF(BU16&gt;0,(BU65-BU81-BU89)/BU16,0)</f>
        <v>1662.0080741231</v>
      </c>
      <c r="BV97" s="59" t="n">
        <f aca="false">IF(BV16&gt;0,(BV65-BV81-BV89)/BV16,0)</f>
        <v>1663.8680741231</v>
      </c>
      <c r="BW97" s="59" t="n">
        <f aca="false">IF(BW16&gt;0,(BW65-BW81-BW89)/BW16,0)</f>
        <v>1663.8680741231</v>
      </c>
      <c r="BX97" s="59" t="n">
        <f aca="false">IF(BX16&gt;0,(BX65-BX81-BX89)/BX16,0)</f>
        <v>1663.8680741231</v>
      </c>
      <c r="BY97" s="59" t="n">
        <f aca="false">IF(BY16&gt;0,(BY65-BY81-BY89)/BY16,0)</f>
        <v>1664.5080741231</v>
      </c>
      <c r="BZ97" s="59" t="n">
        <f aca="false">IF(BZ16&gt;0,(BZ65-BZ81-BZ89)/BZ16,0)</f>
        <v>1664.5080741231</v>
      </c>
      <c r="CA97" s="59" t="n">
        <f aca="false">IF(CA16&gt;0,(CA65-CA81-CA89)/CA16,0)</f>
        <v>1662.0080741231</v>
      </c>
      <c r="CB97" s="59" t="n">
        <f aca="false">IF(CB16&gt;0,(CB65-CB81-CB89)/CB16,0)</f>
        <v>1662.0080741231</v>
      </c>
      <c r="CC97" s="59" t="n">
        <f aca="false">IF(CC16&gt;0,(CC65-CC81-CC89)/CC16,0)</f>
        <v>1661.5080741231</v>
      </c>
      <c r="CD97" s="59" t="n">
        <f aca="false">IF(CD16&gt;0,(CD65-CD81-CD89)/CD16,0)</f>
        <v>1660.9580741231</v>
      </c>
      <c r="CE97" s="59" t="n">
        <f aca="false">IF(CE16&gt;0,(CE65-CE81-CE89)/CE16,0)</f>
        <v>1660.9580741231</v>
      </c>
      <c r="CF97" s="59" t="n">
        <f aca="false">IF(CF16&gt;0,(CF65-CF81-CF89)/CF16,0)</f>
        <v>1660.51204500331</v>
      </c>
      <c r="CG97" s="59" t="n">
        <f aca="false">IF(CG16&gt;0,(CG65-CG81-CG89)/CG16,0)</f>
        <v>1660.53984116479</v>
      </c>
      <c r="CH97" s="59" t="n">
        <f aca="false">IF(CH16&gt;0,(CH65-CH81-CH89)/CH16,0)</f>
        <v>1660.53984116479</v>
      </c>
      <c r="CI97" s="59" t="n">
        <f aca="false">IF(CI16&gt;0,(CI65-CI81-CI89)/CI16,0)</f>
        <v>1660.8830741231</v>
      </c>
      <c r="CJ97" s="59" t="n">
        <f aca="false">IF(CJ16&gt;0,(CJ65-CJ81-CJ89)/CJ16,0)</f>
        <v>1660.8830741231</v>
      </c>
      <c r="CK97" s="59" t="n">
        <f aca="false">IF(CK16&gt;0,(CK65-CK81-CK89)/CK16,0)</f>
        <v>1660.8830741231</v>
      </c>
      <c r="CL97" s="59" t="n">
        <f aca="false">IF(CL16&gt;0,(CL65-CL81-CL89)/CL16,0)</f>
        <v>1664.4684701627</v>
      </c>
      <c r="CM97" s="59" t="n">
        <f aca="false">IF(CM16&gt;0,(CM65-CM81-CM89)/CM16,0)</f>
        <v>1664.5080741231</v>
      </c>
      <c r="CN97" s="59" t="n">
        <f aca="false">IF(CN16&gt;0,(CN65-CN81-CN89)/CN16,0)</f>
        <v>1660.5080741231</v>
      </c>
      <c r="CO97" s="59" t="n">
        <f aca="false">IF(CO16&gt;0,(CO65-CO81-CO89)/CO16,0)</f>
        <v>1660.57425545996</v>
      </c>
      <c r="CP97" s="59" t="n">
        <f aca="false">IF(CP16&gt;0,(CP65-CP81-CP89)/CP16,0)</f>
        <v>66905.8009950249</v>
      </c>
      <c r="CQ97" s="59" t="n">
        <f aca="false">IF(CQ16&gt;0,(CQ65-CQ81-CQ89)/CQ16,0)</f>
        <v>66901.6059475857</v>
      </c>
      <c r="CR97" s="59" t="n">
        <f aca="false">IF(CR16&gt;0,(CR65-CR81-CR89)/CR16,0)</f>
        <v>66906.2307424536</v>
      </c>
      <c r="CS97" s="59" t="n">
        <f aca="false">IF(CS16&gt;0,(CS65-CS81-CS89)/CS16,0)</f>
        <v>66906.2307424536</v>
      </c>
      <c r="CT97" s="59" t="n">
        <f aca="false">IF(CT16&gt;0,(CT65-CT81-CT89)/CT16,0)</f>
        <v>66906.1830117366</v>
      </c>
      <c r="CU97" s="59" t="n">
        <f aca="false">IF(CU16&gt;0,(CU65-CU81-CU89)/CU16,0)</f>
        <v>67055.5609950249</v>
      </c>
      <c r="CV97" s="59" t="n">
        <f aca="false">IF(CV16&gt;0,(CV65-CV81-CV89)/CV16,0)</f>
        <v>67055.5609950249</v>
      </c>
      <c r="CW97" s="59" t="n">
        <f aca="false">IF(CW16&gt;0,(CW65-CW81-CW89)/CW16,0)</f>
        <v>67055.5609950249</v>
      </c>
      <c r="CX97" s="59" t="n">
        <f aca="false">IF(CX16&gt;0,(CX65-CX81-CX89)/CX16,0)</f>
        <v>67155.4009950249</v>
      </c>
      <c r="CY97" s="59" t="n">
        <f aca="false">IF(CY16&gt;0,(CY65-CY81-CY89)/CY16,0)</f>
        <v>67005.6409950249</v>
      </c>
      <c r="CZ97" s="59" t="n">
        <f aca="false">IF(CZ16&gt;0,(CZ65-CZ81-CZ89)/CZ16,0)</f>
        <v>67143.3009950249</v>
      </c>
      <c r="DA97" s="59" t="n">
        <f aca="false">IF(DA16&gt;0,(DA65-DA81-DA89)/DA16,0)</f>
        <v>67030.8009950249</v>
      </c>
      <c r="DB97" s="59" t="n">
        <f aca="false">IF(DB16&gt;0,(DB65-DB81-DB89)/DB16,0)</f>
        <v>67530.8009950249</v>
      </c>
      <c r="DC97" s="59" t="n">
        <f aca="false">IF(DC16&gt;0,(DC65-DC81-DC89)/DC16,0)</f>
        <v>67343.3009950249</v>
      </c>
      <c r="DD97" s="59" t="n">
        <f aca="false">IF(DD16&gt;0,(DD65-DD81-DD89)/DD16,0)</f>
        <v>67045.8009950249</v>
      </c>
      <c r="DE97" s="59" t="n">
        <f aca="false">IF(DE16&gt;0,(DE65-DE81-DE89)/DE16,0)</f>
        <v>67045.8009950249</v>
      </c>
      <c r="DF97" s="59" t="n">
        <f aca="false">IF(DF16&gt;0,(DF65-DF81-DF89)/DF16,0)</f>
        <v>67705.8009950249</v>
      </c>
      <c r="DG97" s="59" t="n">
        <f aca="false">IF(DG16&gt;0,(DG65-DG81-DG89)/DG16,0)</f>
        <v>67555.8009950249</v>
      </c>
      <c r="DH97" s="59" t="n">
        <f aca="false">IF(DH16&gt;0,(DH65-DH81-DH89)/DH16,0)</f>
        <v>66915.8009950249</v>
      </c>
      <c r="DI97" s="59" t="n">
        <f aca="false">IF(DI16&gt;0,(DI65-DI81-DI89)/DI16,0)</f>
        <v>66925.8009950249</v>
      </c>
      <c r="DJ97" s="59" t="n">
        <f aca="false">IF(DJ16&gt;0,(DJ65-DJ81-DJ89)/DJ16,0)</f>
        <v>66925.8009950249</v>
      </c>
      <c r="DK97" s="59" t="n">
        <f aca="false">IF(DK16&gt;0,(DK65-DK81-DK89)/DK16,0)</f>
        <v>66925.8009950249</v>
      </c>
      <c r="DL97" s="59" t="n">
        <f aca="false">IF(DL16&gt;0,(DL65-DL81-DL89)/DL16,0)</f>
        <v>67155.8009950249</v>
      </c>
      <c r="DM97" s="59" t="n">
        <f aca="false">IF(DM16&gt;0,(DM65-DM81-DM89)/DM16,0)</f>
        <v>67155.8009950249</v>
      </c>
      <c r="DN97" s="59" t="n">
        <f aca="false">IF(DN16&gt;0,(DN65-DN81-DN89)/DN16,0)</f>
        <v>67155.8009950249</v>
      </c>
      <c r="DO97" s="59" t="n">
        <f aca="false">IF(DO16&gt;0,(DO65-DO81-DO89)/DO16,0)</f>
        <v>66943.3009950249</v>
      </c>
      <c r="DP97" s="59" t="n">
        <f aca="false">IF(DP16&gt;0,(DP65-DP81-DP89)/DP16,0)</f>
        <v>66943.3009950249</v>
      </c>
      <c r="DQ97" s="59" t="n">
        <f aca="false">IF(DQ16&gt;0,(DQ65-DQ81-DQ89)/DQ16,0)</f>
        <v>66905.8009950249</v>
      </c>
      <c r="DR97" s="59" t="n">
        <f aca="false">IF(DR16&gt;0,(DR65-DR81-DR89)/DR16,0)</f>
        <v>66905.8009950249</v>
      </c>
      <c r="DS97" s="59" t="n">
        <f aca="false">IF(DS16&gt;0,(DS65-DS81-DS89)/DS16,0)</f>
        <v>66980.8009950249</v>
      </c>
      <c r="DT97" s="59" t="n">
        <f aca="false">IF(DT16&gt;0,(DT65-DT81-DT89)/DT16,0)</f>
        <v>66909.4009950249</v>
      </c>
      <c r="DU97" s="59" t="n">
        <f aca="false">IF(DU16&gt;0,(DU65-DU81-DU89)/DU16,0)</f>
        <v>66909.4009950249</v>
      </c>
      <c r="DV97" s="59" t="n">
        <f aca="false">IF(DV16&gt;0,(DV65-DV81-DV89)/DV16,0)</f>
        <v>66905.9502487562</v>
      </c>
      <c r="DW97" s="59" t="n">
        <f aca="false">IF(DW16&gt;0,(DW65-DW81-DW89)/DW16,0)</f>
        <v>66910.2786069652</v>
      </c>
      <c r="DX97" s="59" t="n">
        <f aca="false">IF(DX16&gt;0,(DX65-DX81-DX89)/DX16,0)</f>
        <v>66910.2786069652</v>
      </c>
      <c r="DY97" s="59" t="n">
        <f aca="false">IF(DY16&gt;0,(DY65-DY81-DY89)/DY16,0)</f>
        <v>66920.8009950249</v>
      </c>
      <c r="DZ97" s="59" t="n">
        <f aca="false">IF(DZ16&gt;0,(DZ65-DZ81-DZ89)/DZ16,0)</f>
        <v>66920.8009950249</v>
      </c>
      <c r="EA97" s="59" t="n">
        <f aca="false">IF(EA16&gt;0,(EA65-EA81-EA89)/EA16,0)</f>
        <v>66920.8009950249</v>
      </c>
      <c r="EB97" s="59" t="n">
        <f aca="false">IF(EB16&gt;0,(EB65-EB81-EB89)/EB16,0)</f>
        <v>67004.810896015</v>
      </c>
      <c r="EC97" s="59" t="n">
        <f aca="false">IF(EC16&gt;0,(EC65-EC81-EC89)/EC16,0)</f>
        <v>67005.8009950249</v>
      </c>
      <c r="ED97" s="59" t="n">
        <f aca="false">IF(ED16&gt;0,(ED65-ED81-ED89)/ED16,0)</f>
        <v>66905.8009950249</v>
      </c>
      <c r="EE97" s="59" t="n">
        <f aca="false">IF(EE16&gt;0,(EE65-EE81-EE89)/EE16,0)</f>
        <v>66910.776119403</v>
      </c>
      <c r="EF97" s="59" t="n">
        <f aca="false">IF(EF16&gt;0,(EF65-EF81-EF89)/EF16,0)</f>
        <v>74.9162424242424</v>
      </c>
      <c r="EG97" s="59" t="n">
        <f aca="false">IF(EG16&gt;0,(EG65-EG81-EG89)/EG16,0)</f>
        <v>74.9210429042904</v>
      </c>
      <c r="EH97" s="59" t="n">
        <f aca="false">IF(EH16&gt;0,(EH65-EH81-EH89)/EH16,0)</f>
        <v>74.9397647764777</v>
      </c>
      <c r="EI97" s="59" t="n">
        <f aca="false">IF(EI16&gt;0,(EI65-EI81-EI89)/EI16,0)</f>
        <v>74.9397647764777</v>
      </c>
      <c r="EJ97" s="59" t="n">
        <f aca="false">IF(EJ16&gt;0,(EJ65-EJ81-EJ89)/EJ16,0)</f>
        <v>74.94</v>
      </c>
      <c r="EK97" s="59" t="n">
        <f aca="false">IF(EK16&gt;0,(EK65-EK81-EK89)/EK16,0)</f>
        <v>75.1581624242424</v>
      </c>
      <c r="EL97" s="59" t="n">
        <f aca="false">IF(EL16&gt;0,(EL65-EL81-EL89)/EL16,0)</f>
        <v>75.1581624242424</v>
      </c>
      <c r="EM97" s="59" t="n">
        <f aca="false">IF(EM16&gt;0,(EM65-EM81-EM89)/EM16,0)</f>
        <v>75.1581624242424</v>
      </c>
      <c r="EN97" s="59" t="n">
        <f aca="false">IF(EN16&gt;0,(EN65-EN81-EN89)/EN16,0)</f>
        <v>75.2186424242424</v>
      </c>
      <c r="EO97" s="59" t="n">
        <f aca="false">IF(EO16&gt;0,(EO65-EO81-EO89)/EO16,0)</f>
        <v>74.9767224242424</v>
      </c>
      <c r="EP97" s="59" t="n">
        <f aca="false">IF(EP16&gt;0,(EP65-EP81-EP89)/EP16,0)</f>
        <v>75.1882424242424</v>
      </c>
      <c r="EQ97" s="59" t="n">
        <f aca="false">IF(EQ16&gt;0,(EQ65-EQ81-EQ89)/EQ16,0)</f>
        <v>75.1562424242424</v>
      </c>
      <c r="ER97" s="59" t="n">
        <f aca="false">IF(ER16&gt;0,(ER65-ER81-ER89)/ER16,0)</f>
        <v>75.3962424242424</v>
      </c>
      <c r="ES97" s="59" t="n">
        <f aca="false">IF(ES16&gt;0,(ES65-ES81-ES89)/ES16,0)</f>
        <v>75.1082424242424</v>
      </c>
      <c r="ET97" s="59" t="n">
        <f aca="false">IF(ET16&gt;0,(ET65-ET81-ET89)/ET16,0)</f>
        <v>75.0962424242424</v>
      </c>
      <c r="EU97" s="59" t="n">
        <f aca="false">IF(EU16&gt;0,(EU65-EU81-EU89)/EU16,0)</f>
        <v>75.0962424242424</v>
      </c>
      <c r="EV97" s="59" t="n">
        <f aca="false">IF(EV16&gt;0,(EV65-EV81-EV89)/EV16,0)</f>
        <v>75.3962424242424</v>
      </c>
      <c r="EW97" s="59" t="n">
        <f aca="false">IF(EW16&gt;0,(EW65-EW81-EW89)/EW16,0)</f>
        <v>75.1962424242424</v>
      </c>
      <c r="EX97" s="59" t="n">
        <f aca="false">IF(EX16&gt;0,(EX65-EX81-EX89)/EX16,0)</f>
        <v>74.9362424242424</v>
      </c>
      <c r="EY97" s="59" t="n">
        <f aca="false">IF(EY16&gt;0,(EY65-EY81-EY89)/EY16,0)</f>
        <v>74.9912424242424</v>
      </c>
      <c r="EZ97" s="59" t="n">
        <f aca="false">IF(EZ16&gt;0,(EZ65-EZ81-EZ89)/EZ16,0)</f>
        <v>74.9912424242424</v>
      </c>
      <c r="FA97" s="59" t="n">
        <f aca="false">IF(FA16&gt;0,(FA65-FA81-FA89)/FA16,0)</f>
        <v>74.9912424242424</v>
      </c>
      <c r="FB97" s="59" t="n">
        <f aca="false">IF(FB16&gt;0,(FB65-FB81-FB89)/FB16,0)</f>
        <v>74.9402424242424</v>
      </c>
      <c r="FC97" s="59" t="n">
        <f aca="false">IF(FC16&gt;0,(FC65-FC81-FC89)/FC16,0)</f>
        <v>74.9402424242424</v>
      </c>
      <c r="FD97" s="59" t="n">
        <f aca="false">IF(FD16&gt;0,(FD65-FD81-FD89)/FD16,0)</f>
        <v>74.9402424242424</v>
      </c>
      <c r="FE97" s="59" t="n">
        <f aca="false">IF(FE16&gt;0,(FE65-FE81-FE89)/FE16,0)</f>
        <v>74.9322424242424</v>
      </c>
      <c r="FF97" s="59" t="n">
        <f aca="false">IF(FF16&gt;0,(FF65-FF81-FF89)/FF16,0)</f>
        <v>74.9322424242424</v>
      </c>
      <c r="FG97" s="59" t="n">
        <f aca="false">IF(FG16&gt;0,(FG65-FG81-FG89)/FG16,0)</f>
        <v>74.9642424242424</v>
      </c>
      <c r="FH97" s="59" t="n">
        <f aca="false">IF(FH16&gt;0,(FH65-FH81-FH89)/FH16,0)</f>
        <v>74.9642424242424</v>
      </c>
      <c r="FI97" s="59" t="n">
        <f aca="false">IF(FI16&gt;0,(FI65-FI81-FI89)/FI16,0)</f>
        <v>74.9322424242424</v>
      </c>
      <c r="FJ97" s="59" t="n">
        <f aca="false">IF(FJ16&gt;0,(FJ65-FJ81-FJ89)/FJ16,0)</f>
        <v>74.9662424242424</v>
      </c>
      <c r="FK97" s="59" t="n">
        <f aca="false">IF(FK16&gt;0,(FK65-FK81-FK89)/FK16,0)</f>
        <v>74.9662424242424</v>
      </c>
      <c r="FL97" s="59" t="n">
        <f aca="false">IF(FL16&gt;0,(FL65-FL81-FL89)/FL16,0)</f>
        <v>74.9235151515152</v>
      </c>
      <c r="FM97" s="59" t="n">
        <f aca="false">IF(FM16&gt;0,(FM65-FM81-FM89)/FM16,0)</f>
        <v>74.9278787878788</v>
      </c>
      <c r="FN97" s="59" t="n">
        <f aca="false">IF(FN16&gt;0,(FN65-FN81-FN89)/FN16,0)</f>
        <v>74.9278787878788</v>
      </c>
      <c r="FO97" s="59" t="n">
        <f aca="false">IF(FO16&gt;0,(FO65-FO81-FO89)/FO16,0)</f>
        <v>74.9342424242424</v>
      </c>
      <c r="FP97" s="59" t="n">
        <f aca="false">IF(FP16&gt;0,(FP65-FP81-FP89)/FP16,0)</f>
        <v>74.9342424242424</v>
      </c>
      <c r="FQ97" s="59" t="n">
        <f aca="false">IF(FQ16&gt;0,(FQ65-FQ81-FQ89)/FQ16,0)</f>
        <v>74.9342424242424</v>
      </c>
      <c r="FR97" s="59" t="n">
        <f aca="false">IF(FR16&gt;0,(FR65-FR81-FR89)/FR16,0)</f>
        <v>74.9162424242424</v>
      </c>
      <c r="FS97" s="59" t="n">
        <f aca="false">IF(FS16&gt;0,(FS65-FS81-FS89)/FS16,0)</f>
        <v>74.9162424242424</v>
      </c>
      <c r="FT97" s="59" t="n">
        <f aca="false">IF(FT16&gt;0,(FT65-FT81-FT89)/FT16,0)</f>
        <v>74.9162424242424</v>
      </c>
      <c r="FU97" s="59" t="n">
        <f aca="false">IF(FU16&gt;0,(FU65-FU81-FU89)/FU16,0)</f>
        <v>74.9210909090909</v>
      </c>
      <c r="FV97" s="59" t="n">
        <f aca="false">IF(FV16&gt;0,(FV65-FV81-FV89)/FV16,0)</f>
        <v>1662.45</v>
      </c>
      <c r="FW97" s="59" t="n">
        <f aca="false">IF(FW16&gt;0,(FW65-FW81-FW89)/FW16,0)</f>
        <v>1662.50304101839</v>
      </c>
      <c r="FX97" s="59" t="n">
        <f aca="false">IF(FX16&gt;0,(FX65-FX81-FX89)/FX16,0)</f>
        <v>1662.53168316832</v>
      </c>
      <c r="FY97" s="59" t="n">
        <f aca="false">IF(FY16&gt;0,(FY65-FY81-FY89)/FY16,0)</f>
        <v>1662.53168316832</v>
      </c>
      <c r="FZ97" s="59" t="n">
        <f aca="false">IF(FZ16&gt;0,(FZ65-FZ81-FZ89)/FZ16,0)</f>
        <v>1662.5325</v>
      </c>
      <c r="GA97" s="59" t="n">
        <f aca="false">IF(GA16&gt;0,(GA65-GA81-GA89)/GA16,0)</f>
        <v>1665.222</v>
      </c>
      <c r="GB97" s="59" t="n">
        <f aca="false">IF(GB16&gt;0,(GB65-GB81-GB89)/GB16,0)</f>
        <v>1665.222</v>
      </c>
      <c r="GC97" s="59" t="n">
        <f aca="false">IF(GC16&gt;0,(GC65-GC81-GC89)/GC16,0)</f>
        <v>1665.222</v>
      </c>
      <c r="GD97" s="59" t="n">
        <f aca="false">IF(GD16&gt;0,(GD65-GD81-GD89)/GD16,0)</f>
        <v>1665.915</v>
      </c>
      <c r="GE97" s="59" t="n">
        <f aca="false">IF(GE16&gt;0,(GE65-GE81-GE89)/GE16,0)</f>
        <v>1663.143</v>
      </c>
      <c r="GF97" s="59" t="n">
        <f aca="false">IF(GF16&gt;0,(GF65-GF81-GF89)/GF16,0)</f>
        <v>1670.65</v>
      </c>
      <c r="GG97" s="59" t="n">
        <f aca="false">IF(GG16&gt;0,(GG65-GG81-GG89)/GG16,0)</f>
        <v>1665.65</v>
      </c>
      <c r="GH97" s="59" t="n">
        <f aca="false">IF(GH16&gt;0,(GH65-GH81-GH89)/GH16,0)</f>
        <v>1670.45</v>
      </c>
      <c r="GI97" s="59" t="n">
        <f aca="false">IF(GI16&gt;0,(GI65-GI81-GI89)/GI16,0)</f>
        <v>1666.45</v>
      </c>
      <c r="GJ97" s="59" t="n">
        <f aca="false">IF(GJ16&gt;0,(GJ65-GJ81-GJ89)/GJ16,0)</f>
        <v>1666.65</v>
      </c>
      <c r="GK97" s="59" t="n">
        <f aca="false">IF(GK16&gt;0,(GK65-GK81-GK89)/GK16,0)</f>
        <v>1666.65</v>
      </c>
      <c r="GL97" s="59" t="n">
        <f aca="false">IF(GL16&gt;0,(GL65-GL81-GL89)/GL16,0)</f>
        <v>1677.45</v>
      </c>
      <c r="GM97" s="59" t="n">
        <f aca="false">IF(GM16&gt;0,(GM65-GM81-GM89)/GM16,0)</f>
        <v>1672.95</v>
      </c>
      <c r="GN97" s="59" t="n">
        <f aca="false">IF(GN16&gt;0,(GN65-GN81-GN89)/GN16,0)</f>
        <v>1662.75</v>
      </c>
      <c r="GO97" s="59" t="n">
        <f aca="false">IF(GO16&gt;0,(GO65-GO81-GO89)/GO16,0)</f>
        <v>1663.95</v>
      </c>
      <c r="GP97" s="59" t="n">
        <f aca="false">IF(GP16&gt;0,(GP65-GP81-GP89)/GP16,0)</f>
        <v>1663.95</v>
      </c>
      <c r="GQ97" s="59" t="n">
        <f aca="false">IF(GQ16&gt;0,(GQ65-GQ81-GQ89)/GQ16,0)</f>
        <v>1663.95</v>
      </c>
      <c r="GR97" s="59" t="n">
        <f aca="false">IF(GR16&gt;0,(GR65-GR81-GR89)/GR16,0)</f>
        <v>1665.81</v>
      </c>
      <c r="GS97" s="59" t="n">
        <f aca="false">IF(GS16&gt;0,(GS65-GS81-GS89)/GS16,0)</f>
        <v>1665.81</v>
      </c>
      <c r="GT97" s="59" t="n">
        <f aca="false">IF(GT16&gt;0,(GT65-GT81-GT89)/GT16,0)</f>
        <v>1665.81</v>
      </c>
      <c r="GU97" s="59" t="n">
        <f aca="false">IF(GU16&gt;0,(GU65-GU81-GU89)/GU16,0)</f>
        <v>1666.45</v>
      </c>
      <c r="GV97" s="59" t="n">
        <f aca="false">IF(GV16&gt;0,(GV65-GV81-GV89)/GV16,0)</f>
        <v>1666.45</v>
      </c>
      <c r="GW97" s="59" t="n">
        <f aca="false">IF(GW16&gt;0,(GW65-GW81-GW89)/GW16,0)</f>
        <v>1663.95</v>
      </c>
      <c r="GX97" s="59" t="n">
        <f aca="false">IF(GX16&gt;0,(GX65-GX81-GX89)/GX16,0)</f>
        <v>1663.95</v>
      </c>
      <c r="GY97" s="59" t="n">
        <f aca="false">IF(GY16&gt;0,(GY65-GY81-GY89)/GY16,0)</f>
        <v>1663.45</v>
      </c>
      <c r="GZ97" s="59" t="n">
        <f aca="false">IF(GZ16&gt;0,(GZ65-GZ81-GZ89)/GZ16,0)</f>
        <v>1662.9</v>
      </c>
      <c r="HA97" s="59" t="n">
        <f aca="false">IF(HA16&gt;0,(HA65-HA81-HA89)/HA16,0)</f>
        <v>1662.9</v>
      </c>
      <c r="HB97" s="59" t="n">
        <f aca="false">IF(HB16&gt;0,(HB65-HB81-HB89)/HB16,0)</f>
        <v>1662.45321428571</v>
      </c>
      <c r="HC97" s="59" t="n">
        <f aca="false">IF(HC16&gt;0,(HC65-HC81-HC89)/HC16,0)</f>
        <v>1662.47571428571</v>
      </c>
      <c r="HD97" s="59" t="n">
        <f aca="false">IF(HD16&gt;0,(HD65-HD81-HD89)/HD16,0)</f>
        <v>1662.47571428571</v>
      </c>
      <c r="HE97" s="59" t="n">
        <f aca="false">IF(HE16&gt;0,(HE65-HE81-HE89)/HE16,0)</f>
        <v>1662.825</v>
      </c>
      <c r="HF97" s="59" t="n">
        <f aca="false">IF(HF16&gt;0,(HF65-HF81-HF89)/HF16,0)</f>
        <v>1662.825</v>
      </c>
      <c r="HG97" s="59" t="n">
        <f aca="false">IF(HG16&gt;0,(HG65-HG81-HG89)/HG16,0)</f>
        <v>1662.825</v>
      </c>
      <c r="HH97" s="59" t="n">
        <f aca="false">IF(HH16&gt;0,(HH65-HH81-HH89)/HH16,0)</f>
        <v>1666.4103960396</v>
      </c>
      <c r="HI97" s="59" t="n">
        <f aca="false">IF(HI16&gt;0,(HI65-HI81-HI89)/HI16,0)</f>
        <v>1666.45</v>
      </c>
      <c r="HJ97" s="59" t="n">
        <f aca="false">IF(HJ16&gt;0,(HJ65-HJ81-HJ89)/HJ16,0)</f>
        <v>1662.45</v>
      </c>
      <c r="HK97" s="59" t="n">
        <f aca="false">IF(HK16&gt;0,(HK65-HK81-HK89)/HK16,0)</f>
        <v>1662.50357142857</v>
      </c>
      <c r="HL97" s="59" t="n">
        <f aca="false">IF(HL16&gt;0,(HL65-HL81-HL89)/HL16,0)</f>
        <v>67008.2222222222</v>
      </c>
      <c r="HM97" s="59" t="n">
        <f aca="false">IF(HM16&gt;0,(HM65-HM81-HM89)/HM16,0)</f>
        <v>67012.6226622662</v>
      </c>
      <c r="HN97" s="59" t="n">
        <f aca="false">IF(HN16&gt;0,(HN65-HN81-HN89)/HN16,0)</f>
        <v>67016.7150715072</v>
      </c>
      <c r="HO97" s="59" t="n">
        <f aca="false">IF(HO16&gt;0,(HO65-HO81-HO89)/HO16,0)</f>
        <v>67016.7150715072</v>
      </c>
      <c r="HP97" s="59" t="n">
        <f aca="false">IF(HP16&gt;0,(HP65-HP81-HP89)/HP16,0)</f>
        <v>67016.8</v>
      </c>
      <c r="HQ97" s="59" t="n">
        <f aca="false">IF(HQ16&gt;0,(HQ65-HQ81-HQ89)/HQ16,0)</f>
        <v>67157.9822222222</v>
      </c>
      <c r="HR97" s="59" t="n">
        <f aca="false">IF(HR16&gt;0,(HR65-HR81-HR89)/HR16,0)</f>
        <v>67157.9822222222</v>
      </c>
      <c r="HS97" s="59" t="n">
        <f aca="false">IF(HS16&gt;0,(HS65-HS81-HS89)/HS16,0)</f>
        <v>67157.9822222222</v>
      </c>
      <c r="HT97" s="59" t="n">
        <f aca="false">IF(HT16&gt;0,(HT65-HT81-HT89)/HT16,0)</f>
        <v>67257.8222222222</v>
      </c>
      <c r="HU97" s="59" t="n">
        <f aca="false">IF(HU16&gt;0,(HU65-HU81-HU89)/HU16,0)</f>
        <v>67108.0622222222</v>
      </c>
      <c r="HV97" s="59" t="n">
        <f aca="false">IF(HV16&gt;0,(HV65-HV81-HV89)/HV16,0)</f>
        <v>67245.7222222222</v>
      </c>
      <c r="HW97" s="59" t="n">
        <f aca="false">IF(HW16&gt;0,(HW65-HW81-HW89)/HW16,0)</f>
        <v>67133.2222222222</v>
      </c>
      <c r="HX97" s="59" t="n">
        <f aca="false">IF(HX16&gt;0,(HX65-HX81-HX89)/HX16,0)</f>
        <v>67633.2222222222</v>
      </c>
      <c r="HY97" s="59" t="n">
        <f aca="false">IF(HY16&gt;0,(HY65-HY81-HY89)/HY16,0)</f>
        <v>67445.7222222222</v>
      </c>
      <c r="HZ97" s="59" t="n">
        <f aca="false">IF(HZ16&gt;0,(HZ65-HZ81-HZ89)/HZ16,0)</f>
        <v>67148.2222222222</v>
      </c>
      <c r="IA97" s="59" t="n">
        <f aca="false">IF(IA16&gt;0,(IA65-IA81-IA89)/IA16,0)</f>
        <v>67148.2222222222</v>
      </c>
      <c r="IB97" s="59" t="n">
        <f aca="false">IF(IB16&gt;0,(IB65-IB81-IB89)/IB16,0)</f>
        <v>67808.2222222222</v>
      </c>
      <c r="IC97" s="59" t="n">
        <f aca="false">IF(IC16&gt;0,(IC65-IC81-IC89)/IC16,0)</f>
        <v>67658.2222222222</v>
      </c>
      <c r="ID97" s="59" t="n">
        <f aca="false">IF(ID16&gt;0,(ID65-ID81-ID89)/ID16,0)</f>
        <v>67018.2222222222</v>
      </c>
      <c r="IE97" s="59" t="n">
        <f aca="false">IF(IE16&gt;0,(IE65-IE81-IE89)/IE16,0)</f>
        <v>67028.2222222222</v>
      </c>
      <c r="IF97" s="59" t="n">
        <f aca="false">IF(IF16&gt;0,(IF65-IF81-IF89)/IF16,0)</f>
        <v>67028.2222222222</v>
      </c>
      <c r="IG97" s="59" t="n">
        <f aca="false">IF(IG16&gt;0,(IG65-IG81-IG89)/IG16,0)</f>
        <v>67028.2222222222</v>
      </c>
      <c r="IH97" s="59" t="n">
        <f aca="false">IF(IH16&gt;0,(IH65-IH81-IH89)/IH16,0)</f>
        <v>67258.2222222222</v>
      </c>
      <c r="II97" s="59" t="n">
        <f aca="false">IF(II16&gt;0,(II65-II81-II89)/II16,0)</f>
        <v>67258.2222222222</v>
      </c>
      <c r="IJ97" s="59" t="n">
        <f aca="false">IF(IJ16&gt;0,(IJ65-IJ81-IJ89)/IJ16,0)</f>
        <v>67258.2222222222</v>
      </c>
      <c r="IK97" s="59" t="n">
        <f aca="false">IF(IK16&gt;0,(IK65-IK81-IK89)/IK16,0)</f>
        <v>67045.7222222222</v>
      </c>
      <c r="IL97" s="59" t="n">
        <f aca="false">IF(IL16&gt;0,(IL65-IL81-IL89)/IL16,0)</f>
        <v>67045.7222222222</v>
      </c>
      <c r="IM97" s="59" t="n">
        <f aca="false">IF(IM16&gt;0,(IM65-IM81-IM89)/IM16,0)</f>
        <v>67008.2222222222</v>
      </c>
      <c r="IN97" s="59" t="n">
        <f aca="false">IF(IN16&gt;0,(IN65-IN81-IN89)/IN16,0)</f>
        <v>67008.2222222222</v>
      </c>
      <c r="IO97" s="59" t="n">
        <f aca="false">IF(IO16&gt;0,(IO65-IO81-IO89)/IO16,0)</f>
        <v>67083.2222222222</v>
      </c>
      <c r="IP97" s="59" t="n">
        <f aca="false">IF(IP16&gt;0,(IP65-IP81-IP89)/IP16,0)</f>
        <v>67011.8222222222</v>
      </c>
      <c r="IQ97" s="59" t="n">
        <f aca="false">IF(IQ16&gt;0,(IQ65-IQ81-IQ89)/IQ16,0)</f>
        <v>67011.8222222222</v>
      </c>
      <c r="IR97" s="59" t="n">
        <f aca="false">IF(IR16&gt;0,(IR65-IR81-IR89)/IR16,0)</f>
        <v>67008.3555555556</v>
      </c>
      <c r="IS97" s="59" t="n">
        <f aca="false">IF(IS16&gt;0,(IS65-IS81-IS89)/IS16,0)</f>
        <v>67012.2222222222</v>
      </c>
      <c r="IT97" s="59" t="n">
        <f aca="false">IF(IT16&gt;0,(IT65-IT81-IT89)/IT16,0)</f>
        <v>67012.2222222222</v>
      </c>
      <c r="IU97" s="59" t="n">
        <f aca="false">IF(IU16&gt;0,(IU65-IU81-IU89)/IU16,0)</f>
        <v>67023.2222222222</v>
      </c>
      <c r="IV97" s="59" t="n">
        <f aca="false">IF(IV16&gt;0,(IV65-IV81-IV89)/IV16,0)</f>
        <v>67023.2222222222</v>
      </c>
      <c r="IW97" s="59" t="n">
        <f aca="false">IF(IW16&gt;0,(IW65-IW81-IW89)/IW16,0)</f>
        <v>67023.2222222222</v>
      </c>
      <c r="IX97" s="59" t="n">
        <f aca="false">IF(IX16&gt;0,(IX65-IX81-IX89)/IX16,0)</f>
        <v>67107.2321232123</v>
      </c>
      <c r="IY97" s="59" t="n">
        <f aca="false">IF(IY16&gt;0,(IY65-IY81-IY89)/IY16,0)</f>
        <v>67108.2222222222</v>
      </c>
      <c r="IZ97" s="59" t="n">
        <f aca="false">IF(IZ16&gt;0,(IZ65-IZ81-IZ89)/IZ16,0)</f>
        <v>67008.2222222222</v>
      </c>
      <c r="JA97" s="59" t="n">
        <f aca="false">IF(JA16&gt;0,(JA65-JA81-JA89)/JA16,0)</f>
        <v>67012.6666666667</v>
      </c>
    </row>
    <row r="98" customFormat="false" ht="15" hidden="false" customHeight="false" outlineLevel="0" collapsed="false">
      <c r="A98" s="2" t="s">
        <v>154</v>
      </c>
      <c r="B98" s="13" t="s">
        <v>155</v>
      </c>
      <c r="C98" s="13" t="s">
        <v>179</v>
      </c>
      <c r="D98" s="9" t="s">
        <v>324</v>
      </c>
      <c r="E98" s="59" t="n">
        <f aca="false">IF(E15&gt;0,E97*E9/E15,0)</f>
        <v>619.944219866897</v>
      </c>
      <c r="F98" s="59" t="n">
        <f aca="false">IF(F15&gt;0,F97*F9/F15,0)</f>
        <v>27675.1345687183</v>
      </c>
      <c r="G98" s="59" t="n">
        <f aca="false">IF(G15&gt;0,G97*G9/G15,0)</f>
        <v>836322.512437811</v>
      </c>
      <c r="H98" s="59" t="n">
        <f aca="false">IF(H15&gt;0,H97*H9/H15,0)</f>
        <v>1451.96036893459</v>
      </c>
      <c r="J98" s="59" t="n">
        <f aca="false">IF(J15&gt;0,J97*J9/J15,0)</f>
        <v>619.944219866897</v>
      </c>
      <c r="K98" s="59" t="n">
        <f aca="false">IF(K15&gt;0,K97*K9/K15,0)</f>
        <v>619.769770958899</v>
      </c>
      <c r="L98" s="59" t="n">
        <f aca="false">IF(L15&gt;0,L97*L9/L15,0)</f>
        <v>619.961890605103</v>
      </c>
      <c r="M98" s="59" t="n">
        <f aca="false">IF(M15&gt;0,M97*M9/M15,0)</f>
        <v>619.961890605103</v>
      </c>
      <c r="N98" s="59" t="n">
        <f aca="false">IF(N15&gt;0,N97*N9/N15,0)</f>
        <v>626.220708339741</v>
      </c>
      <c r="O98" s="59" t="n">
        <f aca="false">IF(O15&gt;0,O97*O9/O15,0)</f>
        <v>621.960219866897</v>
      </c>
      <c r="P98" s="59" t="n">
        <f aca="false">IF(P15&gt;0,P97*P9/P15,0)</f>
        <v>621.960219866897</v>
      </c>
      <c r="Q98" s="59" t="n">
        <f aca="false">IF(Q15&gt;0,Q97*Q9/Q15,0)</f>
        <v>621.960219866897</v>
      </c>
      <c r="R98" s="59" t="n">
        <f aca="false">IF(R15&gt;0,R97*R9/R15,0)</f>
        <v>622.464219866897</v>
      </c>
      <c r="S98" s="59" t="n">
        <f aca="false">IF(S15&gt;0,S97*S9/S15,0)</f>
        <v>620.448219866897</v>
      </c>
      <c r="T98" s="59" t="n">
        <f aca="false">IF(T15&gt;0,T97*T9/T15,0)</f>
        <v>622.210886533563</v>
      </c>
      <c r="U98" s="59" t="n">
        <f aca="false">IF(U15&gt;0,U97*U9/U15,0)</f>
        <v>621.944219866897</v>
      </c>
      <c r="V98" s="59" t="n">
        <f aca="false">IF(V15&gt;0,V97*V9/V15,0)</f>
        <v>623.944219866897</v>
      </c>
      <c r="W98" s="59" t="n">
        <f aca="false">IF(W15&gt;0,W97*W9/W15,0)</f>
        <v>621.544219866897</v>
      </c>
      <c r="X98" s="59" t="n">
        <f aca="false">IF(X15&gt;0,X97*X9/X15,0)</f>
        <v>621.444219866897</v>
      </c>
      <c r="Y98" s="59" t="n">
        <f aca="false">IF(Y15&gt;0,Y97*Y9/Y15,0)</f>
        <v>621.444219866897</v>
      </c>
      <c r="Z98" s="59" t="n">
        <f aca="false">IF(Z15&gt;0,Z97*Z9/Z15,0)</f>
        <v>623.944219866897</v>
      </c>
      <c r="AA98" s="59" t="n">
        <f aca="false">IF(AA15&gt;0,AA97*AA9/AA15,0)</f>
        <v>622.27755320023</v>
      </c>
      <c r="AB98" s="59" t="n">
        <f aca="false">IF(AB15&gt;0,AB97*AB9/AB15,0)</f>
        <v>620.110886533563</v>
      </c>
      <c r="AC98" s="59" t="n">
        <f aca="false">IF(AC15&gt;0,AC97*AC9/AC15,0)</f>
        <v>620.569219866897</v>
      </c>
      <c r="AD98" s="59" t="n">
        <f aca="false">IF(AD15&gt;0,AD97*AD9/AD15,0)</f>
        <v>620.569219866897</v>
      </c>
      <c r="AE98" s="59" t="n">
        <f aca="false">IF(AE15&gt;0,AE97*AE9/AE15,0)</f>
        <v>620.569219866897</v>
      </c>
      <c r="AF98" s="59" t="n">
        <f aca="false">IF(AF15&gt;0,AF97*AF9/AF15,0)</f>
        <v>620.144219866897</v>
      </c>
      <c r="AG98" s="59" t="n">
        <f aca="false">IF(AG15&gt;0,AG97*AG9/AG15,0)</f>
        <v>620.144219866897</v>
      </c>
      <c r="AH98" s="59" t="n">
        <f aca="false">IF(AH15&gt;0,AH97*AH9/AH15,0)</f>
        <v>620.144219866897</v>
      </c>
      <c r="AI98" s="59" t="n">
        <f aca="false">IF(AI15&gt;0,AI97*AI9/AI15,0)</f>
        <v>620.07755320023</v>
      </c>
      <c r="AJ98" s="59" t="n">
        <f aca="false">IF(AJ15&gt;0,AJ97*AJ9/AJ15,0)</f>
        <v>620.07755320023</v>
      </c>
      <c r="AK98" s="59" t="n">
        <f aca="false">IF(AK15&gt;0,AK97*AK9/AK15,0)</f>
        <v>620.344219866897</v>
      </c>
      <c r="AL98" s="59" t="n">
        <f aca="false">IF(AL15&gt;0,AL97*AL9/AL15,0)</f>
        <v>620.344219866897</v>
      </c>
      <c r="AM98" s="59" t="n">
        <f aca="false">IF(AM15&gt;0,AM97*AM9/AM15,0)</f>
        <v>620.07755320023</v>
      </c>
      <c r="AN98" s="59" t="n">
        <f aca="false">IF(AN15&gt;0,AN97*AN9/AN15,0)</f>
        <v>620.360886533563</v>
      </c>
      <c r="AO98" s="59" t="n">
        <f aca="false">IF(AO15&gt;0,AO97*AO9/AO15,0)</f>
        <v>620.360886533563</v>
      </c>
      <c r="AP98" s="59" t="n">
        <f aca="false">IF(AP15&gt;0,AP97*AP9/AP15,0)</f>
        <v>620.01816613261</v>
      </c>
      <c r="AQ98" s="59" t="n">
        <f aca="false">IF(AQ15&gt;0,AQ97*AQ9/AQ15,0)</f>
        <v>620.062533892039</v>
      </c>
      <c r="AR98" s="59" t="n">
        <f aca="false">IF(AR15&gt;0,AR97*AR9/AR15,0)</f>
        <v>620.062533892039</v>
      </c>
      <c r="AS98" s="59" t="n">
        <f aca="false">IF(AS15&gt;0,AS97*AS9/AS15,0)</f>
        <v>620.094219866897</v>
      </c>
      <c r="AT98" s="59" t="n">
        <f aca="false">IF(AT15&gt;0,AT97*AT9/AT15,0)</f>
        <v>620.094219866897</v>
      </c>
      <c r="AU98" s="59" t="n">
        <f aca="false">IF(AU15&gt;0,AU97*AU9/AU15,0)</f>
        <v>620.094219866897</v>
      </c>
      <c r="AV98" s="59" t="n">
        <f aca="false">IF(AV15&gt;0,AV97*AV9/AV15,0)</f>
        <v>619.944219866897</v>
      </c>
      <c r="AW98" s="59" t="n">
        <f aca="false">IF(AW15&gt;0,AW97*AW9/AW15,0)</f>
        <v>619.944219866897</v>
      </c>
      <c r="AX98" s="59" t="n">
        <f aca="false">IF(AX15&gt;0,AX97*AX9/AX15,0)</f>
        <v>619.944219866897</v>
      </c>
      <c r="AY98" s="59" t="n">
        <f aca="false">IF(AY15&gt;0,AY97*AY9/AY15,0)</f>
        <v>619.993517377372</v>
      </c>
      <c r="AZ98" s="59" t="n">
        <f aca="false">IF(AZ15&gt;0,AZ97*AZ9/AZ15,0)</f>
        <v>27675.1345687183</v>
      </c>
      <c r="BA98" s="59" t="n">
        <f aca="false">IF(BA15&gt;0,BA97*BA9/BA15,0)</f>
        <v>27674.6020887913</v>
      </c>
      <c r="BB98" s="59" t="n">
        <f aca="false">IF(BB15&gt;0,BB97*BB9/BB15,0)</f>
        <v>27675.1975001544</v>
      </c>
      <c r="BC98" s="59" t="n">
        <f aca="false">IF(BC15&gt;0,BC97*BC9/BC15,0)</f>
        <v>27675.1975001544</v>
      </c>
      <c r="BD98" s="59" t="n">
        <f aca="false">IF(BD15&gt;0,BD97*BD9/BD15,0)</f>
        <v>27954.7324669724</v>
      </c>
      <c r="BE98" s="59" t="n">
        <f aca="false">IF(BE15&gt;0,BE97*BE9/BE15,0)</f>
        <v>27721.3345687183</v>
      </c>
      <c r="BF98" s="59" t="n">
        <f aca="false">IF(BF15&gt;0,BF97*BF9/BF15,0)</f>
        <v>27721.3345687183</v>
      </c>
      <c r="BG98" s="59" t="n">
        <f aca="false">IF(BG15&gt;0,BG97*BG9/BG15,0)</f>
        <v>27721.3345687183</v>
      </c>
      <c r="BH98" s="59" t="n">
        <f aca="false">IF(BH15&gt;0,BH97*BH9/BH15,0)</f>
        <v>27732.8845687183</v>
      </c>
      <c r="BI98" s="59" t="n">
        <f aca="false">IF(BI15&gt;0,BI97*BI9/BI15,0)</f>
        <v>27686.6845687183</v>
      </c>
      <c r="BJ98" s="59" t="n">
        <f aca="false">IF(BJ15&gt;0,BJ97*BJ9/BJ15,0)</f>
        <v>27811.801235385</v>
      </c>
      <c r="BK98" s="59" t="n">
        <f aca="false">IF(BK15&gt;0,BK97*BK9/BK15,0)</f>
        <v>27728.4679020516</v>
      </c>
      <c r="BL98" s="59" t="n">
        <f aca="false">IF(BL15&gt;0,BL97*BL9/BL15,0)</f>
        <v>27808.4679020516</v>
      </c>
      <c r="BM98" s="59" t="n">
        <f aca="false">IF(BM15&gt;0,BM97*BM9/BM15,0)</f>
        <v>27741.801235385</v>
      </c>
      <c r="BN98" s="59" t="n">
        <f aca="false">IF(BN15&gt;0,BN97*BN9/BN15,0)</f>
        <v>27745.1345687183</v>
      </c>
      <c r="BO98" s="59" t="n">
        <f aca="false">IF(BO15&gt;0,BO97*BO9/BO15,0)</f>
        <v>27745.1345687183</v>
      </c>
      <c r="BP98" s="59" t="n">
        <f aca="false">IF(BP15&gt;0,BP97*BP9/BP15,0)</f>
        <v>27925.1345687183</v>
      </c>
      <c r="BQ98" s="59" t="n">
        <f aca="false">IF(BQ15&gt;0,BQ97*BQ9/BQ15,0)</f>
        <v>27850.1345687183</v>
      </c>
      <c r="BR98" s="59" t="n">
        <f aca="false">IF(BR15&gt;0,BR97*BR9/BR15,0)</f>
        <v>27680.1345687183</v>
      </c>
      <c r="BS98" s="59" t="n">
        <f aca="false">IF(BS15&gt;0,BS97*BS9/BS15,0)</f>
        <v>27700.1345687183</v>
      </c>
      <c r="BT98" s="59" t="n">
        <f aca="false">IF(BT15&gt;0,BT97*BT9/BT15,0)</f>
        <v>27700.1345687183</v>
      </c>
      <c r="BU98" s="59" t="n">
        <f aca="false">IF(BU15&gt;0,BU97*BU9/BU15,0)</f>
        <v>27700.1345687183</v>
      </c>
      <c r="BV98" s="59" t="n">
        <f aca="false">IF(BV15&gt;0,BV97*BV9/BV15,0)</f>
        <v>27731.1345687183</v>
      </c>
      <c r="BW98" s="59" t="n">
        <f aca="false">IF(BW15&gt;0,BW97*BW9/BW15,0)</f>
        <v>27731.1345687183</v>
      </c>
      <c r="BX98" s="59" t="n">
        <f aca="false">IF(BX15&gt;0,BX97*BX9/BX15,0)</f>
        <v>27731.1345687183</v>
      </c>
      <c r="BY98" s="59" t="n">
        <f aca="false">IF(BY15&gt;0,BY97*BY9/BY15,0)</f>
        <v>27741.801235385</v>
      </c>
      <c r="BZ98" s="59" t="n">
        <f aca="false">IF(BZ15&gt;0,BZ97*BZ9/BZ15,0)</f>
        <v>27741.801235385</v>
      </c>
      <c r="CA98" s="59" t="n">
        <f aca="false">IF(CA15&gt;0,CA97*CA9/CA15,0)</f>
        <v>27700.1345687183</v>
      </c>
      <c r="CB98" s="59" t="n">
        <f aca="false">IF(CB15&gt;0,CB97*CB9/CB15,0)</f>
        <v>27700.1345687183</v>
      </c>
      <c r="CC98" s="59" t="n">
        <f aca="false">IF(CC15&gt;0,CC97*CC9/CC15,0)</f>
        <v>27691.801235385</v>
      </c>
      <c r="CD98" s="59" t="n">
        <f aca="false">IF(CD15&gt;0,CD97*CD9/CD15,0)</f>
        <v>27682.6345687183</v>
      </c>
      <c r="CE98" s="59" t="n">
        <f aca="false">IF(CE15&gt;0,CE97*CE9/CE15,0)</f>
        <v>27682.6345687183</v>
      </c>
      <c r="CF98" s="59" t="n">
        <f aca="false">IF(CF15&gt;0,CF97*CF9/CF15,0)</f>
        <v>27675.2007500552</v>
      </c>
      <c r="CG98" s="59" t="n">
        <f aca="false">IF(CG15&gt;0,CG97*CG9/CG15,0)</f>
        <v>27675.6640194132</v>
      </c>
      <c r="CH98" s="59" t="n">
        <f aca="false">IF(CH15&gt;0,CH97*CH9/CH15,0)</f>
        <v>27675.6640194132</v>
      </c>
      <c r="CI98" s="59" t="n">
        <f aca="false">IF(CI15&gt;0,CI97*CI9/CI15,0)</f>
        <v>27681.3845687183</v>
      </c>
      <c r="CJ98" s="59" t="n">
        <f aca="false">IF(CJ15&gt;0,CJ97*CJ9/CJ15,0)</f>
        <v>27681.3845687183</v>
      </c>
      <c r="CK98" s="59" t="n">
        <f aca="false">IF(CK15&gt;0,CK97*CK9/CK15,0)</f>
        <v>27681.3845687183</v>
      </c>
      <c r="CL98" s="59" t="n">
        <f aca="false">IF(CL15&gt;0,CL97*CL9/CL15,0)</f>
        <v>27741.1411693784</v>
      </c>
      <c r="CM98" s="59" t="n">
        <f aca="false">IF(CM15&gt;0,CM97*CM9/CM15,0)</f>
        <v>27741.801235385</v>
      </c>
      <c r="CN98" s="59" t="n">
        <f aca="false">IF(CN15&gt;0,CN97*CN9/CN15,0)</f>
        <v>27675.1345687183</v>
      </c>
      <c r="CO98" s="59" t="n">
        <f aca="false">IF(CO15&gt;0,CO97*CO9/CO15,0)</f>
        <v>27676.2375909993</v>
      </c>
      <c r="CP98" s="59" t="n">
        <f aca="false">IF(CP15&gt;0,CP97*CP9/CP15,0)</f>
        <v>836322.512437811</v>
      </c>
      <c r="CQ98" s="59" t="n">
        <f aca="false">IF(CQ15&gt;0,CQ97*CQ9/CQ15,0)</f>
        <v>836270.074344821</v>
      </c>
      <c r="CR98" s="59" t="n">
        <f aca="false">IF(CR15&gt;0,CR97*CR9/CR15,0)</f>
        <v>836327.884280671</v>
      </c>
      <c r="CS98" s="59" t="n">
        <f aca="false">IF(CS15&gt;0,CS97*CS9/CS15,0)</f>
        <v>836327.884280671</v>
      </c>
      <c r="CT98" s="59" t="n">
        <f aca="false">IF(CT15&gt;0,CT97*CT9/CT15,0)</f>
        <v>844775.038026977</v>
      </c>
      <c r="CU98" s="59" t="n">
        <f aca="false">IF(CU15&gt;0,CU97*CU9/CU15,0)</f>
        <v>838194.512437811</v>
      </c>
      <c r="CV98" s="59" t="n">
        <f aca="false">IF(CV15&gt;0,CV97*CV9/CV15,0)</f>
        <v>838194.512437811</v>
      </c>
      <c r="CW98" s="59" t="n">
        <f aca="false">IF(CW15&gt;0,CW97*CW9/CW15,0)</f>
        <v>838194.512437811</v>
      </c>
      <c r="CX98" s="59" t="n">
        <f aca="false">IF(CX15&gt;0,CX97*CX9/CX15,0)</f>
        <v>839442.512437811</v>
      </c>
      <c r="CY98" s="59" t="n">
        <f aca="false">IF(CY15&gt;0,CY97*CY9/CY15,0)</f>
        <v>837570.512437811</v>
      </c>
      <c r="CZ98" s="59" t="n">
        <f aca="false">IF(CZ15&gt;0,CZ97*CZ9/CZ15,0)</f>
        <v>839291.262437811</v>
      </c>
      <c r="DA98" s="59" t="n">
        <f aca="false">IF(DA15&gt;0,DA97*DA9/DA15,0)</f>
        <v>837885.012437811</v>
      </c>
      <c r="DB98" s="59" t="n">
        <f aca="false">IF(DB15&gt;0,DB97*DB9/DB15,0)</f>
        <v>844135.012437811</v>
      </c>
      <c r="DC98" s="59" t="n">
        <f aca="false">IF(DC15&gt;0,DC97*DC9/DC15,0)</f>
        <v>841791.262437811</v>
      </c>
      <c r="DD98" s="59" t="n">
        <f aca="false">IF(DD15&gt;0,DD97*DD9/DD15,0)</f>
        <v>838072.512437811</v>
      </c>
      <c r="DE98" s="59" t="n">
        <f aca="false">IF(DE15&gt;0,DE97*DE9/DE15,0)</f>
        <v>838072.512437811</v>
      </c>
      <c r="DF98" s="59" t="n">
        <f aca="false">IF(DF15&gt;0,DF97*DF9/DF15,0)</f>
        <v>846322.512437811</v>
      </c>
      <c r="DG98" s="59" t="n">
        <f aca="false">IF(DG15&gt;0,DG97*DG9/DG15,0)</f>
        <v>844447.512437811</v>
      </c>
      <c r="DH98" s="59" t="n">
        <f aca="false">IF(DH15&gt;0,DH97*DH9/DH15,0)</f>
        <v>836447.512437811</v>
      </c>
      <c r="DI98" s="59" t="n">
        <f aca="false">IF(DI15&gt;0,DI97*DI9/DI15,0)</f>
        <v>836572.512437811</v>
      </c>
      <c r="DJ98" s="59" t="n">
        <f aca="false">IF(DJ15&gt;0,DJ97*DJ9/DJ15,0)</f>
        <v>836572.512437811</v>
      </c>
      <c r="DK98" s="59" t="n">
        <f aca="false">IF(DK15&gt;0,DK97*DK9/DK15,0)</f>
        <v>836572.512437811</v>
      </c>
      <c r="DL98" s="59" t="n">
        <f aca="false">IF(DL15&gt;0,DL97*DL9/DL15,0)</f>
        <v>839447.512437811</v>
      </c>
      <c r="DM98" s="59" t="n">
        <f aca="false">IF(DM15&gt;0,DM97*DM9/DM15,0)</f>
        <v>839447.512437811</v>
      </c>
      <c r="DN98" s="59" t="n">
        <f aca="false">IF(DN15&gt;0,DN97*DN9/DN15,0)</f>
        <v>839447.512437811</v>
      </c>
      <c r="DO98" s="59" t="n">
        <f aca="false">IF(DO15&gt;0,DO97*DO9/DO15,0)</f>
        <v>836791.262437811</v>
      </c>
      <c r="DP98" s="59" t="n">
        <f aca="false">IF(DP15&gt;0,DP97*DP9/DP15,0)</f>
        <v>836791.262437811</v>
      </c>
      <c r="DQ98" s="59" t="n">
        <f aca="false">IF(DQ15&gt;0,DQ97*DQ9/DQ15,0)</f>
        <v>836322.512437811</v>
      </c>
      <c r="DR98" s="59" t="n">
        <f aca="false">IF(DR15&gt;0,DR97*DR9/DR15,0)</f>
        <v>836322.512437811</v>
      </c>
      <c r="DS98" s="59" t="n">
        <f aca="false">IF(DS15&gt;0,DS97*DS9/DS15,0)</f>
        <v>837260.012437811</v>
      </c>
      <c r="DT98" s="59" t="n">
        <f aca="false">IF(DT15&gt;0,DT97*DT9/DT15,0)</f>
        <v>836367.512437811</v>
      </c>
      <c r="DU98" s="59" t="n">
        <f aca="false">IF(DU15&gt;0,DU97*DU9/DU15,0)</f>
        <v>836367.512437811</v>
      </c>
      <c r="DV98" s="59" t="n">
        <f aca="false">IF(DV15&gt;0,DV97*DV9/DV15,0)</f>
        <v>836324.378109453</v>
      </c>
      <c r="DW98" s="59" t="n">
        <f aca="false">IF(DW15&gt;0,DW97*DW9/DW15,0)</f>
        <v>836378.482587065</v>
      </c>
      <c r="DX98" s="59" t="n">
        <f aca="false">IF(DX15&gt;0,DX97*DX9/DX15,0)</f>
        <v>836378.482587065</v>
      </c>
      <c r="DY98" s="59" t="n">
        <f aca="false">IF(DY15&gt;0,DY97*DY9/DY15,0)</f>
        <v>836510.012437811</v>
      </c>
      <c r="DZ98" s="59" t="n">
        <f aca="false">IF(DZ15&gt;0,DZ97*DZ9/DZ15,0)</f>
        <v>836510.012437811</v>
      </c>
      <c r="EA98" s="59" t="n">
        <f aca="false">IF(EA15&gt;0,EA97*EA9/EA15,0)</f>
        <v>836510.012437811</v>
      </c>
      <c r="EB98" s="59" t="n">
        <f aca="false">IF(EB15&gt;0,EB97*EB9/EB15,0)</f>
        <v>837560.136200187</v>
      </c>
      <c r="EC98" s="59" t="n">
        <f aca="false">IF(EC15&gt;0,EC97*EC9/EC15,0)</f>
        <v>837572.512437811</v>
      </c>
      <c r="ED98" s="59" t="n">
        <f aca="false">IF(ED15&gt;0,ED97*ED9/ED15,0)</f>
        <v>836322.512437811</v>
      </c>
      <c r="EE98" s="59" t="n">
        <f aca="false">IF(EE15&gt;0,EE97*EE9/EE15,0)</f>
        <v>836384.701492538</v>
      </c>
      <c r="EF98" s="59" t="n">
        <f aca="false">IF(EF15&gt;0,EF97*EF9/EF15,0)</f>
        <v>624.30202020202</v>
      </c>
      <c r="EG98" s="59" t="n">
        <f aca="false">IF(EG15&gt;0,EG97*EG9/EG15,0)</f>
        <v>624.34202420242</v>
      </c>
      <c r="EH98" s="59" t="n">
        <f aca="false">IF(EH15&gt;0,EH97*EH9/EH15,0)</f>
        <v>624.49803980398</v>
      </c>
      <c r="EI98" s="59" t="n">
        <f aca="false">IF(EI15&gt;0,EI97*EI9/EI15,0)</f>
        <v>624.498039803981</v>
      </c>
      <c r="EJ98" s="59" t="n">
        <f aca="false">IF(EJ15&gt;0,EJ97*EJ9/EJ15,0)</f>
        <v>630.808080808081</v>
      </c>
      <c r="EK98" s="59" t="n">
        <f aca="false">IF(EK15&gt;0,EK97*EK9/EK15,0)</f>
        <v>626.31802020202</v>
      </c>
      <c r="EL98" s="59" t="n">
        <f aca="false">IF(EL15&gt;0,EL97*EL9/EL15,0)</f>
        <v>626.31802020202</v>
      </c>
      <c r="EM98" s="59" t="n">
        <f aca="false">IF(EM15&gt;0,EM97*EM9/EM15,0)</f>
        <v>626.31802020202</v>
      </c>
      <c r="EN98" s="59" t="n">
        <f aca="false">IF(EN15&gt;0,EN97*EN9/EN15,0)</f>
        <v>626.82202020202</v>
      </c>
      <c r="EO98" s="59" t="n">
        <f aca="false">IF(EO15&gt;0,EO97*EO9/EO15,0)</f>
        <v>624.80602020202</v>
      </c>
      <c r="EP98" s="59" t="n">
        <f aca="false">IF(EP15&gt;0,EP97*EP9/EP15,0)</f>
        <v>626.568686868687</v>
      </c>
      <c r="EQ98" s="59" t="n">
        <f aca="false">IF(EQ15&gt;0,EQ97*EQ9/EQ15,0)</f>
        <v>626.30202020202</v>
      </c>
      <c r="ER98" s="59" t="n">
        <f aca="false">IF(ER15&gt;0,ER97*ER9/ER15,0)</f>
        <v>628.30202020202</v>
      </c>
      <c r="ES98" s="59" t="n">
        <f aca="false">IF(ES15&gt;0,ES97*ES9/ES15,0)</f>
        <v>625.90202020202</v>
      </c>
      <c r="ET98" s="59" t="n">
        <f aca="false">IF(ET15&gt;0,ET97*ET9/ET15,0)</f>
        <v>625.80202020202</v>
      </c>
      <c r="EU98" s="59" t="n">
        <f aca="false">IF(EU15&gt;0,EU97*EU9/EU15,0)</f>
        <v>625.80202020202</v>
      </c>
      <c r="EV98" s="59" t="n">
        <f aca="false">IF(EV15&gt;0,EV97*EV9/EV15,0)</f>
        <v>628.30202020202</v>
      </c>
      <c r="EW98" s="59" t="n">
        <f aca="false">IF(EW15&gt;0,EW97*EW9/EW15,0)</f>
        <v>626.635353535354</v>
      </c>
      <c r="EX98" s="59" t="n">
        <f aca="false">IF(EX15&gt;0,EX97*EX9/EX15,0)</f>
        <v>624.468686868687</v>
      </c>
      <c r="EY98" s="59" t="n">
        <f aca="false">IF(EY15&gt;0,EY97*EY9/EY15,0)</f>
        <v>624.92702020202</v>
      </c>
      <c r="EZ98" s="59" t="n">
        <f aca="false">IF(EZ15&gt;0,EZ97*EZ9/EZ15,0)</f>
        <v>624.92702020202</v>
      </c>
      <c r="FA98" s="59" t="n">
        <f aca="false">IF(FA15&gt;0,FA97*FA9/FA15,0)</f>
        <v>624.92702020202</v>
      </c>
      <c r="FB98" s="59" t="n">
        <f aca="false">IF(FB15&gt;0,FB97*FB9/FB15,0)</f>
        <v>624.50202020202</v>
      </c>
      <c r="FC98" s="59" t="n">
        <f aca="false">IF(FC15&gt;0,FC97*FC9/FC15,0)</f>
        <v>624.50202020202</v>
      </c>
      <c r="FD98" s="59" t="n">
        <f aca="false">IF(FD15&gt;0,FD97*FD9/FD15,0)</f>
        <v>624.50202020202</v>
      </c>
      <c r="FE98" s="59" t="n">
        <f aca="false">IF(FE15&gt;0,FE97*FE9/FE15,0)</f>
        <v>624.435353535354</v>
      </c>
      <c r="FF98" s="59" t="n">
        <f aca="false">IF(FF15&gt;0,FF97*FF9/FF15,0)</f>
        <v>624.435353535354</v>
      </c>
      <c r="FG98" s="59" t="n">
        <f aca="false">IF(FG15&gt;0,FG97*FG9/FG15,0)</f>
        <v>624.70202020202</v>
      </c>
      <c r="FH98" s="59" t="n">
        <f aca="false">IF(FH15&gt;0,FH97*FH9/FH15,0)</f>
        <v>624.70202020202</v>
      </c>
      <c r="FI98" s="59" t="n">
        <f aca="false">IF(FI15&gt;0,FI97*FI9/FI15,0)</f>
        <v>624.435353535354</v>
      </c>
      <c r="FJ98" s="59" t="n">
        <f aca="false">IF(FJ15&gt;0,FJ97*FJ9/FJ15,0)</f>
        <v>624.718686868687</v>
      </c>
      <c r="FK98" s="59" t="n">
        <f aca="false">IF(FK15&gt;0,FK97*FK9/FK15,0)</f>
        <v>624.718686868687</v>
      </c>
      <c r="FL98" s="59" t="n">
        <f aca="false">IF(FL15&gt;0,FL97*FL9/FL15,0)</f>
        <v>624.362626262626</v>
      </c>
      <c r="FM98" s="59" t="n">
        <f aca="false">IF(FM15&gt;0,FM97*FM9/FM15,0)</f>
        <v>624.39898989899</v>
      </c>
      <c r="FN98" s="59" t="n">
        <f aca="false">IF(FN15&gt;0,FN97*FN9/FN15,0)</f>
        <v>624.39898989899</v>
      </c>
      <c r="FO98" s="59" t="n">
        <f aca="false">IF(FO15&gt;0,FO97*FO9/FO15,0)</f>
        <v>624.45202020202</v>
      </c>
      <c r="FP98" s="59" t="n">
        <f aca="false">IF(FP15&gt;0,FP97*FP9/FP15,0)</f>
        <v>624.45202020202</v>
      </c>
      <c r="FQ98" s="59" t="n">
        <f aca="false">IF(FQ15&gt;0,FQ97*FQ9/FQ15,0)</f>
        <v>624.45202020202</v>
      </c>
      <c r="FR98" s="59" t="n">
        <f aca="false">IF(FR15&gt;0,FR97*FR9/FR15,0)</f>
        <v>624.30202020202</v>
      </c>
      <c r="FS98" s="59" t="n">
        <f aca="false">IF(FS15&gt;0,FS97*FS9/FS15,0)</f>
        <v>624.30202020202</v>
      </c>
      <c r="FT98" s="59" t="n">
        <f aca="false">IF(FT15&gt;0,FT97*FT9/FT15,0)</f>
        <v>624.30202020202</v>
      </c>
      <c r="FU98" s="59" t="n">
        <f aca="false">IF(FU15&gt;0,FU97*FU9/FU15,0)</f>
        <v>624.342424242424</v>
      </c>
      <c r="FV98" s="59" t="n">
        <f aca="false">IF(FV15&gt;0,FV97*FV9/FV15,0)</f>
        <v>27707.5</v>
      </c>
      <c r="FW98" s="59" t="n">
        <f aca="false">IF(FW15&gt;0,FW97*FW9/FW15,0)</f>
        <v>27708.3840169731</v>
      </c>
      <c r="FX98" s="59" t="n">
        <f aca="false">IF(FX15&gt;0,FX97*FX9/FX15,0)</f>
        <v>27708.8613861386</v>
      </c>
      <c r="FY98" s="59" t="n">
        <f aca="false">IF(FY15&gt;0,FY97*FY9/FY15,0)</f>
        <v>27708.8613861386</v>
      </c>
      <c r="FZ98" s="59" t="n">
        <f aca="false">IF(FZ15&gt;0,FZ97*FZ9/FZ15,0)</f>
        <v>27988.7626262626</v>
      </c>
      <c r="GA98" s="59" t="n">
        <f aca="false">IF(GA15&gt;0,GA97*GA9/GA15,0)</f>
        <v>27753.7</v>
      </c>
      <c r="GB98" s="59" t="n">
        <f aca="false">IF(GB15&gt;0,GB97*GB9/GB15,0)</f>
        <v>27753.7</v>
      </c>
      <c r="GC98" s="59" t="n">
        <f aca="false">IF(GC15&gt;0,GC97*GC9/GC15,0)</f>
        <v>27753.7</v>
      </c>
      <c r="GD98" s="59" t="n">
        <f aca="false">IF(GD15&gt;0,GD97*GD9/GD15,0)</f>
        <v>27765.25</v>
      </c>
      <c r="GE98" s="59" t="n">
        <f aca="false">IF(GE15&gt;0,GE97*GE9/GE15,0)</f>
        <v>27719.05</v>
      </c>
      <c r="GF98" s="59" t="n">
        <f aca="false">IF(GF15&gt;0,GF97*GF9/GF15,0)</f>
        <v>27844.1666666667</v>
      </c>
      <c r="GG98" s="59" t="n">
        <f aca="false">IF(GG15&gt;0,GG97*GG9/GG15,0)</f>
        <v>27760.8333333333</v>
      </c>
      <c r="GH98" s="59" t="n">
        <f aca="false">IF(GH15&gt;0,GH97*GH9/GH15,0)</f>
        <v>27840.8333333333</v>
      </c>
      <c r="GI98" s="59" t="n">
        <f aca="false">IF(GI15&gt;0,GI97*GI9/GI15,0)</f>
        <v>27774.1666666667</v>
      </c>
      <c r="GJ98" s="59" t="n">
        <f aca="false">IF(GJ15&gt;0,GJ97*GJ9/GJ15,0)</f>
        <v>27777.5</v>
      </c>
      <c r="GK98" s="59" t="n">
        <f aca="false">IF(GK15&gt;0,GK97*GK9/GK15,0)</f>
        <v>27777.5</v>
      </c>
      <c r="GL98" s="59" t="n">
        <f aca="false">IF(GL15&gt;0,GL97*GL9/GL15,0)</f>
        <v>27957.5</v>
      </c>
      <c r="GM98" s="59" t="n">
        <f aca="false">IF(GM15&gt;0,GM97*GM9/GM15,0)</f>
        <v>27882.5</v>
      </c>
      <c r="GN98" s="59" t="n">
        <f aca="false">IF(GN15&gt;0,GN97*GN9/GN15,0)</f>
        <v>27712.5</v>
      </c>
      <c r="GO98" s="59" t="n">
        <f aca="false">IF(GO15&gt;0,GO97*GO9/GO15,0)</f>
        <v>27732.5</v>
      </c>
      <c r="GP98" s="59" t="n">
        <f aca="false">IF(GP15&gt;0,GP97*GP9/GP15,0)</f>
        <v>27732.5</v>
      </c>
      <c r="GQ98" s="59" t="n">
        <f aca="false">IF(GQ15&gt;0,GQ97*GQ9/GQ15,0)</f>
        <v>27732.5</v>
      </c>
      <c r="GR98" s="59" t="n">
        <f aca="false">IF(GR15&gt;0,GR97*GR9/GR15,0)</f>
        <v>27763.5</v>
      </c>
      <c r="GS98" s="59" t="n">
        <f aca="false">IF(GS15&gt;0,GS97*GS9/GS15,0)</f>
        <v>27763.5</v>
      </c>
      <c r="GT98" s="59" t="n">
        <f aca="false">IF(GT15&gt;0,GT97*GT9/GT15,0)</f>
        <v>27763.5</v>
      </c>
      <c r="GU98" s="59" t="n">
        <f aca="false">IF(GU15&gt;0,GU97*GU9/GU15,0)</f>
        <v>27774.1666666667</v>
      </c>
      <c r="GV98" s="59" t="n">
        <f aca="false">IF(GV15&gt;0,GV97*GV9/GV15,0)</f>
        <v>27774.1666666667</v>
      </c>
      <c r="GW98" s="59" t="n">
        <f aca="false">IF(GW15&gt;0,GW97*GW9/GW15,0)</f>
        <v>27732.5</v>
      </c>
      <c r="GX98" s="59" t="n">
        <f aca="false">IF(GX15&gt;0,GX97*GX9/GX15,0)</f>
        <v>27732.5</v>
      </c>
      <c r="GY98" s="59" t="n">
        <f aca="false">IF(GY15&gt;0,GY97*GY9/GY15,0)</f>
        <v>27724.1666666667</v>
      </c>
      <c r="GZ98" s="59" t="n">
        <f aca="false">IF(GZ15&gt;0,GZ97*GZ9/GZ15,0)</f>
        <v>27715</v>
      </c>
      <c r="HA98" s="59" t="n">
        <f aca="false">IF(HA15&gt;0,HA97*HA9/HA15,0)</f>
        <v>27715</v>
      </c>
      <c r="HB98" s="59" t="n">
        <f aca="false">IF(HB15&gt;0,HB97*HB9/HB15,0)</f>
        <v>27707.5535714286</v>
      </c>
      <c r="HC98" s="59" t="n">
        <f aca="false">IF(HC15&gt;0,HC97*HC9/HC15,0)</f>
        <v>27707.9285714286</v>
      </c>
      <c r="HD98" s="59" t="n">
        <f aca="false">IF(HD15&gt;0,HD97*HD9/HD15,0)</f>
        <v>27707.9285714286</v>
      </c>
      <c r="HE98" s="59" t="n">
        <f aca="false">IF(HE15&gt;0,HE97*HE9/HE15,0)</f>
        <v>27713.75</v>
      </c>
      <c r="HF98" s="59" t="n">
        <f aca="false">IF(HF15&gt;0,HF97*HF9/HF15,0)</f>
        <v>27713.75</v>
      </c>
      <c r="HG98" s="59" t="n">
        <f aca="false">IF(HG15&gt;0,HG97*HG9/HG15,0)</f>
        <v>27713.75</v>
      </c>
      <c r="HH98" s="59" t="n">
        <f aca="false">IF(HH15&gt;0,HH97*HH9/HH15,0)</f>
        <v>27773.5066006601</v>
      </c>
      <c r="HI98" s="59" t="n">
        <f aca="false">IF(HI15&gt;0,HI97*HI9/HI15,0)</f>
        <v>27774.1666666667</v>
      </c>
      <c r="HJ98" s="59" t="n">
        <f aca="false">IF(HJ15&gt;0,HJ97*HJ9/HJ15,0)</f>
        <v>27707.5</v>
      </c>
      <c r="HK98" s="59" t="n">
        <f aca="false">IF(HK15&gt;0,HK97*HK9/HK15,0)</f>
        <v>27708.3928571429</v>
      </c>
      <c r="HL98" s="59" t="n">
        <f aca="false">IF(HL15&gt;0,HL97*HL9/HL15,0)</f>
        <v>837602.777777778</v>
      </c>
      <c r="HM98" s="59" t="n">
        <f aca="false">IF(HM15&gt;0,HM97*HM9/HM15,0)</f>
        <v>837657.783278328</v>
      </c>
      <c r="HN98" s="59" t="n">
        <f aca="false">IF(HN15&gt;0,HN97*HN9/HN15,0)</f>
        <v>837708.938393839</v>
      </c>
      <c r="HO98" s="59" t="n">
        <f aca="false">IF(HO15&gt;0,HO97*HO9/HO15,0)</f>
        <v>837708.938393839</v>
      </c>
      <c r="HP98" s="59" t="n">
        <f aca="false">IF(HP15&gt;0,HP97*HP9/HP15,0)</f>
        <v>846171.717171717</v>
      </c>
      <c r="HQ98" s="59" t="n">
        <f aca="false">IF(HQ15&gt;0,HQ97*HQ9/HQ15,0)</f>
        <v>839474.777777778</v>
      </c>
      <c r="HR98" s="59" t="n">
        <f aca="false">IF(HR15&gt;0,HR97*HR9/HR15,0)</f>
        <v>839474.777777778</v>
      </c>
      <c r="HS98" s="59" t="n">
        <f aca="false">IF(HS15&gt;0,HS97*HS9/HS15,0)</f>
        <v>839474.777777778</v>
      </c>
      <c r="HT98" s="59" t="n">
        <f aca="false">IF(HT15&gt;0,HT97*HT9/HT15,0)</f>
        <v>840722.777777778</v>
      </c>
      <c r="HU98" s="59" t="n">
        <f aca="false">IF(HU15&gt;0,HU97*HU9/HU15,0)</f>
        <v>838850.777777778</v>
      </c>
      <c r="HV98" s="59" t="n">
        <f aca="false">IF(HV15&gt;0,HV97*HV9/HV15,0)</f>
        <v>840571.527777778</v>
      </c>
      <c r="HW98" s="59" t="n">
        <f aca="false">IF(HW15&gt;0,HW97*HW9/HW15,0)</f>
        <v>839165.277777778</v>
      </c>
      <c r="HX98" s="59" t="n">
        <f aca="false">IF(HX15&gt;0,HX97*HX9/HX15,0)</f>
        <v>845415.277777778</v>
      </c>
      <c r="HY98" s="59" t="n">
        <f aca="false">IF(HY15&gt;0,HY97*HY9/HY15,0)</f>
        <v>843071.527777778</v>
      </c>
      <c r="HZ98" s="59" t="n">
        <f aca="false">IF(HZ15&gt;0,HZ97*HZ9/HZ15,0)</f>
        <v>839352.777777778</v>
      </c>
      <c r="IA98" s="59" t="n">
        <f aca="false">IF(IA15&gt;0,IA97*IA9/IA15,0)</f>
        <v>839352.777777778</v>
      </c>
      <c r="IB98" s="59" t="n">
        <f aca="false">IF(IB15&gt;0,IB97*IB9/IB15,0)</f>
        <v>847602.777777778</v>
      </c>
      <c r="IC98" s="59" t="n">
        <f aca="false">IF(IC15&gt;0,IC97*IC9/IC15,0)</f>
        <v>845727.777777778</v>
      </c>
      <c r="ID98" s="59" t="n">
        <f aca="false">IF(ID15&gt;0,ID97*ID9/ID15,0)</f>
        <v>837727.777777778</v>
      </c>
      <c r="IE98" s="59" t="n">
        <f aca="false">IF(IE15&gt;0,IE97*IE9/IE15,0)</f>
        <v>837852.777777778</v>
      </c>
      <c r="IF98" s="59" t="n">
        <f aca="false">IF(IF15&gt;0,IF97*IF9/IF15,0)</f>
        <v>837852.777777778</v>
      </c>
      <c r="IG98" s="59" t="n">
        <f aca="false">IF(IG15&gt;0,IG97*IG9/IG15,0)</f>
        <v>837852.777777778</v>
      </c>
      <c r="IH98" s="59" t="n">
        <f aca="false">IF(IH15&gt;0,IH97*IH9/IH15,0)</f>
        <v>840727.777777778</v>
      </c>
      <c r="II98" s="59" t="n">
        <f aca="false">IF(II15&gt;0,II97*II9/II15,0)</f>
        <v>840727.777777778</v>
      </c>
      <c r="IJ98" s="59" t="n">
        <f aca="false">IF(IJ15&gt;0,IJ97*IJ9/IJ15,0)</f>
        <v>840727.777777778</v>
      </c>
      <c r="IK98" s="59" t="n">
        <f aca="false">IF(IK15&gt;0,IK97*IK9/IK15,0)</f>
        <v>838071.527777778</v>
      </c>
      <c r="IL98" s="59" t="n">
        <f aca="false">IF(IL15&gt;0,IL97*IL9/IL15,0)</f>
        <v>838071.527777778</v>
      </c>
      <c r="IM98" s="59" t="n">
        <f aca="false">IF(IM15&gt;0,IM97*IM9/IM15,0)</f>
        <v>837602.777777778</v>
      </c>
      <c r="IN98" s="59" t="n">
        <f aca="false">IF(IN15&gt;0,IN97*IN9/IN15,0)</f>
        <v>837602.777777778</v>
      </c>
      <c r="IO98" s="59" t="n">
        <f aca="false">IF(IO15&gt;0,IO97*IO9/IO15,0)</f>
        <v>838540.277777778</v>
      </c>
      <c r="IP98" s="59" t="n">
        <f aca="false">IF(IP15&gt;0,IP97*IP9/IP15,0)</f>
        <v>837647.777777778</v>
      </c>
      <c r="IQ98" s="59" t="n">
        <f aca="false">IF(IQ15&gt;0,IQ97*IQ9/IQ15,0)</f>
        <v>837647.777777778</v>
      </c>
      <c r="IR98" s="59" t="n">
        <f aca="false">IF(IR15&gt;0,IR97*IR9/IR15,0)</f>
        <v>837604.444444444</v>
      </c>
      <c r="IS98" s="59" t="n">
        <f aca="false">IF(IS15&gt;0,IS97*IS9/IS15,0)</f>
        <v>837652.777777778</v>
      </c>
      <c r="IT98" s="59" t="n">
        <f aca="false">IF(IT15&gt;0,IT97*IT9/IT15,0)</f>
        <v>837652.777777778</v>
      </c>
      <c r="IU98" s="59" t="n">
        <f aca="false">IF(IU15&gt;0,IU97*IU9/IU15,0)</f>
        <v>837790.277777778</v>
      </c>
      <c r="IV98" s="59" t="n">
        <f aca="false">IF(IV15&gt;0,IV97*IV9/IV15,0)</f>
        <v>837790.277777778</v>
      </c>
      <c r="IW98" s="59" t="n">
        <f aca="false">IF(IW15&gt;0,IW97*IW9/IW15,0)</f>
        <v>837790.277777778</v>
      </c>
      <c r="IX98" s="59" t="n">
        <f aca="false">IF(IX15&gt;0,IX97*IX9/IX15,0)</f>
        <v>838840.401540154</v>
      </c>
      <c r="IY98" s="59" t="n">
        <f aca="false">IF(IY15&gt;0,IY97*IY9/IY15,0)</f>
        <v>838852.777777778</v>
      </c>
      <c r="IZ98" s="59" t="n">
        <f aca="false">IF(IZ15&gt;0,IZ97*IZ9/IZ15,0)</f>
        <v>837602.777777778</v>
      </c>
      <c r="JA98" s="59" t="n">
        <f aca="false">IF(JA15&gt;0,JA97*JA9/JA15,0)</f>
        <v>837658.333333333</v>
      </c>
    </row>
    <row r="99" customFormat="false" ht="15" hidden="false" customHeight="false" outlineLevel="0" collapsed="false">
      <c r="A99" s="2" t="s">
        <v>156</v>
      </c>
      <c r="B99" s="13" t="s">
        <v>157</v>
      </c>
      <c r="C99" s="13" t="s">
        <v>326</v>
      </c>
      <c r="D99" s="9" t="s">
        <v>325</v>
      </c>
      <c r="E99" s="64" t="n">
        <f aca="false">IF(E84&gt;0,E98*E13/E84,0)</f>
        <v>7.74930274833621</v>
      </c>
      <c r="F99" s="64" t="n">
        <f aca="false">IF(F84&gt;0,F98*F13/F84,0)</f>
        <v>18.4500897124789</v>
      </c>
      <c r="G99" s="64" t="n">
        <f aca="false">IF(G84&gt;0,G98*G13/G84,0)</f>
        <v>55.7548341625208</v>
      </c>
      <c r="H99" s="64" t="n">
        <f aca="false">IF(H84&gt;0,H98*H13/H84,0)</f>
        <v>13.4174661249855</v>
      </c>
      <c r="J99" s="64" t="n">
        <f aca="false">IF(J84&gt;0,J98*J13/J84,0)</f>
        <v>7.74930274833621</v>
      </c>
      <c r="K99" s="64" t="n">
        <f aca="false">IF(K84&gt;0,K98*K13/K84,0)</f>
        <v>7.74712213698623</v>
      </c>
      <c r="L99" s="64" t="n">
        <f aca="false">IF(L84&gt;0,L98*L13/L84,0)</f>
        <v>7.74952363256379</v>
      </c>
      <c r="M99" s="64" t="n">
        <f aca="false">IF(M84&gt;0,M98*M13/M84,0)</f>
        <v>7.74952363256379</v>
      </c>
      <c r="N99" s="64" t="n">
        <f aca="false">IF(N84&gt;0,N98*N13/N84,0)</f>
        <v>7.82775885424676</v>
      </c>
      <c r="O99" s="64" t="n">
        <f aca="false">IF(O84&gt;0,O98*O13/O84,0)</f>
        <v>7.77450274833621</v>
      </c>
      <c r="P99" s="64" t="n">
        <f aca="false">IF(P84&gt;0,P98*P13/P84,0)</f>
        <v>7.77450274833621</v>
      </c>
      <c r="Q99" s="64" t="n">
        <f aca="false">IF(Q84&gt;0,Q98*Q13/Q84,0)</f>
        <v>7.77450274833621</v>
      </c>
      <c r="R99" s="64" t="n">
        <f aca="false">IF(R84&gt;0,R98*R13/R84,0)</f>
        <v>7.78080274833621</v>
      </c>
      <c r="S99" s="64" t="n">
        <f aca="false">IF(S84&gt;0,S98*S13/S84,0)</f>
        <v>7.75560274833621</v>
      </c>
      <c r="T99" s="64" t="n">
        <f aca="false">IF(T84&gt;0,T98*T13/T84,0)</f>
        <v>7.77763608166954</v>
      </c>
      <c r="U99" s="64" t="n">
        <f aca="false">IF(U84&gt;0,U98*U13/U84,0)</f>
        <v>7.77430274833621</v>
      </c>
      <c r="V99" s="64" t="n">
        <f aca="false">IF(V84&gt;0,V98*V13/V84,0)</f>
        <v>7.79930274833621</v>
      </c>
      <c r="W99" s="64" t="n">
        <f aca="false">IF(W84&gt;0,W98*W13/W84,0)</f>
        <v>7.76930274833621</v>
      </c>
      <c r="X99" s="64" t="n">
        <f aca="false">IF(X84&gt;0,X98*X13/X84,0)</f>
        <v>7.76805274833621</v>
      </c>
      <c r="Y99" s="64" t="n">
        <f aca="false">IF(Y84&gt;0,Y98*Y13/Y84,0)</f>
        <v>7.76805274833621</v>
      </c>
      <c r="Z99" s="64" t="n">
        <f aca="false">IF(Z84&gt;0,Z98*Z13/Z84,0)</f>
        <v>7.79930274833621</v>
      </c>
      <c r="AA99" s="64" t="n">
        <f aca="false">IF(AA84&gt;0,AA98*AA13/AA84,0)</f>
        <v>7.77846941500288</v>
      </c>
      <c r="AB99" s="64" t="n">
        <f aca="false">IF(AB84&gt;0,AB98*AB13/AB84,0)</f>
        <v>7.75138608166954</v>
      </c>
      <c r="AC99" s="64" t="n">
        <f aca="false">IF(AC84&gt;0,AC98*AC13/AC84,0)</f>
        <v>7.75711524833621</v>
      </c>
      <c r="AD99" s="64" t="n">
        <f aca="false">IF(AD84&gt;0,AD98*AD13/AD84,0)</f>
        <v>7.75711524833621</v>
      </c>
      <c r="AE99" s="64" t="n">
        <f aca="false">IF(AE84&gt;0,AE98*AE13/AE84,0)</f>
        <v>7.75711524833621</v>
      </c>
      <c r="AF99" s="64" t="n">
        <f aca="false">IF(AF84&gt;0,AF98*AF13/AF84,0)</f>
        <v>7.75180274833621</v>
      </c>
      <c r="AG99" s="64" t="n">
        <f aca="false">IF(AG84&gt;0,AG98*AG13/AG84,0)</f>
        <v>7.75180274833621</v>
      </c>
      <c r="AH99" s="64" t="n">
        <f aca="false">IF(AH84&gt;0,AH98*AH13/AH84,0)</f>
        <v>7.75180274833621</v>
      </c>
      <c r="AI99" s="64" t="n">
        <f aca="false">IF(AI84&gt;0,AI98*AI13/AI84,0)</f>
        <v>7.75096941500287</v>
      </c>
      <c r="AJ99" s="64" t="n">
        <f aca="false">IF(AJ84&gt;0,AJ98*AJ13/AJ84,0)</f>
        <v>7.75096941500287</v>
      </c>
      <c r="AK99" s="64" t="n">
        <f aca="false">IF(AK84&gt;0,AK98*AK13/AK84,0)</f>
        <v>7.75430274833621</v>
      </c>
      <c r="AL99" s="64" t="n">
        <f aca="false">IF(AL84&gt;0,AL98*AL13/AL84,0)</f>
        <v>7.75430274833621</v>
      </c>
      <c r="AM99" s="64" t="n">
        <f aca="false">IF(AM84&gt;0,AM98*AM13/AM84,0)</f>
        <v>7.75096941500287</v>
      </c>
      <c r="AN99" s="64" t="n">
        <f aca="false">IF(AN84&gt;0,AN98*AN13/AN84,0)</f>
        <v>7.75451108166954</v>
      </c>
      <c r="AO99" s="64" t="n">
        <f aca="false">IF(AO84&gt;0,AO98*AO13/AO84,0)</f>
        <v>7.75451108166954</v>
      </c>
      <c r="AP99" s="64" t="n">
        <f aca="false">IF(AP84&gt;0,AP98*AP13/AP84,0)</f>
        <v>7.75022707665763</v>
      </c>
      <c r="AQ99" s="64" t="n">
        <f aca="false">IF(AQ84&gt;0,AQ98*AQ13/AQ84,0)</f>
        <v>7.75078167365048</v>
      </c>
      <c r="AR99" s="64" t="n">
        <f aca="false">IF(AR84&gt;0,AR98*AR13/AR84,0)</f>
        <v>7.75078167365048</v>
      </c>
      <c r="AS99" s="64" t="n">
        <f aca="false">IF(AS84&gt;0,AS98*AS13/AS84,0)</f>
        <v>7.75117774833621</v>
      </c>
      <c r="AT99" s="64" t="n">
        <f aca="false">IF(AT84&gt;0,AT98*AT13/AT84,0)</f>
        <v>7.75117774833621</v>
      </c>
      <c r="AU99" s="64" t="n">
        <f aca="false">IF(AU84&gt;0,AU98*AU13/AU84,0)</f>
        <v>7.75117774833621</v>
      </c>
      <c r="AV99" s="64" t="n">
        <f aca="false">IF(AV84&gt;0,AV98*AV13/AV84,0)</f>
        <v>7.74930274833621</v>
      </c>
      <c r="AW99" s="64" t="n">
        <f aca="false">IF(AW84&gt;0,AW98*AW13/AW84,0)</f>
        <v>7.74930274833621</v>
      </c>
      <c r="AX99" s="64" t="n">
        <f aca="false">IF(AX84&gt;0,AX98*AX13/AX84,0)</f>
        <v>7.82757853367294</v>
      </c>
      <c r="AY99" s="64" t="n">
        <f aca="false">IF(AY84&gt;0,AY98*AY13/AY84,0)</f>
        <v>7.74991896721716</v>
      </c>
      <c r="AZ99" s="64" t="n">
        <f aca="false">IF(AZ84&gt;0,AZ98*AZ13/AZ84,0)</f>
        <v>18.4500897124789</v>
      </c>
      <c r="BA99" s="64" t="n">
        <f aca="false">IF(BA84&gt;0,BA98*BA13/BA84,0)</f>
        <v>18.4497347258609</v>
      </c>
      <c r="BB99" s="64" t="n">
        <f aca="false">IF(BB84&gt;0,BB98*BB13/BB84,0)</f>
        <v>18.4501316667696</v>
      </c>
      <c r="BC99" s="64" t="n">
        <f aca="false">IF(BC84&gt;0,BC98*BC13/BC84,0)</f>
        <v>18.4501316667696</v>
      </c>
      <c r="BD99" s="64" t="n">
        <f aca="false">IF(BD84&gt;0,BD98*BD13/BD84,0)</f>
        <v>18.6364883113149</v>
      </c>
      <c r="BE99" s="64" t="n">
        <f aca="false">IF(BE84&gt;0,BE98*BE13/BE84,0)</f>
        <v>18.4808897124789</v>
      </c>
      <c r="BF99" s="64" t="n">
        <f aca="false">IF(BF84&gt;0,BF98*BF13/BF84,0)</f>
        <v>18.4808897124789</v>
      </c>
      <c r="BG99" s="64" t="n">
        <f aca="false">IF(BG84&gt;0,BG98*BG13/BG84,0)</f>
        <v>18.4808897124789</v>
      </c>
      <c r="BH99" s="64" t="n">
        <f aca="false">IF(BH84&gt;0,BH98*BH13/BH84,0)</f>
        <v>18.4885897124789</v>
      </c>
      <c r="BI99" s="64" t="n">
        <f aca="false">IF(BI84&gt;0,BI98*BI13/BI84,0)</f>
        <v>18.4577897124789</v>
      </c>
      <c r="BJ99" s="64" t="n">
        <f aca="false">IF(BJ84&gt;0,BJ98*BJ13/BJ84,0)</f>
        <v>18.54120082359</v>
      </c>
      <c r="BK99" s="64" t="n">
        <f aca="false">IF(BK84&gt;0,BK98*BK13/BK84,0)</f>
        <v>18.4856452680344</v>
      </c>
      <c r="BL99" s="64" t="n">
        <f aca="false">IF(BL84&gt;0,BL98*BL13/BL84,0)</f>
        <v>18.5389786013678</v>
      </c>
      <c r="BM99" s="64" t="n">
        <f aca="false">IF(BM84&gt;0,BM98*BM13/BM84,0)</f>
        <v>18.4945341569233</v>
      </c>
      <c r="BN99" s="64" t="n">
        <f aca="false">IF(BN84&gt;0,BN98*BN13/BN84,0)</f>
        <v>18.4967563791455</v>
      </c>
      <c r="BO99" s="64" t="n">
        <f aca="false">IF(BO84&gt;0,BO98*BO13/BO84,0)</f>
        <v>18.4967563791455</v>
      </c>
      <c r="BP99" s="64" t="n">
        <f aca="false">IF(BP84&gt;0,BP98*BP13/BP84,0)</f>
        <v>18.6167563791455</v>
      </c>
      <c r="BQ99" s="64" t="n">
        <f aca="false">IF(BQ84&gt;0,BQ98*BQ13/BQ84,0)</f>
        <v>18.5667563791455</v>
      </c>
      <c r="BR99" s="64" t="n">
        <f aca="false">IF(BR84&gt;0,BR98*BR13/BR84,0)</f>
        <v>18.4534230458122</v>
      </c>
      <c r="BS99" s="64" t="n">
        <f aca="false">IF(BS84&gt;0,BS98*BS13/BS84,0)</f>
        <v>18.4667563791455</v>
      </c>
      <c r="BT99" s="64" t="n">
        <f aca="false">IF(BT84&gt;0,BT98*BT13/BT84,0)</f>
        <v>18.4667563791455</v>
      </c>
      <c r="BU99" s="64" t="n">
        <f aca="false">IF(BU84&gt;0,BU98*BU13/BU84,0)</f>
        <v>18.4667563791455</v>
      </c>
      <c r="BV99" s="64" t="n">
        <f aca="false">IF(BV84&gt;0,BV98*BV13/BV84,0)</f>
        <v>18.4874230458122</v>
      </c>
      <c r="BW99" s="64" t="n">
        <f aca="false">IF(BW84&gt;0,BW98*BW13/BW84,0)</f>
        <v>18.4874230458122</v>
      </c>
      <c r="BX99" s="64" t="n">
        <f aca="false">IF(BX84&gt;0,BX98*BX13/BX84,0)</f>
        <v>18.4874230458122</v>
      </c>
      <c r="BY99" s="64" t="n">
        <f aca="false">IF(BY84&gt;0,BY98*BY13/BY84,0)</f>
        <v>18.4945341569233</v>
      </c>
      <c r="BZ99" s="64" t="n">
        <f aca="false">IF(BZ84&gt;0,BZ98*BZ13/BZ84,0)</f>
        <v>18.4945341569233</v>
      </c>
      <c r="CA99" s="64" t="n">
        <f aca="false">IF(CA84&gt;0,CA98*CA13/CA84,0)</f>
        <v>18.4667563791455</v>
      </c>
      <c r="CB99" s="64" t="n">
        <f aca="false">IF(CB84&gt;0,CB98*CB13/CB84,0)</f>
        <v>18.4667563791455</v>
      </c>
      <c r="CC99" s="64" t="n">
        <f aca="false">IF(CC84&gt;0,CC98*CC13/CC84,0)</f>
        <v>18.46120082359</v>
      </c>
      <c r="CD99" s="64" t="n">
        <f aca="false">IF(CD84&gt;0,CD98*CD13/CD84,0)</f>
        <v>18.4550897124789</v>
      </c>
      <c r="CE99" s="64" t="n">
        <f aca="false">IF(CE84&gt;0,CE98*CE13/CE84,0)</f>
        <v>18.4550897124789</v>
      </c>
      <c r="CF99" s="64" t="n">
        <f aca="false">IF(CF84&gt;0,CF98*CF13/CF84,0)</f>
        <v>18.4501338333701</v>
      </c>
      <c r="CG99" s="64" t="n">
        <f aca="false">IF(CG84&gt;0,CG98*CG13/CG84,0)</f>
        <v>18.4504426796088</v>
      </c>
      <c r="CH99" s="64" t="n">
        <f aca="false">IF(CH84&gt;0,CH98*CH13/CH84,0)</f>
        <v>18.4504426796088</v>
      </c>
      <c r="CI99" s="64" t="n">
        <f aca="false">IF(CI84&gt;0,CI98*CI13/CI84,0)</f>
        <v>18.4542563791455</v>
      </c>
      <c r="CJ99" s="64" t="n">
        <f aca="false">IF(CJ84&gt;0,CJ98*CJ13/CJ84,0)</f>
        <v>18.4542563791455</v>
      </c>
      <c r="CK99" s="64" t="n">
        <f aca="false">IF(CK84&gt;0,CK98*CK13/CK84,0)</f>
        <v>18.4542563791455</v>
      </c>
      <c r="CL99" s="64" t="n">
        <f aca="false">IF(CL84&gt;0,CL98*CL13/CL84,0)</f>
        <v>18.4940941129189</v>
      </c>
      <c r="CM99" s="64" t="n">
        <f aca="false">IF(CM84&gt;0,CM98*CM13/CM84,0)</f>
        <v>18.4945341569233</v>
      </c>
      <c r="CN99" s="64" t="n">
        <f aca="false">IF(CN84&gt;0,CN98*CN13/CN84,0)</f>
        <v>18.6364542550292</v>
      </c>
      <c r="CO99" s="64" t="n">
        <f aca="false">IF(CO84&gt;0,CO98*CO13/CO84,0)</f>
        <v>18.4508250606662</v>
      </c>
      <c r="CP99" s="64" t="n">
        <f aca="false">IF(CP84&gt;0,CP98*CP13/CP84,0)</f>
        <v>55.7548341625208</v>
      </c>
      <c r="CQ99" s="64" t="n">
        <f aca="false">IF(CQ84&gt;0,CQ98*CQ13/CQ84,0)</f>
        <v>55.7513382896547</v>
      </c>
      <c r="CR99" s="64" t="n">
        <f aca="false">IF(CR84&gt;0,CR98*CR13/CR84,0)</f>
        <v>55.755192285378</v>
      </c>
      <c r="CS99" s="64" t="n">
        <f aca="false">IF(CS84&gt;0,CS98*CS13/CS84,0)</f>
        <v>55.755192285378</v>
      </c>
      <c r="CT99" s="64" t="n">
        <f aca="false">IF(CT84&gt;0,CT98*CT13/CT84,0)</f>
        <v>56.3183358684652</v>
      </c>
      <c r="CU99" s="64" t="n">
        <f aca="false">IF(CU84&gt;0,CU98*CU13/CU84,0)</f>
        <v>55.8796341625207</v>
      </c>
      <c r="CV99" s="64" t="n">
        <f aca="false">IF(CV84&gt;0,CV98*CV13/CV84,0)</f>
        <v>55.8796341625207</v>
      </c>
      <c r="CW99" s="64" t="n">
        <f aca="false">IF(CW84&gt;0,CW98*CW13/CW84,0)</f>
        <v>55.8796341625207</v>
      </c>
      <c r="CX99" s="64" t="n">
        <f aca="false">IF(CX84&gt;0,CX98*CX13/CX84,0)</f>
        <v>55.9628341625207</v>
      </c>
      <c r="CY99" s="64" t="n">
        <f aca="false">IF(CY84&gt;0,CY98*CY13/CY84,0)</f>
        <v>55.8380341625207</v>
      </c>
      <c r="CZ99" s="64" t="n">
        <f aca="false">IF(CZ84&gt;0,CZ98*CZ13/CZ84,0)</f>
        <v>55.9527508291874</v>
      </c>
      <c r="DA99" s="64" t="n">
        <f aca="false">IF(DA84&gt;0,DA98*DA13/DA84,0)</f>
        <v>55.8590008291874</v>
      </c>
      <c r="DB99" s="64" t="n">
        <f aca="false">IF(DB84&gt;0,DB98*DB13/DB84,0)</f>
        <v>56.2756674958541</v>
      </c>
      <c r="DC99" s="64" t="n">
        <f aca="false">IF(DC84&gt;0,DC98*DC13/DC84,0)</f>
        <v>56.1194174958541</v>
      </c>
      <c r="DD99" s="64" t="n">
        <f aca="false">IF(DD84&gt;0,DD98*DD13/DD84,0)</f>
        <v>55.8715008291874</v>
      </c>
      <c r="DE99" s="64" t="n">
        <f aca="false">IF(DE84&gt;0,DE98*DE13/DE84,0)</f>
        <v>55.8715008291874</v>
      </c>
      <c r="DF99" s="64" t="n">
        <f aca="false">IF(DF84&gt;0,DF98*DF13/DF84,0)</f>
        <v>56.4215008291874</v>
      </c>
      <c r="DG99" s="64" t="n">
        <f aca="false">IF(DG84&gt;0,DG98*DG13/DG84,0)</f>
        <v>56.2965008291874</v>
      </c>
      <c r="DH99" s="64" t="n">
        <f aca="false">IF(DH84&gt;0,DH98*DH13/DH84,0)</f>
        <v>55.7631674958541</v>
      </c>
      <c r="DI99" s="64" t="n">
        <f aca="false">IF(DI84&gt;0,DI98*DI13/DI84,0)</f>
        <v>55.7715008291874</v>
      </c>
      <c r="DJ99" s="64" t="n">
        <f aca="false">IF(DJ84&gt;0,DJ98*DJ13/DJ84,0)</f>
        <v>55.7715008291874</v>
      </c>
      <c r="DK99" s="64" t="n">
        <f aca="false">IF(DK84&gt;0,DK98*DK13/DK84,0)</f>
        <v>55.7715008291874</v>
      </c>
      <c r="DL99" s="64" t="n">
        <f aca="false">IF(DL84&gt;0,DL98*DL13/DL84,0)</f>
        <v>55.9631674958541</v>
      </c>
      <c r="DM99" s="64" t="n">
        <f aca="false">IF(DM84&gt;0,DM98*DM13/DM84,0)</f>
        <v>55.9631674958541</v>
      </c>
      <c r="DN99" s="64" t="n">
        <f aca="false">IF(DN84&gt;0,DN98*DN13/DN84,0)</f>
        <v>55.9631674958541</v>
      </c>
      <c r="DO99" s="64" t="n">
        <f aca="false">IF(DO84&gt;0,DO98*DO13/DO84,0)</f>
        <v>55.7860841625208</v>
      </c>
      <c r="DP99" s="64" t="n">
        <f aca="false">IF(DP84&gt;0,DP98*DP13/DP84,0)</f>
        <v>55.7860841625208</v>
      </c>
      <c r="DQ99" s="64" t="n">
        <f aca="false">IF(DQ84&gt;0,DQ98*DQ13/DQ84,0)</f>
        <v>55.7548341625208</v>
      </c>
      <c r="DR99" s="64" t="n">
        <f aca="false">IF(DR84&gt;0,DR98*DR13/DR84,0)</f>
        <v>55.7548341625208</v>
      </c>
      <c r="DS99" s="64" t="n">
        <f aca="false">IF(DS84&gt;0,DS98*DS13/DS84,0)</f>
        <v>55.8173341625208</v>
      </c>
      <c r="DT99" s="64" t="n">
        <f aca="false">IF(DT84&gt;0,DT98*DT13/DT84,0)</f>
        <v>55.7578341625207</v>
      </c>
      <c r="DU99" s="64" t="n">
        <f aca="false">IF(DU84&gt;0,DU98*DU13/DU84,0)</f>
        <v>55.7578341625207</v>
      </c>
      <c r="DV99" s="64" t="n">
        <f aca="false">IF(DV84&gt;0,DV98*DV13/DV84,0)</f>
        <v>55.7549585406302</v>
      </c>
      <c r="DW99" s="64" t="n">
        <f aca="false">IF(DW84&gt;0,DW98*DW13/DW84,0)</f>
        <v>55.7585655058043</v>
      </c>
      <c r="DX99" s="64" t="n">
        <f aca="false">IF(DX84&gt;0,DX98*DX13/DX84,0)</f>
        <v>55.7585655058043</v>
      </c>
      <c r="DY99" s="64" t="n">
        <f aca="false">IF(DY84&gt;0,DY98*DY13/DY84,0)</f>
        <v>55.7673341625208</v>
      </c>
      <c r="DZ99" s="64" t="n">
        <f aca="false">IF(DZ84&gt;0,DZ98*DZ13/DZ84,0)</f>
        <v>55.7673341625208</v>
      </c>
      <c r="EA99" s="64" t="n">
        <f aca="false">IF(EA84&gt;0,EA98*EA13/EA84,0)</f>
        <v>55.7673341625208</v>
      </c>
      <c r="EB99" s="64" t="n">
        <f aca="false">IF(EB84&gt;0,EB98*EB13/EB84,0)</f>
        <v>55.8373424133458</v>
      </c>
      <c r="EC99" s="64" t="n">
        <f aca="false">IF(EC84&gt;0,EC98*EC13/EC84,0)</f>
        <v>55.8381674958541</v>
      </c>
      <c r="ED99" s="64" t="n">
        <f aca="false">IF(ED84&gt;0,ED98*ED13/ED84,0)</f>
        <v>56.3180143055765</v>
      </c>
      <c r="EE99" s="64" t="n">
        <f aca="false">IF(EE84&gt;0,EE98*EE13/EE84,0)</f>
        <v>55.7589800995025</v>
      </c>
      <c r="EF99" s="64" t="n">
        <f aca="false">IF(EF84&gt;0,EF98*EF13/EF84,0)</f>
        <v>7.80377525252525</v>
      </c>
      <c r="EG99" s="64" t="n">
        <f aca="false">IF(EG84&gt;0,EG98*EG13/EG84,0)</f>
        <v>7.80427530253026</v>
      </c>
      <c r="EH99" s="64" t="n">
        <f aca="false">IF(EH84&gt;0,EH98*EH13/EH84,0)</f>
        <v>7.80622549754976</v>
      </c>
      <c r="EI99" s="64" t="n">
        <f aca="false">IF(EI84&gt;0,EI98*EI13/EI84,0)</f>
        <v>7.80622549754976</v>
      </c>
      <c r="EJ99" s="64" t="n">
        <f aca="false">IF(EJ84&gt;0,EJ98*EJ13/EJ84,0)</f>
        <v>7.88510101010101</v>
      </c>
      <c r="EK99" s="64" t="n">
        <f aca="false">IF(EK84&gt;0,EK98*EK13/EK84,0)</f>
        <v>7.82897525252525</v>
      </c>
      <c r="EL99" s="64" t="n">
        <f aca="false">IF(EL84&gt;0,EL98*EL13/EL84,0)</f>
        <v>7.82897525252525</v>
      </c>
      <c r="EM99" s="64" t="n">
        <f aca="false">IF(EM84&gt;0,EM98*EM13/EM84,0)</f>
        <v>7.82897525252525</v>
      </c>
      <c r="EN99" s="64" t="n">
        <f aca="false">IF(EN84&gt;0,EN98*EN13/EN84,0)</f>
        <v>7.83527525252525</v>
      </c>
      <c r="EO99" s="64" t="n">
        <f aca="false">IF(EO84&gt;0,EO98*EO13/EO84,0)</f>
        <v>7.81007525252525</v>
      </c>
      <c r="EP99" s="64" t="n">
        <f aca="false">IF(EP84&gt;0,EP98*EP13/EP84,0)</f>
        <v>7.83210858585859</v>
      </c>
      <c r="EQ99" s="64" t="n">
        <f aca="false">IF(EQ84&gt;0,EQ98*EQ13/EQ84,0)</f>
        <v>7.82877525252525</v>
      </c>
      <c r="ER99" s="64" t="n">
        <f aca="false">IF(ER84&gt;0,ER98*ER13/ER84,0)</f>
        <v>7.85377525252525</v>
      </c>
      <c r="ES99" s="64" t="n">
        <f aca="false">IF(ES84&gt;0,ES98*ES13/ES84,0)</f>
        <v>7.82377525252525</v>
      </c>
      <c r="ET99" s="64" t="n">
        <f aca="false">IF(ET84&gt;0,ET98*ET13/ET84,0)</f>
        <v>7.82252525252525</v>
      </c>
      <c r="EU99" s="64" t="n">
        <f aca="false">IF(EU84&gt;0,EU98*EU13/EU84,0)</f>
        <v>7.82252525252525</v>
      </c>
      <c r="EV99" s="64" t="n">
        <f aca="false">IF(EV84&gt;0,EV98*EV13/EV84,0)</f>
        <v>7.85377525252525</v>
      </c>
      <c r="EW99" s="64" t="n">
        <f aca="false">IF(EW84&gt;0,EW98*EW13/EW84,0)</f>
        <v>7.83294191919192</v>
      </c>
      <c r="EX99" s="64" t="n">
        <f aca="false">IF(EX84&gt;0,EX98*EX13/EX84,0)</f>
        <v>7.80585858585859</v>
      </c>
      <c r="EY99" s="64" t="n">
        <f aca="false">IF(EY84&gt;0,EY98*EY13/EY84,0)</f>
        <v>7.81158775252525</v>
      </c>
      <c r="EZ99" s="64" t="n">
        <f aca="false">IF(EZ84&gt;0,EZ98*EZ13/EZ84,0)</f>
        <v>7.81158775252525</v>
      </c>
      <c r="FA99" s="64" t="n">
        <f aca="false">IF(FA84&gt;0,FA98*FA13/FA84,0)</f>
        <v>7.81158775252525</v>
      </c>
      <c r="FB99" s="64" t="n">
        <f aca="false">IF(FB84&gt;0,FB98*FB13/FB84,0)</f>
        <v>7.80627525252525</v>
      </c>
      <c r="FC99" s="64" t="n">
        <f aca="false">IF(FC84&gt;0,FC98*FC13/FC84,0)</f>
        <v>7.80627525252525</v>
      </c>
      <c r="FD99" s="64" t="n">
        <f aca="false">IF(FD84&gt;0,FD98*FD13/FD84,0)</f>
        <v>7.80627525252525</v>
      </c>
      <c r="FE99" s="64" t="n">
        <f aca="false">IF(FE84&gt;0,FE98*FE13/FE84,0)</f>
        <v>7.80544191919192</v>
      </c>
      <c r="FF99" s="64" t="n">
        <f aca="false">IF(FF84&gt;0,FF98*FF13/FF84,0)</f>
        <v>7.80544191919192</v>
      </c>
      <c r="FG99" s="64" t="n">
        <f aca="false">IF(FG84&gt;0,FG98*FG13/FG84,0)</f>
        <v>7.80877525252525</v>
      </c>
      <c r="FH99" s="64" t="n">
        <f aca="false">IF(FH84&gt;0,FH98*FH13/FH84,0)</f>
        <v>7.80877525252525</v>
      </c>
      <c r="FI99" s="64" t="n">
        <f aca="false">IF(FI84&gt;0,FI98*FI13/FI84,0)</f>
        <v>7.80544191919192</v>
      </c>
      <c r="FJ99" s="64" t="n">
        <f aca="false">IF(FJ84&gt;0,FJ98*FJ13/FJ84,0)</f>
        <v>7.80898358585859</v>
      </c>
      <c r="FK99" s="64" t="n">
        <f aca="false">IF(FK84&gt;0,FK98*FK13/FK84,0)</f>
        <v>7.80898358585859</v>
      </c>
      <c r="FL99" s="64" t="n">
        <f aca="false">IF(FL84&gt;0,FL98*FL13/FL84,0)</f>
        <v>7.80453282828283</v>
      </c>
      <c r="FM99" s="64" t="n">
        <f aca="false">IF(FM84&gt;0,FM98*FM13/FM84,0)</f>
        <v>7.80498737373737</v>
      </c>
      <c r="FN99" s="64" t="n">
        <f aca="false">IF(FN84&gt;0,FN98*FN13/FN84,0)</f>
        <v>7.80498737373737</v>
      </c>
      <c r="FO99" s="64" t="n">
        <f aca="false">IF(FO84&gt;0,FO98*FO13/FO84,0)</f>
        <v>7.80565025252525</v>
      </c>
      <c r="FP99" s="64" t="n">
        <f aca="false">IF(FP84&gt;0,FP98*FP13/FP84,0)</f>
        <v>7.80565025252525</v>
      </c>
      <c r="FQ99" s="64" t="n">
        <f aca="false">IF(FQ84&gt;0,FQ98*FQ13/FQ84,0)</f>
        <v>7.80565025252525</v>
      </c>
      <c r="FR99" s="64" t="n">
        <f aca="false">IF(FR84&gt;0,FR98*FR13/FR84,0)</f>
        <v>7.80377525252525</v>
      </c>
      <c r="FS99" s="64" t="n">
        <f aca="false">IF(FS84&gt;0,FS98*FS13/FS84,0)</f>
        <v>7.80377525252525</v>
      </c>
      <c r="FT99" s="64" t="n">
        <f aca="false">IF(FT84&gt;0,FT98*FT13/FT84,0)</f>
        <v>7.88260126517702</v>
      </c>
      <c r="FU99" s="64" t="n">
        <f aca="false">IF(FU84&gt;0,FU98*FU13/FU84,0)</f>
        <v>7.8042803030303</v>
      </c>
      <c r="FV99" s="64" t="n">
        <f aca="false">IF(FV84&gt;0,FV98*FV13/FV84,0)</f>
        <v>18.4716666666667</v>
      </c>
      <c r="FW99" s="64" t="n">
        <f aca="false">IF(FW84&gt;0,FW98*FW13/FW84,0)</f>
        <v>18.4722560113154</v>
      </c>
      <c r="FX99" s="64" t="n">
        <f aca="false">IF(FX84&gt;0,FX98*FX13/FX84,0)</f>
        <v>18.4725742574257</v>
      </c>
      <c r="FY99" s="64" t="n">
        <f aca="false">IF(FY84&gt;0,FY98*FY13/FY84,0)</f>
        <v>18.4725742574257</v>
      </c>
      <c r="FZ99" s="64" t="n">
        <f aca="false">IF(FZ84&gt;0,FZ98*FZ13/FZ84,0)</f>
        <v>18.6591750841751</v>
      </c>
      <c r="GA99" s="64" t="n">
        <f aca="false">IF(GA84&gt;0,GA98*GA13/GA84,0)</f>
        <v>18.5024666666667</v>
      </c>
      <c r="GB99" s="64" t="n">
        <f aca="false">IF(GB84&gt;0,GB98*GB13/GB84,0)</f>
        <v>18.5024666666667</v>
      </c>
      <c r="GC99" s="64" t="n">
        <f aca="false">IF(GC84&gt;0,GC98*GC13/GC84,0)</f>
        <v>18.5024666666667</v>
      </c>
      <c r="GD99" s="64" t="n">
        <f aca="false">IF(GD84&gt;0,GD98*GD13/GD84,0)</f>
        <v>18.5101666666667</v>
      </c>
      <c r="GE99" s="64" t="n">
        <f aca="false">IF(GE84&gt;0,GE98*GE13/GE84,0)</f>
        <v>18.4793666666667</v>
      </c>
      <c r="GF99" s="64" t="n">
        <f aca="false">IF(GF84&gt;0,GF98*GF13/GF84,0)</f>
        <v>18.5627777777778</v>
      </c>
      <c r="GG99" s="64" t="n">
        <f aca="false">IF(GG84&gt;0,GG98*GG13/GG84,0)</f>
        <v>18.5072222222222</v>
      </c>
      <c r="GH99" s="64" t="n">
        <f aca="false">IF(GH84&gt;0,GH98*GH13/GH84,0)</f>
        <v>18.5605555555556</v>
      </c>
      <c r="GI99" s="64" t="n">
        <f aca="false">IF(GI84&gt;0,GI98*GI13/GI84,0)</f>
        <v>18.5161111111111</v>
      </c>
      <c r="GJ99" s="64" t="n">
        <f aca="false">IF(GJ84&gt;0,GJ98*GJ13/GJ84,0)</f>
        <v>18.5183333333333</v>
      </c>
      <c r="GK99" s="64" t="n">
        <f aca="false">IF(GK84&gt;0,GK98*GK13/GK84,0)</f>
        <v>18.5183333333333</v>
      </c>
      <c r="GL99" s="64" t="n">
        <f aca="false">IF(GL84&gt;0,GL98*GL13/GL84,0)</f>
        <v>18.6383333333333</v>
      </c>
      <c r="GM99" s="64" t="n">
        <f aca="false">IF(GM84&gt;0,GM98*GM13/GM84,0)</f>
        <v>18.5883333333333</v>
      </c>
      <c r="GN99" s="64" t="n">
        <f aca="false">IF(GN84&gt;0,GN98*GN13/GN84,0)</f>
        <v>18.475</v>
      </c>
      <c r="GO99" s="64" t="n">
        <f aca="false">IF(GO84&gt;0,GO98*GO13/GO84,0)</f>
        <v>18.4883333333333</v>
      </c>
      <c r="GP99" s="64" t="n">
        <f aca="false">IF(GP84&gt;0,GP98*GP13/GP84,0)</f>
        <v>18.4883333333333</v>
      </c>
      <c r="GQ99" s="64" t="n">
        <f aca="false">IF(GQ84&gt;0,GQ98*GQ13/GQ84,0)</f>
        <v>18.4883333333333</v>
      </c>
      <c r="GR99" s="64" t="n">
        <f aca="false">IF(GR84&gt;0,GR98*GR13/GR84,0)</f>
        <v>18.509</v>
      </c>
      <c r="GS99" s="64" t="n">
        <f aca="false">IF(GS84&gt;0,GS98*GS13/GS84,0)</f>
        <v>18.509</v>
      </c>
      <c r="GT99" s="64" t="n">
        <f aca="false">IF(GT84&gt;0,GT98*GT13/GT84,0)</f>
        <v>18.509</v>
      </c>
      <c r="GU99" s="64" t="n">
        <f aca="false">IF(GU84&gt;0,GU98*GU13/GU84,0)</f>
        <v>18.5161111111111</v>
      </c>
      <c r="GV99" s="64" t="n">
        <f aca="false">IF(GV84&gt;0,GV98*GV13/GV84,0)</f>
        <v>18.5161111111111</v>
      </c>
      <c r="GW99" s="64" t="n">
        <f aca="false">IF(GW84&gt;0,GW98*GW13/GW84,0)</f>
        <v>18.4883333333333</v>
      </c>
      <c r="GX99" s="64" t="n">
        <f aca="false">IF(GX84&gt;0,GX98*GX13/GX84,0)</f>
        <v>18.4883333333333</v>
      </c>
      <c r="GY99" s="64" t="n">
        <f aca="false">IF(GY84&gt;0,GY98*GY13/GY84,0)</f>
        <v>18.4827777777778</v>
      </c>
      <c r="GZ99" s="64" t="n">
        <f aca="false">IF(GZ84&gt;0,GZ98*GZ13/GZ84,0)</f>
        <v>18.4766666666667</v>
      </c>
      <c r="HA99" s="64" t="n">
        <f aca="false">IF(HA84&gt;0,HA98*HA13/HA84,0)</f>
        <v>18.4766666666667</v>
      </c>
      <c r="HB99" s="64" t="n">
        <f aca="false">IF(HB84&gt;0,HB98*HB13/HB84,0)</f>
        <v>18.4717023809524</v>
      </c>
      <c r="HC99" s="64" t="n">
        <f aca="false">IF(HC84&gt;0,HC98*HC13/HC84,0)</f>
        <v>18.4719523809524</v>
      </c>
      <c r="HD99" s="64" t="n">
        <f aca="false">IF(HD84&gt;0,HD98*HD13/HD84,0)</f>
        <v>18.4719523809524</v>
      </c>
      <c r="HE99" s="64" t="n">
        <f aca="false">IF(HE84&gt;0,HE98*HE13/HE84,0)</f>
        <v>18.4758333333333</v>
      </c>
      <c r="HF99" s="64" t="n">
        <f aca="false">IF(HF84&gt;0,HF98*HF13/HF84,0)</f>
        <v>18.4758333333333</v>
      </c>
      <c r="HG99" s="64" t="n">
        <f aca="false">IF(HG84&gt;0,HG98*HG13/HG84,0)</f>
        <v>18.4758333333333</v>
      </c>
      <c r="HH99" s="64" t="n">
        <f aca="false">IF(HH84&gt;0,HH98*HH13/HH84,0)</f>
        <v>18.5156710671067</v>
      </c>
      <c r="HI99" s="64" t="n">
        <f aca="false">IF(HI84&gt;0,HI98*HI13/HI84,0)</f>
        <v>18.5161111111111</v>
      </c>
      <c r="HJ99" s="64" t="n">
        <f aca="false">IF(HJ84&gt;0,HJ98*HJ13/HJ84,0)</f>
        <v>18.6582491582492</v>
      </c>
      <c r="HK99" s="64" t="n">
        <f aca="false">IF(HK84&gt;0,HK98*HK13/HK84,0)</f>
        <v>18.4722619047619</v>
      </c>
      <c r="HL99" s="64" t="n">
        <f aca="false">IF(HL84&gt;0,HL98*HL13/HL84,0)</f>
        <v>55.8401851851852</v>
      </c>
      <c r="HM99" s="64" t="n">
        <f aca="false">IF(HM84&gt;0,HM98*HM13/HM84,0)</f>
        <v>55.8438522185552</v>
      </c>
      <c r="HN99" s="64" t="n">
        <f aca="false">IF(HN84&gt;0,HN98*HN13/HN84,0)</f>
        <v>55.8472625595893</v>
      </c>
      <c r="HO99" s="64" t="n">
        <f aca="false">IF(HO84&gt;0,HO98*HO13/HO84,0)</f>
        <v>55.8472625595893</v>
      </c>
      <c r="HP99" s="64" t="n">
        <f aca="false">IF(HP84&gt;0,HP98*HP13/HP84,0)</f>
        <v>56.4114478114478</v>
      </c>
      <c r="HQ99" s="64" t="n">
        <f aca="false">IF(HQ84&gt;0,HQ98*HQ13/HQ84,0)</f>
        <v>55.9649851851852</v>
      </c>
      <c r="HR99" s="64" t="n">
        <f aca="false">IF(HR84&gt;0,HR98*HR13/HR84,0)</f>
        <v>55.9649851851852</v>
      </c>
      <c r="HS99" s="64" t="n">
        <f aca="false">IF(HS84&gt;0,HS98*HS13/HS84,0)</f>
        <v>55.9649851851852</v>
      </c>
      <c r="HT99" s="64" t="n">
        <f aca="false">IF(HT84&gt;0,HT98*HT13/HT84,0)</f>
        <v>56.0481851851852</v>
      </c>
      <c r="HU99" s="64" t="n">
        <f aca="false">IF(HU84&gt;0,HU98*HU13/HU84,0)</f>
        <v>55.9233851851852</v>
      </c>
      <c r="HV99" s="64" t="n">
        <f aca="false">IF(HV84&gt;0,HV98*HV13/HV84,0)</f>
        <v>56.0381018518519</v>
      </c>
      <c r="HW99" s="64" t="n">
        <f aca="false">IF(HW84&gt;0,HW98*HW13/HW84,0)</f>
        <v>55.9443518518519</v>
      </c>
      <c r="HX99" s="64" t="n">
        <f aca="false">IF(HX84&gt;0,HX98*HX13/HX84,0)</f>
        <v>56.3610185185185</v>
      </c>
      <c r="HY99" s="64" t="n">
        <f aca="false">IF(HY84&gt;0,HY98*HY13/HY84,0)</f>
        <v>56.2047685185185</v>
      </c>
      <c r="HZ99" s="64" t="n">
        <f aca="false">IF(HZ84&gt;0,HZ98*HZ13/HZ84,0)</f>
        <v>55.9568518518519</v>
      </c>
      <c r="IA99" s="64" t="n">
        <f aca="false">IF(IA84&gt;0,IA98*IA13/IA84,0)</f>
        <v>55.9568518518519</v>
      </c>
      <c r="IB99" s="64" t="n">
        <f aca="false">IF(IB84&gt;0,IB98*IB13/IB84,0)</f>
        <v>56.5068518518519</v>
      </c>
      <c r="IC99" s="64" t="n">
        <f aca="false">IF(IC84&gt;0,IC98*IC13/IC84,0)</f>
        <v>56.3818518518519</v>
      </c>
      <c r="ID99" s="64" t="n">
        <f aca="false">IF(ID84&gt;0,ID98*ID13/ID84,0)</f>
        <v>55.8485185185185</v>
      </c>
      <c r="IE99" s="64" t="n">
        <f aca="false">IF(IE84&gt;0,IE98*IE13/IE84,0)</f>
        <v>55.8568518518519</v>
      </c>
      <c r="IF99" s="64" t="n">
        <f aca="false">IF(IF84&gt;0,IF98*IF13/IF84,0)</f>
        <v>55.8568518518519</v>
      </c>
      <c r="IG99" s="64" t="n">
        <f aca="false">IF(IG84&gt;0,IG98*IG13/IG84,0)</f>
        <v>55.8568518518519</v>
      </c>
      <c r="IH99" s="64" t="n">
        <f aca="false">IF(IH84&gt;0,IH98*IH13/IH84,0)</f>
        <v>56.0485185185185</v>
      </c>
      <c r="II99" s="64" t="n">
        <f aca="false">IF(II84&gt;0,II98*II13/II84,0)</f>
        <v>56.0485185185185</v>
      </c>
      <c r="IJ99" s="64" t="n">
        <f aca="false">IF(IJ84&gt;0,IJ98*IJ13/IJ84,0)</f>
        <v>56.0485185185185</v>
      </c>
      <c r="IK99" s="64" t="n">
        <f aca="false">IF(IK84&gt;0,IK98*IK13/IK84,0)</f>
        <v>55.8714351851852</v>
      </c>
      <c r="IL99" s="64" t="n">
        <f aca="false">IF(IL84&gt;0,IL98*IL13/IL84,0)</f>
        <v>55.8714351851852</v>
      </c>
      <c r="IM99" s="64" t="n">
        <f aca="false">IF(IM84&gt;0,IM98*IM13/IM84,0)</f>
        <v>55.8401851851852</v>
      </c>
      <c r="IN99" s="64" t="n">
        <f aca="false">IF(IN84&gt;0,IN98*IN13/IN84,0)</f>
        <v>55.8401851851852</v>
      </c>
      <c r="IO99" s="64" t="n">
        <f aca="false">IF(IO84&gt;0,IO98*IO13/IO84,0)</f>
        <v>55.9026851851852</v>
      </c>
      <c r="IP99" s="64" t="n">
        <f aca="false">IF(IP84&gt;0,IP98*IP13/IP84,0)</f>
        <v>55.8431851851852</v>
      </c>
      <c r="IQ99" s="64" t="n">
        <f aca="false">IF(IQ84&gt;0,IQ98*IQ13/IQ84,0)</f>
        <v>55.8431851851852</v>
      </c>
      <c r="IR99" s="64" t="n">
        <f aca="false">IF(IR84&gt;0,IR98*IR13/IR84,0)</f>
        <v>55.8402962962963</v>
      </c>
      <c r="IS99" s="64" t="n">
        <f aca="false">IF(IS84&gt;0,IS98*IS13/IS84,0)</f>
        <v>55.8435185185185</v>
      </c>
      <c r="IT99" s="64" t="n">
        <f aca="false">IF(IT84&gt;0,IT98*IT13/IT84,0)</f>
        <v>55.8435185185185</v>
      </c>
      <c r="IU99" s="64" t="n">
        <f aca="false">IF(IU84&gt;0,IU98*IU13/IU84,0)</f>
        <v>55.8526851851852</v>
      </c>
      <c r="IV99" s="64" t="n">
        <f aca="false">IF(IV84&gt;0,IV98*IV13/IV84,0)</f>
        <v>55.8526851851852</v>
      </c>
      <c r="IW99" s="64" t="n">
        <f aca="false">IF(IW84&gt;0,IW98*IW13/IW84,0)</f>
        <v>55.8526851851852</v>
      </c>
      <c r="IX99" s="64" t="n">
        <f aca="false">IF(IX84&gt;0,IX98*IX13/IX84,0)</f>
        <v>55.9226934360103</v>
      </c>
      <c r="IY99" s="64" t="n">
        <f aca="false">IF(IY84&gt;0,IY98*IY13/IY84,0)</f>
        <v>55.9235185185185</v>
      </c>
      <c r="IZ99" s="64" t="n">
        <f aca="false">IF(IZ84&gt;0,IZ98*IZ13/IZ84,0)</f>
        <v>56.404227459783</v>
      </c>
      <c r="JA99" s="64" t="n">
        <f aca="false">IF(JA84&gt;0,JA98*JA13/JA84,0)</f>
        <v>55.8438888888889</v>
      </c>
    </row>
    <row r="100" customFormat="false" ht="15" hidden="false" customHeight="false" outlineLevel="0" collapsed="false">
      <c r="A100" s="2" t="s">
        <v>158</v>
      </c>
      <c r="B100" s="13" t="s">
        <v>159</v>
      </c>
      <c r="C100" s="13" t="s">
        <v>328</v>
      </c>
      <c r="D100" s="9" t="s">
        <v>327</v>
      </c>
      <c r="E100" s="61" t="n">
        <f aca="false">IF(AND(E13&gt;0,E97&gt;0),E84/E13/(E97/12),0)</f>
        <v>12.9043867877623</v>
      </c>
      <c r="F100" s="61" t="n">
        <f aca="false">IF(AND(F13&gt;0,F97&gt;0),F84/F13/(F97/12),0)</f>
        <v>10.8400556916928</v>
      </c>
      <c r="G100" s="61" t="n">
        <f aca="false">IF(AND(G13&gt;0,G97&gt;0),G84/G13/(G97/12),0)</f>
        <v>2.6903496755593</v>
      </c>
      <c r="H100" s="61" t="n">
        <f aca="false">IF(AND(H13&gt;0,H97&gt;0),H84/H13/(H97/12),0)</f>
        <v>7.56501370866101</v>
      </c>
      <c r="J100" s="61" t="n">
        <f aca="false">IF(AND(J13&gt;0,J97&gt;0),J84/J13/(J97/12),0)</f>
        <v>12.9043867877623</v>
      </c>
      <c r="K100" s="61" t="n">
        <f aca="false">IF(AND(K13&gt;0,K97&gt;0),K84/K13/(K97/12),0)</f>
        <v>12.9080190336204</v>
      </c>
      <c r="L100" s="61" t="n">
        <f aca="false">IF(AND(L13&gt;0,L97&gt;0),L84/L13/(L97/12),0)</f>
        <v>12.9040189747659</v>
      </c>
      <c r="M100" s="61" t="n">
        <f aca="false">IF(AND(M13&gt;0,M97&gt;0),M84/M13/(M97/12),0)</f>
        <v>12.9040189747659</v>
      </c>
      <c r="N100" s="61" t="n">
        <f aca="false">IF(AND(N13&gt;0,N97&gt;0),N84/N13/(N97/12),0)</f>
        <v>12.9040895217793</v>
      </c>
      <c r="O100" s="61" t="n">
        <f aca="false">IF(AND(O13&gt;0,O97&gt;0),O84/O13/(O97/12),0)</f>
        <v>12.8625589619093</v>
      </c>
      <c r="P100" s="61" t="n">
        <f aca="false">IF(AND(P13&gt;0,P97&gt;0),P84/P13/(P97/12),0)</f>
        <v>12.8625589619093</v>
      </c>
      <c r="Q100" s="61" t="n">
        <f aca="false">IF(AND(Q13&gt;0,Q97&gt;0),Q84/Q13/(Q97/12),0)</f>
        <v>12.8625589619093</v>
      </c>
      <c r="R100" s="61" t="n">
        <f aca="false">IF(AND(R13&gt;0,R97&gt;0),R84/R13/(R97/12),0)</f>
        <v>12.8521443396548</v>
      </c>
      <c r="S100" s="61" t="n">
        <f aca="false">IF(AND(S13&gt;0,S97&gt;0),S84/S13/(S97/12),0)</f>
        <v>12.8939043482407</v>
      </c>
      <c r="T100" s="61" t="n">
        <f aca="false">IF(AND(T13&gt;0,T97&gt;0),T84/T13/(T97/12),0)</f>
        <v>12.8573770937524</v>
      </c>
      <c r="U100" s="61" t="n">
        <f aca="false">IF(AND(U13&gt;0,U97&gt;0),U84/U13/(U97/12),0)</f>
        <v>12.8628898612678</v>
      </c>
      <c r="V100" s="61" t="n">
        <f aca="false">IF(AND(V13&gt;0,V97&gt;0),V84/V13/(V97/12),0)</f>
        <v>12.821658964493</v>
      </c>
      <c r="W100" s="61" t="n">
        <f aca="false">IF(AND(W13&gt;0,W97&gt;0),W84/W13/(W97/12),0)</f>
        <v>12.8711678820104</v>
      </c>
      <c r="X100" s="61" t="n">
        <f aca="false">IF(AND(X13&gt;0,X97&gt;0),X84/X13/(X97/12),0)</f>
        <v>12.8732390522732</v>
      </c>
      <c r="Y100" s="61" t="n">
        <f aca="false">IF(AND(Y13&gt;0,Y97&gt;0),Y84/Y13/(Y97/12),0)</f>
        <v>12.8732390522732</v>
      </c>
      <c r="Z100" s="61" t="n">
        <f aca="false">IF(AND(Z13&gt;0,Z97&gt;0),Z84/Z13/(Z97/12),0)</f>
        <v>12.821658964493</v>
      </c>
      <c r="AA100" s="61" t="n">
        <f aca="false">IF(AND(AA13&gt;0,AA97&gt;0),AA84/AA13/(AA97/12),0)</f>
        <v>12.855999640125</v>
      </c>
      <c r="AB100" s="61" t="n">
        <f aca="false">IF(AND(AB13&gt;0,AB97&gt;0),AB84/AB13/(AB97/12),0)</f>
        <v>12.9009184868858</v>
      </c>
      <c r="AC100" s="61" t="n">
        <f aca="false">IF(AND(AC13&gt;0,AC97&gt;0),AC84/AC13/(AC97/12),0)</f>
        <v>12.8913902654016</v>
      </c>
      <c r="AD100" s="61" t="n">
        <f aca="false">IF(AND(AD13&gt;0,AD97&gt;0),AD84/AD13/(AD97/12),0)</f>
        <v>12.8913902654016</v>
      </c>
      <c r="AE100" s="61" t="n">
        <f aca="false">IF(AND(AE13&gt;0,AE97&gt;0),AE84/AE13/(AE97/12),0)</f>
        <v>12.8913902654016</v>
      </c>
      <c r="AF100" s="61" t="n">
        <f aca="false">IF(AND(AF13&gt;0,AF97&gt;0),AF84/AF13/(AF97/12),0)</f>
        <v>12.9002250504198</v>
      </c>
      <c r="AG100" s="61" t="n">
        <f aca="false">IF(AND(AG13&gt;0,AG97&gt;0),AG84/AG13/(AG97/12),0)</f>
        <v>12.9002250504198</v>
      </c>
      <c r="AH100" s="61" t="n">
        <f aca="false">IF(AND(AH13&gt;0,AH97&gt;0),AH84/AH13/(AH97/12),0)</f>
        <v>12.9002250504198</v>
      </c>
      <c r="AI100" s="61" t="n">
        <f aca="false">IF(AND(AI13&gt;0,AI97&gt;0),AI84/AI13/(AI97/12),0)</f>
        <v>12.9016119979055</v>
      </c>
      <c r="AJ100" s="61" t="n">
        <f aca="false">IF(AND(AJ13&gt;0,AJ97&gt;0),AJ84/AJ13/(AJ97/12),0)</f>
        <v>12.9016119979055</v>
      </c>
      <c r="AK100" s="61" t="n">
        <f aca="false">IF(AND(AK13&gt;0,AK97&gt;0),AK84/AK13/(AK97/12),0)</f>
        <v>12.8960659965793</v>
      </c>
      <c r="AL100" s="61" t="n">
        <f aca="false">IF(AND(AL13&gt;0,AL97&gt;0),AL84/AL13/(AL97/12),0)</f>
        <v>12.8960659965793</v>
      </c>
      <c r="AM100" s="61" t="n">
        <f aca="false">IF(AND(AM13&gt;0,AM97&gt;0),AM84/AM13/(AM97/12),0)</f>
        <v>12.9016119979055</v>
      </c>
      <c r="AN100" s="61" t="n">
        <f aca="false">IF(AND(AN13&gt;0,AN97&gt;0),AN84/AN13/(AN97/12),0)</f>
        <v>12.8957195298082</v>
      </c>
      <c r="AO100" s="61" t="n">
        <f aca="false">IF(AND(AO13&gt;0,AO97&gt;0),AO84/AO13/(AO97/12),0)</f>
        <v>12.8957195298082</v>
      </c>
      <c r="AP100" s="61" t="n">
        <f aca="false">IF(AND(AP13&gt;0,AP97&gt;0),AP84/AP13/(AP97/12),0)</f>
        <v>12.9028477502528</v>
      </c>
      <c r="AQ100" s="61" t="n">
        <f aca="false">IF(AND(AQ13&gt;0,AQ97&gt;0),AQ84/AQ13/(AQ97/12),0)</f>
        <v>12.9019245039451</v>
      </c>
      <c r="AR100" s="61" t="n">
        <f aca="false">IF(AND(AR13&gt;0,AR97&gt;0),AR84/AR13/(AR97/12),0)</f>
        <v>12.9019245039451</v>
      </c>
      <c r="AS100" s="61" t="n">
        <f aca="false">IF(AND(AS13&gt;0,AS97&gt;0),AS84/AS13/(AS97/12),0)</f>
        <v>12.9012652330757</v>
      </c>
      <c r="AT100" s="61" t="n">
        <f aca="false">IF(AND(AT13&gt;0,AT97&gt;0),AT84/AT13/(AT97/12),0)</f>
        <v>12.9012652330757</v>
      </c>
      <c r="AU100" s="61" t="n">
        <f aca="false">IF(AND(AU13&gt;0,AU97&gt;0),AU84/AU13/(AU97/12),0)</f>
        <v>12.9012652330757</v>
      </c>
      <c r="AV100" s="61" t="n">
        <f aca="false">IF(AND(AV13&gt;0,AV97&gt;0),AV84/AV13/(AV97/12),0)</f>
        <v>12.9043867877623</v>
      </c>
      <c r="AW100" s="61" t="n">
        <f aca="false">IF(AND(AW13&gt;0,AW97&gt;0),AW84/AW13/(AW97/12),0)</f>
        <v>12.9043867877623</v>
      </c>
      <c r="AX100" s="61" t="n">
        <f aca="false">IF(AND(AX13&gt;0,AX97&gt;0),AX84/AX13/(AX97/12),0)</f>
        <v>12.7753429198847</v>
      </c>
      <c r="AY100" s="61" t="n">
        <f aca="false">IF(AND(AY13&gt;0,AY97&gt;0),AY84/AY13/(AY97/12),0)</f>
        <v>12.9033607219648</v>
      </c>
      <c r="AZ100" s="61" t="n">
        <f aca="false">IF(AND(AZ13&gt;0,AZ97&gt;0),AZ84/AZ13/(AZ97/12),0)</f>
        <v>10.8400556916928</v>
      </c>
      <c r="BA100" s="61" t="n">
        <f aca="false">IF(AND(BA13&gt;0,BA97&gt;0),BA84/BA13/(BA97/12),0)</f>
        <v>10.8402642624266</v>
      </c>
      <c r="BB100" s="61" t="n">
        <f aca="false">IF(AND(BB13&gt;0,BB97&gt;0),BB84/BB13/(BB97/12),0)</f>
        <v>10.8400310421751</v>
      </c>
      <c r="BC100" s="61" t="n">
        <f aca="false">IF(AND(BC13&gt;0,BC97&gt;0),BC84/BC13/(BC97/12),0)</f>
        <v>10.8400310421751</v>
      </c>
      <c r="BD100" s="61" t="n">
        <f aca="false">IF(AND(BD13&gt;0,BD97&gt;0),BD84/BD13/(BD97/12),0)</f>
        <v>10.8400358825943</v>
      </c>
      <c r="BE100" s="61" t="n">
        <f aca="false">IF(AND(BE13&gt;0,BE97&gt;0),BE84/BE13/(BE97/12),0)</f>
        <v>10.821989801982</v>
      </c>
      <c r="BF100" s="61" t="n">
        <f aca="false">IF(AND(BF13&gt;0,BF97&gt;0),BF84/BF13/(BF97/12),0)</f>
        <v>10.821989801982</v>
      </c>
      <c r="BG100" s="61" t="n">
        <f aca="false">IF(AND(BG13&gt;0,BG97&gt;0),BG84/BG13/(BG97/12),0)</f>
        <v>10.821989801982</v>
      </c>
      <c r="BH100" s="61" t="n">
        <f aca="false">IF(AND(BH13&gt;0,BH97&gt;0),BH84/BH13/(BH97/12),0)</f>
        <v>10.8174827345003</v>
      </c>
      <c r="BI100" s="61" t="n">
        <f aca="false">IF(AND(BI13&gt;0,BI97&gt;0),BI84/BI13/(BI97/12),0)</f>
        <v>10.8355335668812</v>
      </c>
      <c r="BJ100" s="61" t="n">
        <f aca="false">IF(AND(BJ13&gt;0,BJ97&gt;0),BJ84/BJ13/(BJ97/12),0)</f>
        <v>10.7867878624959</v>
      </c>
      <c r="BK100" s="61" t="n">
        <f aca="false">IF(AND(BK13&gt;0,BK97&gt;0),BK84/BK13/(BK97/12),0)</f>
        <v>10.8192057729163</v>
      </c>
      <c r="BL100" s="61" t="n">
        <f aca="false">IF(AND(BL13&gt;0,BL97&gt;0),BL84/BL13/(BL97/12),0)</f>
        <v>10.788080848491</v>
      </c>
      <c r="BM100" s="61" t="n">
        <f aca="false">IF(AND(BM13&gt;0,BM97&gt;0),BM84/BM13/(BM97/12),0)</f>
        <v>10.8140058193967</v>
      </c>
      <c r="BN100" s="61" t="n">
        <f aca="false">IF(AND(BN13&gt;0,BN97&gt;0),BN84/BN13/(BN97/12),0)</f>
        <v>10.8127066119276</v>
      </c>
      <c r="BO100" s="61" t="n">
        <f aca="false">IF(AND(BO13&gt;0,BO97&gt;0),BO84/BO13/(BO97/12),0)</f>
        <v>10.8127066119276</v>
      </c>
      <c r="BP100" s="61" t="n">
        <f aca="false">IF(AND(BP13&gt;0,BP97&gt;0),BP84/BP13/(BP97/12),0)</f>
        <v>10.7430100027543</v>
      </c>
      <c r="BQ100" s="61" t="n">
        <f aca="false">IF(AND(BQ13&gt;0,BQ97&gt;0),BQ84/BQ13/(BQ97/12),0)</f>
        <v>10.7719407696135</v>
      </c>
      <c r="BR100" s="61" t="n">
        <f aca="false">IF(AND(BR13&gt;0,BR97&gt;0),BR84/BR13/(BR97/12),0)</f>
        <v>10.8380975986668</v>
      </c>
      <c r="BS100" s="61" t="n">
        <f aca="false">IF(AND(BS13&gt;0,BS97&gt;0),BS84/BS13/(BS97/12),0)</f>
        <v>10.8302722954563</v>
      </c>
      <c r="BT100" s="61" t="n">
        <f aca="false">IF(AND(BT13&gt;0,BT97&gt;0),BT84/BT13/(BT97/12),0)</f>
        <v>10.8302722954563</v>
      </c>
      <c r="BU100" s="61" t="n">
        <f aca="false">IF(AND(BU13&gt;0,BU97&gt;0),BU84/BU13/(BU97/12),0)</f>
        <v>10.8302722954563</v>
      </c>
      <c r="BV100" s="61" t="n">
        <f aca="false">IF(AND(BV13&gt;0,BV97&gt;0),BV84/BV13/(BV97/12),0)</f>
        <v>10.8181653821842</v>
      </c>
      <c r="BW100" s="61" t="n">
        <f aca="false">IF(AND(BW13&gt;0,BW97&gt;0),BW84/BW13/(BW97/12),0)</f>
        <v>10.8181653821842</v>
      </c>
      <c r="BX100" s="61" t="n">
        <f aca="false">IF(AND(BX13&gt;0,BX97&gt;0),BX84/BX13/(BX97/12),0)</f>
        <v>10.8181653821842</v>
      </c>
      <c r="BY100" s="61" t="n">
        <f aca="false">IF(AND(BY13&gt;0,BY97&gt;0),BY84/BY13/(BY97/12),0)</f>
        <v>10.8140058193967</v>
      </c>
      <c r="BZ100" s="61" t="n">
        <f aca="false">IF(AND(BZ13&gt;0,BZ97&gt;0),BZ84/BZ13/(BZ97/12),0)</f>
        <v>10.8140058193967</v>
      </c>
      <c r="CA100" s="61" t="n">
        <f aca="false">IF(AND(CA13&gt;0,CA97&gt;0),CA84/CA13/(CA97/12),0)</f>
        <v>10.8302722954563</v>
      </c>
      <c r="CB100" s="61" t="n">
        <f aca="false">IF(AND(CB13&gt;0,CB97&gt;0),CB84/CB13/(CB97/12),0)</f>
        <v>10.8302722954563</v>
      </c>
      <c r="CC100" s="61" t="n">
        <f aca="false">IF(AND(CC13&gt;0,CC97&gt;0),CC84/CC13/(CC97/12),0)</f>
        <v>10.8335314647808</v>
      </c>
      <c r="CD100" s="61" t="n">
        <f aca="false">IF(AND(CD13&gt;0,CD97&gt;0),CD84/CD13/(CD97/12),0)</f>
        <v>10.8371188174049</v>
      </c>
      <c r="CE100" s="61" t="n">
        <f aca="false">IF(AND(CE13&gt;0,CE97&gt;0),CE84/CE13/(CE97/12),0)</f>
        <v>10.8371188174049</v>
      </c>
      <c r="CF100" s="61" t="n">
        <f aca="false">IF(AND(CF13&gt;0,CF97&gt;0),CF84/CF13/(CF97/12),0)</f>
        <v>10.8400297692295</v>
      </c>
      <c r="CG100" s="61" t="n">
        <f aca="false">IF(AND(CG13&gt;0,CG97&gt;0),CG84/CG13/(CG97/12),0)</f>
        <v>10.8398483154574</v>
      </c>
      <c r="CH100" s="61" t="n">
        <f aca="false">IF(AND(CH13&gt;0,CH97&gt;0),CH84/CH13/(CH97/12),0)</f>
        <v>10.8398483154574</v>
      </c>
      <c r="CI100" s="61" t="n">
        <f aca="false">IF(AND(CI13&gt;0,CI97&gt;0),CI84/CI13/(CI97/12),0)</f>
        <v>10.8376081859366</v>
      </c>
      <c r="CJ100" s="61" t="n">
        <f aca="false">IF(AND(CJ13&gt;0,CJ97&gt;0),CJ84/CJ13/(CJ97/12),0)</f>
        <v>10.8376081859366</v>
      </c>
      <c r="CK100" s="61" t="n">
        <f aca="false">IF(AND(CK13&gt;0,CK97&gt;0),CK84/CK13/(CK97/12),0)</f>
        <v>10.8376081859366</v>
      </c>
      <c r="CL100" s="61" t="n">
        <f aca="false">IF(AND(CL13&gt;0,CL97&gt;0),CL84/CL13/(CL97/12),0)</f>
        <v>10.8142631252369</v>
      </c>
      <c r="CM100" s="61" t="n">
        <f aca="false">IF(AND(CM13&gt;0,CM97&gt;0),CM84/CM13/(CM97/12),0)</f>
        <v>10.8140058193967</v>
      </c>
      <c r="CN100" s="61" t="n">
        <f aca="false">IF(AND(CN13&gt;0,CN97&gt;0),CN84/CN13/(CN97/12),0)</f>
        <v>10.7316551347759</v>
      </c>
      <c r="CO100" s="61" t="n">
        <f aca="false">IF(AND(CO13&gt;0,CO97&gt;0),CO84/CO13/(CO97/12),0)</f>
        <v>10.8396236668225</v>
      </c>
      <c r="CP100" s="61" t="n">
        <f aca="false">IF(AND(CP13&gt;0,CP97&gt;0),CP84/CP13/(CP97/12),0)</f>
        <v>2.6903496755593</v>
      </c>
      <c r="CQ100" s="61" t="n">
        <f aca="false">IF(AND(CQ13&gt;0,CQ97&gt;0),CQ84/CQ13/(CQ97/12),0)</f>
        <v>2.69051837322144</v>
      </c>
      <c r="CR100" s="61" t="n">
        <f aca="false">IF(AND(CR13&gt;0,CR97&gt;0),CR84/CR13/(CR97/12),0)</f>
        <v>2.69033239509315</v>
      </c>
      <c r="CS100" s="61" t="n">
        <f aca="false">IF(AND(CS13&gt;0,CS97&gt;0),CS84/CS13/(CS97/12),0)</f>
        <v>2.69033239509315</v>
      </c>
      <c r="CT100" s="61" t="n">
        <f aca="false">IF(AND(CT13&gt;0,CT97&gt;0),CT84/CT13/(CT97/12),0)</f>
        <v>2.69033431437009</v>
      </c>
      <c r="CU100" s="61" t="n">
        <f aca="false">IF(AND(CU13&gt;0,CU97&gt;0),CU84/CU13/(CU97/12),0)</f>
        <v>2.68434112442001</v>
      </c>
      <c r="CV100" s="61" t="n">
        <f aca="false">IF(AND(CV13&gt;0,CV97&gt;0),CV84/CV13/(CV97/12),0)</f>
        <v>2.68434112442001</v>
      </c>
      <c r="CW100" s="61" t="n">
        <f aca="false">IF(AND(CW13&gt;0,CW97&gt;0),CW84/CW13/(CW97/12),0)</f>
        <v>2.68434112442001</v>
      </c>
      <c r="CX100" s="61" t="n">
        <f aca="false">IF(AND(CX13&gt;0,CX97&gt;0),CX84/CX13/(CX97/12),0)</f>
        <v>2.68035031185854</v>
      </c>
      <c r="CY100" s="61" t="n">
        <f aca="false">IF(AND(CY13&gt;0,CY97&gt;0),CY84/CY13/(CY97/12),0)</f>
        <v>2.68634099050504</v>
      </c>
      <c r="CZ100" s="61" t="n">
        <f aca="false">IF(AND(CZ13&gt;0,CZ97&gt;0),CZ84/CZ13/(CZ97/12),0)</f>
        <v>2.68083334200887</v>
      </c>
      <c r="DA100" s="61" t="n">
        <f aca="false">IF(AND(DA13&gt;0,DA97&gt;0),DA84/DA13/(DA97/12),0)</f>
        <v>2.68533267286124</v>
      </c>
      <c r="DB100" s="61" t="n">
        <f aca="false">IF(AND(DB13&gt;0,DB97&gt;0),DB84/DB13/(DB97/12),0)</f>
        <v>2.66545039223303</v>
      </c>
      <c r="DC100" s="61" t="n">
        <f aca="false">IF(AND(DC13&gt;0,DC97&gt;0),DC84/DC13/(DC97/12),0)</f>
        <v>2.6728716493018</v>
      </c>
      <c r="DD100" s="61" t="n">
        <f aca="false">IF(AND(DD13&gt;0,DD97&gt;0),DD84/DD13/(DD97/12),0)</f>
        <v>2.6847318896728</v>
      </c>
      <c r="DE100" s="61" t="n">
        <f aca="false">IF(AND(DE13&gt;0,DE97&gt;0),DE84/DE13/(DE97/12),0)</f>
        <v>2.6847318896728</v>
      </c>
      <c r="DF100" s="61" t="n">
        <f aca="false">IF(AND(DF13&gt;0,DF97&gt;0),DF84/DF13/(DF97/12),0)</f>
        <v>2.65856097047322</v>
      </c>
      <c r="DG100" s="61" t="n">
        <f aca="false">IF(AND(DG13&gt;0,DG97&gt;0),DG84/DG13/(DG97/12),0)</f>
        <v>2.66446400381303</v>
      </c>
      <c r="DH100" s="61" t="n">
        <f aca="false">IF(AND(DH13&gt;0,DH97&gt;0),DH84/DH13/(DH97/12),0)</f>
        <v>2.68994762557475</v>
      </c>
      <c r="DI100" s="61" t="n">
        <f aca="false">IF(AND(DI13&gt;0,DI97&gt;0),DI84/DI13/(DI97/12),0)</f>
        <v>2.68954569573819</v>
      </c>
      <c r="DJ100" s="61" t="n">
        <f aca="false">IF(AND(DJ13&gt;0,DJ97&gt;0),DJ84/DJ13/(DJ97/12),0)</f>
        <v>2.68954569573819</v>
      </c>
      <c r="DK100" s="61" t="n">
        <f aca="false">IF(AND(DK13&gt;0,DK97&gt;0),DK84/DK13/(DK97/12),0)</f>
        <v>2.68954569573819</v>
      </c>
      <c r="DL100" s="61" t="n">
        <f aca="false">IF(AND(DL13&gt;0,DL97&gt;0),DL84/DL13/(DL97/12),0)</f>
        <v>2.68033434689186</v>
      </c>
      <c r="DM100" s="61" t="n">
        <f aca="false">IF(AND(DM13&gt;0,DM97&gt;0),DM84/DM13/(DM97/12),0)</f>
        <v>2.68033434689186</v>
      </c>
      <c r="DN100" s="61" t="n">
        <f aca="false">IF(AND(DN13&gt;0,DN97&gt;0),DN84/DN13/(DN97/12),0)</f>
        <v>2.68033434689186</v>
      </c>
      <c r="DO100" s="61" t="n">
        <f aca="false">IF(AND(DO13&gt;0,DO97&gt;0),DO84/DO13/(DO97/12),0)</f>
        <v>2.68884260746833</v>
      </c>
      <c r="DP100" s="61" t="n">
        <f aca="false">IF(AND(DP13&gt;0,DP97&gt;0),DP84/DP13/(DP97/12),0)</f>
        <v>2.68884260746833</v>
      </c>
      <c r="DQ100" s="61" t="n">
        <f aca="false">IF(AND(DQ13&gt;0,DQ97&gt;0),DQ84/DQ13/(DQ97/12),0)</f>
        <v>2.6903496755593</v>
      </c>
      <c r="DR100" s="61" t="n">
        <f aca="false">IF(AND(DR13&gt;0,DR97&gt;0),DR84/DR13/(DR97/12),0)</f>
        <v>2.6903496755593</v>
      </c>
      <c r="DS100" s="61" t="n">
        <f aca="false">IF(AND(DS13&gt;0,DS97&gt;0),DS84/DS13/(DS97/12),0)</f>
        <v>2.68733722687744</v>
      </c>
      <c r="DT100" s="61" t="n">
        <f aca="false">IF(AND(DT13&gt;0,DT97&gt;0),DT84/DT13/(DT97/12),0)</f>
        <v>2.69020492372042</v>
      </c>
      <c r="DU100" s="61" t="n">
        <f aca="false">IF(AND(DU13&gt;0,DU97&gt;0),DU84/DU13/(DU97/12),0)</f>
        <v>2.69020492372042</v>
      </c>
      <c r="DV100" s="61" t="n">
        <f aca="false">IF(AND(DV13&gt;0,DV97&gt;0),DV84/DV13/(DV97/12),0)</f>
        <v>2.69034367392975</v>
      </c>
      <c r="DW100" s="61" t="n">
        <f aca="false">IF(AND(DW13&gt;0,DW97&gt;0),DW84/DW13/(DW97/12),0)</f>
        <v>2.69016963832015</v>
      </c>
      <c r="DX100" s="61" t="n">
        <f aca="false">IF(AND(DX13&gt;0,DX97&gt;0),DX84/DX13/(DX97/12),0)</f>
        <v>2.69016963832015</v>
      </c>
      <c r="DY100" s="61" t="n">
        <f aca="false">IF(AND(DY13&gt;0,DY97&gt;0),DY84/DY13/(DY97/12),0)</f>
        <v>2.68974664564134</v>
      </c>
      <c r="DZ100" s="61" t="n">
        <f aca="false">IF(AND(DZ13&gt;0,DZ97&gt;0),DZ84/DZ13/(DZ97/12),0)</f>
        <v>2.68974664564134</v>
      </c>
      <c r="EA100" s="61" t="n">
        <f aca="false">IF(AND(EA13&gt;0,EA97&gt;0),EA84/EA13/(EA97/12),0)</f>
        <v>2.68974664564134</v>
      </c>
      <c r="EB100" s="61" t="n">
        <f aca="false">IF(AND(EB13&gt;0,EB97&gt;0),EB84/EB13/(EB97/12),0)</f>
        <v>2.68637427063771</v>
      </c>
      <c r="EC100" s="61" t="n">
        <f aca="false">IF(AND(EC13&gt;0,EC97&gt;0),EC84/EC13/(EC97/12),0)</f>
        <v>2.68633457591776</v>
      </c>
      <c r="ED100" s="61" t="n">
        <f aca="false">IF(AND(ED13&gt;0,ED97&gt;0),ED84/ED13/(ED97/12),0)</f>
        <v>2.6634461788037</v>
      </c>
      <c r="EE100" s="61" t="n">
        <f aca="false">IF(AND(EE13&gt;0,EE97&gt;0),EE84/EE13/(EE97/12),0)</f>
        <v>2.69014963566987</v>
      </c>
      <c r="EF100" s="61" t="n">
        <f aca="false">IF(AND(EF13&gt;0,EF97&gt;0),EF84/EF13/(EF97/12),0)</f>
        <v>12.8143106078869</v>
      </c>
      <c r="EG100" s="61" t="n">
        <f aca="false">IF(AND(EG13&gt;0,EG97&gt;0),EG84/EG13/(EG97/12),0)</f>
        <v>12.8134895456057</v>
      </c>
      <c r="EH100" s="61" t="n">
        <f aca="false">IF(AND(EH13&gt;0,EH97&gt;0),EH84/EH13/(EH97/12),0)</f>
        <v>12.8102884078084</v>
      </c>
      <c r="EI100" s="61" t="n">
        <f aca="false">IF(AND(EI13&gt;0,EI97&gt;0),EI84/EI13/(EI97/12),0)</f>
        <v>12.8102884078084</v>
      </c>
      <c r="EJ100" s="61" t="n">
        <f aca="false">IF(AND(EJ13&gt;0,EJ97&gt;0),EJ84/EJ13/(EJ97/12),0)</f>
        <v>12.8102481985588</v>
      </c>
      <c r="EK100" s="61" t="n">
        <f aca="false">IF(AND(EK13&gt;0,EK97&gt;0),EK84/EK13/(EK97/12),0)</f>
        <v>12.7730637502967</v>
      </c>
      <c r="EL100" s="61" t="n">
        <f aca="false">IF(AND(EL13&gt;0,EL97&gt;0),EL84/EL13/(EL97/12),0)</f>
        <v>12.7730637502967</v>
      </c>
      <c r="EM100" s="61" t="n">
        <f aca="false">IF(AND(EM13&gt;0,EM97&gt;0),EM84/EM13/(EM97/12),0)</f>
        <v>12.7730637502967</v>
      </c>
      <c r="EN100" s="61" t="n">
        <f aca="false">IF(AND(EN13&gt;0,EN97&gt;0),EN84/EN13/(EN97/12),0)</f>
        <v>12.7627934918777</v>
      </c>
      <c r="EO100" s="61" t="n">
        <f aca="false">IF(AND(EO13&gt;0,EO97&gt;0),EO84/EO13/(EO97/12),0)</f>
        <v>12.803973939645</v>
      </c>
      <c r="EP100" s="61" t="n">
        <f aca="false">IF(AND(EP13&gt;0,EP97&gt;0),EP84/EP13/(EP97/12),0)</f>
        <v>12.7679537258404</v>
      </c>
      <c r="EQ100" s="61" t="n">
        <f aca="false">IF(AND(EQ13&gt;0,EQ97&gt;0),EQ84/EQ13/(EQ97/12),0)</f>
        <v>12.7733900609478</v>
      </c>
      <c r="ER100" s="61" t="n">
        <f aca="false">IF(AND(ER13&gt;0,ER97&gt;0),ER84/ER13/(ER97/12),0)</f>
        <v>12.732730029147</v>
      </c>
      <c r="ES100" s="61" t="n">
        <f aca="false">IF(AND(ES13&gt;0,ES97&gt;0),ES84/ES13/(ES97/12),0)</f>
        <v>12.7815532492096</v>
      </c>
      <c r="ET100" s="61" t="n">
        <f aca="false">IF(AND(ET13&gt;0,ET97&gt;0),ET84/ET13/(ET97/12),0)</f>
        <v>12.7835956768204</v>
      </c>
      <c r="EU100" s="61" t="n">
        <f aca="false">IF(AND(EU13&gt;0,EU97&gt;0),EU84/EU13/(EU97/12),0)</f>
        <v>12.7835956768204</v>
      </c>
      <c r="EV100" s="61" t="n">
        <f aca="false">IF(AND(EV13&gt;0,EV97&gt;0),EV84/EV13/(EV97/12),0)</f>
        <v>12.732730029147</v>
      </c>
      <c r="EW100" s="61" t="n">
        <f aca="false">IF(AND(EW13&gt;0,EW97&gt;0),EW84/EW13/(EW97/12),0)</f>
        <v>12.7665953650166</v>
      </c>
      <c r="EX100" s="61" t="n">
        <f aca="false">IF(AND(EX13&gt;0,EX97&gt;0),EX84/EX13/(EX97/12),0)</f>
        <v>12.8108905509977</v>
      </c>
      <c r="EY100" s="61" t="n">
        <f aca="false">IF(AND(EY13&gt;0,EY97&gt;0),EY84/EY13/(EY97/12),0)</f>
        <v>12.801494800807</v>
      </c>
      <c r="EZ100" s="61" t="n">
        <f aca="false">IF(AND(EZ13&gt;0,EZ97&gt;0),EZ84/EZ13/(EZ97/12),0)</f>
        <v>12.801494800807</v>
      </c>
      <c r="FA100" s="61" t="n">
        <f aca="false">IF(AND(FA13&gt;0,FA97&gt;0),FA84/FA13/(FA97/12),0)</f>
        <v>12.801494800807</v>
      </c>
      <c r="FB100" s="61" t="n">
        <f aca="false">IF(AND(FB13&gt;0,FB97&gt;0),FB84/FB13/(FB97/12),0)</f>
        <v>12.810206758678</v>
      </c>
      <c r="FC100" s="61" t="n">
        <f aca="false">IF(AND(FC13&gt;0,FC97&gt;0),FC84/FC13/(FC97/12),0)</f>
        <v>12.810206758678</v>
      </c>
      <c r="FD100" s="61" t="n">
        <f aca="false">IF(AND(FD13&gt;0,FD97&gt;0),FD84/FD13/(FD97/12),0)</f>
        <v>12.810206758678</v>
      </c>
      <c r="FE100" s="61" t="n">
        <f aca="false">IF(AND(FE13&gt;0,FE97&gt;0),FE84/FE13/(FE97/12),0)</f>
        <v>12.8115744163212</v>
      </c>
      <c r="FF100" s="61" t="n">
        <f aca="false">IF(AND(FF13&gt;0,FF97&gt;0),FF84/FF13/(FF97/12),0)</f>
        <v>12.8115744163212</v>
      </c>
      <c r="FG100" s="61" t="n">
        <f aca="false">IF(AND(FG13&gt;0,FG97&gt;0),FG84/FG13/(FG97/12),0)</f>
        <v>12.8061055371854</v>
      </c>
      <c r="FH100" s="61" t="n">
        <f aca="false">IF(AND(FH13&gt;0,FH97&gt;0),FH84/FH13/(FH97/12),0)</f>
        <v>12.8061055371854</v>
      </c>
      <c r="FI100" s="61" t="n">
        <f aca="false">IF(AND(FI13&gt;0,FI97&gt;0),FI84/FI13/(FI97/12),0)</f>
        <v>12.8115744163212</v>
      </c>
      <c r="FJ100" s="61" t="n">
        <f aca="false">IF(AND(FJ13&gt;0,FJ97&gt;0),FJ84/FJ13/(FJ97/12),0)</f>
        <v>12.8057638872608</v>
      </c>
      <c r="FK100" s="61" t="n">
        <f aca="false">IF(AND(FK13&gt;0,FK97&gt;0),FK84/FK13/(FK97/12),0)</f>
        <v>12.8057638872608</v>
      </c>
      <c r="FL100" s="61" t="n">
        <f aca="false">IF(AND(FL13&gt;0,FL97&gt;0),FL84/FL13/(FL97/12),0)</f>
        <v>12.813066739576</v>
      </c>
      <c r="FM100" s="61" t="n">
        <f aca="false">IF(AND(FM13&gt;0,FM97&gt;0),FM84/FM13/(FM97/12),0)</f>
        <v>12.8123205344938</v>
      </c>
      <c r="FN100" s="61" t="n">
        <f aca="false">IF(AND(FN13&gt;0,FN97&gt;0),FN84/FN13/(FN97/12),0)</f>
        <v>12.8123205344938</v>
      </c>
      <c r="FO100" s="61" t="n">
        <f aca="false">IF(AND(FO13&gt;0,FO97&gt;0),FO84/FO13/(FO97/12),0)</f>
        <v>12.8112324745332</v>
      </c>
      <c r="FP100" s="61" t="n">
        <f aca="false">IF(AND(FP13&gt;0,FP97&gt;0),FP84/FP13/(FP97/12),0)</f>
        <v>12.8112324745332</v>
      </c>
      <c r="FQ100" s="61" t="n">
        <f aca="false">IF(AND(FQ13&gt;0,FQ97&gt;0),FQ84/FQ13/(FQ97/12),0)</f>
        <v>12.8112324745332</v>
      </c>
      <c r="FR100" s="61" t="n">
        <f aca="false">IF(AND(FR13&gt;0,FR97&gt;0),FR84/FR13/(FR97/12),0)</f>
        <v>12.8143106078869</v>
      </c>
      <c r="FS100" s="61" t="n">
        <f aca="false">IF(AND(FS13&gt;0,FS97&gt;0),FS84/FS13/(FS97/12),0)</f>
        <v>12.8143106078869</v>
      </c>
      <c r="FT100" s="61" t="n">
        <f aca="false">IF(AND(FT13&gt;0,FT97&gt;0),FT84/FT13/(FT97/12),0)</f>
        <v>12.6861675018081</v>
      </c>
      <c r="FU100" s="61" t="n">
        <f aca="false">IF(AND(FU13&gt;0,FU97&gt;0),FU84/FU13/(FU97/12),0)</f>
        <v>12.8134813355142</v>
      </c>
      <c r="FV100" s="61" t="n">
        <f aca="false">IF(AND(FV13&gt;0,FV97&gt;0),FV84/FV13/(FV97/12),0)</f>
        <v>10.8273933050618</v>
      </c>
      <c r="FW100" s="61" t="n">
        <f aca="false">IF(AND(FW13&gt;0,FW97&gt;0),FW84/FW13/(FW97/12),0)</f>
        <v>10.8270478645103</v>
      </c>
      <c r="FX100" s="61" t="n">
        <f aca="false">IF(AND(FX13&gt;0,FX97&gt;0),FX84/FX13/(FX97/12),0)</f>
        <v>10.8268613357774</v>
      </c>
      <c r="FY100" s="61" t="n">
        <f aca="false">IF(AND(FY13&gt;0,FY97&gt;0),FY84/FY13/(FY97/12),0)</f>
        <v>10.8268613357774</v>
      </c>
      <c r="FZ100" s="61" t="n">
        <f aca="false">IF(AND(FZ13&gt;0,FZ97&gt;0),FZ84/FZ13/(FZ97/12),0)</f>
        <v>10.8268560163486</v>
      </c>
      <c r="GA100" s="61" t="n">
        <f aca="false">IF(AND(GA13&gt;0,GA97&gt;0),GA84/GA13/(GA97/12),0)</f>
        <v>10.8093695615359</v>
      </c>
      <c r="GB100" s="61" t="n">
        <f aca="false">IF(AND(GB13&gt;0,GB97&gt;0),GB84/GB13/(GB97/12),0)</f>
        <v>10.8093695615359</v>
      </c>
      <c r="GC100" s="61" t="n">
        <f aca="false">IF(AND(GC13&gt;0,GC97&gt;0),GC84/GC13/(GC97/12),0)</f>
        <v>10.8093695615359</v>
      </c>
      <c r="GD100" s="61" t="n">
        <f aca="false">IF(AND(GD13&gt;0,GD97&gt;0),GD84/GD13/(GD97/12),0)</f>
        <v>10.804872997722</v>
      </c>
      <c r="GE100" s="61" t="n">
        <f aca="false">IF(AND(GE13&gt;0,GE97&gt;0),GE84/GE13/(GE97/12),0)</f>
        <v>10.8228817365675</v>
      </c>
      <c r="GF100" s="61" t="n">
        <f aca="false">IF(AND(GF13&gt;0,GF97&gt;0),GF84/GF13/(GF97/12),0)</f>
        <v>10.7742495435908</v>
      </c>
      <c r="GG100" s="61" t="n">
        <f aca="false">IF(AND(GG13&gt;0,GG97&gt;0),GG84/GG13/(GG97/12),0)</f>
        <v>10.8065920211329</v>
      </c>
      <c r="GH100" s="61" t="n">
        <f aca="false">IF(AND(GH13&gt;0,GH97&gt;0),GH84/GH13/(GH97/12),0)</f>
        <v>10.7755395252776</v>
      </c>
      <c r="GI100" s="61" t="n">
        <f aca="false">IF(AND(GI13&gt;0,GI97&gt;0),GI84/GI13/(GI97/12),0)</f>
        <v>10.8014041825437</v>
      </c>
      <c r="GJ100" s="61" t="n">
        <f aca="false">IF(AND(GJ13&gt;0,GJ97&gt;0),GJ84/GJ13/(GJ97/12),0)</f>
        <v>10.80010800108</v>
      </c>
      <c r="GK100" s="61" t="n">
        <f aca="false">IF(AND(GK13&gt;0,GK97&gt;0),GK84/GK13/(GK97/12),0)</f>
        <v>10.80010800108</v>
      </c>
      <c r="GL100" s="61" t="n">
        <f aca="false">IF(AND(GL13&gt;0,GL97&gt;0),GL84/GL13/(GL97/12),0)</f>
        <v>10.7305731914513</v>
      </c>
      <c r="GM100" s="61" t="n">
        <f aca="false">IF(AND(GM13&gt;0,GM97&gt;0),GM84/GM13/(GM97/12),0)</f>
        <v>10.759436922801</v>
      </c>
      <c r="GN100" s="61" t="n">
        <f aca="false">IF(AND(GN13&gt;0,GN97&gt;0),GN84/GN13/(GN97/12),0)</f>
        <v>10.8254397834912</v>
      </c>
      <c r="GO100" s="61" t="n">
        <f aca="false">IF(AND(GO13&gt;0,GO97&gt;0),GO84/GO13/(GO97/12),0)</f>
        <v>10.8176327413684</v>
      </c>
      <c r="GP100" s="61" t="n">
        <f aca="false">IF(AND(GP13&gt;0,GP97&gt;0),GP84/GP13/(GP97/12),0)</f>
        <v>10.8176327413684</v>
      </c>
      <c r="GQ100" s="61" t="n">
        <f aca="false">IF(AND(GQ13&gt;0,GQ97&gt;0),GQ84/GQ13/(GQ97/12),0)</f>
        <v>10.8176327413684</v>
      </c>
      <c r="GR100" s="61" t="n">
        <f aca="false">IF(AND(GR13&gt;0,GR97&gt;0),GR84/GR13/(GR97/12),0)</f>
        <v>10.8055540547842</v>
      </c>
      <c r="GS100" s="61" t="n">
        <f aca="false">IF(AND(GS13&gt;0,GS97&gt;0),GS84/GS13/(GS97/12),0)</f>
        <v>10.8055540547842</v>
      </c>
      <c r="GT100" s="61" t="n">
        <f aca="false">IF(AND(GT13&gt;0,GT97&gt;0),GT84/GT13/(GT97/12),0)</f>
        <v>10.8055540547842</v>
      </c>
      <c r="GU100" s="61" t="n">
        <f aca="false">IF(AND(GU13&gt;0,GU97&gt;0),GU84/GU13/(GU97/12),0)</f>
        <v>10.8014041825437</v>
      </c>
      <c r="GV100" s="61" t="n">
        <f aca="false">IF(AND(GV13&gt;0,GV97&gt;0),GV84/GV13/(GV97/12),0)</f>
        <v>10.8014041825437</v>
      </c>
      <c r="GW100" s="61" t="n">
        <f aca="false">IF(AND(GW13&gt;0,GW97&gt;0),GW84/GW13/(GW97/12),0)</f>
        <v>10.8176327413684</v>
      </c>
      <c r="GX100" s="61" t="n">
        <f aca="false">IF(AND(GX13&gt;0,GX97&gt;0),GX84/GX13/(GX97/12),0)</f>
        <v>10.8176327413684</v>
      </c>
      <c r="GY100" s="61" t="n">
        <f aca="false">IF(AND(GY13&gt;0,GY97&gt;0),GY84/GY13/(GY97/12),0)</f>
        <v>10.820884306712</v>
      </c>
      <c r="GZ100" s="61" t="n">
        <f aca="false">IF(AND(GZ13&gt;0,GZ97&gt;0),GZ84/GZ13/(GZ97/12),0)</f>
        <v>10.8244632870287</v>
      </c>
      <c r="HA100" s="61" t="n">
        <f aca="false">IF(AND(HA13&gt;0,HA97&gt;0),HA84/HA13/(HA97/12),0)</f>
        <v>10.8244632870287</v>
      </c>
      <c r="HB100" s="61" t="n">
        <f aca="false">IF(AND(HB13&gt;0,HB97&gt;0),HB84/HB13/(HB97/12),0)</f>
        <v>10.827372370737</v>
      </c>
      <c r="HC100" s="61" t="n">
        <f aca="false">IF(AND(HC13&gt;0,HC97&gt;0),HC84/HC13/(HC97/12),0)</f>
        <v>10.8272258327297</v>
      </c>
      <c r="HD100" s="61" t="n">
        <f aca="false">IF(AND(HD13&gt;0,HD97&gt;0),HD84/HD13/(HD97/12),0)</f>
        <v>10.8272258327297</v>
      </c>
      <c r="HE100" s="61" t="n">
        <f aca="false">IF(AND(HE13&gt;0,HE97&gt;0),HE84/HE13/(HE97/12),0)</f>
        <v>10.824951513238</v>
      </c>
      <c r="HF100" s="61" t="n">
        <f aca="false">IF(AND(HF13&gt;0,HF97&gt;0),HF84/HF13/(HF97/12),0)</f>
        <v>10.824951513238</v>
      </c>
      <c r="HG100" s="61" t="n">
        <f aca="false">IF(AND(HG13&gt;0,HG97&gt;0),HG84/HG13/(HG97/12),0)</f>
        <v>10.824951513238</v>
      </c>
      <c r="HH100" s="61" t="n">
        <f aca="false">IF(AND(HH13&gt;0,HH97&gt;0),HH84/HH13/(HH97/12),0)</f>
        <v>10.8016608890456</v>
      </c>
      <c r="HI100" s="61" t="n">
        <f aca="false">IF(AND(HI13&gt;0,HI97&gt;0),HI84/HI13/(HI97/12),0)</f>
        <v>10.8014041825437</v>
      </c>
      <c r="HJ100" s="61" t="n">
        <f aca="false">IF(AND(HJ13&gt;0,HJ97&gt;0),HJ84/HJ13/(HJ97/12),0)</f>
        <v>10.7191193720112</v>
      </c>
      <c r="HK100" s="61" t="n">
        <f aca="false">IF(AND(HK13&gt;0,HK97&gt;0),HK84/HK13/(HK97/12),0)</f>
        <v>10.8270444102161</v>
      </c>
      <c r="HL100" s="61" t="n">
        <f aca="false">IF(AND(HL13&gt;0,HL97&gt;0),HL84/HL13/(HL97/12),0)</f>
        <v>2.68623750982467</v>
      </c>
      <c r="HM100" s="61" t="n">
        <f aca="false">IF(AND(HM13&gt;0,HM97&gt;0),HM84/HM13/(HM97/12),0)</f>
        <v>2.6860611157867</v>
      </c>
      <c r="HN100" s="61" t="n">
        <f aca="false">IF(AND(HN13&gt;0,HN97&gt;0),HN84/HN13/(HN97/12),0)</f>
        <v>2.68589709012056</v>
      </c>
      <c r="HO100" s="61" t="n">
        <f aca="false">IF(AND(HO13&gt;0,HO97&gt;0),HO84/HO13/(HO97/12),0)</f>
        <v>2.68589709012056</v>
      </c>
      <c r="HP100" s="61" t="n">
        <f aca="false">IF(AND(HP13&gt;0,HP97&gt;0),HP84/HP13/(HP97/12),0)</f>
        <v>2.68589368635924</v>
      </c>
      <c r="HQ100" s="61" t="n">
        <f aca="false">IF(AND(HQ13&gt;0,HQ97&gt;0),HQ84/HQ13/(HQ97/12),0)</f>
        <v>2.68024729218918</v>
      </c>
      <c r="HR100" s="61" t="n">
        <f aca="false">IF(AND(HR13&gt;0,HR97&gt;0),HR84/HR13/(HR97/12),0)</f>
        <v>2.68024729218918</v>
      </c>
      <c r="HS100" s="61" t="n">
        <f aca="false">IF(AND(HS13&gt;0,HS97&gt;0),HS84/HS13/(HS97/12),0)</f>
        <v>2.68024729218918</v>
      </c>
      <c r="HT100" s="61" t="n">
        <f aca="false">IF(AND(HT13&gt;0,HT97&gt;0),HT84/HT13/(HT97/12),0)</f>
        <v>2.67626863393337</v>
      </c>
      <c r="HU100" s="61" t="n">
        <f aca="false">IF(AND(HU13&gt;0,HU97&gt;0),HU84/HU13/(HU97/12),0)</f>
        <v>2.68224106075283</v>
      </c>
      <c r="HV100" s="61" t="n">
        <f aca="false">IF(AND(HV13&gt;0,HV97&gt;0),HV84/HV13/(HV97/12),0)</f>
        <v>2.67675019394047</v>
      </c>
      <c r="HW100" s="61" t="n">
        <f aca="false">IF(AND(HW13&gt;0,HW97&gt;0),HW84/HW13/(HW97/12),0)</f>
        <v>2.68123581800036</v>
      </c>
      <c r="HX100" s="61" t="n">
        <f aca="false">IF(AND(HX13&gt;0,HX97&gt;0),HX84/HX13/(HX97/12),0)</f>
        <v>2.66141393365194</v>
      </c>
      <c r="HY100" s="61" t="n">
        <f aca="false">IF(AND(HY13&gt;0,HY97&gt;0),HY84/HY13/(HY97/12),0)</f>
        <v>2.66881269959465</v>
      </c>
      <c r="HZ100" s="61" t="n">
        <f aca="false">IF(AND(HZ13&gt;0,HZ97&gt;0),HZ84/HZ13/(HZ97/12),0)</f>
        <v>2.6806368663686</v>
      </c>
      <c r="IA100" s="61" t="n">
        <f aca="false">IF(AND(IA13&gt;0,IA97&gt;0),IA84/IA13/(IA97/12),0)</f>
        <v>2.6806368663686</v>
      </c>
      <c r="IB100" s="61" t="n">
        <f aca="false">IF(AND(IB13&gt;0,IB97&gt;0),IB84/IB13/(IB97/12),0)</f>
        <v>2.65454533537395</v>
      </c>
      <c r="IC100" s="61" t="n">
        <f aca="false">IF(AND(IC13&gt;0,IC97&gt;0),IC84/IC13/(IC97/12),0)</f>
        <v>2.66043052991835</v>
      </c>
      <c r="ID100" s="61" t="n">
        <f aca="false">IF(AND(ID13&gt;0,ID97&gt;0),ID84/ID13/(ID97/12),0)</f>
        <v>2.68583668786599</v>
      </c>
      <c r="IE100" s="61" t="n">
        <f aca="false">IF(AND(IE13&gt;0,IE97&gt;0),IE84/IE13/(IE97/12),0)</f>
        <v>2.68543598550528</v>
      </c>
      <c r="IF100" s="61" t="n">
        <f aca="false">IF(AND(IF13&gt;0,IF97&gt;0),IF84/IF13/(IF97/12),0)</f>
        <v>2.68543598550528</v>
      </c>
      <c r="IG100" s="61" t="n">
        <f aca="false">IF(AND(IG13&gt;0,IG97&gt;0),IG84/IG13/(IG97/12),0)</f>
        <v>2.68543598550528</v>
      </c>
      <c r="IH100" s="61" t="n">
        <f aca="false">IF(AND(IH13&gt;0,IH97&gt;0),IH84/IH13/(IH97/12),0)</f>
        <v>2.67625271755291</v>
      </c>
      <c r="II100" s="61" t="n">
        <f aca="false">IF(AND(II13&gt;0,II97&gt;0),II84/II13/(II97/12),0)</f>
        <v>2.67625271755291</v>
      </c>
      <c r="IJ100" s="61" t="n">
        <f aca="false">IF(AND(IJ13&gt;0,IJ97&gt;0),IJ84/IJ13/(IJ97/12),0)</f>
        <v>2.67625271755291</v>
      </c>
      <c r="IK100" s="61" t="n">
        <f aca="false">IF(AND(IK13&gt;0,IK97&gt;0),IK84/IK13/(IK97/12),0)</f>
        <v>2.68473504399568</v>
      </c>
      <c r="IL100" s="61" t="n">
        <f aca="false">IF(AND(IL13&gt;0,IL97&gt;0),IL84/IL13/(IL97/12),0)</f>
        <v>2.68473504399568</v>
      </c>
      <c r="IM100" s="61" t="n">
        <f aca="false">IF(AND(IM13&gt;0,IM97&gt;0),IM84/IM13/(IM97/12),0)</f>
        <v>2.68623750982467</v>
      </c>
      <c r="IN100" s="61" t="n">
        <f aca="false">IF(AND(IN13&gt;0,IN97&gt;0),IN84/IN13/(IN97/12),0)</f>
        <v>2.68623750982467</v>
      </c>
      <c r="IO100" s="61" t="n">
        <f aca="false">IF(AND(IO13&gt;0,IO97&gt;0),IO84/IO13/(IO97/12),0)</f>
        <v>2.68323425794494</v>
      </c>
      <c r="IP100" s="61" t="n">
        <f aca="false">IF(AND(IP13&gt;0,IP97&gt;0),IP84/IP13/(IP97/12),0)</f>
        <v>2.68609320013848</v>
      </c>
      <c r="IQ100" s="61" t="n">
        <f aca="false">IF(AND(IQ13&gt;0,IQ97&gt;0),IQ84/IQ13/(IQ97/12),0)</f>
        <v>2.68609320013848</v>
      </c>
      <c r="IR100" s="61" t="n">
        <f aca="false">IF(AND(IR13&gt;0,IR97&gt;0),IR84/IR13/(IR97/12),0)</f>
        <v>2.68623216474496</v>
      </c>
      <c r="IS100" s="61" t="n">
        <f aca="false">IF(AND(IS13&gt;0,IS97&gt;0),IS84/IS13/(IS97/12),0)</f>
        <v>2.68607716668601</v>
      </c>
      <c r="IT100" s="61" t="n">
        <f aca="false">IF(AND(IT13&gt;0,IT97&gt;0),IT84/IT13/(IT97/12),0)</f>
        <v>2.68607716668601</v>
      </c>
      <c r="IU100" s="61" t="n">
        <f aca="false">IF(AND(IU13&gt;0,IU97&gt;0),IU84/IU13/(IU97/12),0)</f>
        <v>2.68563632173923</v>
      </c>
      <c r="IV100" s="61" t="n">
        <f aca="false">IF(AND(IV13&gt;0,IV97&gt;0),IV84/IV13/(IV97/12),0)</f>
        <v>2.68563632173923</v>
      </c>
      <c r="IW100" s="61" t="n">
        <f aca="false">IF(AND(IW13&gt;0,IW97&gt;0),IW84/IW13/(IW97/12),0)</f>
        <v>2.68563632173923</v>
      </c>
      <c r="IX100" s="61" t="n">
        <f aca="false">IF(AND(IX13&gt;0,IX97&gt;0),IX84/IX13/(IX97/12),0)</f>
        <v>2.68227423937722</v>
      </c>
      <c r="IY100" s="61" t="n">
        <f aca="false">IF(AND(IY13&gt;0,IY97&gt;0),IY84/IY13/(IY97/12),0)</f>
        <v>2.68223466573064</v>
      </c>
      <c r="IZ100" s="61" t="n">
        <f aca="false">IF(AND(IZ13&gt;0,IZ97&gt;0),IZ84/IZ13/(IZ97/12),0)</f>
        <v>2.65937513472642</v>
      </c>
      <c r="JA100" s="61" t="n">
        <f aca="false">IF(AND(JA13&gt;0,JA97&gt;0),JA84/JA13/(JA97/12),0)</f>
        <v>2.68605935196331</v>
      </c>
    </row>
    <row r="101" customFormat="false" ht="15" hidden="false" customHeight="false" outlineLevel="0" collapsed="false">
      <c r="A101" s="2" t="s">
        <v>160</v>
      </c>
      <c r="B101" s="13" t="s">
        <v>161</v>
      </c>
      <c r="C101" s="13" t="s">
        <v>194</v>
      </c>
      <c r="D101" s="9" t="s">
        <v>329</v>
      </c>
      <c r="E101" s="15" t="n">
        <f aca="false">IF(E65&gt;0,(E33+E40)/E65,0)</f>
        <v>0.511081168982019</v>
      </c>
      <c r="F101" s="15" t="n">
        <f aca="false">IF(F65&gt;0,(F33+F40)/F65,0)</f>
        <v>0.352693294246977</v>
      </c>
      <c r="G101" s="15" t="n">
        <f aca="false">IF(G65&gt;0,(G33+G40)/G65,0)</f>
        <v>0.340658523895647</v>
      </c>
      <c r="H101" s="15" t="n">
        <f aca="false">IF(H65&gt;0,(H33+H40)/H65,0)</f>
        <v>0.412497191380307</v>
      </c>
      <c r="J101" s="15" t="n">
        <f aca="false">IF(J65&gt;0,(J33+J40)/J65,0)</f>
        <v>0.511081168982019</v>
      </c>
      <c r="K101" s="15" t="n">
        <f aca="false">IF(K65&gt;0,(K33+K40)/K65,0)</f>
        <v>0.511081168982019</v>
      </c>
      <c r="L101" s="15" t="n">
        <f aca="false">IF(L65&gt;0,(L33+L40)/L65,0)</f>
        <v>0.511081168982019</v>
      </c>
      <c r="M101" s="15" t="n">
        <f aca="false">IF(M65&gt;0,(M33+M40)/M65,0)</f>
        <v>0.511081168982019</v>
      </c>
      <c r="N101" s="15" t="n">
        <f aca="false">IF(N65&gt;0,(N33+N40)/N65,0)</f>
        <v>0.511081168982019</v>
      </c>
      <c r="O101" s="15" t="n">
        <f aca="false">IF(O65&gt;0,(O33+O40)/O65,0)</f>
        <v>0.509649046400303</v>
      </c>
      <c r="P101" s="15" t="n">
        <f aca="false">IF(P65&gt;0,(P33+P40)/P65,0)</f>
        <v>0.509649046400303</v>
      </c>
      <c r="Q101" s="15" t="n">
        <f aca="false">IF(Q65&gt;0,(Q33+Q40)/Q65,0)</f>
        <v>0.509649046400303</v>
      </c>
      <c r="R101" s="15" t="n">
        <f aca="false">IF(R65&gt;0,(R33+R40)/R65,0)</f>
        <v>0.509292268943357</v>
      </c>
      <c r="S101" s="15" t="n">
        <f aca="false">IF(S65&gt;0,(S33+S40)/S65,0)</f>
        <v>0.510722384312094</v>
      </c>
      <c r="T101" s="15" t="n">
        <f aca="false">IF(T65&gt;0,(T33+T40)/T65,0)</f>
        <v>0.512250474734843</v>
      </c>
      <c r="U101" s="15" t="n">
        <f aca="false">IF(U65&gt;0,(U33+U40)/U65,0)</f>
        <v>0.512440346569059</v>
      </c>
      <c r="V101" s="15" t="n">
        <f aca="false">IF(V65&gt;0,(V33+V40)/V65,0)</f>
        <v>0.513791988171695</v>
      </c>
      <c r="W101" s="15" t="n">
        <f aca="false">IF(W65&gt;0,(W33+W40)/W65,0)</f>
        <v>0.512169115942701</v>
      </c>
      <c r="X101" s="15" t="n">
        <f aca="false">IF(X65&gt;0,(X33+X40)/X65,0)</f>
        <v>0.512214342001576</v>
      </c>
      <c r="Y101" s="15" t="n">
        <f aca="false">IF(Y65&gt;0,(Y33+Y40)/Y65,0)</f>
        <v>0.512214342001576</v>
      </c>
      <c r="Z101" s="15" t="n">
        <f aca="false">IF(Z65&gt;0,(Z33+Z40)/Z65,0)</f>
        <v>0.513791988171695</v>
      </c>
      <c r="AA101" s="15" t="n">
        <f aca="false">IF(AA65&gt;0,(AA33+AA40)/AA65,0)</f>
        <v>0.512666141805215</v>
      </c>
      <c r="AB101" s="15" t="n">
        <f aca="false">IF(AB65&gt;0,(AB33+AB40)/AB65,0)</f>
        <v>0.511081168982019</v>
      </c>
      <c r="AC101" s="15" t="n">
        <f aca="false">IF(AC65&gt;0,(AC33+AC40)/AC65,0)</f>
        <v>0.510636322490048</v>
      </c>
      <c r="AD101" s="15" t="n">
        <f aca="false">IF(AD65&gt;0,(AD33+AD40)/AD65,0)</f>
        <v>0.510636322490048</v>
      </c>
      <c r="AE101" s="15" t="n">
        <f aca="false">IF(AE65&gt;0,(AE33+AE40)/AE65,0)</f>
        <v>0.510636322490048</v>
      </c>
      <c r="AF101" s="15" t="n">
        <f aca="false">IF(AF65&gt;0,(AF33+AF40)/AF65,0)</f>
        <v>0.51093873380092</v>
      </c>
      <c r="AG101" s="15" t="n">
        <f aca="false">IF(AG65&gt;0,(AG33+AG40)/AG65,0)</f>
        <v>0.51093873380092</v>
      </c>
      <c r="AH101" s="15" t="n">
        <f aca="false">IF(AH65&gt;0,(AH33+AH40)/AH65,0)</f>
        <v>0.51093873380092</v>
      </c>
      <c r="AI101" s="15" t="n">
        <f aca="false">IF(AI65&gt;0,(AI33+AI40)/AI65,0)</f>
        <v>0.510986203372509</v>
      </c>
      <c r="AJ101" s="15" t="n">
        <f aca="false">IF(AJ65&gt;0,(AJ33+AJ40)/AJ65,0)</f>
        <v>0.510986203372509</v>
      </c>
      <c r="AK101" s="15" t="n">
        <f aca="false">IF(AK65&gt;0,(AK33+AK40)/AK65,0)</f>
        <v>0.51079637798932</v>
      </c>
      <c r="AL101" s="15" t="n">
        <f aca="false">IF(AL65&gt;0,(AL33+AL40)/AL65,0)</f>
        <v>0.51079637798932</v>
      </c>
      <c r="AM101" s="15" t="n">
        <f aca="false">IF(AM65&gt;0,(AM33+AM40)/AM65,0)</f>
        <v>0.510986203372509</v>
      </c>
      <c r="AN101" s="15" t="n">
        <f aca="false">IF(AN65&gt;0,(AN33+AN40)/AN65,0)</f>
        <v>0.511081168982019</v>
      </c>
      <c r="AO101" s="15" t="n">
        <f aca="false">IF(AO65&gt;0,(AO33+AO40)/AO65,0)</f>
        <v>0.511081168982019</v>
      </c>
      <c r="AP101" s="15" t="n">
        <f aca="false">IF(AP65&gt;0,(AP33+AP40)/AP65,0)</f>
        <v>0.511081168982019</v>
      </c>
      <c r="AQ101" s="15" t="n">
        <f aca="false">IF(AQ65&gt;0,(AQ33+AQ40)/AQ65,0)</f>
        <v>0.511081168982019</v>
      </c>
      <c r="AR101" s="15" t="n">
        <f aca="false">IF(AR65&gt;0,(AR33+AR40)/AR65,0)</f>
        <v>0.511081168982019</v>
      </c>
      <c r="AS101" s="15" t="n">
        <f aca="false">IF(AS65&gt;0,(AS33+AS40)/AS65,0)</f>
        <v>0.511081168982019</v>
      </c>
      <c r="AT101" s="15" t="n">
        <f aca="false">IF(AT65&gt;0,(AT33+AT40)/AT65,0)</f>
        <v>0.511081168982019</v>
      </c>
      <c r="AU101" s="15" t="n">
        <f aca="false">IF(AU65&gt;0,(AU33+AU40)/AU65,0)</f>
        <v>0.511081168982019</v>
      </c>
      <c r="AV101" s="15" t="n">
        <f aca="false">IF(AV65&gt;0,(AV33+AV40)/AV65,0)</f>
        <v>0.511081168982019</v>
      </c>
      <c r="AW101" s="15" t="n">
        <f aca="false">IF(AW65&gt;0,(AW33+AW40)/AW65,0)</f>
        <v>0.511081168982019</v>
      </c>
      <c r="AX101" s="15" t="n">
        <f aca="false">IF(AX65&gt;0,(AX33+AX40)/AX65,0)</f>
        <v>0.511081168982019</v>
      </c>
      <c r="AY101" s="15" t="n">
        <f aca="false">IF(AY65&gt;0,(AY33+AY40)/AY65,0)</f>
        <v>0.511081168982019</v>
      </c>
      <c r="AZ101" s="15" t="n">
        <f aca="false">IF(AZ65&gt;0,(AZ33+AZ40)/AZ65,0)</f>
        <v>0.352693294246977</v>
      </c>
      <c r="BA101" s="15" t="n">
        <f aca="false">IF(BA65&gt;0,(BA33+BA40)/BA65,0)</f>
        <v>0.352693294246977</v>
      </c>
      <c r="BB101" s="15" t="n">
        <f aca="false">IF(BB65&gt;0,(BB33+BB40)/BB65,0)</f>
        <v>0.352693294246977</v>
      </c>
      <c r="BC101" s="15" t="n">
        <f aca="false">IF(BC65&gt;0,(BC33+BC40)/BC65,0)</f>
        <v>0.352693294246977</v>
      </c>
      <c r="BD101" s="15" t="n">
        <f aca="false">IF(BD65&gt;0,(BD33+BD40)/BD65,0)</f>
        <v>0.352693294246977</v>
      </c>
      <c r="BE101" s="15" t="n">
        <f aca="false">IF(BE65&gt;0,(BE33+BE40)/BE65,0)</f>
        <v>0.352246048897241</v>
      </c>
      <c r="BF101" s="15" t="n">
        <f aca="false">IF(BF65&gt;0,(BF33+BF40)/BF65,0)</f>
        <v>0.352246048897241</v>
      </c>
      <c r="BG101" s="15" t="n">
        <f aca="false">IF(BG65&gt;0,(BG33+BG40)/BG65,0)</f>
        <v>0.352246048897241</v>
      </c>
      <c r="BH101" s="15" t="n">
        <f aca="false">IF(BH65&gt;0,(BH33+BH40)/BH65,0)</f>
        <v>0.352134414736597</v>
      </c>
      <c r="BI101" s="15" t="n">
        <f aca="false">IF(BI65&gt;0,(BI33+BI40)/BI65,0)</f>
        <v>0.352581376468536</v>
      </c>
      <c r="BJ101" s="15" t="n">
        <f aca="false">IF(BJ65&gt;0,(BJ33+BJ40)/BJ65,0)</f>
        <v>0.352833804873597</v>
      </c>
      <c r="BK101" s="15" t="n">
        <f aca="false">IF(BK65&gt;0,(BK33+BK40)/BK65,0)</f>
        <v>0.353640687888767</v>
      </c>
      <c r="BL101" s="15" t="n">
        <f aca="false">IF(BL65&gt;0,(BL33+BL40)/BL65,0)</f>
        <v>0.355056589996349</v>
      </c>
      <c r="BM101" s="15" t="n">
        <f aca="false">IF(BM65&gt;0,(BM33+BM40)/BM65,0)</f>
        <v>0.353877103145574</v>
      </c>
      <c r="BN101" s="15" t="n">
        <f aca="false">IF(BN65&gt;0,(BN33+BN40)/BN65,0)</f>
        <v>0.354024774877726</v>
      </c>
      <c r="BO101" s="15" t="n">
        <f aca="false">IF(BO65&gt;0,(BO33+BO40)/BO65,0)</f>
        <v>0.354024774877726</v>
      </c>
      <c r="BP101" s="15" t="n">
        <f aca="false">IF(BP65&gt;0,(BP33+BP40)/BP65,0)</f>
        <v>0.357110363024293</v>
      </c>
      <c r="BQ101" s="15" t="n">
        <f aca="false">IF(BQ65&gt;0,(BQ33+BQ40)/BQ65,0)</f>
        <v>0.35579158499339</v>
      </c>
      <c r="BR101" s="15" t="n">
        <f aca="false">IF(BR65&gt;0,(BR33+BR40)/BR65,0)</f>
        <v>0.352693294246977</v>
      </c>
      <c r="BS101" s="15" t="n">
        <f aca="false">IF(BS65&gt;0,(BS33+BS40)/BS65,0)</f>
        <v>0.352451137455944</v>
      </c>
      <c r="BT101" s="15" t="n">
        <f aca="false">IF(BT65&gt;0,(BT33+BT40)/BT65,0)</f>
        <v>0.352451137455944</v>
      </c>
      <c r="BU101" s="15" t="n">
        <f aca="false">IF(BU65&gt;0,(BU33+BU40)/BU65,0)</f>
        <v>0.352451137455944</v>
      </c>
      <c r="BV101" s="15" t="n">
        <f aca="false">IF(BV65&gt;0,(BV33+BV40)/BV65,0)</f>
        <v>0.352151324454851</v>
      </c>
      <c r="BW101" s="15" t="n">
        <f aca="false">IF(BW65&gt;0,(BW33+BW40)/BW65,0)</f>
        <v>0.352151324454851</v>
      </c>
      <c r="BX101" s="15" t="n">
        <f aca="false">IF(BX65&gt;0,(BX33+BX40)/BX65,0)</f>
        <v>0.352151324454851</v>
      </c>
      <c r="BY101" s="15" t="n">
        <f aca="false">IF(BY65&gt;0,(BY33+BY40)/BY65,0)</f>
        <v>0.352048280907096</v>
      </c>
      <c r="BZ101" s="15" t="n">
        <f aca="false">IF(BZ65&gt;0,(BZ33+BZ40)/BZ65,0)</f>
        <v>0.352048280907096</v>
      </c>
      <c r="CA101" s="15" t="n">
        <f aca="false">IF(CA65&gt;0,(CA33+CA40)/CA65,0)</f>
        <v>0.352451137455944</v>
      </c>
      <c r="CB101" s="15" t="n">
        <f aca="false">IF(CB65&gt;0,(CB33+CB40)/CB65,0)</f>
        <v>0.352451137455944</v>
      </c>
      <c r="CC101" s="15" t="n">
        <f aca="false">IF(CC65&gt;0,(CC33+CC40)/CC65,0)</f>
        <v>0.352531819430455</v>
      </c>
      <c r="CD101" s="15" t="n">
        <f aca="false">IF(CD65&gt;0,(CD33+CD40)/CD65,0)</f>
        <v>0.352693294246977</v>
      </c>
      <c r="CE101" s="15" t="n">
        <f aca="false">IF(CE65&gt;0,(CE33+CE40)/CE65,0)</f>
        <v>0.352693294246977</v>
      </c>
      <c r="CF101" s="15" t="n">
        <f aca="false">IF(CF65&gt;0,(CF33+CF40)/CF65,0)</f>
        <v>0.352693294246977</v>
      </c>
      <c r="CG101" s="15" t="n">
        <f aca="false">IF(CG65&gt;0,(CG33+CG40)/CG65,0)</f>
        <v>0.352693294246977</v>
      </c>
      <c r="CH101" s="15" t="n">
        <f aca="false">IF(CH65&gt;0,(CH33+CH40)/CH65,0)</f>
        <v>0.352693294246977</v>
      </c>
      <c r="CI101" s="15" t="n">
        <f aca="false">IF(CI65&gt;0,(CI33+CI40)/CI65,0)</f>
        <v>0.352693294246977</v>
      </c>
      <c r="CJ101" s="15" t="n">
        <f aca="false">IF(CJ65&gt;0,(CJ33+CJ40)/CJ65,0)</f>
        <v>0.352693294246977</v>
      </c>
      <c r="CK101" s="15" t="n">
        <f aca="false">IF(CK65&gt;0,(CK33+CK40)/CK65,0)</f>
        <v>0.352693294246977</v>
      </c>
      <c r="CL101" s="15" t="n">
        <f aca="false">IF(CL65&gt;0,(CL33+CL40)/CL65,0)</f>
        <v>0.352693294246977</v>
      </c>
      <c r="CM101" s="15" t="n">
        <f aca="false">IF(CM65&gt;0,(CM33+CM40)/CM65,0)</f>
        <v>0.352693294246977</v>
      </c>
      <c r="CN101" s="15" t="n">
        <f aca="false">IF(CN65&gt;0,(CN33+CN40)/CN65,0)</f>
        <v>0.352693294246977</v>
      </c>
      <c r="CO101" s="15" t="n">
        <f aca="false">IF(CO65&gt;0,(CO33+CO40)/CO65,0)</f>
        <v>0.352693294246977</v>
      </c>
      <c r="CP101" s="15" t="n">
        <f aca="false">IF(CP65&gt;0,(CP33+CP40)/CP65,0)</f>
        <v>0.340658523895647</v>
      </c>
      <c r="CQ101" s="15" t="n">
        <f aca="false">IF(CQ65&gt;0,(CQ33+CQ40)/CQ65,0)</f>
        <v>0.340658523895647</v>
      </c>
      <c r="CR101" s="15" t="n">
        <f aca="false">IF(CR65&gt;0,(CR33+CR40)/CR65,0)</f>
        <v>0.340658523895647</v>
      </c>
      <c r="CS101" s="15" t="n">
        <f aca="false">IF(CS65&gt;0,(CS33+CS40)/CS65,0)</f>
        <v>0.340658523895647</v>
      </c>
      <c r="CT101" s="15" t="n">
        <f aca="false">IF(CT65&gt;0,(CT33+CT40)/CT65,0)</f>
        <v>0.340658523895647</v>
      </c>
      <c r="CU101" s="15" t="n">
        <f aca="false">IF(CU65&gt;0,(CU33+CU40)/CU65,0)</f>
        <v>0.340027716586527</v>
      </c>
      <c r="CV101" s="15" t="n">
        <f aca="false">IF(CV65&gt;0,(CV33+CV40)/CV65,0)</f>
        <v>0.340027716586527</v>
      </c>
      <c r="CW101" s="15" t="n">
        <f aca="false">IF(CW65&gt;0,(CW33+CW40)/CW65,0)</f>
        <v>0.340027716586527</v>
      </c>
      <c r="CX101" s="15" t="n">
        <f aca="false">IF(CX65&gt;0,(CX33+CX40)/CX65,0)</f>
        <v>0.339608474651623</v>
      </c>
      <c r="CY101" s="15" t="n">
        <f aca="false">IF(CY65&gt;0,(CY33+CY40)/CY65,0)</f>
        <v>0.340237725954967</v>
      </c>
      <c r="CZ101" s="15" t="n">
        <f aca="false">IF(CZ65&gt;0,(CZ33+CZ40)/CZ65,0)</f>
        <v>0.341203134745904</v>
      </c>
      <c r="DA101" s="15" t="n">
        <f aca="false">IF(DA65&gt;0,(DA33+DA40)/DA65,0)</f>
        <v>0.341677901324659</v>
      </c>
      <c r="DB101" s="15" t="n">
        <f aca="false">IF(DB65&gt;0,(DB33+DB40)/DB65,0)</f>
        <v>0.345724084522624</v>
      </c>
      <c r="DC101" s="15" t="n">
        <f aca="false">IF(DC65&gt;0,(DC33+DC40)/DC65,0)</f>
        <v>0.344212607884086</v>
      </c>
      <c r="DD101" s="15" t="n">
        <f aca="false">IF(DD65&gt;0,(DD33+DD40)/DD65,0)</f>
        <v>0.341881398684406</v>
      </c>
      <c r="DE101" s="15" t="n">
        <f aca="false">IF(DE65&gt;0,(DE33+DE40)/DE65,0)</f>
        <v>0.341881398684406</v>
      </c>
      <c r="DF101" s="15" t="n">
        <f aca="false">IF(DF65&gt;0,(DF33+DF40)/DF65,0)</f>
        <v>0.347128523415843</v>
      </c>
      <c r="DG101" s="15" t="n">
        <f aca="false">IF(DG65&gt;0,(DG33+DG40)/DG65,0)</f>
        <v>0.345925088478175</v>
      </c>
      <c r="DH101" s="15" t="n">
        <f aca="false">IF(DH65&gt;0,(DH33+DH40)/DH65,0)</f>
        <v>0.340658523895647</v>
      </c>
      <c r="DI101" s="15" t="n">
        <f aca="false">IF(DI65&gt;0,(DI33+DI40)/DI65,0)</f>
        <v>0.340574146087732</v>
      </c>
      <c r="DJ101" s="15" t="n">
        <f aca="false">IF(DJ65&gt;0,(DJ33+DJ40)/DJ65,0)</f>
        <v>0.340574146087732</v>
      </c>
      <c r="DK101" s="15" t="n">
        <f aca="false">IF(DK65&gt;0,(DK33+DK40)/DK65,0)</f>
        <v>0.340574146087732</v>
      </c>
      <c r="DL101" s="15" t="n">
        <f aca="false">IF(DL65&gt;0,(DL33+DL40)/DL65,0)</f>
        <v>0.339606797075677</v>
      </c>
      <c r="DM101" s="15" t="n">
        <f aca="false">IF(DM65&gt;0,(DM33+DM40)/DM65,0)</f>
        <v>0.339606797075677</v>
      </c>
      <c r="DN101" s="15" t="n">
        <f aca="false">IF(DN65&gt;0,(DN33+DN40)/DN65,0)</f>
        <v>0.339606797075677</v>
      </c>
      <c r="DO101" s="15" t="n">
        <f aca="false">IF(DO65&gt;0,(DO33+DO40)/DO65,0)</f>
        <v>0.340500349786723</v>
      </c>
      <c r="DP101" s="15" t="n">
        <f aca="false">IF(DP65&gt;0,(DP33+DP40)/DP65,0)</f>
        <v>0.340500349786723</v>
      </c>
      <c r="DQ101" s="15" t="n">
        <f aca="false">IF(DQ65&gt;0,(DQ33+DQ40)/DQ65,0)</f>
        <v>0.340658523895647</v>
      </c>
      <c r="DR101" s="15" t="n">
        <f aca="false">IF(DR65&gt;0,(DR33+DR40)/DR65,0)</f>
        <v>0.340658523895647</v>
      </c>
      <c r="DS101" s="15" t="n">
        <f aca="false">IF(DS65&gt;0,(DS33+DS40)/DS65,0)</f>
        <v>0.340342322496009</v>
      </c>
      <c r="DT101" s="15" t="n">
        <f aca="false">IF(DT65&gt;0,(DT33+DT40)/DT65,0)</f>
        <v>0.340658523895647</v>
      </c>
      <c r="DU101" s="15" t="n">
        <f aca="false">IF(DU65&gt;0,(DU33+DU40)/DU65,0)</f>
        <v>0.340658523895647</v>
      </c>
      <c r="DV101" s="15" t="n">
        <f aca="false">IF(DV65&gt;0,(DV33+DV40)/DV65,0)</f>
        <v>0.340658523895647</v>
      </c>
      <c r="DW101" s="15" t="n">
        <f aca="false">IF(DW65&gt;0,(DW33+DW40)/DW65,0)</f>
        <v>0.340658523895647</v>
      </c>
      <c r="DX101" s="15" t="n">
        <f aca="false">IF(DX65&gt;0,(DX33+DX40)/DX65,0)</f>
        <v>0.340658523895647</v>
      </c>
      <c r="DY101" s="15" t="n">
        <f aca="false">IF(DY65&gt;0,(DY33+DY40)/DY65,0)</f>
        <v>0.340658523895647</v>
      </c>
      <c r="DZ101" s="15" t="n">
        <f aca="false">IF(DZ65&gt;0,(DZ33+DZ40)/DZ65,0)</f>
        <v>0.340658523895647</v>
      </c>
      <c r="EA101" s="15" t="n">
        <f aca="false">IF(EA65&gt;0,(EA33+EA40)/EA65,0)</f>
        <v>0.340658523895647</v>
      </c>
      <c r="EB101" s="15" t="n">
        <f aca="false">IF(EB65&gt;0,(EB33+EB40)/EB65,0)</f>
        <v>0.340658523895647</v>
      </c>
      <c r="EC101" s="15" t="n">
        <f aca="false">IF(EC65&gt;0,(EC33+EC40)/EC65,0)</f>
        <v>0.340658523895647</v>
      </c>
      <c r="ED101" s="15" t="n">
        <f aca="false">IF(ED65&gt;0,(ED33+ED40)/ED65,0)</f>
        <v>0.340658523895647</v>
      </c>
      <c r="EE101" s="15" t="n">
        <f aca="false">IF(EE65&gt;0,(EE33+EE40)/EE65,0)</f>
        <v>0.340658523895647</v>
      </c>
      <c r="EF101" s="15" t="n">
        <f aca="false">IF(EF65&gt;0,(EF33+EF40)/EF65,0)</f>
        <v>0.511081168982019</v>
      </c>
      <c r="EG101" s="15" t="n">
        <f aca="false">IF(EG65&gt;0,(EG33+EG40)/EG65,0)</f>
        <v>0.511081168982019</v>
      </c>
      <c r="EH101" s="15" t="n">
        <f aca="false">IF(EH65&gt;0,(EH33+EH40)/EH65,0)</f>
        <v>0.511081168982019</v>
      </c>
      <c r="EI101" s="15" t="n">
        <f aca="false">IF(EI65&gt;0,(EI33+EI40)/EI65,0)</f>
        <v>0.511081168982019</v>
      </c>
      <c r="EJ101" s="15" t="n">
        <f aca="false">IF(EJ65&gt;0,(EJ33+EJ40)/EJ65,0)</f>
        <v>0.511081168982019</v>
      </c>
      <c r="EK101" s="15" t="n">
        <f aca="false">IF(EK65&gt;0,(EK33+EK40)/EK65,0)</f>
        <v>0.509649046400303</v>
      </c>
      <c r="EL101" s="15" t="n">
        <f aca="false">IF(EL65&gt;0,(EL33+EL40)/EL65,0)</f>
        <v>0.509649046400303</v>
      </c>
      <c r="EM101" s="15" t="n">
        <f aca="false">IF(EM65&gt;0,(EM33+EM40)/EM65,0)</f>
        <v>0.509649046400303</v>
      </c>
      <c r="EN101" s="15" t="n">
        <f aca="false">IF(EN65&gt;0,(EN33+EN40)/EN65,0)</f>
        <v>0.509292268943357</v>
      </c>
      <c r="EO101" s="15" t="n">
        <f aca="false">IF(EO65&gt;0,(EO33+EO40)/EO65,0)</f>
        <v>0.510722384312094</v>
      </c>
      <c r="EP101" s="15" t="n">
        <f aca="false">IF(EP65&gt;0,(EP33+EP40)/EP65,0)</f>
        <v>0.512250474734843</v>
      </c>
      <c r="EQ101" s="15" t="n">
        <f aca="false">IF(EQ65&gt;0,(EQ33+EQ40)/EQ65,0)</f>
        <v>0.512440346569059</v>
      </c>
      <c r="ER101" s="15" t="n">
        <f aca="false">IF(ER65&gt;0,(ER33+ER40)/ER65,0)</f>
        <v>0.513791988171695</v>
      </c>
      <c r="ES101" s="15" t="n">
        <f aca="false">IF(ES65&gt;0,(ES33+ES40)/ES65,0)</f>
        <v>0.512169115942701</v>
      </c>
      <c r="ET101" s="15" t="n">
        <f aca="false">IF(ET65&gt;0,(ET33+ET40)/ET65,0)</f>
        <v>0.512214342001576</v>
      </c>
      <c r="EU101" s="15" t="n">
        <f aca="false">IF(EU65&gt;0,(EU33+EU40)/EU65,0)</f>
        <v>0.512214342001576</v>
      </c>
      <c r="EV101" s="15" t="n">
        <f aca="false">IF(EV65&gt;0,(EV33+EV40)/EV65,0)</f>
        <v>0.513791988171695</v>
      </c>
      <c r="EW101" s="15" t="n">
        <f aca="false">IF(EW65&gt;0,(EW33+EW40)/EW65,0)</f>
        <v>0.512666141805215</v>
      </c>
      <c r="EX101" s="15" t="n">
        <f aca="false">IF(EX65&gt;0,(EX33+EX40)/EX65,0)</f>
        <v>0.511081168982019</v>
      </c>
      <c r="EY101" s="15" t="n">
        <f aca="false">IF(EY65&gt;0,(EY33+EY40)/EY65,0)</f>
        <v>0.510636322490048</v>
      </c>
      <c r="EZ101" s="15" t="n">
        <f aca="false">IF(EZ65&gt;0,(EZ33+EZ40)/EZ65,0)</f>
        <v>0.510636322490048</v>
      </c>
      <c r="FA101" s="15" t="n">
        <f aca="false">IF(FA65&gt;0,(FA33+FA40)/FA65,0)</f>
        <v>0.510636322490048</v>
      </c>
      <c r="FB101" s="15" t="n">
        <f aca="false">IF(FB65&gt;0,(FB33+FB40)/FB65,0)</f>
        <v>0.51093873380092</v>
      </c>
      <c r="FC101" s="15" t="n">
        <f aca="false">IF(FC65&gt;0,(FC33+FC40)/FC65,0)</f>
        <v>0.51093873380092</v>
      </c>
      <c r="FD101" s="15" t="n">
        <f aca="false">IF(FD65&gt;0,(FD33+FD40)/FD65,0)</f>
        <v>0.51093873380092</v>
      </c>
      <c r="FE101" s="15" t="n">
        <f aca="false">IF(FE65&gt;0,(FE33+FE40)/FE65,0)</f>
        <v>0.510986203372509</v>
      </c>
      <c r="FF101" s="15" t="n">
        <f aca="false">IF(FF65&gt;0,(FF33+FF40)/FF65,0)</f>
        <v>0.510986203372509</v>
      </c>
      <c r="FG101" s="15" t="n">
        <f aca="false">IF(FG65&gt;0,(FG33+FG40)/FG65,0)</f>
        <v>0.51079637798932</v>
      </c>
      <c r="FH101" s="15" t="n">
        <f aca="false">IF(FH65&gt;0,(FH33+FH40)/FH65,0)</f>
        <v>0.51079637798932</v>
      </c>
      <c r="FI101" s="15" t="n">
        <f aca="false">IF(FI65&gt;0,(FI33+FI40)/FI65,0)</f>
        <v>0.510986203372509</v>
      </c>
      <c r="FJ101" s="15" t="n">
        <f aca="false">IF(FJ65&gt;0,(FJ33+FJ40)/FJ65,0)</f>
        <v>0.511081168982019</v>
      </c>
      <c r="FK101" s="15" t="n">
        <f aca="false">IF(FK65&gt;0,(FK33+FK40)/FK65,0)</f>
        <v>0.511081168982019</v>
      </c>
      <c r="FL101" s="15" t="n">
        <f aca="false">IF(FL65&gt;0,(FL33+FL40)/FL65,0)</f>
        <v>0.511081168982019</v>
      </c>
      <c r="FM101" s="15" t="n">
        <f aca="false">IF(FM65&gt;0,(FM33+FM40)/FM65,0)</f>
        <v>0.511081168982019</v>
      </c>
      <c r="FN101" s="15" t="n">
        <f aca="false">IF(FN65&gt;0,(FN33+FN40)/FN65,0)</f>
        <v>0.511081168982019</v>
      </c>
      <c r="FO101" s="15" t="n">
        <f aca="false">IF(FO65&gt;0,(FO33+FO40)/FO65,0)</f>
        <v>0.511081168982019</v>
      </c>
      <c r="FP101" s="15" t="n">
        <f aca="false">IF(FP65&gt;0,(FP33+FP40)/FP65,0)</f>
        <v>0.511081168982019</v>
      </c>
      <c r="FQ101" s="15" t="n">
        <f aca="false">IF(FQ65&gt;0,(FQ33+FQ40)/FQ65,0)</f>
        <v>0.511081168982019</v>
      </c>
      <c r="FR101" s="15" t="n">
        <f aca="false">IF(FR65&gt;0,(FR33+FR40)/FR65,0)</f>
        <v>0.511081168982019</v>
      </c>
      <c r="FS101" s="15" t="n">
        <f aca="false">IF(FS65&gt;0,(FS33+FS40)/FS65,0)</f>
        <v>0.511081168982019</v>
      </c>
      <c r="FT101" s="15" t="n">
        <f aca="false">IF(FT65&gt;0,(FT33+FT40)/FT65,0)</f>
        <v>0.511081168982019</v>
      </c>
      <c r="FU101" s="15" t="n">
        <f aca="false">IF(FU65&gt;0,(FU33+FU40)/FU65,0)</f>
        <v>0.511081168982019</v>
      </c>
      <c r="FV101" s="15" t="n">
        <f aca="false">IF(FV65&gt;0,(FV33+FV40)/FV65,0)</f>
        <v>0.352693294246977</v>
      </c>
      <c r="FW101" s="15" t="n">
        <f aca="false">IF(FW65&gt;0,(FW33+FW40)/FW65,0)</f>
        <v>0.352693294246977</v>
      </c>
      <c r="FX101" s="15" t="n">
        <f aca="false">IF(FX65&gt;0,(FX33+FX40)/FX65,0)</f>
        <v>0.352693294246977</v>
      </c>
      <c r="FY101" s="15" t="n">
        <f aca="false">IF(FY65&gt;0,(FY33+FY40)/FY65,0)</f>
        <v>0.352693294246977</v>
      </c>
      <c r="FZ101" s="15" t="n">
        <f aca="false">IF(FZ65&gt;0,(FZ33+FZ40)/FZ65,0)</f>
        <v>0.352693294246977</v>
      </c>
      <c r="GA101" s="15" t="n">
        <f aca="false">IF(GA65&gt;0,(GA33+GA40)/GA65,0)</f>
        <v>0.352246048897241</v>
      </c>
      <c r="GB101" s="15" t="n">
        <f aca="false">IF(GB65&gt;0,(GB33+GB40)/GB65,0)</f>
        <v>0.352246048897241</v>
      </c>
      <c r="GC101" s="15" t="n">
        <f aca="false">IF(GC65&gt;0,(GC33+GC40)/GC65,0)</f>
        <v>0.352246048897241</v>
      </c>
      <c r="GD101" s="15" t="n">
        <f aca="false">IF(GD65&gt;0,(GD33+GD40)/GD65,0)</f>
        <v>0.352134414736597</v>
      </c>
      <c r="GE101" s="15" t="n">
        <f aca="false">IF(GE65&gt;0,(GE33+GE40)/GE65,0)</f>
        <v>0.352581376468536</v>
      </c>
      <c r="GF101" s="15" t="n">
        <f aca="false">IF(GF65&gt;0,(GF33+GF40)/GF65,0)</f>
        <v>0.352833804873597</v>
      </c>
      <c r="GG101" s="15" t="n">
        <f aca="false">IF(GG65&gt;0,(GG33+GG40)/GG65,0)</f>
        <v>0.353640687888767</v>
      </c>
      <c r="GH101" s="15" t="n">
        <f aca="false">IF(GH65&gt;0,(GH33+GH40)/GH65,0)</f>
        <v>0.355056589996349</v>
      </c>
      <c r="GI101" s="15" t="n">
        <f aca="false">IF(GI65&gt;0,(GI33+GI40)/GI65,0)</f>
        <v>0.353877103145574</v>
      </c>
      <c r="GJ101" s="15" t="n">
        <f aca="false">IF(GJ65&gt;0,(GJ33+GJ40)/GJ65,0)</f>
        <v>0.354024774877726</v>
      </c>
      <c r="GK101" s="15" t="n">
        <f aca="false">IF(GK65&gt;0,(GK33+GK40)/GK65,0)</f>
        <v>0.354024774877726</v>
      </c>
      <c r="GL101" s="15" t="n">
        <f aca="false">IF(GL65&gt;0,(GL33+GL40)/GL65,0)</f>
        <v>0.357110363024293</v>
      </c>
      <c r="GM101" s="15" t="n">
        <f aca="false">IF(GM65&gt;0,(GM33+GM40)/GM65,0)</f>
        <v>0.35579158499339</v>
      </c>
      <c r="GN101" s="15" t="n">
        <f aca="false">IF(GN65&gt;0,(GN33+GN40)/GN65,0)</f>
        <v>0.352693294246977</v>
      </c>
      <c r="GO101" s="15" t="n">
        <f aca="false">IF(GO65&gt;0,(GO33+GO40)/GO65,0)</f>
        <v>0.352451137455944</v>
      </c>
      <c r="GP101" s="15" t="n">
        <f aca="false">IF(GP65&gt;0,(GP33+GP40)/GP65,0)</f>
        <v>0.352451137455944</v>
      </c>
      <c r="GQ101" s="15" t="n">
        <f aca="false">IF(GQ65&gt;0,(GQ33+GQ40)/GQ65,0)</f>
        <v>0.352451137455944</v>
      </c>
      <c r="GR101" s="15" t="n">
        <f aca="false">IF(GR65&gt;0,(GR33+GR40)/GR65,0)</f>
        <v>0.352151324454852</v>
      </c>
      <c r="GS101" s="15" t="n">
        <f aca="false">IF(GS65&gt;0,(GS33+GS40)/GS65,0)</f>
        <v>0.352151324454852</v>
      </c>
      <c r="GT101" s="15" t="n">
        <f aca="false">IF(GT65&gt;0,(GT33+GT40)/GT65,0)</f>
        <v>0.352151324454852</v>
      </c>
      <c r="GU101" s="15" t="n">
        <f aca="false">IF(GU65&gt;0,(GU33+GU40)/GU65,0)</f>
        <v>0.352048280907096</v>
      </c>
      <c r="GV101" s="15" t="n">
        <f aca="false">IF(GV65&gt;0,(GV33+GV40)/GV65,0)</f>
        <v>0.352048280907096</v>
      </c>
      <c r="GW101" s="15" t="n">
        <f aca="false">IF(GW65&gt;0,(GW33+GW40)/GW65,0)</f>
        <v>0.352451137455944</v>
      </c>
      <c r="GX101" s="15" t="n">
        <f aca="false">IF(GX65&gt;0,(GX33+GX40)/GX65,0)</f>
        <v>0.352451137455944</v>
      </c>
      <c r="GY101" s="15" t="n">
        <f aca="false">IF(GY65&gt;0,(GY33+GY40)/GY65,0)</f>
        <v>0.352531819430455</v>
      </c>
      <c r="GZ101" s="15" t="n">
        <f aca="false">IF(GZ65&gt;0,(GZ33+GZ40)/GZ65,0)</f>
        <v>0.352693294246977</v>
      </c>
      <c r="HA101" s="15" t="n">
        <f aca="false">IF(HA65&gt;0,(HA33+HA40)/HA65,0)</f>
        <v>0.352693294246977</v>
      </c>
      <c r="HB101" s="15" t="n">
        <f aca="false">IF(HB65&gt;0,(HB33+HB40)/HB65,0)</f>
        <v>0.352693294246977</v>
      </c>
      <c r="HC101" s="15" t="n">
        <f aca="false">IF(HC65&gt;0,(HC33+HC40)/HC65,0)</f>
        <v>0.352693294246977</v>
      </c>
      <c r="HD101" s="15" t="n">
        <f aca="false">IF(HD65&gt;0,(HD33+HD40)/HD65,0)</f>
        <v>0.352693294246977</v>
      </c>
      <c r="HE101" s="15" t="n">
        <f aca="false">IF(HE65&gt;0,(HE33+HE40)/HE65,0)</f>
        <v>0.352693294246977</v>
      </c>
      <c r="HF101" s="15" t="n">
        <f aca="false">IF(HF65&gt;0,(HF33+HF40)/HF65,0)</f>
        <v>0.352693294246977</v>
      </c>
      <c r="HG101" s="15" t="n">
        <f aca="false">IF(HG65&gt;0,(HG33+HG40)/HG65,0)</f>
        <v>0.352693294246977</v>
      </c>
      <c r="HH101" s="15" t="n">
        <f aca="false">IF(HH65&gt;0,(HH33+HH40)/HH65,0)</f>
        <v>0.352693294246977</v>
      </c>
      <c r="HI101" s="15" t="n">
        <f aca="false">IF(HI65&gt;0,(HI33+HI40)/HI65,0)</f>
        <v>0.352693294246977</v>
      </c>
      <c r="HJ101" s="15" t="n">
        <f aca="false">IF(HJ65&gt;0,(HJ33+HJ40)/HJ65,0)</f>
        <v>0.352693294246977</v>
      </c>
      <c r="HK101" s="15" t="n">
        <f aca="false">IF(HK65&gt;0,(HK33+HK40)/HK65,0)</f>
        <v>0.352693294246977</v>
      </c>
      <c r="HL101" s="15" t="n">
        <f aca="false">IF(HL65&gt;0,(HL33+HL40)/HL65,0)</f>
        <v>0.340658523895647</v>
      </c>
      <c r="HM101" s="15" t="n">
        <f aca="false">IF(HM65&gt;0,(HM33+HM40)/HM65,0)</f>
        <v>0.340658523895647</v>
      </c>
      <c r="HN101" s="15" t="n">
        <f aca="false">IF(HN65&gt;0,(HN33+HN40)/HN65,0)</f>
        <v>0.340658523895647</v>
      </c>
      <c r="HO101" s="15" t="n">
        <f aca="false">IF(HO65&gt;0,(HO33+HO40)/HO65,0)</f>
        <v>0.340658523895647</v>
      </c>
      <c r="HP101" s="15" t="n">
        <f aca="false">IF(HP65&gt;0,(HP33+HP40)/HP65,0)</f>
        <v>0.340658523895647</v>
      </c>
      <c r="HQ101" s="15" t="n">
        <f aca="false">IF(HQ65&gt;0,(HQ33+HQ40)/HQ65,0)</f>
        <v>0.340027716586527</v>
      </c>
      <c r="HR101" s="15" t="n">
        <f aca="false">IF(HR65&gt;0,(HR33+HR40)/HR65,0)</f>
        <v>0.340027716586527</v>
      </c>
      <c r="HS101" s="15" t="n">
        <f aca="false">IF(HS65&gt;0,(HS33+HS40)/HS65,0)</f>
        <v>0.340027716586527</v>
      </c>
      <c r="HT101" s="15" t="n">
        <f aca="false">IF(HT65&gt;0,(HT33+HT40)/HT65,0)</f>
        <v>0.339608474651624</v>
      </c>
      <c r="HU101" s="15" t="n">
        <f aca="false">IF(HU65&gt;0,(HU33+HU40)/HU65,0)</f>
        <v>0.340237725954967</v>
      </c>
      <c r="HV101" s="15" t="n">
        <f aca="false">IF(HV65&gt;0,(HV33+HV40)/HV65,0)</f>
        <v>0.341203134745904</v>
      </c>
      <c r="HW101" s="15" t="n">
        <f aca="false">IF(HW65&gt;0,(HW33+HW40)/HW65,0)</f>
        <v>0.341677901324659</v>
      </c>
      <c r="HX101" s="15" t="n">
        <f aca="false">IF(HX65&gt;0,(HX33+HX40)/HX65,0)</f>
        <v>0.345724084522624</v>
      </c>
      <c r="HY101" s="15" t="n">
        <f aca="false">IF(HY65&gt;0,(HY33+HY40)/HY65,0)</f>
        <v>0.344212607884086</v>
      </c>
      <c r="HZ101" s="15" t="n">
        <f aca="false">IF(HZ65&gt;0,(HZ33+HZ40)/HZ65,0)</f>
        <v>0.341881398684406</v>
      </c>
      <c r="IA101" s="15" t="n">
        <f aca="false">IF(IA65&gt;0,(IA33+IA40)/IA65,0)</f>
        <v>0.341881398684406</v>
      </c>
      <c r="IB101" s="15" t="n">
        <f aca="false">IF(IB65&gt;0,(IB33+IB40)/IB65,0)</f>
        <v>0.347128523415843</v>
      </c>
      <c r="IC101" s="15" t="n">
        <f aca="false">IF(IC65&gt;0,(IC33+IC40)/IC65,0)</f>
        <v>0.345925088478175</v>
      </c>
      <c r="ID101" s="15" t="n">
        <f aca="false">IF(ID65&gt;0,(ID33+ID40)/ID65,0)</f>
        <v>0.340658523895647</v>
      </c>
      <c r="IE101" s="15" t="n">
        <f aca="false">IF(IE65&gt;0,(IE33+IE40)/IE65,0)</f>
        <v>0.340574146087732</v>
      </c>
      <c r="IF101" s="15" t="n">
        <f aca="false">IF(IF65&gt;0,(IF33+IF40)/IF65,0)</f>
        <v>0.340574146087732</v>
      </c>
      <c r="IG101" s="15" t="n">
        <f aca="false">IF(IG65&gt;0,(IG33+IG40)/IG65,0)</f>
        <v>0.340574146087732</v>
      </c>
      <c r="IH101" s="15" t="n">
        <f aca="false">IF(IH65&gt;0,(IH33+IH40)/IH65,0)</f>
        <v>0.339606797075677</v>
      </c>
      <c r="II101" s="15" t="n">
        <f aca="false">IF(II65&gt;0,(II33+II40)/II65,0)</f>
        <v>0.339606797075677</v>
      </c>
      <c r="IJ101" s="15" t="n">
        <f aca="false">IF(IJ65&gt;0,(IJ33+IJ40)/IJ65,0)</f>
        <v>0.339606797075677</v>
      </c>
      <c r="IK101" s="15" t="n">
        <f aca="false">IF(IK65&gt;0,(IK33+IK40)/IK65,0)</f>
        <v>0.340500349786723</v>
      </c>
      <c r="IL101" s="15" t="n">
        <f aca="false">IF(IL65&gt;0,(IL33+IL40)/IL65,0)</f>
        <v>0.340500349786723</v>
      </c>
      <c r="IM101" s="15" t="n">
        <f aca="false">IF(IM65&gt;0,(IM33+IM40)/IM65,0)</f>
        <v>0.340658523895647</v>
      </c>
      <c r="IN101" s="15" t="n">
        <f aca="false">IF(IN65&gt;0,(IN33+IN40)/IN65,0)</f>
        <v>0.340658523895647</v>
      </c>
      <c r="IO101" s="15" t="n">
        <f aca="false">IF(IO65&gt;0,(IO33+IO40)/IO65,0)</f>
        <v>0.340342322496009</v>
      </c>
      <c r="IP101" s="15" t="n">
        <f aca="false">IF(IP65&gt;0,(IP33+IP40)/IP65,0)</f>
        <v>0.340658523895647</v>
      </c>
      <c r="IQ101" s="15" t="n">
        <f aca="false">IF(IQ65&gt;0,(IQ33+IQ40)/IQ65,0)</f>
        <v>0.340658523895647</v>
      </c>
      <c r="IR101" s="15" t="n">
        <f aca="false">IF(IR65&gt;0,(IR33+IR40)/IR65,0)</f>
        <v>0.340658523895647</v>
      </c>
      <c r="IS101" s="15" t="n">
        <f aca="false">IF(IS65&gt;0,(IS33+IS40)/IS65,0)</f>
        <v>0.340658523895647</v>
      </c>
      <c r="IT101" s="15" t="n">
        <f aca="false">IF(IT65&gt;0,(IT33+IT40)/IT65,0)</f>
        <v>0.340658523895647</v>
      </c>
      <c r="IU101" s="15" t="n">
        <f aca="false">IF(IU65&gt;0,(IU33+IU40)/IU65,0)</f>
        <v>0.340658523895647</v>
      </c>
      <c r="IV101" s="15" t="n">
        <f aca="false">IF(IV65&gt;0,(IV33+IV40)/IV65,0)</f>
        <v>0.340658523895647</v>
      </c>
      <c r="IW101" s="15" t="n">
        <f aca="false">IF(IW65&gt;0,(IW33+IW40)/IW65,0)</f>
        <v>0.340658523895647</v>
      </c>
      <c r="IX101" s="15" t="n">
        <f aca="false">IF(IX65&gt;0,(IX33+IX40)/IX65,0)</f>
        <v>0.340658523895647</v>
      </c>
      <c r="IY101" s="15" t="n">
        <f aca="false">IF(IY65&gt;0,(IY33+IY40)/IY65,0)</f>
        <v>0.340658523895647</v>
      </c>
      <c r="IZ101" s="15" t="n">
        <f aca="false">IF(IZ65&gt;0,(IZ33+IZ40)/IZ65,0)</f>
        <v>0.340658523895647</v>
      </c>
      <c r="JA101" s="15" t="n">
        <f aca="false">IF(JA65&gt;0,(JA33+JA40)/JA65,0)</f>
        <v>0.340658523895647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8"/>
    <col collapsed="false" customWidth="true" hidden="false" outlineLevel="0" max="7" min="7" style="0" width="32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2" min="11" style="0" width="13"/>
    <col collapsed="false" customWidth="true" hidden="false" outlineLevel="0" max="13" min="13" style="0" width="22"/>
    <col collapsed="false" customWidth="true" hidden="false" outlineLevel="0" max="14" min="14" style="0" width="26"/>
    <col collapsed="false" customWidth="true" hidden="false" outlineLevel="0" max="15" min="15" style="0" width="11"/>
    <col collapsed="false" customWidth="true" hidden="false" outlineLevel="0" max="16" min="16" style="0" width="24"/>
    <col collapsed="false" customWidth="true" hidden="false" outlineLevel="0" max="17" min="17" style="0" width="40"/>
  </cols>
  <sheetData>
    <row r="1" customFormat="false" ht="17.35" hidden="false" customHeight="false" outlineLevel="0" collapsed="false">
      <c r="A1" s="1" t="s">
        <v>733</v>
      </c>
    </row>
    <row r="2" customFormat="false" ht="15" hidden="false" customHeight="false" outlineLevel="0" collapsed="false">
      <c r="A2" s="8" t="s">
        <v>734</v>
      </c>
    </row>
    <row r="4" customFormat="false" ht="36" hidden="false" customHeight="true" outlineLevel="0" collapsed="false">
      <c r="A4" s="12" t="s">
        <v>90</v>
      </c>
      <c r="B4" s="12" t="s">
        <v>175</v>
      </c>
      <c r="C4" s="12" t="s">
        <v>174</v>
      </c>
      <c r="D4" s="12" t="s">
        <v>177</v>
      </c>
      <c r="E4" s="12" t="s">
        <v>735</v>
      </c>
      <c r="F4" s="12" t="s">
        <v>736</v>
      </c>
      <c r="G4" s="12" t="s">
        <v>737</v>
      </c>
      <c r="H4" s="12" t="s">
        <v>176</v>
      </c>
      <c r="I4" s="12" t="s">
        <v>45</v>
      </c>
      <c r="J4" s="12" t="s">
        <v>356</v>
      </c>
      <c r="K4" s="12" t="s">
        <v>168</v>
      </c>
      <c r="L4" s="12" t="s">
        <v>738</v>
      </c>
      <c r="M4" s="12" t="s">
        <v>357</v>
      </c>
      <c r="N4" s="12" t="s">
        <v>739</v>
      </c>
      <c r="O4" s="12" t="s">
        <v>740</v>
      </c>
      <c r="P4" s="12" t="s">
        <v>741</v>
      </c>
      <c r="Q4" s="12" t="s">
        <v>742</v>
      </c>
    </row>
    <row r="5" customFormat="false" ht="15" hidden="false" customHeight="false" outlineLevel="0" collapsed="false">
      <c r="A5" s="4" t="s">
        <v>743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customFormat="false" ht="46.25" hidden="false" customHeight="false" outlineLevel="0" collapsed="false">
      <c r="A6" s="42" t="s">
        <v>131</v>
      </c>
      <c r="B6" s="42" t="s">
        <v>132</v>
      </c>
      <c r="C6" s="3" t="s">
        <v>744</v>
      </c>
      <c r="D6" s="3" t="s">
        <v>745</v>
      </c>
      <c r="E6" s="3" t="s">
        <v>746</v>
      </c>
      <c r="F6" s="3" t="s">
        <v>747</v>
      </c>
      <c r="G6" s="3" t="s">
        <v>178</v>
      </c>
      <c r="H6" s="3" t="s">
        <v>179</v>
      </c>
      <c r="I6" s="3" t="s">
        <v>748</v>
      </c>
      <c r="J6" s="3" t="s">
        <v>749</v>
      </c>
      <c r="K6" s="3" t="s">
        <v>376</v>
      </c>
      <c r="L6" s="3" t="s">
        <v>750</v>
      </c>
      <c r="M6" s="3" t="s">
        <v>751</v>
      </c>
      <c r="N6" s="3" t="s">
        <v>752</v>
      </c>
      <c r="O6" s="3" t="s">
        <v>753</v>
      </c>
      <c r="P6" s="3" t="s">
        <v>754</v>
      </c>
      <c r="Q6" s="3" t="s">
        <v>755</v>
      </c>
    </row>
    <row r="7" customFormat="false" ht="46.25" hidden="false" customHeight="false" outlineLevel="0" collapsed="false">
      <c r="A7" s="42" t="s">
        <v>111</v>
      </c>
      <c r="B7" s="42" t="s">
        <v>112</v>
      </c>
      <c r="C7" s="3" t="s">
        <v>756</v>
      </c>
      <c r="D7" s="3" t="s">
        <v>745</v>
      </c>
      <c r="E7" s="3" t="s">
        <v>757</v>
      </c>
      <c r="F7" s="3" t="s">
        <v>758</v>
      </c>
      <c r="G7" s="3" t="s">
        <v>181</v>
      </c>
      <c r="H7" s="3" t="s">
        <v>179</v>
      </c>
      <c r="I7" s="3" t="s">
        <v>748</v>
      </c>
      <c r="J7" s="3" t="s">
        <v>749</v>
      </c>
      <c r="K7" s="3" t="s">
        <v>376</v>
      </c>
      <c r="L7" s="3" t="s">
        <v>750</v>
      </c>
      <c r="M7" s="3" t="s">
        <v>131</v>
      </c>
      <c r="N7" s="3" t="s">
        <v>759</v>
      </c>
      <c r="O7" s="3" t="s">
        <v>753</v>
      </c>
      <c r="P7" s="3" t="s">
        <v>754</v>
      </c>
      <c r="Q7" s="3" t="s">
        <v>760</v>
      </c>
    </row>
    <row r="8" customFormat="false" ht="35.05" hidden="false" customHeight="false" outlineLevel="0" collapsed="false">
      <c r="A8" s="42" t="s">
        <v>121</v>
      </c>
      <c r="B8" s="42" t="s">
        <v>122</v>
      </c>
      <c r="C8" s="3" t="s">
        <v>756</v>
      </c>
      <c r="D8" s="3" t="s">
        <v>745</v>
      </c>
      <c r="E8" s="3" t="s">
        <v>761</v>
      </c>
      <c r="F8" s="3" t="s">
        <v>762</v>
      </c>
      <c r="G8" s="3" t="s">
        <v>261</v>
      </c>
      <c r="H8" s="3" t="s">
        <v>179</v>
      </c>
      <c r="I8" s="3" t="s">
        <v>748</v>
      </c>
      <c r="J8" s="3" t="s">
        <v>763</v>
      </c>
      <c r="K8" s="3" t="s">
        <v>376</v>
      </c>
      <c r="L8" s="3" t="s">
        <v>750</v>
      </c>
      <c r="M8" s="3" t="s">
        <v>131</v>
      </c>
      <c r="N8" s="3" t="s">
        <v>764</v>
      </c>
      <c r="O8" s="3" t="s">
        <v>765</v>
      </c>
      <c r="P8" s="3" t="s">
        <v>766</v>
      </c>
      <c r="Q8" s="3" t="s">
        <v>767</v>
      </c>
    </row>
    <row r="9" customFormat="false" ht="35.05" hidden="false" customHeight="false" outlineLevel="0" collapsed="false">
      <c r="A9" s="42" t="s">
        <v>123</v>
      </c>
      <c r="B9" s="42" t="s">
        <v>124</v>
      </c>
      <c r="C9" s="3" t="s">
        <v>756</v>
      </c>
      <c r="D9" s="3" t="s">
        <v>745</v>
      </c>
      <c r="E9" s="3" t="s">
        <v>761</v>
      </c>
      <c r="F9" s="3" t="s">
        <v>768</v>
      </c>
      <c r="G9" s="3" t="s">
        <v>289</v>
      </c>
      <c r="H9" s="3" t="s">
        <v>179</v>
      </c>
      <c r="I9" s="3" t="s">
        <v>748</v>
      </c>
      <c r="J9" s="3" t="s">
        <v>763</v>
      </c>
      <c r="K9" s="3" t="s">
        <v>376</v>
      </c>
      <c r="L9" s="3" t="s">
        <v>750</v>
      </c>
      <c r="M9" s="3" t="s">
        <v>131</v>
      </c>
      <c r="N9" s="3" t="s">
        <v>769</v>
      </c>
      <c r="O9" s="3" t="s">
        <v>753</v>
      </c>
      <c r="P9" s="3" t="s">
        <v>770</v>
      </c>
      <c r="Q9" s="3" t="s">
        <v>771</v>
      </c>
    </row>
    <row r="10" customFormat="false" ht="35.05" hidden="false" customHeight="false" outlineLevel="0" collapsed="false">
      <c r="A10" s="42" t="s">
        <v>129</v>
      </c>
      <c r="B10" s="42" t="s">
        <v>130</v>
      </c>
      <c r="C10" s="3" t="s">
        <v>756</v>
      </c>
      <c r="D10" s="3" t="s">
        <v>745</v>
      </c>
      <c r="E10" s="3" t="s">
        <v>772</v>
      </c>
      <c r="F10" s="3" t="s">
        <v>773</v>
      </c>
      <c r="G10" s="3" t="s">
        <v>293</v>
      </c>
      <c r="H10" s="3" t="s">
        <v>179</v>
      </c>
      <c r="I10" s="3" t="s">
        <v>748</v>
      </c>
      <c r="J10" s="3" t="s">
        <v>763</v>
      </c>
      <c r="K10" s="3" t="s">
        <v>376</v>
      </c>
      <c r="L10" s="3" t="s">
        <v>750</v>
      </c>
      <c r="M10" s="3" t="s">
        <v>131</v>
      </c>
      <c r="N10" s="3" t="s">
        <v>774</v>
      </c>
      <c r="O10" s="3" t="s">
        <v>753</v>
      </c>
      <c r="P10" s="3" t="s">
        <v>775</v>
      </c>
      <c r="Q10" s="3" t="s">
        <v>776</v>
      </c>
    </row>
    <row r="11" customFormat="false" ht="35.05" hidden="false" customHeight="false" outlineLevel="0" collapsed="false">
      <c r="A11" s="42" t="s">
        <v>97</v>
      </c>
      <c r="B11" s="42" t="s">
        <v>98</v>
      </c>
      <c r="C11" s="3" t="s">
        <v>777</v>
      </c>
      <c r="D11" s="3" t="s">
        <v>778</v>
      </c>
      <c r="E11" s="3" t="s">
        <v>757</v>
      </c>
      <c r="F11" s="3" t="s">
        <v>779</v>
      </c>
      <c r="G11" s="3" t="s">
        <v>182</v>
      </c>
      <c r="H11" s="3" t="s">
        <v>179</v>
      </c>
      <c r="I11" s="3" t="s">
        <v>748</v>
      </c>
      <c r="J11" s="3" t="s">
        <v>749</v>
      </c>
      <c r="K11" s="3" t="s">
        <v>376</v>
      </c>
      <c r="L11" s="3" t="s">
        <v>750</v>
      </c>
      <c r="M11" s="3" t="s">
        <v>111</v>
      </c>
      <c r="N11" s="3" t="s">
        <v>780</v>
      </c>
      <c r="O11" s="3" t="s">
        <v>781</v>
      </c>
      <c r="P11" s="3" t="s">
        <v>782</v>
      </c>
      <c r="Q11" s="3" t="s">
        <v>783</v>
      </c>
    </row>
    <row r="12" customFormat="false" ht="35.05" hidden="false" customHeight="false" outlineLevel="0" collapsed="false">
      <c r="A12" s="42" t="s">
        <v>99</v>
      </c>
      <c r="B12" s="42" t="s">
        <v>100</v>
      </c>
      <c r="C12" s="3" t="s">
        <v>777</v>
      </c>
      <c r="D12" s="3" t="s">
        <v>778</v>
      </c>
      <c r="E12" s="3" t="s">
        <v>757</v>
      </c>
      <c r="F12" s="3" t="s">
        <v>784</v>
      </c>
      <c r="G12" s="3" t="s">
        <v>199</v>
      </c>
      <c r="H12" s="3" t="s">
        <v>179</v>
      </c>
      <c r="I12" s="3" t="s">
        <v>748</v>
      </c>
      <c r="J12" s="3" t="s">
        <v>749</v>
      </c>
      <c r="K12" s="3" t="s">
        <v>376</v>
      </c>
      <c r="L12" s="3" t="s">
        <v>750</v>
      </c>
      <c r="M12" s="3" t="s">
        <v>111</v>
      </c>
      <c r="N12" s="3" t="s">
        <v>785</v>
      </c>
      <c r="O12" s="3" t="s">
        <v>781</v>
      </c>
      <c r="P12" s="3" t="s">
        <v>786</v>
      </c>
      <c r="Q12" s="3" t="s">
        <v>787</v>
      </c>
    </row>
    <row r="13" customFormat="false" ht="35.05" hidden="false" customHeight="false" outlineLevel="0" collapsed="false">
      <c r="A13" s="42" t="s">
        <v>101</v>
      </c>
      <c r="B13" s="42" t="s">
        <v>102</v>
      </c>
      <c r="C13" s="3" t="s">
        <v>777</v>
      </c>
      <c r="D13" s="3" t="s">
        <v>778</v>
      </c>
      <c r="E13" s="3" t="s">
        <v>757</v>
      </c>
      <c r="F13" s="3" t="s">
        <v>788</v>
      </c>
      <c r="G13" s="3" t="s">
        <v>210</v>
      </c>
      <c r="H13" s="3" t="s">
        <v>179</v>
      </c>
      <c r="I13" s="3" t="s">
        <v>748</v>
      </c>
      <c r="J13" s="3" t="s">
        <v>749</v>
      </c>
      <c r="K13" s="3" t="s">
        <v>376</v>
      </c>
      <c r="L13" s="3" t="s">
        <v>750</v>
      </c>
      <c r="M13" s="3" t="s">
        <v>111</v>
      </c>
      <c r="N13" s="3" t="s">
        <v>789</v>
      </c>
      <c r="O13" s="3" t="s">
        <v>753</v>
      </c>
      <c r="P13" s="3" t="s">
        <v>790</v>
      </c>
      <c r="Q13" s="3" t="s">
        <v>791</v>
      </c>
    </row>
    <row r="14" customFormat="false" ht="23.85" hidden="false" customHeight="false" outlineLevel="0" collapsed="false">
      <c r="A14" s="42" t="s">
        <v>103</v>
      </c>
      <c r="B14" s="42" t="s">
        <v>104</v>
      </c>
      <c r="C14" s="3" t="s">
        <v>777</v>
      </c>
      <c r="D14" s="3" t="s">
        <v>778</v>
      </c>
      <c r="E14" s="3" t="s">
        <v>757</v>
      </c>
      <c r="F14" s="3" t="s">
        <v>792</v>
      </c>
      <c r="G14" s="3" t="s">
        <v>223</v>
      </c>
      <c r="H14" s="3" t="s">
        <v>179</v>
      </c>
      <c r="I14" s="3" t="s">
        <v>748</v>
      </c>
      <c r="J14" s="3" t="s">
        <v>749</v>
      </c>
      <c r="K14" s="3" t="s">
        <v>376</v>
      </c>
      <c r="L14" s="3" t="s">
        <v>750</v>
      </c>
      <c r="M14" s="3" t="s">
        <v>111</v>
      </c>
      <c r="N14" s="3" t="s">
        <v>785</v>
      </c>
      <c r="O14" s="3" t="s">
        <v>753</v>
      </c>
      <c r="P14" s="3" t="s">
        <v>793</v>
      </c>
      <c r="Q14" s="3" t="s">
        <v>794</v>
      </c>
    </row>
    <row r="15" customFormat="false" ht="35.05" hidden="false" customHeight="false" outlineLevel="0" collapsed="false">
      <c r="A15" s="42" t="s">
        <v>105</v>
      </c>
      <c r="B15" s="42" t="s">
        <v>106</v>
      </c>
      <c r="C15" s="3" t="s">
        <v>777</v>
      </c>
      <c r="D15" s="3" t="s">
        <v>778</v>
      </c>
      <c r="E15" s="3" t="s">
        <v>757</v>
      </c>
      <c r="F15" s="3" t="s">
        <v>795</v>
      </c>
      <c r="G15" s="3" t="s">
        <v>233</v>
      </c>
      <c r="H15" s="3" t="s">
        <v>179</v>
      </c>
      <c r="I15" s="3" t="s">
        <v>748</v>
      </c>
      <c r="J15" s="3" t="s">
        <v>749</v>
      </c>
      <c r="K15" s="3" t="s">
        <v>376</v>
      </c>
      <c r="L15" s="3" t="s">
        <v>750</v>
      </c>
      <c r="M15" s="3" t="s">
        <v>111</v>
      </c>
      <c r="N15" s="3" t="s">
        <v>796</v>
      </c>
      <c r="O15" s="3" t="s">
        <v>753</v>
      </c>
      <c r="P15" s="3" t="s">
        <v>782</v>
      </c>
      <c r="Q15" s="3" t="s">
        <v>797</v>
      </c>
    </row>
    <row r="16" customFormat="false" ht="35.05" hidden="false" customHeight="false" outlineLevel="0" collapsed="false">
      <c r="A16" s="42" t="s">
        <v>107</v>
      </c>
      <c r="B16" s="42" t="s">
        <v>108</v>
      </c>
      <c r="C16" s="3" t="s">
        <v>777</v>
      </c>
      <c r="D16" s="3" t="s">
        <v>778</v>
      </c>
      <c r="E16" s="3" t="s">
        <v>757</v>
      </c>
      <c r="F16" s="3" t="s">
        <v>798</v>
      </c>
      <c r="G16" s="3" t="s">
        <v>243</v>
      </c>
      <c r="H16" s="3" t="s">
        <v>179</v>
      </c>
      <c r="I16" s="3" t="s">
        <v>748</v>
      </c>
      <c r="J16" s="3" t="s">
        <v>749</v>
      </c>
      <c r="K16" s="3" t="s">
        <v>376</v>
      </c>
      <c r="L16" s="3" t="s">
        <v>750</v>
      </c>
      <c r="M16" s="3" t="s">
        <v>111</v>
      </c>
      <c r="N16" s="3" t="s">
        <v>799</v>
      </c>
      <c r="O16" s="3" t="s">
        <v>753</v>
      </c>
      <c r="P16" s="3" t="s">
        <v>800</v>
      </c>
      <c r="Q16" s="3" t="s">
        <v>801</v>
      </c>
    </row>
    <row r="17" customFormat="false" ht="23.85" hidden="false" customHeight="false" outlineLevel="0" collapsed="false">
      <c r="A17" s="42" t="s">
        <v>109</v>
      </c>
      <c r="B17" s="42" t="s">
        <v>110</v>
      </c>
      <c r="C17" s="3" t="s">
        <v>777</v>
      </c>
      <c r="D17" s="3" t="s">
        <v>778</v>
      </c>
      <c r="E17" s="3" t="s">
        <v>757</v>
      </c>
      <c r="F17" s="3" t="s">
        <v>802</v>
      </c>
      <c r="G17" s="3" t="s">
        <v>251</v>
      </c>
      <c r="H17" s="3" t="s">
        <v>179</v>
      </c>
      <c r="I17" s="3" t="s">
        <v>748</v>
      </c>
      <c r="J17" s="3" t="s">
        <v>749</v>
      </c>
      <c r="K17" s="3" t="s">
        <v>376</v>
      </c>
      <c r="L17" s="3" t="s">
        <v>750</v>
      </c>
      <c r="M17" s="3" t="s">
        <v>111</v>
      </c>
      <c r="N17" s="3" t="s">
        <v>803</v>
      </c>
      <c r="O17" s="3" t="s">
        <v>753</v>
      </c>
      <c r="P17" s="3" t="s">
        <v>793</v>
      </c>
      <c r="Q17" s="3" t="s">
        <v>804</v>
      </c>
    </row>
    <row r="18" customFormat="false" ht="35.05" hidden="false" customHeight="false" outlineLevel="0" collapsed="false">
      <c r="A18" s="42" t="s">
        <v>113</v>
      </c>
      <c r="B18" s="42" t="s">
        <v>114</v>
      </c>
      <c r="C18" s="3" t="s">
        <v>777</v>
      </c>
      <c r="D18" s="3" t="s">
        <v>805</v>
      </c>
      <c r="E18" s="3" t="s">
        <v>761</v>
      </c>
      <c r="F18" s="3" t="s">
        <v>806</v>
      </c>
      <c r="G18" s="3" t="s">
        <v>262</v>
      </c>
      <c r="H18" s="3" t="s">
        <v>179</v>
      </c>
      <c r="I18" s="3" t="s">
        <v>748</v>
      </c>
      <c r="J18" s="3" t="s">
        <v>763</v>
      </c>
      <c r="K18" s="3" t="s">
        <v>376</v>
      </c>
      <c r="L18" s="3" t="s">
        <v>750</v>
      </c>
      <c r="M18" s="3" t="s">
        <v>121</v>
      </c>
      <c r="N18" s="3" t="s">
        <v>807</v>
      </c>
      <c r="O18" s="3" t="s">
        <v>753</v>
      </c>
      <c r="P18" s="3" t="s">
        <v>808</v>
      </c>
      <c r="Q18" s="3"/>
    </row>
    <row r="19" customFormat="false" ht="23.85" hidden="false" customHeight="false" outlineLevel="0" collapsed="false">
      <c r="A19" s="42" t="s">
        <v>115</v>
      </c>
      <c r="B19" s="42" t="s">
        <v>116</v>
      </c>
      <c r="C19" s="3" t="s">
        <v>777</v>
      </c>
      <c r="D19" s="3" t="s">
        <v>805</v>
      </c>
      <c r="E19" s="3" t="s">
        <v>761</v>
      </c>
      <c r="F19" s="3" t="s">
        <v>809</v>
      </c>
      <c r="G19" s="3" t="s">
        <v>267</v>
      </c>
      <c r="H19" s="3" t="s">
        <v>179</v>
      </c>
      <c r="I19" s="3" t="s">
        <v>748</v>
      </c>
      <c r="J19" s="3" t="s">
        <v>763</v>
      </c>
      <c r="K19" s="3" t="s">
        <v>376</v>
      </c>
      <c r="L19" s="3" t="s">
        <v>750</v>
      </c>
      <c r="M19" s="3" t="s">
        <v>121</v>
      </c>
      <c r="N19" s="3" t="s">
        <v>810</v>
      </c>
      <c r="O19" s="3" t="s">
        <v>753</v>
      </c>
      <c r="P19" s="3" t="s">
        <v>811</v>
      </c>
      <c r="Q19" s="3"/>
    </row>
    <row r="20" customFormat="false" ht="35.05" hidden="false" customHeight="false" outlineLevel="0" collapsed="false">
      <c r="A20" s="42" t="s">
        <v>117</v>
      </c>
      <c r="B20" s="42" t="s">
        <v>118</v>
      </c>
      <c r="C20" s="3" t="s">
        <v>777</v>
      </c>
      <c r="D20" s="3" t="s">
        <v>805</v>
      </c>
      <c r="E20" s="3" t="s">
        <v>761</v>
      </c>
      <c r="F20" s="3" t="s">
        <v>812</v>
      </c>
      <c r="G20" s="3" t="s">
        <v>277</v>
      </c>
      <c r="H20" s="3" t="s">
        <v>179</v>
      </c>
      <c r="I20" s="3" t="s">
        <v>748</v>
      </c>
      <c r="J20" s="3" t="s">
        <v>763</v>
      </c>
      <c r="K20" s="3" t="s">
        <v>376</v>
      </c>
      <c r="L20" s="3" t="s">
        <v>750</v>
      </c>
      <c r="M20" s="3" t="s">
        <v>121</v>
      </c>
      <c r="N20" s="3" t="s">
        <v>813</v>
      </c>
      <c r="O20" s="3" t="s">
        <v>753</v>
      </c>
      <c r="P20" s="3" t="s">
        <v>766</v>
      </c>
      <c r="Q20" s="3"/>
    </row>
    <row r="21" customFormat="false" ht="23.85" hidden="false" customHeight="false" outlineLevel="0" collapsed="false">
      <c r="A21" s="42" t="s">
        <v>119</v>
      </c>
      <c r="B21" s="42" t="s">
        <v>120</v>
      </c>
      <c r="C21" s="3" t="s">
        <v>777</v>
      </c>
      <c r="D21" s="3" t="s">
        <v>805</v>
      </c>
      <c r="E21" s="3" t="s">
        <v>761</v>
      </c>
      <c r="F21" s="3" t="s">
        <v>814</v>
      </c>
      <c r="G21" s="3" t="s">
        <v>284</v>
      </c>
      <c r="H21" s="3" t="s">
        <v>179</v>
      </c>
      <c r="I21" s="3" t="s">
        <v>748</v>
      </c>
      <c r="J21" s="3" t="s">
        <v>763</v>
      </c>
      <c r="K21" s="3" t="s">
        <v>376</v>
      </c>
      <c r="L21" s="3" t="s">
        <v>750</v>
      </c>
      <c r="M21" s="3" t="s">
        <v>121</v>
      </c>
      <c r="N21" s="3" t="s">
        <v>815</v>
      </c>
      <c r="O21" s="3" t="s">
        <v>765</v>
      </c>
      <c r="P21" s="3" t="s">
        <v>782</v>
      </c>
      <c r="Q21" s="3" t="s">
        <v>816</v>
      </c>
    </row>
    <row r="22" customFormat="false" ht="35.05" hidden="false" customHeight="false" outlineLevel="0" collapsed="false">
      <c r="A22" s="42" t="s">
        <v>125</v>
      </c>
      <c r="B22" s="42" t="s">
        <v>126</v>
      </c>
      <c r="C22" s="3" t="s">
        <v>777</v>
      </c>
      <c r="D22" s="3" t="s">
        <v>805</v>
      </c>
      <c r="E22" s="3" t="s">
        <v>772</v>
      </c>
      <c r="F22" s="3" t="s">
        <v>817</v>
      </c>
      <c r="G22" s="3" t="s">
        <v>294</v>
      </c>
      <c r="H22" s="3" t="s">
        <v>179</v>
      </c>
      <c r="I22" s="3" t="s">
        <v>748</v>
      </c>
      <c r="J22" s="3" t="s">
        <v>763</v>
      </c>
      <c r="K22" s="3" t="s">
        <v>376</v>
      </c>
      <c r="L22" s="3" t="s">
        <v>750</v>
      </c>
      <c r="M22" s="3" t="s">
        <v>129</v>
      </c>
      <c r="N22" s="3" t="s">
        <v>818</v>
      </c>
      <c r="O22" s="3" t="s">
        <v>753</v>
      </c>
      <c r="P22" s="3" t="s">
        <v>775</v>
      </c>
      <c r="Q22" s="3"/>
    </row>
    <row r="23" customFormat="false" ht="23.85" hidden="false" customHeight="false" outlineLevel="0" collapsed="false">
      <c r="A23" s="42" t="s">
        <v>127</v>
      </c>
      <c r="B23" s="42" t="s">
        <v>128</v>
      </c>
      <c r="C23" s="3" t="s">
        <v>777</v>
      </c>
      <c r="D23" s="3" t="s">
        <v>805</v>
      </c>
      <c r="E23" s="3" t="s">
        <v>772</v>
      </c>
      <c r="F23" s="3" t="s">
        <v>819</v>
      </c>
      <c r="G23" s="3" t="s">
        <v>297</v>
      </c>
      <c r="H23" s="3" t="s">
        <v>179</v>
      </c>
      <c r="I23" s="3" t="s">
        <v>748</v>
      </c>
      <c r="J23" s="3" t="s">
        <v>763</v>
      </c>
      <c r="K23" s="3" t="s">
        <v>376</v>
      </c>
      <c r="L23" s="3" t="s">
        <v>750</v>
      </c>
      <c r="M23" s="3" t="s">
        <v>129</v>
      </c>
      <c r="N23" s="3" t="s">
        <v>820</v>
      </c>
      <c r="O23" s="3" t="s">
        <v>753</v>
      </c>
      <c r="P23" s="3" t="s">
        <v>775</v>
      </c>
      <c r="Q23" s="3"/>
    </row>
    <row r="24" customFormat="false" ht="15" hidden="false" customHeight="false" outlineLevel="0" collapsed="false">
      <c r="A24" s="4" t="s">
        <v>821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customFormat="false" ht="35.05" hidden="false" customHeight="false" outlineLevel="0" collapsed="false">
      <c r="A25" s="42" t="s">
        <v>134</v>
      </c>
      <c r="B25" s="42" t="s">
        <v>135</v>
      </c>
      <c r="C25" s="3" t="s">
        <v>822</v>
      </c>
      <c r="D25" s="3" t="s">
        <v>823</v>
      </c>
      <c r="E25" s="3" t="s">
        <v>723</v>
      </c>
      <c r="F25" s="3" t="s">
        <v>824</v>
      </c>
      <c r="G25" s="3" t="s">
        <v>300</v>
      </c>
      <c r="H25" s="3" t="s">
        <v>185</v>
      </c>
      <c r="I25" s="3" t="s">
        <v>748</v>
      </c>
      <c r="J25" s="3" t="s">
        <v>749</v>
      </c>
      <c r="K25" s="3" t="s">
        <v>376</v>
      </c>
      <c r="L25" s="3" t="s">
        <v>750</v>
      </c>
      <c r="M25" s="3" t="s">
        <v>363</v>
      </c>
      <c r="N25" s="3" t="s">
        <v>825</v>
      </c>
      <c r="O25" s="3" t="s">
        <v>753</v>
      </c>
      <c r="P25" s="3" t="s">
        <v>782</v>
      </c>
      <c r="Q25" s="3" t="s">
        <v>826</v>
      </c>
    </row>
    <row r="26" customFormat="false" ht="23.85" hidden="false" customHeight="false" outlineLevel="0" collapsed="false">
      <c r="A26" s="42" t="s">
        <v>136</v>
      </c>
      <c r="B26" s="42" t="s">
        <v>137</v>
      </c>
      <c r="C26" s="3" t="s">
        <v>822</v>
      </c>
      <c r="D26" s="3" t="s">
        <v>823</v>
      </c>
      <c r="E26" s="3" t="s">
        <v>723</v>
      </c>
      <c r="F26" s="3" t="s">
        <v>827</v>
      </c>
      <c r="G26" s="3" t="s">
        <v>290</v>
      </c>
      <c r="H26" s="3" t="s">
        <v>185</v>
      </c>
      <c r="I26" s="3" t="s">
        <v>748</v>
      </c>
      <c r="J26" s="3" t="s">
        <v>749</v>
      </c>
      <c r="K26" s="3" t="s">
        <v>376</v>
      </c>
      <c r="L26" s="3" t="s">
        <v>828</v>
      </c>
      <c r="M26" s="3" t="s">
        <v>829</v>
      </c>
      <c r="N26" s="3" t="s">
        <v>830</v>
      </c>
      <c r="O26" s="3" t="s">
        <v>831</v>
      </c>
      <c r="P26" s="3" t="s">
        <v>770</v>
      </c>
      <c r="Q26" s="3"/>
    </row>
    <row r="27" customFormat="false" ht="23.85" hidden="false" customHeight="false" outlineLevel="0" collapsed="false">
      <c r="A27" s="42" t="s">
        <v>308</v>
      </c>
      <c r="B27" s="42" t="s">
        <v>309</v>
      </c>
      <c r="C27" s="3" t="s">
        <v>822</v>
      </c>
      <c r="D27" s="3" t="s">
        <v>823</v>
      </c>
      <c r="E27" s="3" t="s">
        <v>723</v>
      </c>
      <c r="F27" s="3" t="s">
        <v>832</v>
      </c>
      <c r="G27" s="3" t="s">
        <v>310</v>
      </c>
      <c r="H27" s="3" t="s">
        <v>185</v>
      </c>
      <c r="I27" s="3" t="s">
        <v>748</v>
      </c>
      <c r="J27" s="3" t="s">
        <v>763</v>
      </c>
      <c r="K27" s="3" t="s">
        <v>376</v>
      </c>
      <c r="L27" s="3" t="s">
        <v>750</v>
      </c>
      <c r="M27" s="3" t="s">
        <v>833</v>
      </c>
      <c r="N27" s="3" t="s">
        <v>834</v>
      </c>
      <c r="O27" s="3" t="s">
        <v>753</v>
      </c>
      <c r="P27" s="3" t="s">
        <v>793</v>
      </c>
      <c r="Q27" s="3"/>
    </row>
    <row r="28" customFormat="false" ht="23.85" hidden="false" customHeight="false" outlineLevel="0" collapsed="false">
      <c r="A28" s="42" t="s">
        <v>138</v>
      </c>
      <c r="B28" s="42" t="s">
        <v>139</v>
      </c>
      <c r="C28" s="3" t="s">
        <v>822</v>
      </c>
      <c r="D28" s="3" t="s">
        <v>823</v>
      </c>
      <c r="E28" s="3" t="s">
        <v>723</v>
      </c>
      <c r="F28" s="3" t="s">
        <v>835</v>
      </c>
      <c r="G28" s="3" t="s">
        <v>184</v>
      </c>
      <c r="H28" s="3" t="s">
        <v>185</v>
      </c>
      <c r="I28" s="3" t="s">
        <v>748</v>
      </c>
      <c r="J28" s="3" t="s">
        <v>749</v>
      </c>
      <c r="K28" s="3" t="s">
        <v>376</v>
      </c>
      <c r="L28" s="3" t="s">
        <v>828</v>
      </c>
      <c r="M28" s="3" t="s">
        <v>142</v>
      </c>
      <c r="N28" s="3" t="s">
        <v>825</v>
      </c>
      <c r="O28" s="3" t="s">
        <v>753</v>
      </c>
      <c r="P28" s="3" t="s">
        <v>793</v>
      </c>
      <c r="Q28" s="3"/>
    </row>
    <row r="29" customFormat="false" ht="35.05" hidden="false" customHeight="false" outlineLevel="0" collapsed="false">
      <c r="A29" s="42" t="s">
        <v>140</v>
      </c>
      <c r="B29" s="42" t="s">
        <v>141</v>
      </c>
      <c r="C29" s="3" t="s">
        <v>822</v>
      </c>
      <c r="D29" s="3" t="s">
        <v>823</v>
      </c>
      <c r="E29" s="3" t="s">
        <v>836</v>
      </c>
      <c r="F29" s="3" t="s">
        <v>837</v>
      </c>
      <c r="G29" s="3" t="s">
        <v>214</v>
      </c>
      <c r="H29" s="3" t="s">
        <v>179</v>
      </c>
      <c r="I29" s="3" t="s">
        <v>748</v>
      </c>
      <c r="J29" s="3" t="s">
        <v>749</v>
      </c>
      <c r="K29" s="3" t="s">
        <v>376</v>
      </c>
      <c r="L29" s="3" t="s">
        <v>750</v>
      </c>
      <c r="M29" s="3" t="s">
        <v>838</v>
      </c>
      <c r="N29" s="3" t="s">
        <v>839</v>
      </c>
      <c r="O29" s="3" t="s">
        <v>781</v>
      </c>
      <c r="P29" s="3" t="s">
        <v>782</v>
      </c>
      <c r="Q29" s="3" t="s">
        <v>840</v>
      </c>
    </row>
    <row r="30" customFormat="false" ht="23.85" hidden="false" customHeight="false" outlineLevel="0" collapsed="false">
      <c r="A30" s="42" t="s">
        <v>142</v>
      </c>
      <c r="B30" s="42" t="s">
        <v>143</v>
      </c>
      <c r="C30" s="3" t="s">
        <v>822</v>
      </c>
      <c r="D30" s="3" t="s">
        <v>823</v>
      </c>
      <c r="E30" s="3" t="s">
        <v>841</v>
      </c>
      <c r="F30" s="3" t="s">
        <v>842</v>
      </c>
      <c r="G30" s="3" t="s">
        <v>183</v>
      </c>
      <c r="H30" s="3" t="s">
        <v>179</v>
      </c>
      <c r="I30" s="3" t="s">
        <v>748</v>
      </c>
      <c r="J30" s="3" t="s">
        <v>749</v>
      </c>
      <c r="K30" s="3" t="s">
        <v>376</v>
      </c>
      <c r="L30" s="3" t="s">
        <v>750</v>
      </c>
      <c r="M30" s="3" t="s">
        <v>97</v>
      </c>
      <c r="N30" s="3" t="s">
        <v>825</v>
      </c>
      <c r="O30" s="3" t="s">
        <v>843</v>
      </c>
      <c r="P30" s="3" t="s">
        <v>782</v>
      </c>
      <c r="Q30" s="3"/>
    </row>
    <row r="31" customFormat="false" ht="23.85" hidden="false" customHeight="false" outlineLevel="0" collapsed="false">
      <c r="A31" s="42" t="s">
        <v>144</v>
      </c>
      <c r="B31" s="42" t="s">
        <v>145</v>
      </c>
      <c r="C31" s="3" t="s">
        <v>822</v>
      </c>
      <c r="D31" s="3" t="s">
        <v>823</v>
      </c>
      <c r="E31" s="3" t="s">
        <v>398</v>
      </c>
      <c r="F31" s="3" t="s">
        <v>844</v>
      </c>
      <c r="G31" s="3" t="s">
        <v>200</v>
      </c>
      <c r="H31" s="3" t="s">
        <v>179</v>
      </c>
      <c r="I31" s="3" t="s">
        <v>748</v>
      </c>
      <c r="J31" s="3" t="s">
        <v>749</v>
      </c>
      <c r="K31" s="3" t="s">
        <v>376</v>
      </c>
      <c r="L31" s="3" t="s">
        <v>750</v>
      </c>
      <c r="M31" s="3" t="s">
        <v>845</v>
      </c>
      <c r="N31" s="3" t="s">
        <v>846</v>
      </c>
      <c r="O31" s="3" t="s">
        <v>843</v>
      </c>
      <c r="P31" s="3" t="s">
        <v>790</v>
      </c>
      <c r="Q31" s="3"/>
    </row>
    <row r="32" customFormat="false" ht="23.85" hidden="false" customHeight="false" outlineLevel="0" collapsed="false">
      <c r="A32" s="42" t="s">
        <v>211</v>
      </c>
      <c r="B32" s="42" t="s">
        <v>212</v>
      </c>
      <c r="C32" s="3" t="s">
        <v>822</v>
      </c>
      <c r="D32" s="3" t="s">
        <v>823</v>
      </c>
      <c r="E32" s="3" t="s">
        <v>836</v>
      </c>
      <c r="F32" s="3" t="s">
        <v>847</v>
      </c>
      <c r="G32" s="3" t="s">
        <v>213</v>
      </c>
      <c r="H32" s="3" t="s">
        <v>179</v>
      </c>
      <c r="I32" s="3" t="s">
        <v>748</v>
      </c>
      <c r="J32" s="3" t="s">
        <v>749</v>
      </c>
      <c r="K32" s="3" t="s">
        <v>376</v>
      </c>
      <c r="L32" s="3" t="s">
        <v>750</v>
      </c>
      <c r="M32" s="3" t="s">
        <v>101</v>
      </c>
      <c r="N32" s="3" t="s">
        <v>825</v>
      </c>
      <c r="O32" s="3" t="s">
        <v>843</v>
      </c>
      <c r="P32" s="3" t="s">
        <v>790</v>
      </c>
      <c r="Q32" s="3"/>
    </row>
    <row r="33" customFormat="false" ht="23.85" hidden="false" customHeight="false" outlineLevel="0" collapsed="false">
      <c r="A33" s="42" t="s">
        <v>224</v>
      </c>
      <c r="B33" s="42" t="s">
        <v>225</v>
      </c>
      <c r="C33" s="3" t="s">
        <v>822</v>
      </c>
      <c r="D33" s="3" t="s">
        <v>823</v>
      </c>
      <c r="E33" s="3" t="s">
        <v>848</v>
      </c>
      <c r="F33" s="3" t="s">
        <v>849</v>
      </c>
      <c r="G33" s="3" t="s">
        <v>226</v>
      </c>
      <c r="H33" s="3" t="s">
        <v>179</v>
      </c>
      <c r="I33" s="3" t="s">
        <v>748</v>
      </c>
      <c r="J33" s="3" t="s">
        <v>749</v>
      </c>
      <c r="K33" s="3" t="s">
        <v>376</v>
      </c>
      <c r="L33" s="3" t="s">
        <v>750</v>
      </c>
      <c r="M33" s="3" t="s">
        <v>103</v>
      </c>
      <c r="N33" s="3" t="s">
        <v>825</v>
      </c>
      <c r="O33" s="3" t="s">
        <v>843</v>
      </c>
      <c r="P33" s="3" t="s">
        <v>793</v>
      </c>
      <c r="Q33" s="3"/>
    </row>
    <row r="34" customFormat="false" ht="35.05" hidden="false" customHeight="false" outlineLevel="0" collapsed="false">
      <c r="A34" s="42" t="s">
        <v>234</v>
      </c>
      <c r="B34" s="42" t="s">
        <v>235</v>
      </c>
      <c r="C34" s="3" t="s">
        <v>822</v>
      </c>
      <c r="D34" s="3" t="s">
        <v>823</v>
      </c>
      <c r="E34" s="3" t="s">
        <v>55</v>
      </c>
      <c r="F34" s="3" t="s">
        <v>850</v>
      </c>
      <c r="G34" s="3" t="s">
        <v>236</v>
      </c>
      <c r="H34" s="3" t="s">
        <v>179</v>
      </c>
      <c r="I34" s="3" t="s">
        <v>748</v>
      </c>
      <c r="J34" s="3" t="s">
        <v>749</v>
      </c>
      <c r="K34" s="3" t="s">
        <v>376</v>
      </c>
      <c r="L34" s="3" t="s">
        <v>750</v>
      </c>
      <c r="M34" s="3" t="s">
        <v>105</v>
      </c>
      <c r="N34" s="3" t="s">
        <v>834</v>
      </c>
      <c r="O34" s="3" t="s">
        <v>753</v>
      </c>
      <c r="P34" s="3" t="s">
        <v>782</v>
      </c>
      <c r="Q34" s="3"/>
    </row>
    <row r="35" customFormat="false" ht="23.85" hidden="false" customHeight="false" outlineLevel="0" collapsed="false">
      <c r="A35" s="42" t="s">
        <v>244</v>
      </c>
      <c r="B35" s="42" t="s">
        <v>245</v>
      </c>
      <c r="C35" s="3" t="s">
        <v>822</v>
      </c>
      <c r="D35" s="3" t="s">
        <v>823</v>
      </c>
      <c r="E35" s="3" t="s">
        <v>851</v>
      </c>
      <c r="F35" s="3" t="s">
        <v>852</v>
      </c>
      <c r="G35" s="3" t="s">
        <v>246</v>
      </c>
      <c r="H35" s="3" t="s">
        <v>179</v>
      </c>
      <c r="I35" s="3" t="s">
        <v>748</v>
      </c>
      <c r="J35" s="3" t="s">
        <v>749</v>
      </c>
      <c r="K35" s="3" t="s">
        <v>376</v>
      </c>
      <c r="L35" s="3" t="s">
        <v>750</v>
      </c>
      <c r="M35" s="3" t="s">
        <v>107</v>
      </c>
      <c r="N35" s="3" t="s">
        <v>853</v>
      </c>
      <c r="O35" s="3" t="s">
        <v>753</v>
      </c>
      <c r="P35" s="3" t="s">
        <v>800</v>
      </c>
      <c r="Q35" s="3"/>
    </row>
    <row r="36" customFormat="false" ht="23.85" hidden="false" customHeight="false" outlineLevel="0" collapsed="false">
      <c r="A36" s="42" t="s">
        <v>252</v>
      </c>
      <c r="B36" s="42" t="s">
        <v>253</v>
      </c>
      <c r="C36" s="3" t="s">
        <v>822</v>
      </c>
      <c r="D36" s="3" t="s">
        <v>823</v>
      </c>
      <c r="E36" s="3" t="s">
        <v>854</v>
      </c>
      <c r="F36" s="3" t="s">
        <v>855</v>
      </c>
      <c r="G36" s="3" t="s">
        <v>254</v>
      </c>
      <c r="H36" s="3" t="s">
        <v>185</v>
      </c>
      <c r="I36" s="3" t="s">
        <v>748</v>
      </c>
      <c r="J36" s="3" t="s">
        <v>749</v>
      </c>
      <c r="K36" s="3" t="s">
        <v>376</v>
      </c>
      <c r="L36" s="3" t="s">
        <v>750</v>
      </c>
      <c r="M36" s="3" t="s">
        <v>109</v>
      </c>
      <c r="N36" s="3" t="s">
        <v>856</v>
      </c>
      <c r="O36" s="3" t="s">
        <v>753</v>
      </c>
      <c r="P36" s="3" t="s">
        <v>793</v>
      </c>
      <c r="Q36" s="3"/>
    </row>
    <row r="37" customFormat="false" ht="15" hidden="false" customHeight="false" outlineLevel="0" collapsed="false">
      <c r="A37" s="4" t="s">
        <v>857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customFormat="false" ht="23.85" hidden="false" customHeight="false" outlineLevel="0" collapsed="false">
      <c r="A38" s="42" t="s">
        <v>301</v>
      </c>
      <c r="B38" s="42" t="s">
        <v>302</v>
      </c>
      <c r="C38" s="3" t="s">
        <v>822</v>
      </c>
      <c r="D38" s="3" t="s">
        <v>858</v>
      </c>
      <c r="E38" s="3" t="s">
        <v>362</v>
      </c>
      <c r="F38" s="3" t="s">
        <v>859</v>
      </c>
      <c r="G38" s="3" t="s">
        <v>36</v>
      </c>
      <c r="H38" s="3" t="s">
        <v>185</v>
      </c>
      <c r="I38" s="3" t="s">
        <v>748</v>
      </c>
      <c r="J38" s="3" t="s">
        <v>749</v>
      </c>
      <c r="K38" s="3" t="s">
        <v>361</v>
      </c>
      <c r="L38" s="3" t="s">
        <v>750</v>
      </c>
      <c r="M38" s="3" t="s">
        <v>363</v>
      </c>
      <c r="N38" s="3" t="s">
        <v>825</v>
      </c>
      <c r="O38" s="3" t="s">
        <v>753</v>
      </c>
      <c r="P38" s="3" t="s">
        <v>782</v>
      </c>
      <c r="Q38" s="3"/>
    </row>
    <row r="39" customFormat="false" ht="35.05" hidden="false" customHeight="false" outlineLevel="0" collapsed="false">
      <c r="A39" s="42" t="s">
        <v>268</v>
      </c>
      <c r="B39" s="42" t="s">
        <v>269</v>
      </c>
      <c r="C39" s="3" t="s">
        <v>822</v>
      </c>
      <c r="D39" s="3" t="s">
        <v>858</v>
      </c>
      <c r="E39" s="3" t="s">
        <v>367</v>
      </c>
      <c r="F39" s="3" t="s">
        <v>860</v>
      </c>
      <c r="G39" s="3" t="s">
        <v>36</v>
      </c>
      <c r="H39" s="3" t="s">
        <v>270</v>
      </c>
      <c r="I39" s="3" t="s">
        <v>748</v>
      </c>
      <c r="J39" s="3" t="s">
        <v>749</v>
      </c>
      <c r="K39" s="3" t="s">
        <v>366</v>
      </c>
      <c r="L39" s="3" t="s">
        <v>828</v>
      </c>
      <c r="M39" s="3" t="s">
        <v>368</v>
      </c>
      <c r="N39" s="3" t="s">
        <v>861</v>
      </c>
      <c r="O39" s="3" t="s">
        <v>843</v>
      </c>
      <c r="P39" s="3" t="s">
        <v>770</v>
      </c>
      <c r="Q39" s="3" t="s">
        <v>862</v>
      </c>
    </row>
    <row r="40" customFormat="false" ht="35.05" hidden="false" customHeight="false" outlineLevel="0" collapsed="false">
      <c r="A40" s="42" t="s">
        <v>304</v>
      </c>
      <c r="B40" s="42" t="s">
        <v>305</v>
      </c>
      <c r="C40" s="3" t="s">
        <v>822</v>
      </c>
      <c r="D40" s="3" t="s">
        <v>858</v>
      </c>
      <c r="E40" s="3" t="s">
        <v>367</v>
      </c>
      <c r="F40" s="3" t="s">
        <v>863</v>
      </c>
      <c r="G40" s="3" t="s">
        <v>36</v>
      </c>
      <c r="H40" s="3" t="s">
        <v>194</v>
      </c>
      <c r="I40" s="3" t="s">
        <v>748</v>
      </c>
      <c r="J40" s="3" t="s">
        <v>749</v>
      </c>
      <c r="K40" s="3" t="s">
        <v>366</v>
      </c>
      <c r="L40" s="3" t="s">
        <v>828</v>
      </c>
      <c r="M40" s="3" t="s">
        <v>136</v>
      </c>
      <c r="N40" s="3" t="s">
        <v>864</v>
      </c>
      <c r="O40" s="3" t="s">
        <v>831</v>
      </c>
      <c r="P40" s="3" t="s">
        <v>865</v>
      </c>
      <c r="Q40" s="3"/>
    </row>
    <row r="41" customFormat="false" ht="35.05" hidden="false" customHeight="false" outlineLevel="0" collapsed="false">
      <c r="A41" s="42" t="s">
        <v>306</v>
      </c>
      <c r="B41" s="42" t="s">
        <v>307</v>
      </c>
      <c r="C41" s="3" t="s">
        <v>822</v>
      </c>
      <c r="D41" s="3" t="s">
        <v>858</v>
      </c>
      <c r="E41" s="3" t="s">
        <v>367</v>
      </c>
      <c r="F41" s="3" t="s">
        <v>866</v>
      </c>
      <c r="G41" s="3" t="s">
        <v>36</v>
      </c>
      <c r="H41" s="3" t="s">
        <v>194</v>
      </c>
      <c r="I41" s="3" t="s">
        <v>748</v>
      </c>
      <c r="J41" s="3" t="s">
        <v>749</v>
      </c>
      <c r="K41" s="3" t="s">
        <v>366</v>
      </c>
      <c r="L41" s="3" t="s">
        <v>828</v>
      </c>
      <c r="M41" s="3" t="s">
        <v>136</v>
      </c>
      <c r="N41" s="3" t="s">
        <v>867</v>
      </c>
      <c r="O41" s="3" t="s">
        <v>831</v>
      </c>
      <c r="P41" s="3" t="s">
        <v>865</v>
      </c>
      <c r="Q41" s="3" t="s">
        <v>868</v>
      </c>
    </row>
    <row r="42" customFormat="false" ht="35.05" hidden="false" customHeight="false" outlineLevel="0" collapsed="false">
      <c r="A42" s="42" t="s">
        <v>311</v>
      </c>
      <c r="B42" s="42" t="s">
        <v>312</v>
      </c>
      <c r="C42" s="3" t="s">
        <v>822</v>
      </c>
      <c r="D42" s="3" t="s">
        <v>858</v>
      </c>
      <c r="E42" s="3" t="s">
        <v>367</v>
      </c>
      <c r="F42" s="3" t="s">
        <v>869</v>
      </c>
      <c r="G42" s="3" t="s">
        <v>36</v>
      </c>
      <c r="H42" s="3" t="s">
        <v>194</v>
      </c>
      <c r="I42" s="3" t="s">
        <v>748</v>
      </c>
      <c r="J42" s="3" t="s">
        <v>763</v>
      </c>
      <c r="K42" s="3" t="s">
        <v>366</v>
      </c>
      <c r="L42" s="3" t="s">
        <v>750</v>
      </c>
      <c r="M42" s="3" t="s">
        <v>371</v>
      </c>
      <c r="N42" s="3" t="s">
        <v>834</v>
      </c>
      <c r="O42" s="3" t="s">
        <v>753</v>
      </c>
      <c r="P42" s="3" t="s">
        <v>782</v>
      </c>
      <c r="Q42" s="3" t="s">
        <v>870</v>
      </c>
    </row>
    <row r="43" customFormat="false" ht="46.25" hidden="false" customHeight="false" outlineLevel="0" collapsed="false">
      <c r="A43" s="42" t="s">
        <v>313</v>
      </c>
      <c r="B43" s="42" t="s">
        <v>314</v>
      </c>
      <c r="C43" s="3" t="s">
        <v>822</v>
      </c>
      <c r="D43" s="3" t="s">
        <v>858</v>
      </c>
      <c r="E43" s="3" t="s">
        <v>367</v>
      </c>
      <c r="F43" s="3" t="s">
        <v>871</v>
      </c>
      <c r="G43" s="3" t="s">
        <v>36</v>
      </c>
      <c r="H43" s="3" t="s">
        <v>194</v>
      </c>
      <c r="I43" s="3" t="s">
        <v>748</v>
      </c>
      <c r="J43" s="3" t="s">
        <v>749</v>
      </c>
      <c r="K43" s="3" t="s">
        <v>366</v>
      </c>
      <c r="L43" s="3" t="s">
        <v>828</v>
      </c>
      <c r="M43" s="3" t="s">
        <v>373</v>
      </c>
      <c r="N43" s="3" t="s">
        <v>872</v>
      </c>
      <c r="O43" s="3" t="s">
        <v>753</v>
      </c>
      <c r="P43" s="3" t="s">
        <v>793</v>
      </c>
      <c r="Q43" s="3" t="s">
        <v>873</v>
      </c>
    </row>
    <row r="44" customFormat="false" ht="57.45" hidden="false" customHeight="false" outlineLevel="0" collapsed="false">
      <c r="A44" s="42" t="s">
        <v>186</v>
      </c>
      <c r="B44" s="42" t="s">
        <v>187</v>
      </c>
      <c r="C44" s="3" t="s">
        <v>822</v>
      </c>
      <c r="D44" s="3" t="s">
        <v>858</v>
      </c>
      <c r="E44" s="3" t="s">
        <v>367</v>
      </c>
      <c r="F44" s="3" t="s">
        <v>874</v>
      </c>
      <c r="G44" s="3" t="s">
        <v>36</v>
      </c>
      <c r="H44" s="3" t="s">
        <v>188</v>
      </c>
      <c r="I44" s="3" t="s">
        <v>748</v>
      </c>
      <c r="J44" s="3" t="s">
        <v>749</v>
      </c>
      <c r="K44" s="3" t="s">
        <v>376</v>
      </c>
      <c r="L44" s="3" t="s">
        <v>828</v>
      </c>
      <c r="M44" s="3" t="s">
        <v>377</v>
      </c>
      <c r="N44" s="3" t="s">
        <v>825</v>
      </c>
      <c r="O44" s="3" t="s">
        <v>753</v>
      </c>
      <c r="P44" s="3" t="s">
        <v>793</v>
      </c>
      <c r="Q44" s="3" t="s">
        <v>875</v>
      </c>
    </row>
    <row r="45" customFormat="false" ht="23.85" hidden="false" customHeight="false" outlineLevel="0" collapsed="false">
      <c r="A45" s="42" t="s">
        <v>190</v>
      </c>
      <c r="B45" s="42" t="s">
        <v>191</v>
      </c>
      <c r="C45" s="3" t="s">
        <v>822</v>
      </c>
      <c r="D45" s="3" t="s">
        <v>858</v>
      </c>
      <c r="E45" s="3" t="s">
        <v>367</v>
      </c>
      <c r="F45" s="3" t="s">
        <v>876</v>
      </c>
      <c r="G45" s="3" t="s">
        <v>36</v>
      </c>
      <c r="H45" s="3" t="s">
        <v>179</v>
      </c>
      <c r="I45" s="3" t="s">
        <v>748</v>
      </c>
      <c r="J45" s="3" t="s">
        <v>749</v>
      </c>
      <c r="K45" s="3" t="s">
        <v>376</v>
      </c>
      <c r="L45" s="3" t="s">
        <v>750</v>
      </c>
      <c r="M45" s="3" t="s">
        <v>377</v>
      </c>
      <c r="N45" s="3" t="s">
        <v>825</v>
      </c>
      <c r="O45" s="3" t="s">
        <v>753</v>
      </c>
      <c r="P45" s="3" t="s">
        <v>793</v>
      </c>
      <c r="Q45" s="3"/>
    </row>
    <row r="46" customFormat="false" ht="35.05" hidden="false" customHeight="false" outlineLevel="0" collapsed="false">
      <c r="A46" s="42" t="s">
        <v>192</v>
      </c>
      <c r="B46" s="42" t="s">
        <v>193</v>
      </c>
      <c r="C46" s="3" t="s">
        <v>822</v>
      </c>
      <c r="D46" s="3" t="s">
        <v>858</v>
      </c>
      <c r="E46" s="3" t="s">
        <v>381</v>
      </c>
      <c r="F46" s="3" t="s">
        <v>877</v>
      </c>
      <c r="G46" s="3" t="s">
        <v>36</v>
      </c>
      <c r="H46" s="3" t="s">
        <v>194</v>
      </c>
      <c r="I46" s="3" t="s">
        <v>748</v>
      </c>
      <c r="J46" s="3" t="s">
        <v>749</v>
      </c>
      <c r="K46" s="3" t="s">
        <v>366</v>
      </c>
      <c r="L46" s="3" t="s">
        <v>750</v>
      </c>
      <c r="M46" s="3" t="s">
        <v>97</v>
      </c>
      <c r="N46" s="3" t="s">
        <v>878</v>
      </c>
      <c r="O46" s="3" t="s">
        <v>753</v>
      </c>
      <c r="P46" s="3" t="s">
        <v>793</v>
      </c>
      <c r="Q46" s="3" t="s">
        <v>879</v>
      </c>
    </row>
    <row r="47" customFormat="false" ht="35.05" hidden="false" customHeight="false" outlineLevel="0" collapsed="false">
      <c r="A47" s="42" t="s">
        <v>196</v>
      </c>
      <c r="B47" s="42" t="s">
        <v>197</v>
      </c>
      <c r="C47" s="3" t="s">
        <v>822</v>
      </c>
      <c r="D47" s="3" t="s">
        <v>858</v>
      </c>
      <c r="E47" s="3" t="s">
        <v>384</v>
      </c>
      <c r="F47" s="3" t="s">
        <v>880</v>
      </c>
      <c r="G47" s="3" t="s">
        <v>36</v>
      </c>
      <c r="H47" s="3" t="s">
        <v>194</v>
      </c>
      <c r="I47" s="3" t="s">
        <v>748</v>
      </c>
      <c r="J47" s="3" t="s">
        <v>763</v>
      </c>
      <c r="K47" s="3" t="s">
        <v>376</v>
      </c>
      <c r="L47" s="3" t="s">
        <v>750</v>
      </c>
      <c r="M47" s="3" t="s">
        <v>97</v>
      </c>
      <c r="N47" s="3" t="s">
        <v>881</v>
      </c>
      <c r="O47" s="3" t="s">
        <v>753</v>
      </c>
      <c r="P47" s="3" t="s">
        <v>766</v>
      </c>
      <c r="Q47" s="3"/>
    </row>
    <row r="48" customFormat="false" ht="23.85" hidden="false" customHeight="false" outlineLevel="0" collapsed="false">
      <c r="A48" s="42" t="s">
        <v>215</v>
      </c>
      <c r="B48" s="42" t="s">
        <v>216</v>
      </c>
      <c r="C48" s="3" t="s">
        <v>822</v>
      </c>
      <c r="D48" s="3" t="s">
        <v>858</v>
      </c>
      <c r="E48" s="3" t="s">
        <v>367</v>
      </c>
      <c r="F48" s="3" t="s">
        <v>882</v>
      </c>
      <c r="G48" s="3" t="s">
        <v>36</v>
      </c>
      <c r="H48" s="3" t="s">
        <v>179</v>
      </c>
      <c r="I48" s="3" t="s">
        <v>748</v>
      </c>
      <c r="J48" s="3" t="s">
        <v>749</v>
      </c>
      <c r="K48" s="3" t="s">
        <v>376</v>
      </c>
      <c r="L48" s="3" t="s">
        <v>750</v>
      </c>
      <c r="M48" s="3" t="s">
        <v>387</v>
      </c>
      <c r="N48" s="3" t="s">
        <v>839</v>
      </c>
      <c r="O48" s="3" t="s">
        <v>753</v>
      </c>
      <c r="P48" s="3" t="s">
        <v>782</v>
      </c>
      <c r="Q48" s="3" t="s">
        <v>883</v>
      </c>
    </row>
    <row r="49" customFormat="false" ht="23.85" hidden="false" customHeight="false" outlineLevel="0" collapsed="false">
      <c r="A49" s="42" t="s">
        <v>217</v>
      </c>
      <c r="B49" s="42" t="s">
        <v>218</v>
      </c>
      <c r="C49" s="3" t="s">
        <v>822</v>
      </c>
      <c r="D49" s="3" t="s">
        <v>858</v>
      </c>
      <c r="E49" s="3" t="s">
        <v>367</v>
      </c>
      <c r="F49" s="3" t="s">
        <v>884</v>
      </c>
      <c r="G49" s="3" t="s">
        <v>36</v>
      </c>
      <c r="H49" s="3" t="s">
        <v>194</v>
      </c>
      <c r="I49" s="3" t="s">
        <v>748</v>
      </c>
      <c r="J49" s="3" t="s">
        <v>749</v>
      </c>
      <c r="K49" s="3" t="s">
        <v>376</v>
      </c>
      <c r="L49" s="3" t="s">
        <v>750</v>
      </c>
      <c r="M49" s="3" t="s">
        <v>390</v>
      </c>
      <c r="N49" s="3" t="s">
        <v>825</v>
      </c>
      <c r="O49" s="3" t="s">
        <v>753</v>
      </c>
      <c r="P49" s="3" t="s">
        <v>790</v>
      </c>
      <c r="Q49" s="3"/>
    </row>
    <row r="50" customFormat="false" ht="35.05" hidden="false" customHeight="false" outlineLevel="0" collapsed="false">
      <c r="A50" s="42" t="s">
        <v>219</v>
      </c>
      <c r="B50" s="42" t="s">
        <v>220</v>
      </c>
      <c r="C50" s="3" t="s">
        <v>822</v>
      </c>
      <c r="D50" s="3" t="s">
        <v>858</v>
      </c>
      <c r="E50" s="3" t="s">
        <v>393</v>
      </c>
      <c r="F50" s="3" t="s">
        <v>885</v>
      </c>
      <c r="G50" s="3" t="s">
        <v>36</v>
      </c>
      <c r="H50" s="3" t="s">
        <v>194</v>
      </c>
      <c r="I50" s="3" t="s">
        <v>748</v>
      </c>
      <c r="J50" s="3" t="s">
        <v>749</v>
      </c>
      <c r="K50" s="3" t="s">
        <v>393</v>
      </c>
      <c r="L50" s="3" t="s">
        <v>750</v>
      </c>
      <c r="M50" s="3" t="s">
        <v>101</v>
      </c>
      <c r="N50" s="3" t="s">
        <v>790</v>
      </c>
      <c r="O50" s="3" t="s">
        <v>753</v>
      </c>
      <c r="P50" s="3" t="s">
        <v>790</v>
      </c>
      <c r="Q50" s="3" t="s">
        <v>886</v>
      </c>
    </row>
    <row r="51" customFormat="false" ht="35.05" hidden="false" customHeight="false" outlineLevel="0" collapsed="false">
      <c r="A51" s="42" t="s">
        <v>221</v>
      </c>
      <c r="B51" s="42" t="s">
        <v>222</v>
      </c>
      <c r="C51" s="3" t="s">
        <v>822</v>
      </c>
      <c r="D51" s="3" t="s">
        <v>858</v>
      </c>
      <c r="E51" s="3" t="s">
        <v>381</v>
      </c>
      <c r="F51" s="3" t="s">
        <v>887</v>
      </c>
      <c r="G51" s="3" t="s">
        <v>36</v>
      </c>
      <c r="H51" s="3" t="s">
        <v>194</v>
      </c>
      <c r="I51" s="3" t="s">
        <v>748</v>
      </c>
      <c r="J51" s="3" t="s">
        <v>763</v>
      </c>
      <c r="K51" s="3" t="s">
        <v>366</v>
      </c>
      <c r="L51" s="3" t="s">
        <v>750</v>
      </c>
      <c r="M51" s="3" t="s">
        <v>101</v>
      </c>
      <c r="N51" s="3" t="s">
        <v>888</v>
      </c>
      <c r="O51" s="3" t="s">
        <v>753</v>
      </c>
      <c r="P51" s="3" t="s">
        <v>793</v>
      </c>
      <c r="Q51" s="3" t="s">
        <v>889</v>
      </c>
    </row>
    <row r="52" customFormat="false" ht="35.05" hidden="false" customHeight="false" outlineLevel="0" collapsed="false">
      <c r="A52" s="42" t="s">
        <v>201</v>
      </c>
      <c r="B52" s="42" t="s">
        <v>202</v>
      </c>
      <c r="C52" s="3" t="s">
        <v>822</v>
      </c>
      <c r="D52" s="3" t="s">
        <v>858</v>
      </c>
      <c r="E52" s="3" t="s">
        <v>367</v>
      </c>
      <c r="F52" s="3" t="s">
        <v>890</v>
      </c>
      <c r="G52" s="3" t="s">
        <v>36</v>
      </c>
      <c r="H52" s="3" t="s">
        <v>194</v>
      </c>
      <c r="I52" s="3" t="s">
        <v>748</v>
      </c>
      <c r="J52" s="3" t="s">
        <v>749</v>
      </c>
      <c r="K52" s="3" t="s">
        <v>366</v>
      </c>
      <c r="L52" s="3" t="s">
        <v>828</v>
      </c>
      <c r="M52" s="3" t="s">
        <v>399</v>
      </c>
      <c r="N52" s="3" t="s">
        <v>846</v>
      </c>
      <c r="O52" s="3" t="s">
        <v>753</v>
      </c>
      <c r="P52" s="3" t="s">
        <v>793</v>
      </c>
      <c r="Q52" s="3"/>
    </row>
    <row r="53" customFormat="false" ht="23.85" hidden="false" customHeight="false" outlineLevel="0" collapsed="false">
      <c r="A53" s="42" t="s">
        <v>203</v>
      </c>
      <c r="B53" s="42" t="s">
        <v>204</v>
      </c>
      <c r="C53" s="3" t="s">
        <v>822</v>
      </c>
      <c r="D53" s="3" t="s">
        <v>858</v>
      </c>
      <c r="E53" s="3" t="s">
        <v>367</v>
      </c>
      <c r="F53" s="3" t="s">
        <v>891</v>
      </c>
      <c r="G53" s="3" t="s">
        <v>36</v>
      </c>
      <c r="H53" s="3" t="s">
        <v>179</v>
      </c>
      <c r="I53" s="3" t="s">
        <v>748</v>
      </c>
      <c r="J53" s="3" t="s">
        <v>749</v>
      </c>
      <c r="K53" s="3" t="s">
        <v>376</v>
      </c>
      <c r="L53" s="3" t="s">
        <v>750</v>
      </c>
      <c r="M53" s="3" t="s">
        <v>399</v>
      </c>
      <c r="N53" s="3" t="s">
        <v>825</v>
      </c>
      <c r="O53" s="3" t="s">
        <v>753</v>
      </c>
      <c r="P53" s="3" t="s">
        <v>793</v>
      </c>
      <c r="Q53" s="3"/>
    </row>
    <row r="54" customFormat="false" ht="35.05" hidden="false" customHeight="false" outlineLevel="0" collapsed="false">
      <c r="A54" s="42" t="s">
        <v>205</v>
      </c>
      <c r="B54" s="42" t="s">
        <v>206</v>
      </c>
      <c r="C54" s="3" t="s">
        <v>822</v>
      </c>
      <c r="D54" s="3" t="s">
        <v>858</v>
      </c>
      <c r="E54" s="3" t="s">
        <v>381</v>
      </c>
      <c r="F54" s="3" t="s">
        <v>892</v>
      </c>
      <c r="G54" s="3" t="s">
        <v>36</v>
      </c>
      <c r="H54" s="3" t="s">
        <v>194</v>
      </c>
      <c r="I54" s="3" t="s">
        <v>748</v>
      </c>
      <c r="J54" s="3" t="s">
        <v>749</v>
      </c>
      <c r="K54" s="3" t="s">
        <v>366</v>
      </c>
      <c r="L54" s="3" t="s">
        <v>750</v>
      </c>
      <c r="M54" s="3" t="s">
        <v>99</v>
      </c>
      <c r="N54" s="3" t="s">
        <v>888</v>
      </c>
      <c r="O54" s="3" t="s">
        <v>753</v>
      </c>
      <c r="P54" s="3" t="s">
        <v>793</v>
      </c>
      <c r="Q54" s="3" t="s">
        <v>889</v>
      </c>
    </row>
    <row r="55" customFormat="false" ht="23.85" hidden="false" customHeight="false" outlineLevel="0" collapsed="false">
      <c r="A55" s="42" t="s">
        <v>207</v>
      </c>
      <c r="B55" s="42" t="s">
        <v>208</v>
      </c>
      <c r="C55" s="3" t="s">
        <v>822</v>
      </c>
      <c r="D55" s="3" t="s">
        <v>858</v>
      </c>
      <c r="E55" s="3" t="s">
        <v>393</v>
      </c>
      <c r="F55" s="3" t="s">
        <v>893</v>
      </c>
      <c r="G55" s="3" t="s">
        <v>36</v>
      </c>
      <c r="H55" s="3" t="s">
        <v>194</v>
      </c>
      <c r="I55" s="3" t="s">
        <v>748</v>
      </c>
      <c r="J55" s="3" t="s">
        <v>763</v>
      </c>
      <c r="K55" s="3" t="s">
        <v>393</v>
      </c>
      <c r="L55" s="3" t="s">
        <v>750</v>
      </c>
      <c r="M55" s="3" t="s">
        <v>99</v>
      </c>
      <c r="N55" s="3" t="s">
        <v>790</v>
      </c>
      <c r="O55" s="3" t="s">
        <v>753</v>
      </c>
      <c r="P55" s="3" t="s">
        <v>790</v>
      </c>
      <c r="Q55" s="3" t="s">
        <v>886</v>
      </c>
    </row>
    <row r="56" customFormat="false" ht="23.85" hidden="false" customHeight="false" outlineLevel="0" collapsed="false">
      <c r="A56" s="42" t="s">
        <v>295</v>
      </c>
      <c r="B56" s="42" t="s">
        <v>296</v>
      </c>
      <c r="C56" s="3" t="s">
        <v>822</v>
      </c>
      <c r="D56" s="3" t="s">
        <v>858</v>
      </c>
      <c r="E56" s="3" t="s">
        <v>384</v>
      </c>
      <c r="F56" s="3" t="s">
        <v>894</v>
      </c>
      <c r="G56" s="3" t="s">
        <v>36</v>
      </c>
      <c r="H56" s="3" t="s">
        <v>194</v>
      </c>
      <c r="I56" s="3" t="s">
        <v>748</v>
      </c>
      <c r="J56" s="3" t="s">
        <v>763</v>
      </c>
      <c r="K56" s="3" t="s">
        <v>376</v>
      </c>
      <c r="L56" s="3" t="s">
        <v>750</v>
      </c>
      <c r="M56" s="3" t="s">
        <v>125</v>
      </c>
      <c r="N56" s="3" t="s">
        <v>818</v>
      </c>
      <c r="O56" s="3" t="s">
        <v>753</v>
      </c>
      <c r="P56" s="3" t="s">
        <v>775</v>
      </c>
      <c r="Q56" s="3"/>
    </row>
    <row r="57" customFormat="false" ht="23.85" hidden="false" customHeight="false" outlineLevel="0" collapsed="false">
      <c r="A57" s="42" t="s">
        <v>227</v>
      </c>
      <c r="B57" s="42" t="s">
        <v>228</v>
      </c>
      <c r="C57" s="3" t="s">
        <v>822</v>
      </c>
      <c r="D57" s="3" t="s">
        <v>858</v>
      </c>
      <c r="E57" s="3" t="s">
        <v>367</v>
      </c>
      <c r="F57" s="3" t="s">
        <v>895</v>
      </c>
      <c r="G57" s="3" t="s">
        <v>36</v>
      </c>
      <c r="H57" s="3" t="s">
        <v>194</v>
      </c>
      <c r="I57" s="3" t="s">
        <v>748</v>
      </c>
      <c r="J57" s="3" t="s">
        <v>749</v>
      </c>
      <c r="K57" s="3" t="s">
        <v>366</v>
      </c>
      <c r="L57" s="3" t="s">
        <v>828</v>
      </c>
      <c r="M57" s="3" t="s">
        <v>407</v>
      </c>
      <c r="N57" s="3" t="s">
        <v>825</v>
      </c>
      <c r="O57" s="3" t="s">
        <v>753</v>
      </c>
      <c r="P57" s="3" t="s">
        <v>793</v>
      </c>
      <c r="Q57" s="3"/>
    </row>
    <row r="58" customFormat="false" ht="23.85" hidden="false" customHeight="false" outlineLevel="0" collapsed="false">
      <c r="A58" s="42" t="s">
        <v>229</v>
      </c>
      <c r="B58" s="42" t="s">
        <v>230</v>
      </c>
      <c r="C58" s="3" t="s">
        <v>822</v>
      </c>
      <c r="D58" s="3" t="s">
        <v>858</v>
      </c>
      <c r="E58" s="3" t="s">
        <v>367</v>
      </c>
      <c r="F58" s="3" t="s">
        <v>896</v>
      </c>
      <c r="G58" s="3" t="s">
        <v>36</v>
      </c>
      <c r="H58" s="3" t="s">
        <v>179</v>
      </c>
      <c r="I58" s="3" t="s">
        <v>748</v>
      </c>
      <c r="J58" s="3" t="s">
        <v>749</v>
      </c>
      <c r="K58" s="3" t="s">
        <v>376</v>
      </c>
      <c r="L58" s="3" t="s">
        <v>750</v>
      </c>
      <c r="M58" s="3" t="s">
        <v>407</v>
      </c>
      <c r="N58" s="3" t="s">
        <v>825</v>
      </c>
      <c r="O58" s="3" t="s">
        <v>753</v>
      </c>
      <c r="P58" s="3" t="s">
        <v>793</v>
      </c>
      <c r="Q58" s="3"/>
    </row>
    <row r="59" customFormat="false" ht="23.85" hidden="false" customHeight="false" outlineLevel="0" collapsed="false">
      <c r="A59" s="42" t="s">
        <v>231</v>
      </c>
      <c r="B59" s="42" t="s">
        <v>232</v>
      </c>
      <c r="C59" s="3" t="s">
        <v>822</v>
      </c>
      <c r="D59" s="3" t="s">
        <v>858</v>
      </c>
      <c r="E59" s="3" t="s">
        <v>381</v>
      </c>
      <c r="F59" s="3" t="s">
        <v>897</v>
      </c>
      <c r="G59" s="3" t="s">
        <v>36</v>
      </c>
      <c r="H59" s="3" t="s">
        <v>194</v>
      </c>
      <c r="I59" s="3" t="s">
        <v>748</v>
      </c>
      <c r="J59" s="3" t="s">
        <v>749</v>
      </c>
      <c r="K59" s="3" t="s">
        <v>366</v>
      </c>
      <c r="L59" s="3" t="s">
        <v>750</v>
      </c>
      <c r="M59" s="3" t="s">
        <v>103</v>
      </c>
      <c r="N59" s="3" t="s">
        <v>898</v>
      </c>
      <c r="O59" s="3" t="s">
        <v>753</v>
      </c>
      <c r="P59" s="3" t="s">
        <v>793</v>
      </c>
      <c r="Q59" s="3" t="s">
        <v>889</v>
      </c>
    </row>
    <row r="60" customFormat="false" ht="57.45" hidden="false" customHeight="false" outlineLevel="0" collapsed="false">
      <c r="A60" s="42" t="s">
        <v>237</v>
      </c>
      <c r="B60" s="42" t="s">
        <v>238</v>
      </c>
      <c r="C60" s="3" t="s">
        <v>822</v>
      </c>
      <c r="D60" s="3" t="s">
        <v>858</v>
      </c>
      <c r="E60" s="3" t="s">
        <v>367</v>
      </c>
      <c r="F60" s="3" t="s">
        <v>899</v>
      </c>
      <c r="G60" s="3" t="s">
        <v>36</v>
      </c>
      <c r="H60" s="3" t="s">
        <v>194</v>
      </c>
      <c r="I60" s="3" t="s">
        <v>748</v>
      </c>
      <c r="J60" s="3" t="s">
        <v>749</v>
      </c>
      <c r="K60" s="3" t="s">
        <v>366</v>
      </c>
      <c r="L60" s="3" t="s">
        <v>828</v>
      </c>
      <c r="M60" s="3" t="s">
        <v>410</v>
      </c>
      <c r="N60" s="3" t="s">
        <v>834</v>
      </c>
      <c r="O60" s="3" t="s">
        <v>753</v>
      </c>
      <c r="P60" s="3" t="s">
        <v>782</v>
      </c>
      <c r="Q60" s="3"/>
    </row>
    <row r="61" customFormat="false" ht="35.05" hidden="false" customHeight="false" outlineLevel="0" collapsed="false">
      <c r="A61" s="42" t="s">
        <v>239</v>
      </c>
      <c r="B61" s="42" t="s">
        <v>240</v>
      </c>
      <c r="C61" s="3" t="s">
        <v>822</v>
      </c>
      <c r="D61" s="3" t="s">
        <v>858</v>
      </c>
      <c r="E61" s="3" t="s">
        <v>367</v>
      </c>
      <c r="F61" s="3" t="s">
        <v>900</v>
      </c>
      <c r="G61" s="3" t="s">
        <v>36</v>
      </c>
      <c r="H61" s="3" t="s">
        <v>179</v>
      </c>
      <c r="I61" s="3" t="s">
        <v>748</v>
      </c>
      <c r="J61" s="3" t="s">
        <v>749</v>
      </c>
      <c r="K61" s="3" t="s">
        <v>376</v>
      </c>
      <c r="L61" s="3" t="s">
        <v>750</v>
      </c>
      <c r="M61" s="3" t="s">
        <v>410</v>
      </c>
      <c r="N61" s="3" t="s">
        <v>834</v>
      </c>
      <c r="O61" s="3" t="s">
        <v>753</v>
      </c>
      <c r="P61" s="3" t="s">
        <v>782</v>
      </c>
      <c r="Q61" s="3"/>
    </row>
    <row r="62" customFormat="false" ht="35.05" hidden="false" customHeight="false" outlineLevel="0" collapsed="false">
      <c r="A62" s="42" t="s">
        <v>241</v>
      </c>
      <c r="B62" s="42" t="s">
        <v>242</v>
      </c>
      <c r="C62" s="3" t="s">
        <v>822</v>
      </c>
      <c r="D62" s="3" t="s">
        <v>858</v>
      </c>
      <c r="E62" s="3" t="s">
        <v>381</v>
      </c>
      <c r="F62" s="3" t="s">
        <v>901</v>
      </c>
      <c r="G62" s="3" t="s">
        <v>36</v>
      </c>
      <c r="H62" s="3" t="s">
        <v>194</v>
      </c>
      <c r="I62" s="3" t="s">
        <v>748</v>
      </c>
      <c r="J62" s="3" t="s">
        <v>749</v>
      </c>
      <c r="K62" s="3" t="s">
        <v>366</v>
      </c>
      <c r="L62" s="3" t="s">
        <v>750</v>
      </c>
      <c r="M62" s="3" t="s">
        <v>105</v>
      </c>
      <c r="N62" s="3" t="s">
        <v>825</v>
      </c>
      <c r="O62" s="3" t="s">
        <v>753</v>
      </c>
      <c r="P62" s="3" t="s">
        <v>782</v>
      </c>
      <c r="Q62" s="3" t="s">
        <v>902</v>
      </c>
    </row>
    <row r="63" customFormat="false" ht="35.05" hidden="false" customHeight="false" outlineLevel="0" collapsed="false">
      <c r="A63" s="42" t="s">
        <v>247</v>
      </c>
      <c r="B63" s="42" t="s">
        <v>248</v>
      </c>
      <c r="C63" s="3" t="s">
        <v>822</v>
      </c>
      <c r="D63" s="3" t="s">
        <v>858</v>
      </c>
      <c r="E63" s="3" t="s">
        <v>367</v>
      </c>
      <c r="F63" s="3" t="s">
        <v>903</v>
      </c>
      <c r="G63" s="3" t="s">
        <v>36</v>
      </c>
      <c r="H63" s="3" t="s">
        <v>194</v>
      </c>
      <c r="I63" s="3" t="s">
        <v>748</v>
      </c>
      <c r="J63" s="3" t="s">
        <v>749</v>
      </c>
      <c r="K63" s="3" t="s">
        <v>366</v>
      </c>
      <c r="L63" s="3" t="s">
        <v>828</v>
      </c>
      <c r="M63" s="3" t="s">
        <v>413</v>
      </c>
      <c r="N63" s="3" t="s">
        <v>853</v>
      </c>
      <c r="O63" s="3" t="s">
        <v>753</v>
      </c>
      <c r="P63" s="3" t="s">
        <v>800</v>
      </c>
      <c r="Q63" s="3"/>
    </row>
    <row r="64" customFormat="false" ht="35.05" hidden="false" customHeight="false" outlineLevel="0" collapsed="false">
      <c r="A64" s="42" t="s">
        <v>249</v>
      </c>
      <c r="B64" s="42" t="s">
        <v>250</v>
      </c>
      <c r="C64" s="3" t="s">
        <v>822</v>
      </c>
      <c r="D64" s="3" t="s">
        <v>858</v>
      </c>
      <c r="E64" s="3" t="s">
        <v>381</v>
      </c>
      <c r="F64" s="3" t="s">
        <v>904</v>
      </c>
      <c r="G64" s="3" t="s">
        <v>36</v>
      </c>
      <c r="H64" s="3" t="s">
        <v>194</v>
      </c>
      <c r="I64" s="3" t="s">
        <v>748</v>
      </c>
      <c r="J64" s="3" t="s">
        <v>749</v>
      </c>
      <c r="K64" s="3" t="s">
        <v>366</v>
      </c>
      <c r="L64" s="3" t="s">
        <v>750</v>
      </c>
      <c r="M64" s="3" t="s">
        <v>107</v>
      </c>
      <c r="N64" s="3" t="s">
        <v>905</v>
      </c>
      <c r="O64" s="3" t="s">
        <v>765</v>
      </c>
      <c r="P64" s="3" t="s">
        <v>800</v>
      </c>
      <c r="Q64" s="3" t="s">
        <v>889</v>
      </c>
    </row>
    <row r="65" customFormat="false" ht="35.05" hidden="false" customHeight="false" outlineLevel="0" collapsed="false">
      <c r="A65" s="42" t="s">
        <v>255</v>
      </c>
      <c r="B65" s="42" t="s">
        <v>256</v>
      </c>
      <c r="C65" s="3" t="s">
        <v>822</v>
      </c>
      <c r="D65" s="3" t="s">
        <v>858</v>
      </c>
      <c r="E65" s="3" t="s">
        <v>367</v>
      </c>
      <c r="F65" s="3" t="s">
        <v>906</v>
      </c>
      <c r="G65" s="3" t="s">
        <v>36</v>
      </c>
      <c r="H65" s="3" t="s">
        <v>194</v>
      </c>
      <c r="I65" s="3" t="s">
        <v>748</v>
      </c>
      <c r="J65" s="3" t="s">
        <v>749</v>
      </c>
      <c r="K65" s="3" t="s">
        <v>366</v>
      </c>
      <c r="L65" s="3" t="s">
        <v>828</v>
      </c>
      <c r="M65" s="3" t="s">
        <v>416</v>
      </c>
      <c r="N65" s="3" t="s">
        <v>856</v>
      </c>
      <c r="O65" s="3" t="s">
        <v>753</v>
      </c>
      <c r="P65" s="3" t="s">
        <v>793</v>
      </c>
      <c r="Q65" s="3"/>
    </row>
    <row r="66" customFormat="false" ht="23.85" hidden="false" customHeight="false" outlineLevel="0" collapsed="false">
      <c r="A66" s="42" t="s">
        <v>257</v>
      </c>
      <c r="B66" s="42" t="s">
        <v>258</v>
      </c>
      <c r="C66" s="3" t="s">
        <v>822</v>
      </c>
      <c r="D66" s="3" t="s">
        <v>858</v>
      </c>
      <c r="E66" s="3" t="s">
        <v>381</v>
      </c>
      <c r="F66" s="3" t="s">
        <v>907</v>
      </c>
      <c r="G66" s="3" t="s">
        <v>36</v>
      </c>
      <c r="H66" s="3" t="s">
        <v>179</v>
      </c>
      <c r="I66" s="3" t="s">
        <v>748</v>
      </c>
      <c r="J66" s="3" t="s">
        <v>749</v>
      </c>
      <c r="K66" s="3" t="s">
        <v>366</v>
      </c>
      <c r="L66" s="3" t="s">
        <v>750</v>
      </c>
      <c r="M66" s="3" t="s">
        <v>109</v>
      </c>
      <c r="N66" s="3" t="s">
        <v>888</v>
      </c>
      <c r="O66" s="3" t="s">
        <v>765</v>
      </c>
      <c r="P66" s="3" t="s">
        <v>793</v>
      </c>
      <c r="Q66" s="3" t="s">
        <v>889</v>
      </c>
    </row>
    <row r="67" customFormat="false" ht="23.85" hidden="false" customHeight="false" outlineLevel="0" collapsed="false">
      <c r="A67" s="42" t="s">
        <v>259</v>
      </c>
      <c r="B67" s="42" t="s">
        <v>260</v>
      </c>
      <c r="C67" s="3" t="s">
        <v>822</v>
      </c>
      <c r="D67" s="3" t="s">
        <v>858</v>
      </c>
      <c r="E67" s="3" t="s">
        <v>381</v>
      </c>
      <c r="F67" s="3" t="s">
        <v>908</v>
      </c>
      <c r="G67" s="3" t="s">
        <v>36</v>
      </c>
      <c r="H67" s="3" t="s">
        <v>194</v>
      </c>
      <c r="I67" s="3" t="s">
        <v>748</v>
      </c>
      <c r="J67" s="3" t="s">
        <v>749</v>
      </c>
      <c r="K67" s="3" t="s">
        <v>366</v>
      </c>
      <c r="L67" s="3" t="s">
        <v>750</v>
      </c>
      <c r="M67" s="3" t="s">
        <v>109</v>
      </c>
      <c r="N67" s="3" t="s">
        <v>909</v>
      </c>
      <c r="O67" s="3" t="s">
        <v>765</v>
      </c>
      <c r="P67" s="3" t="s">
        <v>793</v>
      </c>
      <c r="Q67" s="3" t="s">
        <v>889</v>
      </c>
    </row>
    <row r="68" customFormat="false" ht="23.85" hidden="false" customHeight="false" outlineLevel="0" collapsed="false">
      <c r="A68" s="42" t="s">
        <v>263</v>
      </c>
      <c r="B68" s="42" t="s">
        <v>264</v>
      </c>
      <c r="C68" s="3" t="s">
        <v>822</v>
      </c>
      <c r="D68" s="3" t="s">
        <v>858</v>
      </c>
      <c r="E68" s="3" t="s">
        <v>384</v>
      </c>
      <c r="F68" s="3" t="s">
        <v>910</v>
      </c>
      <c r="G68" s="3" t="s">
        <v>36</v>
      </c>
      <c r="H68" s="3" t="s">
        <v>188</v>
      </c>
      <c r="I68" s="3" t="s">
        <v>748</v>
      </c>
      <c r="J68" s="3" t="s">
        <v>763</v>
      </c>
      <c r="K68" s="3" t="s">
        <v>366</v>
      </c>
      <c r="L68" s="3" t="s">
        <v>828</v>
      </c>
      <c r="M68" s="3" t="s">
        <v>113</v>
      </c>
      <c r="N68" s="3" t="s">
        <v>911</v>
      </c>
      <c r="O68" s="3" t="s">
        <v>831</v>
      </c>
      <c r="P68" s="3" t="s">
        <v>808</v>
      </c>
      <c r="Q68" s="3"/>
    </row>
    <row r="69" customFormat="false" ht="23.85" hidden="false" customHeight="false" outlineLevel="0" collapsed="false">
      <c r="A69" s="42" t="s">
        <v>265</v>
      </c>
      <c r="B69" s="42" t="s">
        <v>266</v>
      </c>
      <c r="C69" s="3" t="s">
        <v>822</v>
      </c>
      <c r="D69" s="3" t="s">
        <v>858</v>
      </c>
      <c r="E69" s="3" t="s">
        <v>384</v>
      </c>
      <c r="F69" s="3" t="s">
        <v>912</v>
      </c>
      <c r="G69" s="3" t="s">
        <v>36</v>
      </c>
      <c r="H69" s="3" t="s">
        <v>179</v>
      </c>
      <c r="I69" s="3" t="s">
        <v>748</v>
      </c>
      <c r="J69" s="3" t="s">
        <v>763</v>
      </c>
      <c r="K69" s="3" t="s">
        <v>366</v>
      </c>
      <c r="L69" s="3" t="s">
        <v>750</v>
      </c>
      <c r="M69" s="3" t="s">
        <v>113</v>
      </c>
      <c r="N69" s="3" t="s">
        <v>807</v>
      </c>
      <c r="O69" s="3" t="s">
        <v>765</v>
      </c>
      <c r="P69" s="3" t="s">
        <v>808</v>
      </c>
      <c r="Q69" s="3"/>
    </row>
    <row r="70" customFormat="false" ht="35.05" hidden="false" customHeight="false" outlineLevel="0" collapsed="false">
      <c r="A70" s="42" t="s">
        <v>271</v>
      </c>
      <c r="B70" s="42" t="s">
        <v>272</v>
      </c>
      <c r="C70" s="3" t="s">
        <v>822</v>
      </c>
      <c r="D70" s="3" t="s">
        <v>858</v>
      </c>
      <c r="E70" s="3" t="s">
        <v>384</v>
      </c>
      <c r="F70" s="3" t="s">
        <v>913</v>
      </c>
      <c r="G70" s="3" t="s">
        <v>36</v>
      </c>
      <c r="H70" s="3" t="s">
        <v>179</v>
      </c>
      <c r="I70" s="3" t="s">
        <v>748</v>
      </c>
      <c r="J70" s="3" t="s">
        <v>763</v>
      </c>
      <c r="K70" s="3" t="s">
        <v>366</v>
      </c>
      <c r="L70" s="3" t="s">
        <v>750</v>
      </c>
      <c r="M70" s="3" t="s">
        <v>115</v>
      </c>
      <c r="N70" s="3" t="s">
        <v>914</v>
      </c>
      <c r="O70" s="3" t="s">
        <v>765</v>
      </c>
      <c r="P70" s="3" t="s">
        <v>811</v>
      </c>
      <c r="Q70" s="3"/>
    </row>
    <row r="71" customFormat="false" ht="35.05" hidden="false" customHeight="false" outlineLevel="0" collapsed="false">
      <c r="A71" s="42" t="s">
        <v>273</v>
      </c>
      <c r="B71" s="42" t="s">
        <v>274</v>
      </c>
      <c r="C71" s="3" t="s">
        <v>822</v>
      </c>
      <c r="D71" s="3" t="s">
        <v>858</v>
      </c>
      <c r="E71" s="3" t="s">
        <v>384</v>
      </c>
      <c r="F71" s="3" t="s">
        <v>915</v>
      </c>
      <c r="G71" s="3" t="s">
        <v>36</v>
      </c>
      <c r="H71" s="3" t="s">
        <v>194</v>
      </c>
      <c r="I71" s="3" t="s">
        <v>748</v>
      </c>
      <c r="J71" s="3" t="s">
        <v>763</v>
      </c>
      <c r="K71" s="3" t="s">
        <v>366</v>
      </c>
      <c r="L71" s="3" t="s">
        <v>828</v>
      </c>
      <c r="M71" s="3" t="s">
        <v>115</v>
      </c>
      <c r="N71" s="3" t="s">
        <v>916</v>
      </c>
      <c r="O71" s="3" t="s">
        <v>831</v>
      </c>
      <c r="P71" s="3" t="s">
        <v>811</v>
      </c>
      <c r="Q71" s="3"/>
    </row>
    <row r="72" customFormat="false" ht="23.85" hidden="false" customHeight="false" outlineLevel="0" collapsed="false">
      <c r="A72" s="42" t="s">
        <v>275</v>
      </c>
      <c r="B72" s="42" t="s">
        <v>276</v>
      </c>
      <c r="C72" s="3" t="s">
        <v>822</v>
      </c>
      <c r="D72" s="3" t="s">
        <v>858</v>
      </c>
      <c r="E72" s="3" t="s">
        <v>384</v>
      </c>
      <c r="F72" s="3" t="s">
        <v>917</v>
      </c>
      <c r="G72" s="3" t="s">
        <v>36</v>
      </c>
      <c r="H72" s="3" t="s">
        <v>179</v>
      </c>
      <c r="I72" s="3" t="s">
        <v>748</v>
      </c>
      <c r="J72" s="3" t="s">
        <v>763</v>
      </c>
      <c r="K72" s="3" t="s">
        <v>366</v>
      </c>
      <c r="L72" s="3" t="s">
        <v>750</v>
      </c>
      <c r="M72" s="3" t="s">
        <v>115</v>
      </c>
      <c r="N72" s="3" t="s">
        <v>918</v>
      </c>
      <c r="O72" s="3" t="s">
        <v>765</v>
      </c>
      <c r="P72" s="3" t="s">
        <v>811</v>
      </c>
      <c r="Q72" s="3"/>
    </row>
    <row r="73" customFormat="false" ht="46.25" hidden="false" customHeight="false" outlineLevel="0" collapsed="false">
      <c r="A73" s="42" t="s">
        <v>278</v>
      </c>
      <c r="B73" s="42" t="s">
        <v>279</v>
      </c>
      <c r="C73" s="3" t="s">
        <v>822</v>
      </c>
      <c r="D73" s="3" t="s">
        <v>858</v>
      </c>
      <c r="E73" s="3" t="s">
        <v>384</v>
      </c>
      <c r="F73" s="3" t="s">
        <v>919</v>
      </c>
      <c r="G73" s="3" t="s">
        <v>36</v>
      </c>
      <c r="H73" s="3" t="s">
        <v>188</v>
      </c>
      <c r="I73" s="3" t="s">
        <v>748</v>
      </c>
      <c r="J73" s="3" t="s">
        <v>763</v>
      </c>
      <c r="K73" s="3" t="s">
        <v>376</v>
      </c>
      <c r="L73" s="3" t="s">
        <v>750</v>
      </c>
      <c r="M73" s="3" t="s">
        <v>117</v>
      </c>
      <c r="N73" s="3" t="s">
        <v>825</v>
      </c>
      <c r="O73" s="3" t="s">
        <v>753</v>
      </c>
      <c r="P73" s="3" t="s">
        <v>766</v>
      </c>
      <c r="Q73" s="3"/>
    </row>
    <row r="74" customFormat="false" ht="23.85" hidden="false" customHeight="false" outlineLevel="0" collapsed="false">
      <c r="A74" s="42" t="s">
        <v>280</v>
      </c>
      <c r="B74" s="42" t="s">
        <v>281</v>
      </c>
      <c r="C74" s="3" t="s">
        <v>822</v>
      </c>
      <c r="D74" s="3" t="s">
        <v>858</v>
      </c>
      <c r="E74" s="3" t="s">
        <v>384</v>
      </c>
      <c r="F74" s="3" t="s">
        <v>920</v>
      </c>
      <c r="G74" s="3" t="s">
        <v>36</v>
      </c>
      <c r="H74" s="3" t="s">
        <v>194</v>
      </c>
      <c r="I74" s="3" t="s">
        <v>748</v>
      </c>
      <c r="J74" s="3" t="s">
        <v>763</v>
      </c>
      <c r="K74" s="3" t="s">
        <v>366</v>
      </c>
      <c r="L74" s="3" t="s">
        <v>828</v>
      </c>
      <c r="M74" s="3" t="s">
        <v>117</v>
      </c>
      <c r="N74" s="3" t="s">
        <v>825</v>
      </c>
      <c r="O74" s="3" t="s">
        <v>831</v>
      </c>
      <c r="P74" s="3" t="s">
        <v>766</v>
      </c>
      <c r="Q74" s="3"/>
    </row>
    <row r="75" customFormat="false" ht="23.85" hidden="false" customHeight="false" outlineLevel="0" collapsed="false">
      <c r="A75" s="42" t="s">
        <v>282</v>
      </c>
      <c r="B75" s="42" t="s">
        <v>283</v>
      </c>
      <c r="C75" s="3" t="s">
        <v>822</v>
      </c>
      <c r="D75" s="3" t="s">
        <v>858</v>
      </c>
      <c r="E75" s="3" t="s">
        <v>384</v>
      </c>
      <c r="F75" s="3" t="s">
        <v>921</v>
      </c>
      <c r="G75" s="3" t="s">
        <v>36</v>
      </c>
      <c r="H75" s="3" t="s">
        <v>179</v>
      </c>
      <c r="I75" s="3" t="s">
        <v>748</v>
      </c>
      <c r="J75" s="3" t="s">
        <v>763</v>
      </c>
      <c r="K75" s="3" t="s">
        <v>366</v>
      </c>
      <c r="L75" s="3" t="s">
        <v>750</v>
      </c>
      <c r="M75" s="3" t="s">
        <v>117</v>
      </c>
      <c r="N75" s="3" t="s">
        <v>918</v>
      </c>
      <c r="O75" s="3" t="s">
        <v>765</v>
      </c>
      <c r="P75" s="3" t="s">
        <v>766</v>
      </c>
      <c r="Q75" s="3"/>
    </row>
    <row r="76" customFormat="false" ht="35.05" hidden="false" customHeight="false" outlineLevel="0" collapsed="false">
      <c r="A76" s="42" t="s">
        <v>285</v>
      </c>
      <c r="B76" s="42" t="s">
        <v>286</v>
      </c>
      <c r="C76" s="3" t="s">
        <v>822</v>
      </c>
      <c r="D76" s="3" t="s">
        <v>858</v>
      </c>
      <c r="E76" s="3" t="s">
        <v>384</v>
      </c>
      <c r="F76" s="3" t="s">
        <v>922</v>
      </c>
      <c r="G76" s="3" t="s">
        <v>36</v>
      </c>
      <c r="H76" s="3" t="s">
        <v>185</v>
      </c>
      <c r="I76" s="3" t="s">
        <v>748</v>
      </c>
      <c r="J76" s="3" t="s">
        <v>749</v>
      </c>
      <c r="K76" s="3" t="s">
        <v>366</v>
      </c>
      <c r="L76" s="3" t="s">
        <v>750</v>
      </c>
      <c r="M76" s="3" t="s">
        <v>119</v>
      </c>
      <c r="N76" s="3" t="s">
        <v>923</v>
      </c>
      <c r="O76" s="3" t="s">
        <v>765</v>
      </c>
      <c r="P76" s="3" t="s">
        <v>782</v>
      </c>
      <c r="Q76" s="3"/>
    </row>
    <row r="77" customFormat="false" ht="35.05" hidden="false" customHeight="false" outlineLevel="0" collapsed="false">
      <c r="A77" s="42" t="s">
        <v>287</v>
      </c>
      <c r="B77" s="42" t="s">
        <v>288</v>
      </c>
      <c r="C77" s="3" t="s">
        <v>822</v>
      </c>
      <c r="D77" s="3" t="s">
        <v>858</v>
      </c>
      <c r="E77" s="3" t="s">
        <v>384</v>
      </c>
      <c r="F77" s="3" t="s">
        <v>924</v>
      </c>
      <c r="G77" s="3" t="s">
        <v>36</v>
      </c>
      <c r="H77" s="3" t="s">
        <v>179</v>
      </c>
      <c r="I77" s="3" t="s">
        <v>748</v>
      </c>
      <c r="J77" s="3" t="s">
        <v>763</v>
      </c>
      <c r="K77" s="3" t="s">
        <v>376</v>
      </c>
      <c r="L77" s="3" t="s">
        <v>750</v>
      </c>
      <c r="M77" s="3" t="s">
        <v>119</v>
      </c>
      <c r="N77" s="3" t="s">
        <v>815</v>
      </c>
      <c r="O77" s="3" t="s">
        <v>925</v>
      </c>
      <c r="P77" s="3" t="s">
        <v>782</v>
      </c>
      <c r="Q77" s="3"/>
    </row>
    <row r="78" customFormat="false" ht="35.05" hidden="false" customHeight="false" outlineLevel="0" collapsed="false">
      <c r="A78" s="42" t="s">
        <v>291</v>
      </c>
      <c r="B78" s="42" t="s">
        <v>292</v>
      </c>
      <c r="C78" s="3" t="s">
        <v>822</v>
      </c>
      <c r="D78" s="3" t="s">
        <v>858</v>
      </c>
      <c r="E78" s="3" t="s">
        <v>384</v>
      </c>
      <c r="F78" s="3" t="s">
        <v>926</v>
      </c>
      <c r="G78" s="3" t="s">
        <v>36</v>
      </c>
      <c r="H78" s="3" t="s">
        <v>179</v>
      </c>
      <c r="I78" s="3" t="s">
        <v>748</v>
      </c>
      <c r="J78" s="3" t="s">
        <v>763</v>
      </c>
      <c r="K78" s="3" t="s">
        <v>366</v>
      </c>
      <c r="L78" s="3" t="s">
        <v>750</v>
      </c>
      <c r="M78" s="3" t="s">
        <v>123</v>
      </c>
      <c r="N78" s="3" t="s">
        <v>927</v>
      </c>
      <c r="O78" s="3" t="s">
        <v>753</v>
      </c>
      <c r="P78" s="3" t="s">
        <v>770</v>
      </c>
      <c r="Q78" s="3" t="s">
        <v>928</v>
      </c>
    </row>
    <row r="79" customFormat="false" ht="35.05" hidden="false" customHeight="false" outlineLevel="0" collapsed="false">
      <c r="A79" s="42" t="s">
        <v>297</v>
      </c>
      <c r="B79" s="42" t="s">
        <v>298</v>
      </c>
      <c r="C79" s="3" t="s">
        <v>822</v>
      </c>
      <c r="D79" s="3" t="s">
        <v>858</v>
      </c>
      <c r="E79" s="3" t="s">
        <v>384</v>
      </c>
      <c r="F79" s="3" t="s">
        <v>929</v>
      </c>
      <c r="G79" s="3" t="s">
        <v>36</v>
      </c>
      <c r="H79" s="3" t="s">
        <v>179</v>
      </c>
      <c r="I79" s="3" t="s">
        <v>748</v>
      </c>
      <c r="J79" s="3" t="s">
        <v>763</v>
      </c>
      <c r="K79" s="3" t="s">
        <v>366</v>
      </c>
      <c r="L79" s="3" t="s">
        <v>750</v>
      </c>
      <c r="M79" s="3" t="s">
        <v>127</v>
      </c>
      <c r="N79" s="3" t="s">
        <v>820</v>
      </c>
      <c r="O79" s="3" t="s">
        <v>753</v>
      </c>
      <c r="P79" s="3" t="s">
        <v>775</v>
      </c>
      <c r="Q79" s="3"/>
    </row>
    <row r="80" customFormat="false" ht="15" hidden="false" customHeight="false" outlineLevel="0" collapsed="false">
      <c r="A80" s="4" t="s">
        <v>930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customFormat="false" ht="23.85" hidden="false" customHeight="false" outlineLevel="0" collapsed="false">
      <c r="A81" s="42" t="s">
        <v>931</v>
      </c>
      <c r="B81" s="42" t="s">
        <v>932</v>
      </c>
      <c r="C81" s="3" t="s">
        <v>933</v>
      </c>
      <c r="D81" s="3" t="s">
        <v>934</v>
      </c>
      <c r="E81" s="3" t="s">
        <v>935</v>
      </c>
      <c r="F81" s="3" t="s">
        <v>936</v>
      </c>
      <c r="G81" s="3" t="s">
        <v>937</v>
      </c>
      <c r="H81" s="3" t="s">
        <v>194</v>
      </c>
      <c r="I81" s="3" t="s">
        <v>938</v>
      </c>
      <c r="J81" s="3" t="s">
        <v>749</v>
      </c>
      <c r="K81" s="3" t="s">
        <v>366</v>
      </c>
      <c r="L81" s="3" t="s">
        <v>828</v>
      </c>
      <c r="M81" s="3" t="s">
        <v>268</v>
      </c>
      <c r="N81" s="3" t="s">
        <v>939</v>
      </c>
      <c r="O81" s="3" t="s">
        <v>843</v>
      </c>
      <c r="P81" s="3" t="s">
        <v>770</v>
      </c>
      <c r="Q81" s="3"/>
    </row>
    <row r="82" customFormat="false" ht="23.85" hidden="false" customHeight="false" outlineLevel="0" collapsed="false">
      <c r="A82" s="42" t="s">
        <v>940</v>
      </c>
      <c r="B82" s="42" t="s">
        <v>941</v>
      </c>
      <c r="C82" s="3" t="s">
        <v>933</v>
      </c>
      <c r="D82" s="3" t="s">
        <v>934</v>
      </c>
      <c r="E82" s="3" t="s">
        <v>935</v>
      </c>
      <c r="F82" s="3" t="s">
        <v>942</v>
      </c>
      <c r="G82" s="3" t="s">
        <v>943</v>
      </c>
      <c r="H82" s="3" t="s">
        <v>179</v>
      </c>
      <c r="I82" s="3" t="s">
        <v>938</v>
      </c>
      <c r="J82" s="3" t="s">
        <v>763</v>
      </c>
      <c r="K82" s="3" t="s">
        <v>366</v>
      </c>
      <c r="L82" s="3" t="s">
        <v>828</v>
      </c>
      <c r="M82" s="3" t="s">
        <v>291</v>
      </c>
      <c r="N82" s="3" t="s">
        <v>944</v>
      </c>
      <c r="O82" s="3" t="s">
        <v>831</v>
      </c>
      <c r="P82" s="3" t="s">
        <v>770</v>
      </c>
      <c r="Q82" s="3"/>
    </row>
    <row r="83" customFormat="false" ht="35.05" hidden="false" customHeight="false" outlineLevel="0" collapsed="false">
      <c r="A83" s="42" t="s">
        <v>945</v>
      </c>
      <c r="B83" s="42" t="s">
        <v>946</v>
      </c>
      <c r="C83" s="3" t="s">
        <v>933</v>
      </c>
      <c r="D83" s="3" t="s">
        <v>934</v>
      </c>
      <c r="E83" s="3" t="s">
        <v>935</v>
      </c>
      <c r="F83" s="3" t="s">
        <v>947</v>
      </c>
      <c r="G83" s="3" t="s">
        <v>948</v>
      </c>
      <c r="H83" s="3" t="s">
        <v>194</v>
      </c>
      <c r="I83" s="3" t="s">
        <v>938</v>
      </c>
      <c r="J83" s="3" t="s">
        <v>749</v>
      </c>
      <c r="K83" s="3" t="s">
        <v>366</v>
      </c>
      <c r="L83" s="3" t="s">
        <v>828</v>
      </c>
      <c r="M83" s="3" t="s">
        <v>949</v>
      </c>
      <c r="N83" s="3" t="s">
        <v>944</v>
      </c>
      <c r="O83" s="3" t="s">
        <v>753</v>
      </c>
      <c r="P83" s="3" t="s">
        <v>770</v>
      </c>
      <c r="Q83" s="3"/>
    </row>
    <row r="84" customFormat="false" ht="23.85" hidden="false" customHeight="false" outlineLevel="0" collapsed="false">
      <c r="A84" s="42" t="s">
        <v>950</v>
      </c>
      <c r="B84" s="42" t="s">
        <v>951</v>
      </c>
      <c r="C84" s="3" t="s">
        <v>933</v>
      </c>
      <c r="D84" s="3" t="s">
        <v>934</v>
      </c>
      <c r="E84" s="3" t="s">
        <v>952</v>
      </c>
      <c r="F84" s="3" t="s">
        <v>953</v>
      </c>
      <c r="G84" s="3" t="s">
        <v>954</v>
      </c>
      <c r="H84" s="3" t="s">
        <v>194</v>
      </c>
      <c r="I84" s="3" t="s">
        <v>748</v>
      </c>
      <c r="J84" s="3" t="s">
        <v>749</v>
      </c>
      <c r="K84" s="3" t="s">
        <v>366</v>
      </c>
      <c r="L84" s="3" t="s">
        <v>828</v>
      </c>
      <c r="M84" s="3" t="s">
        <v>304</v>
      </c>
      <c r="N84" s="3" t="s">
        <v>916</v>
      </c>
      <c r="O84" s="3" t="s">
        <v>843</v>
      </c>
      <c r="P84" s="3" t="s">
        <v>865</v>
      </c>
      <c r="Q84" s="3"/>
    </row>
    <row r="85" customFormat="false" ht="23.85" hidden="false" customHeight="false" outlineLevel="0" collapsed="false">
      <c r="A85" s="42" t="s">
        <v>955</v>
      </c>
      <c r="B85" s="42" t="s">
        <v>956</v>
      </c>
      <c r="C85" s="3" t="s">
        <v>933</v>
      </c>
      <c r="D85" s="3" t="s">
        <v>934</v>
      </c>
      <c r="E85" s="3" t="s">
        <v>952</v>
      </c>
      <c r="F85" s="3" t="s">
        <v>957</v>
      </c>
      <c r="G85" s="3" t="s">
        <v>958</v>
      </c>
      <c r="H85" s="3" t="s">
        <v>959</v>
      </c>
      <c r="I85" s="3" t="s">
        <v>748</v>
      </c>
      <c r="J85" s="3" t="s">
        <v>763</v>
      </c>
      <c r="K85" s="3" t="s">
        <v>366</v>
      </c>
      <c r="L85" s="3" t="s">
        <v>828</v>
      </c>
      <c r="M85" s="3" t="s">
        <v>304</v>
      </c>
      <c r="N85" s="3" t="s">
        <v>916</v>
      </c>
      <c r="O85" s="3" t="s">
        <v>843</v>
      </c>
      <c r="P85" s="3" t="s">
        <v>865</v>
      </c>
      <c r="Q85" s="3"/>
    </row>
    <row r="86" customFormat="false" ht="23.85" hidden="false" customHeight="false" outlineLevel="0" collapsed="false">
      <c r="A86" s="42" t="s">
        <v>960</v>
      </c>
      <c r="B86" s="42" t="s">
        <v>961</v>
      </c>
      <c r="C86" s="3" t="s">
        <v>933</v>
      </c>
      <c r="D86" s="3" t="s">
        <v>934</v>
      </c>
      <c r="E86" s="3" t="s">
        <v>952</v>
      </c>
      <c r="F86" s="3" t="s">
        <v>962</v>
      </c>
      <c r="G86" s="3" t="s">
        <v>963</v>
      </c>
      <c r="H86" s="3" t="s">
        <v>194</v>
      </c>
      <c r="I86" s="3" t="s">
        <v>748</v>
      </c>
      <c r="J86" s="3" t="s">
        <v>749</v>
      </c>
      <c r="K86" s="3" t="s">
        <v>366</v>
      </c>
      <c r="L86" s="3" t="s">
        <v>828</v>
      </c>
      <c r="M86" s="3" t="s">
        <v>964</v>
      </c>
      <c r="N86" s="3" t="s">
        <v>916</v>
      </c>
      <c r="O86" s="3" t="s">
        <v>831</v>
      </c>
      <c r="P86" s="3" t="s">
        <v>865</v>
      </c>
      <c r="Q86" s="3"/>
    </row>
    <row r="87" customFormat="false" ht="23.85" hidden="false" customHeight="false" outlineLevel="0" collapsed="false">
      <c r="A87" s="42" t="s">
        <v>965</v>
      </c>
      <c r="B87" s="42" t="s">
        <v>966</v>
      </c>
      <c r="C87" s="3" t="s">
        <v>933</v>
      </c>
      <c r="D87" s="3" t="s">
        <v>934</v>
      </c>
      <c r="E87" s="3" t="s">
        <v>952</v>
      </c>
      <c r="F87" s="3" t="s">
        <v>967</v>
      </c>
      <c r="G87" s="3" t="s">
        <v>968</v>
      </c>
      <c r="H87" s="3" t="s">
        <v>969</v>
      </c>
      <c r="I87" s="3" t="s">
        <v>938</v>
      </c>
      <c r="J87" s="3" t="s">
        <v>763</v>
      </c>
      <c r="K87" s="3" t="s">
        <v>366</v>
      </c>
      <c r="L87" s="3" t="s">
        <v>828</v>
      </c>
      <c r="M87" s="3" t="s">
        <v>306</v>
      </c>
      <c r="N87" s="3" t="s">
        <v>825</v>
      </c>
      <c r="O87" s="3" t="s">
        <v>831</v>
      </c>
      <c r="P87" s="3" t="s">
        <v>865</v>
      </c>
      <c r="Q87" s="3"/>
    </row>
    <row r="88" customFormat="false" ht="23.85" hidden="false" customHeight="false" outlineLevel="0" collapsed="false">
      <c r="A88" s="42" t="s">
        <v>970</v>
      </c>
      <c r="B88" s="42" t="s">
        <v>971</v>
      </c>
      <c r="C88" s="3" t="s">
        <v>933</v>
      </c>
      <c r="D88" s="3" t="s">
        <v>934</v>
      </c>
      <c r="E88" s="3" t="s">
        <v>952</v>
      </c>
      <c r="F88" s="3" t="s">
        <v>972</v>
      </c>
      <c r="G88" s="3" t="s">
        <v>973</v>
      </c>
      <c r="H88" s="3" t="s">
        <v>194</v>
      </c>
      <c r="I88" s="3" t="s">
        <v>938</v>
      </c>
      <c r="J88" s="3" t="s">
        <v>749</v>
      </c>
      <c r="K88" s="3" t="s">
        <v>366</v>
      </c>
      <c r="L88" s="3" t="s">
        <v>828</v>
      </c>
      <c r="M88" s="3" t="s">
        <v>306</v>
      </c>
      <c r="N88" s="3" t="s">
        <v>825</v>
      </c>
      <c r="O88" s="3" t="s">
        <v>831</v>
      </c>
      <c r="P88" s="3" t="s">
        <v>865</v>
      </c>
      <c r="Q88" s="3"/>
    </row>
    <row r="89" customFormat="false" ht="23.85" hidden="false" customHeight="false" outlineLevel="0" collapsed="false">
      <c r="A89" s="42" t="s">
        <v>974</v>
      </c>
      <c r="B89" s="42" t="s">
        <v>975</v>
      </c>
      <c r="C89" s="3" t="s">
        <v>933</v>
      </c>
      <c r="D89" s="3" t="s">
        <v>934</v>
      </c>
      <c r="E89" s="3" t="s">
        <v>952</v>
      </c>
      <c r="F89" s="3" t="s">
        <v>976</v>
      </c>
      <c r="G89" s="3" t="s">
        <v>977</v>
      </c>
      <c r="H89" s="3" t="s">
        <v>179</v>
      </c>
      <c r="I89" s="3" t="s">
        <v>938</v>
      </c>
      <c r="J89" s="3" t="s">
        <v>749</v>
      </c>
      <c r="K89" s="3" t="s">
        <v>366</v>
      </c>
      <c r="L89" s="3" t="s">
        <v>828</v>
      </c>
      <c r="M89" s="3" t="s">
        <v>215</v>
      </c>
      <c r="N89" s="3" t="s">
        <v>825</v>
      </c>
      <c r="O89" s="3" t="s">
        <v>831</v>
      </c>
      <c r="P89" s="3" t="s">
        <v>865</v>
      </c>
      <c r="Q89" s="3"/>
    </row>
    <row r="90" customFormat="false" ht="35.05" hidden="false" customHeight="false" outlineLevel="0" collapsed="false">
      <c r="A90" s="42" t="s">
        <v>978</v>
      </c>
      <c r="B90" s="42" t="s">
        <v>979</v>
      </c>
      <c r="C90" s="3" t="s">
        <v>933</v>
      </c>
      <c r="D90" s="3" t="s">
        <v>934</v>
      </c>
      <c r="E90" s="3" t="s">
        <v>935</v>
      </c>
      <c r="F90" s="3" t="s">
        <v>980</v>
      </c>
      <c r="G90" s="3" t="s">
        <v>981</v>
      </c>
      <c r="H90" s="3" t="s">
        <v>982</v>
      </c>
      <c r="I90" s="3" t="s">
        <v>983</v>
      </c>
      <c r="J90" s="3" t="s">
        <v>749</v>
      </c>
      <c r="K90" s="3" t="s">
        <v>366</v>
      </c>
      <c r="L90" s="3" t="s">
        <v>828</v>
      </c>
      <c r="M90" s="3" t="s">
        <v>984</v>
      </c>
      <c r="N90" s="3" t="s">
        <v>985</v>
      </c>
      <c r="O90" s="3" t="s">
        <v>831</v>
      </c>
      <c r="P90" s="3" t="s">
        <v>986</v>
      </c>
      <c r="Q90" s="3"/>
    </row>
    <row r="91" customFormat="false" ht="23.85" hidden="false" customHeight="false" outlineLevel="0" collapsed="false">
      <c r="A91" s="42" t="s">
        <v>987</v>
      </c>
      <c r="B91" s="42" t="s">
        <v>988</v>
      </c>
      <c r="C91" s="3" t="s">
        <v>933</v>
      </c>
      <c r="D91" s="3" t="s">
        <v>934</v>
      </c>
      <c r="E91" s="3" t="s">
        <v>935</v>
      </c>
      <c r="F91" s="3" t="s">
        <v>989</v>
      </c>
      <c r="G91" s="3" t="s">
        <v>990</v>
      </c>
      <c r="H91" s="3" t="s">
        <v>194</v>
      </c>
      <c r="I91" s="3" t="s">
        <v>991</v>
      </c>
      <c r="J91" s="3" t="s">
        <v>749</v>
      </c>
      <c r="K91" s="3" t="s">
        <v>366</v>
      </c>
      <c r="L91" s="3" t="s">
        <v>828</v>
      </c>
      <c r="M91" s="3" t="s">
        <v>992</v>
      </c>
      <c r="N91" s="3" t="s">
        <v>985</v>
      </c>
      <c r="O91" s="3" t="s">
        <v>753</v>
      </c>
      <c r="P91" s="3" t="s">
        <v>993</v>
      </c>
      <c r="Q91" s="3"/>
    </row>
    <row r="92" customFormat="false" ht="23.85" hidden="false" customHeight="false" outlineLevel="0" collapsed="false">
      <c r="A92" s="42" t="s">
        <v>994</v>
      </c>
      <c r="B92" s="42" t="s">
        <v>995</v>
      </c>
      <c r="C92" s="3" t="s">
        <v>933</v>
      </c>
      <c r="D92" s="3" t="s">
        <v>934</v>
      </c>
      <c r="E92" s="3" t="s">
        <v>996</v>
      </c>
      <c r="F92" s="3" t="s">
        <v>997</v>
      </c>
      <c r="G92" s="3" t="s">
        <v>998</v>
      </c>
      <c r="H92" s="3" t="s">
        <v>194</v>
      </c>
      <c r="I92" s="3" t="s">
        <v>938</v>
      </c>
      <c r="J92" s="3" t="s">
        <v>749</v>
      </c>
      <c r="K92" s="3" t="s">
        <v>366</v>
      </c>
      <c r="L92" s="3" t="s">
        <v>828</v>
      </c>
      <c r="M92" s="3" t="s">
        <v>999</v>
      </c>
      <c r="N92" s="3" t="s">
        <v>867</v>
      </c>
      <c r="O92" s="3" t="s">
        <v>831</v>
      </c>
      <c r="P92" s="3" t="s">
        <v>793</v>
      </c>
      <c r="Q92" s="3"/>
    </row>
    <row r="93" customFormat="false" ht="23.85" hidden="false" customHeight="false" outlineLevel="0" collapsed="false">
      <c r="A93" s="42" t="s">
        <v>1000</v>
      </c>
      <c r="B93" s="42" t="s">
        <v>1001</v>
      </c>
      <c r="C93" s="3" t="s">
        <v>933</v>
      </c>
      <c r="D93" s="3" t="s">
        <v>934</v>
      </c>
      <c r="E93" s="3" t="s">
        <v>1002</v>
      </c>
      <c r="F93" s="3" t="s">
        <v>1003</v>
      </c>
      <c r="G93" s="3" t="s">
        <v>1004</v>
      </c>
      <c r="H93" s="3" t="s">
        <v>194</v>
      </c>
      <c r="I93" s="3" t="s">
        <v>938</v>
      </c>
      <c r="J93" s="3" t="s">
        <v>749</v>
      </c>
      <c r="K93" s="3" t="s">
        <v>366</v>
      </c>
      <c r="L93" s="3" t="s">
        <v>828</v>
      </c>
      <c r="M93" s="3" t="s">
        <v>1005</v>
      </c>
      <c r="N93" s="3" t="s">
        <v>1006</v>
      </c>
      <c r="O93" s="3" t="s">
        <v>753</v>
      </c>
      <c r="P93" s="3" t="s">
        <v>793</v>
      </c>
      <c r="Q93" s="3"/>
    </row>
    <row r="94" customFormat="false" ht="23.85" hidden="false" customHeight="false" outlineLevel="0" collapsed="false">
      <c r="A94" s="42" t="s">
        <v>1007</v>
      </c>
      <c r="B94" s="42" t="s">
        <v>1008</v>
      </c>
      <c r="C94" s="3" t="s">
        <v>933</v>
      </c>
      <c r="D94" s="3" t="s">
        <v>934</v>
      </c>
      <c r="E94" s="3" t="s">
        <v>1002</v>
      </c>
      <c r="F94" s="3" t="s">
        <v>1009</v>
      </c>
      <c r="G94" s="3" t="s">
        <v>1010</v>
      </c>
      <c r="H94" s="3" t="s">
        <v>194</v>
      </c>
      <c r="I94" s="3" t="s">
        <v>938</v>
      </c>
      <c r="J94" s="3" t="s">
        <v>749</v>
      </c>
      <c r="K94" s="3" t="s">
        <v>366</v>
      </c>
      <c r="L94" s="3" t="s">
        <v>828</v>
      </c>
      <c r="M94" s="3" t="s">
        <v>1011</v>
      </c>
      <c r="N94" s="3" t="s">
        <v>825</v>
      </c>
      <c r="O94" s="3" t="s">
        <v>753</v>
      </c>
      <c r="P94" s="3" t="s">
        <v>793</v>
      </c>
      <c r="Q94" s="3"/>
    </row>
    <row r="95" customFormat="false" ht="23.85" hidden="false" customHeight="false" outlineLevel="0" collapsed="false">
      <c r="A95" s="42" t="s">
        <v>1012</v>
      </c>
      <c r="B95" s="42" t="s">
        <v>1013</v>
      </c>
      <c r="C95" s="3" t="s">
        <v>933</v>
      </c>
      <c r="D95" s="3" t="s">
        <v>934</v>
      </c>
      <c r="E95" s="3" t="s">
        <v>1002</v>
      </c>
      <c r="F95" s="3" t="s">
        <v>1014</v>
      </c>
      <c r="G95" s="3" t="s">
        <v>1015</v>
      </c>
      <c r="H95" s="3" t="s">
        <v>270</v>
      </c>
      <c r="I95" s="3" t="s">
        <v>748</v>
      </c>
      <c r="J95" s="3" t="s">
        <v>749</v>
      </c>
      <c r="K95" s="3" t="s">
        <v>366</v>
      </c>
      <c r="L95" s="3" t="s">
        <v>828</v>
      </c>
      <c r="M95" s="3" t="s">
        <v>1016</v>
      </c>
      <c r="N95" s="3" t="s">
        <v>830</v>
      </c>
      <c r="O95" s="3" t="s">
        <v>753</v>
      </c>
      <c r="P95" s="3" t="s">
        <v>793</v>
      </c>
      <c r="Q95" s="3"/>
    </row>
    <row r="96" customFormat="false" ht="23.85" hidden="false" customHeight="false" outlineLevel="0" collapsed="false">
      <c r="A96" s="42" t="s">
        <v>1017</v>
      </c>
      <c r="B96" s="42" t="s">
        <v>1018</v>
      </c>
      <c r="C96" s="3" t="s">
        <v>933</v>
      </c>
      <c r="D96" s="3" t="s">
        <v>934</v>
      </c>
      <c r="E96" s="3" t="s">
        <v>1002</v>
      </c>
      <c r="F96" s="3" t="s">
        <v>1019</v>
      </c>
      <c r="G96" s="3" t="s">
        <v>1020</v>
      </c>
      <c r="H96" s="3" t="s">
        <v>194</v>
      </c>
      <c r="I96" s="3" t="s">
        <v>938</v>
      </c>
      <c r="J96" s="3" t="s">
        <v>749</v>
      </c>
      <c r="K96" s="3" t="s">
        <v>366</v>
      </c>
      <c r="L96" s="3" t="s">
        <v>828</v>
      </c>
      <c r="M96" s="3" t="s">
        <v>186</v>
      </c>
      <c r="N96" s="3" t="s">
        <v>1006</v>
      </c>
      <c r="O96" s="3" t="s">
        <v>753</v>
      </c>
      <c r="P96" s="3" t="s">
        <v>793</v>
      </c>
      <c r="Q96" s="3"/>
    </row>
    <row r="97" customFormat="false" ht="23.85" hidden="false" customHeight="false" outlineLevel="0" collapsed="false">
      <c r="A97" s="42" t="s">
        <v>1021</v>
      </c>
      <c r="B97" s="42" t="s">
        <v>1022</v>
      </c>
      <c r="C97" s="3" t="s">
        <v>933</v>
      </c>
      <c r="D97" s="3" t="s">
        <v>934</v>
      </c>
      <c r="E97" s="3" t="s">
        <v>1002</v>
      </c>
      <c r="F97" s="3" t="s">
        <v>1023</v>
      </c>
      <c r="G97" s="3" t="s">
        <v>1024</v>
      </c>
      <c r="H97" s="3" t="s">
        <v>194</v>
      </c>
      <c r="I97" s="3" t="s">
        <v>748</v>
      </c>
      <c r="J97" s="3" t="s">
        <v>749</v>
      </c>
      <c r="K97" s="3" t="s">
        <v>366</v>
      </c>
      <c r="L97" s="3" t="s">
        <v>828</v>
      </c>
      <c r="M97" s="3" t="s">
        <v>1025</v>
      </c>
      <c r="N97" s="3" t="s">
        <v>1026</v>
      </c>
      <c r="O97" s="3" t="s">
        <v>831</v>
      </c>
      <c r="P97" s="3" t="s">
        <v>770</v>
      </c>
      <c r="Q97" s="3"/>
    </row>
    <row r="98" customFormat="false" ht="23.85" hidden="false" customHeight="false" outlineLevel="0" collapsed="false">
      <c r="A98" s="42" t="s">
        <v>1027</v>
      </c>
      <c r="B98" s="42" t="s">
        <v>1028</v>
      </c>
      <c r="C98" s="3" t="s">
        <v>933</v>
      </c>
      <c r="D98" s="3" t="s">
        <v>934</v>
      </c>
      <c r="E98" s="3" t="s">
        <v>1029</v>
      </c>
      <c r="F98" s="3" t="s">
        <v>1030</v>
      </c>
      <c r="G98" s="3" t="s">
        <v>1031</v>
      </c>
      <c r="H98" s="3" t="s">
        <v>194</v>
      </c>
      <c r="I98" s="3" t="s">
        <v>748</v>
      </c>
      <c r="J98" s="3" t="s">
        <v>749</v>
      </c>
      <c r="K98" s="3" t="s">
        <v>366</v>
      </c>
      <c r="L98" s="3" t="s">
        <v>828</v>
      </c>
      <c r="M98" s="3" t="s">
        <v>311</v>
      </c>
      <c r="N98" s="3" t="s">
        <v>867</v>
      </c>
      <c r="O98" s="3" t="s">
        <v>753</v>
      </c>
      <c r="P98" s="3" t="s">
        <v>793</v>
      </c>
      <c r="Q98" s="3"/>
    </row>
    <row r="99" customFormat="false" ht="23.85" hidden="false" customHeight="false" outlineLevel="0" collapsed="false">
      <c r="A99" s="42" t="s">
        <v>1032</v>
      </c>
      <c r="B99" s="42" t="s">
        <v>1033</v>
      </c>
      <c r="C99" s="3" t="s">
        <v>933</v>
      </c>
      <c r="D99" s="3" t="s">
        <v>934</v>
      </c>
      <c r="E99" s="3" t="s">
        <v>1029</v>
      </c>
      <c r="F99" s="3" t="s">
        <v>1034</v>
      </c>
      <c r="G99" s="3" t="s">
        <v>1035</v>
      </c>
      <c r="H99" s="3" t="s">
        <v>194</v>
      </c>
      <c r="I99" s="3" t="s">
        <v>748</v>
      </c>
      <c r="J99" s="3" t="s">
        <v>763</v>
      </c>
      <c r="K99" s="3" t="s">
        <v>366</v>
      </c>
      <c r="L99" s="3" t="s">
        <v>828</v>
      </c>
      <c r="M99" s="3" t="s">
        <v>999</v>
      </c>
      <c r="N99" s="3" t="s">
        <v>867</v>
      </c>
      <c r="O99" s="3" t="s">
        <v>753</v>
      </c>
      <c r="P99" s="3" t="s">
        <v>793</v>
      </c>
      <c r="Q99" s="3"/>
    </row>
    <row r="100" customFormat="false" ht="23.85" hidden="false" customHeight="false" outlineLevel="0" collapsed="false">
      <c r="A100" s="42" t="s">
        <v>1036</v>
      </c>
      <c r="B100" s="42" t="s">
        <v>1037</v>
      </c>
      <c r="C100" s="3" t="s">
        <v>933</v>
      </c>
      <c r="D100" s="3" t="s">
        <v>934</v>
      </c>
      <c r="E100" s="3" t="s">
        <v>1029</v>
      </c>
      <c r="F100" s="3" t="s">
        <v>1038</v>
      </c>
      <c r="G100" s="3" t="s">
        <v>1039</v>
      </c>
      <c r="H100" s="3" t="s">
        <v>194</v>
      </c>
      <c r="I100" s="3" t="s">
        <v>748</v>
      </c>
      <c r="J100" s="3" t="s">
        <v>763</v>
      </c>
      <c r="K100" s="3" t="s">
        <v>366</v>
      </c>
      <c r="L100" s="3" t="s">
        <v>828</v>
      </c>
      <c r="M100" s="3" t="s">
        <v>1011</v>
      </c>
      <c r="N100" s="3" t="s">
        <v>825</v>
      </c>
      <c r="O100" s="3" t="s">
        <v>753</v>
      </c>
      <c r="P100" s="3" t="s">
        <v>782</v>
      </c>
      <c r="Q100" s="3"/>
    </row>
    <row r="101" customFormat="false" ht="35.05" hidden="false" customHeight="false" outlineLevel="0" collapsed="false">
      <c r="A101" s="42" t="s">
        <v>1040</v>
      </c>
      <c r="B101" s="42" t="s">
        <v>1041</v>
      </c>
      <c r="C101" s="3" t="s">
        <v>933</v>
      </c>
      <c r="D101" s="3" t="s">
        <v>934</v>
      </c>
      <c r="E101" s="3" t="s">
        <v>1029</v>
      </c>
      <c r="F101" s="3" t="s">
        <v>1042</v>
      </c>
      <c r="G101" s="3" t="s">
        <v>1043</v>
      </c>
      <c r="H101" s="3" t="s">
        <v>194</v>
      </c>
      <c r="I101" s="3" t="s">
        <v>748</v>
      </c>
      <c r="J101" s="3" t="s">
        <v>749</v>
      </c>
      <c r="K101" s="3" t="s">
        <v>366</v>
      </c>
      <c r="L101" s="3" t="s">
        <v>828</v>
      </c>
      <c r="M101" s="3" t="s">
        <v>215</v>
      </c>
      <c r="N101" s="3" t="s">
        <v>825</v>
      </c>
      <c r="O101" s="3" t="s">
        <v>753</v>
      </c>
      <c r="P101" s="3" t="s">
        <v>782</v>
      </c>
      <c r="Q101" s="3"/>
    </row>
    <row r="102" customFormat="false" ht="23.85" hidden="false" customHeight="false" outlineLevel="0" collapsed="false">
      <c r="A102" s="42" t="s">
        <v>1044</v>
      </c>
      <c r="B102" s="42" t="s">
        <v>1045</v>
      </c>
      <c r="C102" s="3" t="s">
        <v>933</v>
      </c>
      <c r="D102" s="3" t="s">
        <v>934</v>
      </c>
      <c r="E102" s="3" t="s">
        <v>1029</v>
      </c>
      <c r="F102" s="3" t="s">
        <v>1046</v>
      </c>
      <c r="G102" s="3" t="s">
        <v>1047</v>
      </c>
      <c r="H102" s="3" t="s">
        <v>1048</v>
      </c>
      <c r="I102" s="3" t="s">
        <v>748</v>
      </c>
      <c r="J102" s="3" t="s">
        <v>749</v>
      </c>
      <c r="K102" s="3" t="s">
        <v>366</v>
      </c>
      <c r="L102" s="3" t="s">
        <v>828</v>
      </c>
      <c r="M102" s="3" t="s">
        <v>1049</v>
      </c>
      <c r="N102" s="3" t="s">
        <v>1050</v>
      </c>
      <c r="O102" s="3" t="s">
        <v>765</v>
      </c>
      <c r="P102" s="3" t="s">
        <v>1051</v>
      </c>
      <c r="Q102" s="3"/>
    </row>
    <row r="103" customFormat="false" ht="23.85" hidden="false" customHeight="false" outlineLevel="0" collapsed="false">
      <c r="A103" s="42" t="s">
        <v>1052</v>
      </c>
      <c r="B103" s="42" t="s">
        <v>1053</v>
      </c>
      <c r="C103" s="3" t="s">
        <v>933</v>
      </c>
      <c r="D103" s="3" t="s">
        <v>934</v>
      </c>
      <c r="E103" s="3" t="s">
        <v>1054</v>
      </c>
      <c r="F103" s="3" t="s">
        <v>1055</v>
      </c>
      <c r="G103" s="3" t="s">
        <v>1056</v>
      </c>
      <c r="H103" s="3" t="s">
        <v>318</v>
      </c>
      <c r="I103" s="3" t="s">
        <v>748</v>
      </c>
      <c r="J103" s="3" t="s">
        <v>749</v>
      </c>
      <c r="K103" s="3" t="s">
        <v>366</v>
      </c>
      <c r="L103" s="3" t="s">
        <v>828</v>
      </c>
      <c r="M103" s="3" t="s">
        <v>192</v>
      </c>
      <c r="N103" s="3" t="s">
        <v>878</v>
      </c>
      <c r="O103" s="3" t="s">
        <v>753</v>
      </c>
      <c r="P103" s="3" t="s">
        <v>793</v>
      </c>
      <c r="Q103" s="3"/>
    </row>
    <row r="104" customFormat="false" ht="23.85" hidden="false" customHeight="false" outlineLevel="0" collapsed="false">
      <c r="A104" s="42" t="s">
        <v>1057</v>
      </c>
      <c r="B104" s="42" t="s">
        <v>1058</v>
      </c>
      <c r="C104" s="3" t="s">
        <v>933</v>
      </c>
      <c r="D104" s="3" t="s">
        <v>934</v>
      </c>
      <c r="E104" s="3" t="s">
        <v>1054</v>
      </c>
      <c r="F104" s="3" t="s">
        <v>1059</v>
      </c>
      <c r="G104" s="3" t="s">
        <v>1060</v>
      </c>
      <c r="H104" s="3" t="s">
        <v>194</v>
      </c>
      <c r="I104" s="3" t="s">
        <v>748</v>
      </c>
      <c r="J104" s="3" t="s">
        <v>749</v>
      </c>
      <c r="K104" s="3" t="s">
        <v>366</v>
      </c>
      <c r="L104" s="3" t="s">
        <v>828</v>
      </c>
      <c r="M104" s="3" t="s">
        <v>201</v>
      </c>
      <c r="N104" s="3" t="s">
        <v>825</v>
      </c>
      <c r="O104" s="3" t="s">
        <v>753</v>
      </c>
      <c r="P104" s="3" t="s">
        <v>793</v>
      </c>
      <c r="Q104" s="3"/>
    </row>
    <row r="105" customFormat="false" ht="23.85" hidden="false" customHeight="false" outlineLevel="0" collapsed="false">
      <c r="A105" s="42" t="s">
        <v>1061</v>
      </c>
      <c r="B105" s="42" t="s">
        <v>1062</v>
      </c>
      <c r="C105" s="3" t="s">
        <v>933</v>
      </c>
      <c r="D105" s="3" t="s">
        <v>934</v>
      </c>
      <c r="E105" s="3" t="s">
        <v>1054</v>
      </c>
      <c r="F105" s="3" t="s">
        <v>1063</v>
      </c>
      <c r="G105" s="3" t="s">
        <v>1064</v>
      </c>
      <c r="H105" s="3" t="s">
        <v>194</v>
      </c>
      <c r="I105" s="3" t="s">
        <v>748</v>
      </c>
      <c r="J105" s="3" t="s">
        <v>749</v>
      </c>
      <c r="K105" s="3" t="s">
        <v>366</v>
      </c>
      <c r="L105" s="3" t="s">
        <v>828</v>
      </c>
      <c r="M105" s="3" t="s">
        <v>237</v>
      </c>
      <c r="N105" s="3" t="s">
        <v>1065</v>
      </c>
      <c r="O105" s="3" t="s">
        <v>831</v>
      </c>
      <c r="P105" s="3" t="s">
        <v>782</v>
      </c>
      <c r="Q105" s="3"/>
    </row>
    <row r="106" customFormat="false" ht="23.85" hidden="false" customHeight="false" outlineLevel="0" collapsed="false">
      <c r="A106" s="42" t="s">
        <v>1066</v>
      </c>
      <c r="B106" s="42" t="s">
        <v>1067</v>
      </c>
      <c r="C106" s="3" t="s">
        <v>933</v>
      </c>
      <c r="D106" s="3" t="s">
        <v>934</v>
      </c>
      <c r="E106" s="3" t="s">
        <v>1054</v>
      </c>
      <c r="F106" s="3" t="s">
        <v>1068</v>
      </c>
      <c r="G106" s="3" t="s">
        <v>1069</v>
      </c>
      <c r="H106" s="3" t="s">
        <v>194</v>
      </c>
      <c r="I106" s="3" t="s">
        <v>938</v>
      </c>
      <c r="J106" s="3" t="s">
        <v>749</v>
      </c>
      <c r="K106" s="3" t="s">
        <v>366</v>
      </c>
      <c r="L106" s="3" t="s">
        <v>828</v>
      </c>
      <c r="M106" s="3" t="s">
        <v>255</v>
      </c>
      <c r="N106" s="3" t="s">
        <v>856</v>
      </c>
      <c r="O106" s="3" t="s">
        <v>753</v>
      </c>
      <c r="P106" s="3" t="s">
        <v>793</v>
      </c>
      <c r="Q106" s="3"/>
    </row>
    <row r="107" customFormat="false" ht="23.85" hidden="false" customHeight="false" outlineLevel="0" collapsed="false">
      <c r="A107" s="42" t="s">
        <v>1070</v>
      </c>
      <c r="B107" s="42" t="s">
        <v>1071</v>
      </c>
      <c r="C107" s="3" t="s">
        <v>933</v>
      </c>
      <c r="D107" s="3" t="s">
        <v>934</v>
      </c>
      <c r="E107" s="3" t="s">
        <v>1054</v>
      </c>
      <c r="F107" s="3" t="s">
        <v>1072</v>
      </c>
      <c r="G107" s="3" t="s">
        <v>1073</v>
      </c>
      <c r="H107" s="3" t="s">
        <v>194</v>
      </c>
      <c r="I107" s="3" t="s">
        <v>1074</v>
      </c>
      <c r="J107" s="3" t="s">
        <v>749</v>
      </c>
      <c r="K107" s="3" t="s">
        <v>366</v>
      </c>
      <c r="L107" s="3" t="s">
        <v>828</v>
      </c>
      <c r="M107" s="3" t="s">
        <v>247</v>
      </c>
      <c r="N107" s="3" t="s">
        <v>1075</v>
      </c>
      <c r="O107" s="3" t="s">
        <v>753</v>
      </c>
      <c r="P107" s="3" t="s">
        <v>993</v>
      </c>
      <c r="Q107" s="3"/>
    </row>
    <row r="108" customFormat="false" ht="35.05" hidden="false" customHeight="false" outlineLevel="0" collapsed="false">
      <c r="A108" s="42" t="s">
        <v>1076</v>
      </c>
      <c r="B108" s="42" t="s">
        <v>1077</v>
      </c>
      <c r="C108" s="3" t="s">
        <v>933</v>
      </c>
      <c r="D108" s="3" t="s">
        <v>934</v>
      </c>
      <c r="E108" s="3" t="s">
        <v>1054</v>
      </c>
      <c r="F108" s="3" t="s">
        <v>1078</v>
      </c>
      <c r="G108" s="3" t="s">
        <v>1079</v>
      </c>
      <c r="H108" s="3" t="s">
        <v>194</v>
      </c>
      <c r="I108" s="3" t="s">
        <v>983</v>
      </c>
      <c r="J108" s="3" t="s">
        <v>749</v>
      </c>
      <c r="K108" s="3" t="s">
        <v>366</v>
      </c>
      <c r="L108" s="3" t="s">
        <v>828</v>
      </c>
      <c r="M108" s="3" t="s">
        <v>1080</v>
      </c>
      <c r="N108" s="3" t="s">
        <v>1081</v>
      </c>
      <c r="O108" s="3" t="s">
        <v>765</v>
      </c>
      <c r="P108" s="3" t="s">
        <v>986</v>
      </c>
      <c r="Q108" s="3"/>
    </row>
    <row r="109" customFormat="false" ht="23.85" hidden="false" customHeight="false" outlineLevel="0" collapsed="false">
      <c r="A109" s="42" t="s">
        <v>1082</v>
      </c>
      <c r="B109" s="42" t="s">
        <v>1083</v>
      </c>
      <c r="C109" s="3" t="s">
        <v>933</v>
      </c>
      <c r="D109" s="3" t="s">
        <v>934</v>
      </c>
      <c r="E109" s="3" t="s">
        <v>1084</v>
      </c>
      <c r="F109" s="3" t="s">
        <v>1085</v>
      </c>
      <c r="G109" s="3" t="s">
        <v>1086</v>
      </c>
      <c r="H109" s="3" t="s">
        <v>270</v>
      </c>
      <c r="I109" s="3" t="s">
        <v>748</v>
      </c>
      <c r="J109" s="3" t="s">
        <v>763</v>
      </c>
      <c r="K109" s="3" t="s">
        <v>366</v>
      </c>
      <c r="L109" s="3" t="s">
        <v>828</v>
      </c>
      <c r="M109" s="3" t="s">
        <v>263</v>
      </c>
      <c r="N109" s="3" t="s">
        <v>911</v>
      </c>
      <c r="O109" s="3" t="s">
        <v>831</v>
      </c>
      <c r="P109" s="3" t="s">
        <v>808</v>
      </c>
      <c r="Q109" s="3"/>
    </row>
    <row r="110" customFormat="false" ht="23.85" hidden="false" customHeight="false" outlineLevel="0" collapsed="false">
      <c r="A110" s="42" t="s">
        <v>1087</v>
      </c>
      <c r="B110" s="42" t="s">
        <v>1088</v>
      </c>
      <c r="C110" s="3" t="s">
        <v>933</v>
      </c>
      <c r="D110" s="3" t="s">
        <v>934</v>
      </c>
      <c r="E110" s="3" t="s">
        <v>1084</v>
      </c>
      <c r="F110" s="3" t="s">
        <v>1089</v>
      </c>
      <c r="G110" s="3" t="s">
        <v>1090</v>
      </c>
      <c r="H110" s="3" t="s">
        <v>194</v>
      </c>
      <c r="I110" s="3" t="s">
        <v>748</v>
      </c>
      <c r="J110" s="3" t="s">
        <v>749</v>
      </c>
      <c r="K110" s="3" t="s">
        <v>366</v>
      </c>
      <c r="L110" s="3" t="s">
        <v>828</v>
      </c>
      <c r="M110" s="3" t="s">
        <v>1091</v>
      </c>
      <c r="N110" s="3" t="s">
        <v>1092</v>
      </c>
      <c r="O110" s="3" t="s">
        <v>831</v>
      </c>
      <c r="P110" s="3" t="s">
        <v>808</v>
      </c>
      <c r="Q110" s="3"/>
    </row>
    <row r="111" customFormat="false" ht="23.85" hidden="false" customHeight="false" outlineLevel="0" collapsed="false">
      <c r="A111" s="42" t="s">
        <v>1093</v>
      </c>
      <c r="B111" s="42" t="s">
        <v>1094</v>
      </c>
      <c r="C111" s="3" t="s">
        <v>933</v>
      </c>
      <c r="D111" s="3" t="s">
        <v>934</v>
      </c>
      <c r="E111" s="3" t="s">
        <v>1084</v>
      </c>
      <c r="F111" s="3" t="s">
        <v>1095</v>
      </c>
      <c r="G111" s="3" t="s">
        <v>1096</v>
      </c>
      <c r="H111" s="3" t="s">
        <v>194</v>
      </c>
      <c r="I111" s="3" t="s">
        <v>748</v>
      </c>
      <c r="J111" s="3" t="s">
        <v>749</v>
      </c>
      <c r="K111" s="3" t="s">
        <v>366</v>
      </c>
      <c r="L111" s="3" t="s">
        <v>828</v>
      </c>
      <c r="M111" s="3" t="s">
        <v>263</v>
      </c>
      <c r="N111" s="3" t="s">
        <v>911</v>
      </c>
      <c r="O111" s="3" t="s">
        <v>831</v>
      </c>
      <c r="P111" s="3" t="s">
        <v>808</v>
      </c>
      <c r="Q111" s="3"/>
    </row>
    <row r="112" customFormat="false" ht="23.85" hidden="false" customHeight="false" outlineLevel="0" collapsed="false">
      <c r="A112" s="42" t="s">
        <v>1097</v>
      </c>
      <c r="B112" s="42" t="s">
        <v>1098</v>
      </c>
      <c r="C112" s="3" t="s">
        <v>933</v>
      </c>
      <c r="D112" s="3" t="s">
        <v>934</v>
      </c>
      <c r="E112" s="3" t="s">
        <v>1099</v>
      </c>
      <c r="F112" s="3" t="s">
        <v>1100</v>
      </c>
      <c r="G112" s="3" t="s">
        <v>1101</v>
      </c>
      <c r="H112" s="3" t="s">
        <v>194</v>
      </c>
      <c r="I112" s="3" t="s">
        <v>748</v>
      </c>
      <c r="J112" s="3" t="s">
        <v>749</v>
      </c>
      <c r="K112" s="3" t="s">
        <v>366</v>
      </c>
      <c r="L112" s="3" t="s">
        <v>828</v>
      </c>
      <c r="M112" s="3" t="s">
        <v>280</v>
      </c>
      <c r="N112" s="3" t="s">
        <v>825</v>
      </c>
      <c r="O112" s="3" t="s">
        <v>831</v>
      </c>
      <c r="P112" s="3" t="s">
        <v>766</v>
      </c>
      <c r="Q112" s="3"/>
    </row>
    <row r="113" customFormat="false" ht="23.85" hidden="false" customHeight="false" outlineLevel="0" collapsed="false">
      <c r="A113" s="42" t="s">
        <v>1102</v>
      </c>
      <c r="B113" s="42" t="s">
        <v>1103</v>
      </c>
      <c r="C113" s="3" t="s">
        <v>933</v>
      </c>
      <c r="D113" s="3" t="s">
        <v>934</v>
      </c>
      <c r="E113" s="3" t="s">
        <v>1099</v>
      </c>
      <c r="F113" s="3" t="s">
        <v>1104</v>
      </c>
      <c r="G113" s="3" t="s">
        <v>1105</v>
      </c>
      <c r="H113" s="3" t="s">
        <v>1106</v>
      </c>
      <c r="I113" s="3" t="s">
        <v>748</v>
      </c>
      <c r="J113" s="3" t="s">
        <v>763</v>
      </c>
      <c r="K113" s="3" t="s">
        <v>366</v>
      </c>
      <c r="L113" s="3" t="s">
        <v>828</v>
      </c>
      <c r="M113" s="3" t="s">
        <v>1107</v>
      </c>
      <c r="N113" s="3" t="s">
        <v>825</v>
      </c>
      <c r="O113" s="3" t="s">
        <v>831</v>
      </c>
      <c r="P113" s="3" t="s">
        <v>766</v>
      </c>
      <c r="Q113" s="3"/>
    </row>
    <row r="114" customFormat="false" ht="23.85" hidden="false" customHeight="false" outlineLevel="0" collapsed="false">
      <c r="A114" s="42" t="s">
        <v>1108</v>
      </c>
      <c r="B114" s="42" t="s">
        <v>1109</v>
      </c>
      <c r="C114" s="3" t="s">
        <v>933</v>
      </c>
      <c r="D114" s="3" t="s">
        <v>934</v>
      </c>
      <c r="E114" s="3" t="s">
        <v>1084</v>
      </c>
      <c r="F114" s="3" t="s">
        <v>1110</v>
      </c>
      <c r="G114" s="3" t="s">
        <v>1111</v>
      </c>
      <c r="H114" s="3" t="s">
        <v>179</v>
      </c>
      <c r="I114" s="3" t="s">
        <v>1112</v>
      </c>
      <c r="J114" s="3" t="s">
        <v>749</v>
      </c>
      <c r="K114" s="3" t="s">
        <v>366</v>
      </c>
      <c r="L114" s="3" t="s">
        <v>828</v>
      </c>
      <c r="M114" s="3" t="s">
        <v>1113</v>
      </c>
      <c r="N114" s="3" t="s">
        <v>985</v>
      </c>
      <c r="O114" s="3" t="s">
        <v>765</v>
      </c>
      <c r="P114" s="3" t="s">
        <v>782</v>
      </c>
      <c r="Q114" s="3"/>
    </row>
    <row r="115" customFormat="false" ht="15" hidden="false" customHeight="false" outlineLevel="0" collapsed="false">
      <c r="A115" s="4" t="s">
        <v>1114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customFormat="false" ht="23.85" hidden="false" customHeight="false" outlineLevel="0" collapsed="false">
      <c r="A116" s="42" t="s">
        <v>1115</v>
      </c>
      <c r="B116" s="42" t="s">
        <v>1116</v>
      </c>
      <c r="C116" s="3" t="s">
        <v>1117</v>
      </c>
      <c r="D116" s="3" t="s">
        <v>1118</v>
      </c>
      <c r="E116" s="3" t="s">
        <v>1119</v>
      </c>
      <c r="F116" s="3" t="s">
        <v>1120</v>
      </c>
      <c r="G116" s="3" t="s">
        <v>1121</v>
      </c>
      <c r="H116" s="3" t="s">
        <v>194</v>
      </c>
      <c r="I116" s="3" t="s">
        <v>748</v>
      </c>
      <c r="J116" s="3" t="s">
        <v>749</v>
      </c>
      <c r="K116" s="3" t="s">
        <v>366</v>
      </c>
      <c r="L116" s="3" t="s">
        <v>828</v>
      </c>
      <c r="M116" s="3" t="s">
        <v>1122</v>
      </c>
      <c r="N116" s="3" t="s">
        <v>1123</v>
      </c>
      <c r="O116" s="3" t="s">
        <v>843</v>
      </c>
      <c r="P116" s="3" t="s">
        <v>1124</v>
      </c>
      <c r="Q116" s="3" t="s">
        <v>1125</v>
      </c>
    </row>
    <row r="117" customFormat="false" ht="23.85" hidden="false" customHeight="false" outlineLevel="0" collapsed="false">
      <c r="A117" s="42" t="s">
        <v>1126</v>
      </c>
      <c r="B117" s="42" t="s">
        <v>1127</v>
      </c>
      <c r="C117" s="3" t="s">
        <v>1117</v>
      </c>
      <c r="D117" s="3" t="s">
        <v>1118</v>
      </c>
      <c r="E117" s="3" t="s">
        <v>1119</v>
      </c>
      <c r="F117" s="3" t="s">
        <v>1128</v>
      </c>
      <c r="G117" s="3" t="s">
        <v>1129</v>
      </c>
      <c r="H117" s="3" t="s">
        <v>1130</v>
      </c>
      <c r="I117" s="3" t="s">
        <v>748</v>
      </c>
      <c r="J117" s="3" t="s">
        <v>763</v>
      </c>
      <c r="K117" s="3" t="s">
        <v>366</v>
      </c>
      <c r="L117" s="3" t="s">
        <v>828</v>
      </c>
      <c r="M117" s="3" t="s">
        <v>1131</v>
      </c>
      <c r="N117" s="3" t="s">
        <v>1132</v>
      </c>
      <c r="O117" s="3" t="s">
        <v>843</v>
      </c>
      <c r="P117" s="3" t="s">
        <v>1133</v>
      </c>
      <c r="Q117" s="3" t="s">
        <v>1125</v>
      </c>
    </row>
    <row r="118" customFormat="false" ht="23.85" hidden="false" customHeight="false" outlineLevel="0" collapsed="false">
      <c r="A118" s="42" t="s">
        <v>1134</v>
      </c>
      <c r="B118" s="42" t="s">
        <v>1135</v>
      </c>
      <c r="C118" s="3" t="s">
        <v>1117</v>
      </c>
      <c r="D118" s="3" t="s">
        <v>1118</v>
      </c>
      <c r="E118" s="3" t="s">
        <v>1119</v>
      </c>
      <c r="F118" s="3" t="s">
        <v>1136</v>
      </c>
      <c r="G118" s="3" t="s">
        <v>1137</v>
      </c>
      <c r="H118" s="3" t="s">
        <v>270</v>
      </c>
      <c r="I118" s="3" t="s">
        <v>748</v>
      </c>
      <c r="J118" s="3" t="s">
        <v>763</v>
      </c>
      <c r="K118" s="3" t="s">
        <v>366</v>
      </c>
      <c r="L118" s="3" t="s">
        <v>828</v>
      </c>
      <c r="M118" s="3" t="s">
        <v>1122</v>
      </c>
      <c r="N118" s="3" t="s">
        <v>1138</v>
      </c>
      <c r="O118" s="3" t="s">
        <v>831</v>
      </c>
      <c r="P118" s="3" t="s">
        <v>1124</v>
      </c>
      <c r="Q118" s="3" t="s">
        <v>1125</v>
      </c>
    </row>
    <row r="119" customFormat="false" ht="23.85" hidden="false" customHeight="false" outlineLevel="0" collapsed="false">
      <c r="A119" s="42" t="s">
        <v>1139</v>
      </c>
      <c r="B119" s="42" t="s">
        <v>1140</v>
      </c>
      <c r="C119" s="3" t="s">
        <v>1117</v>
      </c>
      <c r="D119" s="3" t="s">
        <v>1118</v>
      </c>
      <c r="E119" s="3" t="s">
        <v>1119</v>
      </c>
      <c r="F119" s="3" t="s">
        <v>1141</v>
      </c>
      <c r="G119" s="3" t="s">
        <v>1142</v>
      </c>
      <c r="H119" s="3" t="s">
        <v>194</v>
      </c>
      <c r="I119" s="3" t="s">
        <v>748</v>
      </c>
      <c r="J119" s="3" t="s">
        <v>763</v>
      </c>
      <c r="K119" s="3" t="s">
        <v>366</v>
      </c>
      <c r="L119" s="3" t="s">
        <v>828</v>
      </c>
      <c r="M119" s="3" t="s">
        <v>1143</v>
      </c>
      <c r="N119" s="3" t="s">
        <v>818</v>
      </c>
      <c r="O119" s="3" t="s">
        <v>843</v>
      </c>
      <c r="P119" s="3" t="s">
        <v>775</v>
      </c>
      <c r="Q119" s="3" t="s">
        <v>1125</v>
      </c>
    </row>
    <row r="120" customFormat="false" ht="23.85" hidden="false" customHeight="false" outlineLevel="0" collapsed="false">
      <c r="A120" s="42" t="s">
        <v>1144</v>
      </c>
      <c r="B120" s="42" t="s">
        <v>1145</v>
      </c>
      <c r="C120" s="3" t="s">
        <v>1117</v>
      </c>
      <c r="D120" s="3" t="s">
        <v>1118</v>
      </c>
      <c r="E120" s="3" t="s">
        <v>1119</v>
      </c>
      <c r="F120" s="3" t="s">
        <v>1146</v>
      </c>
      <c r="G120" s="3" t="s">
        <v>1147</v>
      </c>
      <c r="H120" s="3" t="s">
        <v>194</v>
      </c>
      <c r="I120" s="3" t="s">
        <v>748</v>
      </c>
      <c r="J120" s="3" t="s">
        <v>749</v>
      </c>
      <c r="K120" s="3" t="s">
        <v>366</v>
      </c>
      <c r="L120" s="3" t="s">
        <v>828</v>
      </c>
      <c r="M120" s="3" t="s">
        <v>1148</v>
      </c>
      <c r="N120" s="3" t="s">
        <v>1149</v>
      </c>
      <c r="O120" s="3" t="s">
        <v>843</v>
      </c>
      <c r="P120" s="3" t="s">
        <v>775</v>
      </c>
      <c r="Q120" s="3" t="s">
        <v>1125</v>
      </c>
    </row>
    <row r="121" customFormat="false" ht="23.85" hidden="false" customHeight="false" outlineLevel="0" collapsed="false">
      <c r="A121" s="42" t="s">
        <v>1150</v>
      </c>
      <c r="B121" s="42" t="s">
        <v>1151</v>
      </c>
      <c r="C121" s="3" t="s">
        <v>1117</v>
      </c>
      <c r="D121" s="3" t="s">
        <v>1118</v>
      </c>
      <c r="E121" s="3" t="s">
        <v>1119</v>
      </c>
      <c r="F121" s="3" t="s">
        <v>1152</v>
      </c>
      <c r="G121" s="3" t="s">
        <v>1153</v>
      </c>
      <c r="H121" s="3" t="s">
        <v>270</v>
      </c>
      <c r="I121" s="3" t="s">
        <v>748</v>
      </c>
      <c r="J121" s="3" t="s">
        <v>763</v>
      </c>
      <c r="K121" s="3" t="s">
        <v>366</v>
      </c>
      <c r="L121" s="3" t="s">
        <v>828</v>
      </c>
      <c r="M121" s="3" t="s">
        <v>1154</v>
      </c>
      <c r="N121" s="3" t="s">
        <v>1155</v>
      </c>
      <c r="O121" s="3" t="s">
        <v>753</v>
      </c>
      <c r="P121" s="3" t="s">
        <v>1051</v>
      </c>
      <c r="Q121" s="3" t="s">
        <v>1125</v>
      </c>
    </row>
    <row r="122" customFormat="false" ht="35.05" hidden="false" customHeight="false" outlineLevel="0" collapsed="false">
      <c r="A122" s="42" t="s">
        <v>1156</v>
      </c>
      <c r="B122" s="42" t="s">
        <v>1157</v>
      </c>
      <c r="C122" s="3" t="s">
        <v>1117</v>
      </c>
      <c r="D122" s="3" t="s">
        <v>1118</v>
      </c>
      <c r="E122" s="3" t="s">
        <v>1119</v>
      </c>
      <c r="F122" s="3" t="s">
        <v>1158</v>
      </c>
      <c r="G122" s="3" t="s">
        <v>1159</v>
      </c>
      <c r="H122" s="3" t="s">
        <v>194</v>
      </c>
      <c r="I122" s="3" t="s">
        <v>748</v>
      </c>
      <c r="J122" s="3" t="s">
        <v>763</v>
      </c>
      <c r="K122" s="3" t="s">
        <v>366</v>
      </c>
      <c r="L122" s="3" t="s">
        <v>828</v>
      </c>
      <c r="M122" s="3" t="s">
        <v>1160</v>
      </c>
      <c r="N122" s="3" t="s">
        <v>1161</v>
      </c>
      <c r="O122" s="3" t="s">
        <v>753</v>
      </c>
      <c r="P122" s="3" t="s">
        <v>1161</v>
      </c>
      <c r="Q122" s="3" t="s">
        <v>1125</v>
      </c>
    </row>
    <row r="123" customFormat="false" ht="23.85" hidden="false" customHeight="false" outlineLevel="0" collapsed="false">
      <c r="A123" s="42" t="s">
        <v>1162</v>
      </c>
      <c r="B123" s="42" t="s">
        <v>1163</v>
      </c>
      <c r="C123" s="3" t="s">
        <v>1117</v>
      </c>
      <c r="D123" s="3" t="s">
        <v>1118</v>
      </c>
      <c r="E123" s="3" t="s">
        <v>1119</v>
      </c>
      <c r="F123" s="3" t="s">
        <v>1164</v>
      </c>
      <c r="G123" s="3" t="s">
        <v>1165</v>
      </c>
      <c r="H123" s="3" t="s">
        <v>1166</v>
      </c>
      <c r="I123" s="3" t="s">
        <v>748</v>
      </c>
      <c r="J123" s="3" t="s">
        <v>763</v>
      </c>
      <c r="K123" s="3" t="s">
        <v>366</v>
      </c>
      <c r="L123" s="3" t="s">
        <v>828</v>
      </c>
      <c r="M123" s="3" t="s">
        <v>964</v>
      </c>
      <c r="N123" s="3" t="s">
        <v>1161</v>
      </c>
      <c r="O123" s="3" t="s">
        <v>753</v>
      </c>
      <c r="P123" s="3" t="s">
        <v>1161</v>
      </c>
      <c r="Q123" s="3" t="s">
        <v>1125</v>
      </c>
    </row>
    <row r="124" customFormat="false" ht="57.45" hidden="false" customHeight="false" outlineLevel="0" collapsed="false">
      <c r="A124" s="42" t="s">
        <v>1167</v>
      </c>
      <c r="B124" s="42" t="s">
        <v>1168</v>
      </c>
      <c r="C124" s="3" t="s">
        <v>1117</v>
      </c>
      <c r="D124" s="3" t="s">
        <v>1118</v>
      </c>
      <c r="E124" s="3" t="s">
        <v>1119</v>
      </c>
      <c r="F124" s="3" t="s">
        <v>1169</v>
      </c>
      <c r="G124" s="3" t="s">
        <v>1170</v>
      </c>
      <c r="H124" s="3" t="s">
        <v>194</v>
      </c>
      <c r="I124" s="3" t="s">
        <v>748</v>
      </c>
      <c r="J124" s="3" t="s">
        <v>763</v>
      </c>
      <c r="K124" s="3" t="s">
        <v>366</v>
      </c>
      <c r="L124" s="3" t="s">
        <v>828</v>
      </c>
      <c r="M124" s="3" t="s">
        <v>1171</v>
      </c>
      <c r="N124" s="3" t="s">
        <v>1172</v>
      </c>
      <c r="O124" s="3" t="s">
        <v>765</v>
      </c>
      <c r="P124" s="3" t="s">
        <v>754</v>
      </c>
      <c r="Q124" s="3" t="s">
        <v>1125</v>
      </c>
    </row>
    <row r="125" customFormat="false" ht="35.05" hidden="false" customHeight="false" outlineLevel="0" collapsed="false">
      <c r="A125" s="42" t="s">
        <v>1173</v>
      </c>
      <c r="B125" s="42" t="s">
        <v>1174</v>
      </c>
      <c r="C125" s="3" t="s">
        <v>1117</v>
      </c>
      <c r="D125" s="3" t="s">
        <v>1118</v>
      </c>
      <c r="E125" s="3" t="s">
        <v>1119</v>
      </c>
      <c r="F125" s="3" t="s">
        <v>1175</v>
      </c>
      <c r="G125" s="3" t="s">
        <v>1176</v>
      </c>
      <c r="H125" s="3" t="s">
        <v>1177</v>
      </c>
      <c r="I125" s="3" t="s">
        <v>748</v>
      </c>
      <c r="J125" s="3" t="s">
        <v>763</v>
      </c>
      <c r="K125" s="3" t="s">
        <v>366</v>
      </c>
      <c r="L125" s="3" t="s">
        <v>828</v>
      </c>
      <c r="M125" s="3" t="s">
        <v>1178</v>
      </c>
      <c r="N125" s="3" t="s">
        <v>834</v>
      </c>
      <c r="O125" s="3" t="s">
        <v>1179</v>
      </c>
      <c r="P125" s="3" t="s">
        <v>793</v>
      </c>
      <c r="Q125" s="3" t="s">
        <v>1125</v>
      </c>
    </row>
    <row r="126" customFormat="false" ht="15" hidden="false" customHeight="false" outlineLevel="0" collapsed="false">
      <c r="A126" s="4" t="s">
        <v>1180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customFormat="false" ht="23.85" hidden="false" customHeight="false" outlineLevel="0" collapsed="false">
      <c r="A127" s="42" t="s">
        <v>1181</v>
      </c>
      <c r="B127" s="42" t="s">
        <v>1182</v>
      </c>
      <c r="C127" s="3" t="s">
        <v>1183</v>
      </c>
      <c r="D127" s="3" t="s">
        <v>1184</v>
      </c>
      <c r="E127" s="3" t="s">
        <v>43</v>
      </c>
      <c r="F127" s="3" t="s">
        <v>1185</v>
      </c>
      <c r="G127" s="3" t="s">
        <v>1186</v>
      </c>
      <c r="H127" s="3" t="s">
        <v>194</v>
      </c>
      <c r="I127" s="3" t="s">
        <v>748</v>
      </c>
      <c r="J127" s="3" t="s">
        <v>1186</v>
      </c>
      <c r="K127" s="3" t="s">
        <v>393</v>
      </c>
      <c r="L127" s="3" t="s">
        <v>1186</v>
      </c>
      <c r="M127" s="3" t="s">
        <v>1187</v>
      </c>
      <c r="N127" s="3" t="s">
        <v>1188</v>
      </c>
      <c r="O127" s="3" t="s">
        <v>843</v>
      </c>
      <c r="P127" s="3" t="s">
        <v>790</v>
      </c>
      <c r="Q127" s="3"/>
    </row>
    <row r="128" customFormat="false" ht="15" hidden="false" customHeight="false" outlineLevel="0" collapsed="false">
      <c r="A128" s="42" t="s">
        <v>1189</v>
      </c>
      <c r="B128" s="42" t="s">
        <v>1190</v>
      </c>
      <c r="C128" s="3" t="s">
        <v>1183</v>
      </c>
      <c r="D128" s="3" t="s">
        <v>1184</v>
      </c>
      <c r="E128" s="3" t="s">
        <v>43</v>
      </c>
      <c r="F128" s="3" t="s">
        <v>1191</v>
      </c>
      <c r="G128" s="3" t="s">
        <v>1186</v>
      </c>
      <c r="H128" s="3" t="s">
        <v>1048</v>
      </c>
      <c r="I128" s="3" t="s">
        <v>748</v>
      </c>
      <c r="J128" s="3" t="s">
        <v>1186</v>
      </c>
      <c r="K128" s="3" t="s">
        <v>393</v>
      </c>
      <c r="L128" s="3" t="s">
        <v>1186</v>
      </c>
      <c r="M128" s="3" t="s">
        <v>1192</v>
      </c>
      <c r="N128" s="3" t="s">
        <v>1193</v>
      </c>
      <c r="O128" s="3" t="s">
        <v>843</v>
      </c>
      <c r="P128" s="3" t="s">
        <v>1194</v>
      </c>
      <c r="Q128" s="3"/>
    </row>
    <row r="129" customFormat="false" ht="23.85" hidden="false" customHeight="false" outlineLevel="0" collapsed="false">
      <c r="A129" s="42" t="s">
        <v>1195</v>
      </c>
      <c r="B129" s="42" t="s">
        <v>1196</v>
      </c>
      <c r="C129" s="3" t="s">
        <v>1183</v>
      </c>
      <c r="D129" s="3" t="s">
        <v>1184</v>
      </c>
      <c r="E129" s="3" t="s">
        <v>43</v>
      </c>
      <c r="F129" s="3" t="s">
        <v>1197</v>
      </c>
      <c r="G129" s="3" t="s">
        <v>1186</v>
      </c>
      <c r="H129" s="3" t="s">
        <v>194</v>
      </c>
      <c r="I129" s="3" t="s">
        <v>748</v>
      </c>
      <c r="J129" s="3" t="s">
        <v>1186</v>
      </c>
      <c r="K129" s="3" t="s">
        <v>393</v>
      </c>
      <c r="L129" s="3" t="s">
        <v>1186</v>
      </c>
      <c r="M129" s="3" t="s">
        <v>1198</v>
      </c>
      <c r="N129" s="3" t="s">
        <v>1193</v>
      </c>
      <c r="O129" s="3" t="s">
        <v>843</v>
      </c>
      <c r="P129" s="3" t="s">
        <v>1194</v>
      </c>
      <c r="Q129" s="3"/>
    </row>
    <row r="130" customFormat="false" ht="23.85" hidden="false" customHeight="false" outlineLevel="0" collapsed="false">
      <c r="A130" s="42" t="s">
        <v>1199</v>
      </c>
      <c r="B130" s="42" t="s">
        <v>1200</v>
      </c>
      <c r="C130" s="3" t="s">
        <v>1183</v>
      </c>
      <c r="D130" s="3" t="s">
        <v>1184</v>
      </c>
      <c r="E130" s="3" t="s">
        <v>43</v>
      </c>
      <c r="F130" s="3" t="s">
        <v>1201</v>
      </c>
      <c r="G130" s="3" t="s">
        <v>1186</v>
      </c>
      <c r="H130" s="3" t="s">
        <v>1202</v>
      </c>
      <c r="I130" s="3" t="s">
        <v>748</v>
      </c>
      <c r="J130" s="3" t="s">
        <v>1186</v>
      </c>
      <c r="K130" s="3" t="s">
        <v>393</v>
      </c>
      <c r="L130" s="3" t="s">
        <v>1186</v>
      </c>
      <c r="M130" s="3" t="s">
        <v>1203</v>
      </c>
      <c r="N130" s="3" t="s">
        <v>1204</v>
      </c>
      <c r="O130" s="3" t="s">
        <v>843</v>
      </c>
      <c r="P130" s="3" t="s">
        <v>790</v>
      </c>
      <c r="Q130" s="3"/>
    </row>
    <row r="131" customFormat="false" ht="15" hidden="false" customHeight="false" outlineLevel="0" collapsed="false">
      <c r="A131" s="42" t="s">
        <v>1205</v>
      </c>
      <c r="B131" s="42" t="s">
        <v>1206</v>
      </c>
      <c r="C131" s="3" t="s">
        <v>1183</v>
      </c>
      <c r="D131" s="3" t="s">
        <v>1184</v>
      </c>
      <c r="E131" s="3" t="s">
        <v>43</v>
      </c>
      <c r="F131" s="3" t="s">
        <v>1207</v>
      </c>
      <c r="G131" s="3" t="s">
        <v>1186</v>
      </c>
      <c r="H131" s="3" t="s">
        <v>1208</v>
      </c>
      <c r="I131" s="3" t="s">
        <v>748</v>
      </c>
      <c r="J131" s="3" t="s">
        <v>1186</v>
      </c>
      <c r="K131" s="3" t="s">
        <v>393</v>
      </c>
      <c r="L131" s="3" t="s">
        <v>1186</v>
      </c>
      <c r="M131" s="3" t="s">
        <v>1209</v>
      </c>
      <c r="N131" s="3" t="s">
        <v>1210</v>
      </c>
      <c r="O131" s="3" t="s">
        <v>753</v>
      </c>
      <c r="P131" s="3" t="s">
        <v>1211</v>
      </c>
      <c r="Q131" s="3"/>
    </row>
    <row r="132" customFormat="false" ht="35.05" hidden="false" customHeight="false" outlineLevel="0" collapsed="false">
      <c r="A132" s="42" t="s">
        <v>1212</v>
      </c>
      <c r="B132" s="42" t="s">
        <v>1213</v>
      </c>
      <c r="C132" s="3" t="s">
        <v>1183</v>
      </c>
      <c r="D132" s="3" t="s">
        <v>1184</v>
      </c>
      <c r="E132" s="3" t="s">
        <v>43</v>
      </c>
      <c r="F132" s="3" t="s">
        <v>1214</v>
      </c>
      <c r="G132" s="3" t="s">
        <v>1186</v>
      </c>
      <c r="H132" s="3" t="s">
        <v>1186</v>
      </c>
      <c r="I132" s="3" t="s">
        <v>748</v>
      </c>
      <c r="J132" s="3" t="s">
        <v>1186</v>
      </c>
      <c r="K132" s="3" t="s">
        <v>393</v>
      </c>
      <c r="L132" s="3" t="s">
        <v>1186</v>
      </c>
      <c r="M132" s="3" t="s">
        <v>1215</v>
      </c>
      <c r="N132" s="3" t="s">
        <v>1216</v>
      </c>
      <c r="O132" s="3" t="s">
        <v>1217</v>
      </c>
      <c r="P132" s="3" t="s">
        <v>1161</v>
      </c>
      <c r="Q132" s="3"/>
    </row>
    <row r="133" customFormat="false" ht="23.85" hidden="false" customHeight="false" outlineLevel="0" collapsed="false">
      <c r="A133" s="42" t="s">
        <v>1218</v>
      </c>
      <c r="B133" s="42" t="s">
        <v>1219</v>
      </c>
      <c r="C133" s="3" t="s">
        <v>1183</v>
      </c>
      <c r="D133" s="3" t="s">
        <v>1184</v>
      </c>
      <c r="E133" s="3" t="s">
        <v>43</v>
      </c>
      <c r="F133" s="3" t="s">
        <v>1220</v>
      </c>
      <c r="G133" s="3" t="s">
        <v>1186</v>
      </c>
      <c r="H133" s="3" t="s">
        <v>1186</v>
      </c>
      <c r="I133" s="3" t="s">
        <v>748</v>
      </c>
      <c r="J133" s="3" t="s">
        <v>1186</v>
      </c>
      <c r="K133" s="3" t="s">
        <v>393</v>
      </c>
      <c r="L133" s="3" t="s">
        <v>1186</v>
      </c>
      <c r="M133" s="3" t="s">
        <v>1221</v>
      </c>
      <c r="N133" s="3" t="s">
        <v>1222</v>
      </c>
      <c r="O133" s="3" t="s">
        <v>753</v>
      </c>
      <c r="P133" s="3" t="s">
        <v>793</v>
      </c>
      <c r="Q133" s="3"/>
    </row>
    <row r="134" customFormat="false" ht="35.05" hidden="false" customHeight="false" outlineLevel="0" collapsed="false">
      <c r="A134" s="42" t="s">
        <v>1223</v>
      </c>
      <c r="B134" s="42" t="s">
        <v>1224</v>
      </c>
      <c r="C134" s="3" t="s">
        <v>1183</v>
      </c>
      <c r="D134" s="3" t="s">
        <v>1184</v>
      </c>
      <c r="E134" s="3" t="s">
        <v>43</v>
      </c>
      <c r="F134" s="3" t="s">
        <v>1225</v>
      </c>
      <c r="G134" s="3" t="s">
        <v>1186</v>
      </c>
      <c r="H134" s="3" t="s">
        <v>194</v>
      </c>
      <c r="I134" s="3" t="s">
        <v>748</v>
      </c>
      <c r="J134" s="3" t="s">
        <v>1186</v>
      </c>
      <c r="K134" s="3" t="s">
        <v>393</v>
      </c>
      <c r="L134" s="3" t="s">
        <v>1186</v>
      </c>
      <c r="M134" s="3" t="s">
        <v>1226</v>
      </c>
      <c r="N134" s="3" t="s">
        <v>1227</v>
      </c>
      <c r="O134" s="3" t="s">
        <v>753</v>
      </c>
      <c r="P134" s="3" t="s">
        <v>1194</v>
      </c>
      <c r="Q134" s="3"/>
    </row>
    <row r="135" customFormat="false" ht="15" hidden="false" customHeight="false" outlineLevel="0" collapsed="false">
      <c r="A135" s="4" t="s">
        <v>315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customFormat="false" ht="23.85" hidden="false" customHeight="false" outlineLevel="0" collapsed="false">
      <c r="A136" s="42" t="s">
        <v>146</v>
      </c>
      <c r="B136" s="42" t="s">
        <v>147</v>
      </c>
      <c r="C136" s="3" t="s">
        <v>1228</v>
      </c>
      <c r="D136" s="3" t="s">
        <v>1229</v>
      </c>
      <c r="E136" s="3" t="s">
        <v>1230</v>
      </c>
      <c r="F136" s="3" t="s">
        <v>1231</v>
      </c>
      <c r="G136" s="3" t="s">
        <v>316</v>
      </c>
      <c r="H136" s="3" t="s">
        <v>179</v>
      </c>
      <c r="I136" s="3" t="s">
        <v>748</v>
      </c>
      <c r="J136" s="3" t="s">
        <v>749</v>
      </c>
      <c r="K136" s="3" t="s">
        <v>376</v>
      </c>
      <c r="L136" s="3" t="s">
        <v>750</v>
      </c>
      <c r="M136" s="3" t="s">
        <v>751</v>
      </c>
      <c r="N136" s="3" t="s">
        <v>1232</v>
      </c>
      <c r="O136" s="3" t="s">
        <v>753</v>
      </c>
      <c r="P136" s="3" t="s">
        <v>754</v>
      </c>
      <c r="Q136" s="3" t="s">
        <v>1233</v>
      </c>
    </row>
    <row r="137" customFormat="false" ht="35.05" hidden="false" customHeight="false" outlineLevel="0" collapsed="false">
      <c r="A137" s="42" t="s">
        <v>148</v>
      </c>
      <c r="B137" s="42" t="s">
        <v>149</v>
      </c>
      <c r="C137" s="3" t="s">
        <v>1228</v>
      </c>
      <c r="D137" s="3" t="s">
        <v>1229</v>
      </c>
      <c r="E137" s="3" t="s">
        <v>1230</v>
      </c>
      <c r="F137" s="3" t="s">
        <v>1234</v>
      </c>
      <c r="G137" s="3" t="s">
        <v>317</v>
      </c>
      <c r="H137" s="3" t="s">
        <v>318</v>
      </c>
      <c r="I137" s="3" t="s">
        <v>748</v>
      </c>
      <c r="J137" s="3" t="s">
        <v>749</v>
      </c>
      <c r="K137" s="3" t="s">
        <v>376</v>
      </c>
      <c r="L137" s="3" t="s">
        <v>750</v>
      </c>
      <c r="M137" s="3" t="s">
        <v>751</v>
      </c>
      <c r="N137" s="3" t="s">
        <v>1232</v>
      </c>
      <c r="O137" s="3" t="s">
        <v>765</v>
      </c>
      <c r="P137" s="3" t="s">
        <v>754</v>
      </c>
      <c r="Q137" s="3" t="s">
        <v>1235</v>
      </c>
    </row>
    <row r="138" customFormat="false" ht="23.85" hidden="false" customHeight="false" outlineLevel="0" collapsed="false">
      <c r="A138" s="42" t="s">
        <v>150</v>
      </c>
      <c r="B138" s="42" t="s">
        <v>151</v>
      </c>
      <c r="C138" s="3" t="s">
        <v>1228</v>
      </c>
      <c r="D138" s="3" t="s">
        <v>1229</v>
      </c>
      <c r="E138" s="3" t="s">
        <v>1230</v>
      </c>
      <c r="F138" s="3" t="s">
        <v>1236</v>
      </c>
      <c r="G138" s="3" t="s">
        <v>319</v>
      </c>
      <c r="H138" s="3" t="s">
        <v>194</v>
      </c>
      <c r="I138" s="3" t="s">
        <v>748</v>
      </c>
      <c r="J138" s="3" t="s">
        <v>749</v>
      </c>
      <c r="K138" s="3" t="s">
        <v>376</v>
      </c>
      <c r="L138" s="3" t="s">
        <v>750</v>
      </c>
      <c r="M138" s="3" t="s">
        <v>751</v>
      </c>
      <c r="N138" s="3" t="s">
        <v>1232</v>
      </c>
      <c r="O138" s="3" t="s">
        <v>765</v>
      </c>
      <c r="P138" s="3" t="s">
        <v>754</v>
      </c>
      <c r="Q138" s="3"/>
    </row>
    <row r="139" customFormat="false" ht="23.85" hidden="false" customHeight="false" outlineLevel="0" collapsed="false">
      <c r="A139" s="42" t="s">
        <v>152</v>
      </c>
      <c r="B139" s="42" t="s">
        <v>153</v>
      </c>
      <c r="C139" s="3" t="s">
        <v>1228</v>
      </c>
      <c r="D139" s="3" t="s">
        <v>1229</v>
      </c>
      <c r="E139" s="3" t="s">
        <v>1230</v>
      </c>
      <c r="F139" s="3" t="s">
        <v>1237</v>
      </c>
      <c r="G139" s="3" t="s">
        <v>320</v>
      </c>
      <c r="H139" s="3" t="s">
        <v>179</v>
      </c>
      <c r="I139" s="3" t="s">
        <v>748</v>
      </c>
      <c r="J139" s="3" t="s">
        <v>749</v>
      </c>
      <c r="K139" s="3" t="s">
        <v>376</v>
      </c>
      <c r="L139" s="3" t="s">
        <v>750</v>
      </c>
      <c r="M139" s="3" t="s">
        <v>751</v>
      </c>
      <c r="N139" s="3" t="s">
        <v>1232</v>
      </c>
      <c r="O139" s="3" t="s">
        <v>765</v>
      </c>
      <c r="P139" s="3" t="s">
        <v>754</v>
      </c>
      <c r="Q139" s="3"/>
    </row>
    <row r="140" customFormat="false" ht="23.85" hidden="false" customHeight="false" outlineLevel="0" collapsed="false">
      <c r="A140" s="42" t="s">
        <v>321</v>
      </c>
      <c r="B140" s="42" t="s">
        <v>322</v>
      </c>
      <c r="C140" s="3" t="s">
        <v>1228</v>
      </c>
      <c r="D140" s="3" t="s">
        <v>1229</v>
      </c>
      <c r="E140" s="3" t="s">
        <v>1238</v>
      </c>
      <c r="F140" s="3" t="s">
        <v>1239</v>
      </c>
      <c r="G140" s="3" t="s">
        <v>323</v>
      </c>
      <c r="H140" s="3" t="s">
        <v>179</v>
      </c>
      <c r="I140" s="3" t="s">
        <v>748</v>
      </c>
      <c r="J140" s="3" t="s">
        <v>749</v>
      </c>
      <c r="K140" s="3" t="s">
        <v>376</v>
      </c>
      <c r="L140" s="3" t="s">
        <v>750</v>
      </c>
      <c r="M140" s="3" t="s">
        <v>751</v>
      </c>
      <c r="N140" s="3" t="s">
        <v>1232</v>
      </c>
      <c r="O140" s="3" t="s">
        <v>765</v>
      </c>
      <c r="P140" s="3" t="s">
        <v>754</v>
      </c>
      <c r="Q140" s="3"/>
    </row>
    <row r="141" customFormat="false" ht="35.05" hidden="false" customHeight="false" outlineLevel="0" collapsed="false">
      <c r="A141" s="42" t="s">
        <v>154</v>
      </c>
      <c r="B141" s="42" t="s">
        <v>155</v>
      </c>
      <c r="C141" s="3" t="s">
        <v>1228</v>
      </c>
      <c r="D141" s="3" t="s">
        <v>1229</v>
      </c>
      <c r="E141" s="3" t="s">
        <v>1238</v>
      </c>
      <c r="F141" s="3" t="s">
        <v>1240</v>
      </c>
      <c r="G141" s="3" t="s">
        <v>324</v>
      </c>
      <c r="H141" s="3" t="s">
        <v>179</v>
      </c>
      <c r="I141" s="3" t="s">
        <v>748</v>
      </c>
      <c r="J141" s="3" t="s">
        <v>749</v>
      </c>
      <c r="K141" s="3" t="s">
        <v>376</v>
      </c>
      <c r="L141" s="3" t="s">
        <v>750</v>
      </c>
      <c r="M141" s="3" t="s">
        <v>751</v>
      </c>
      <c r="N141" s="3" t="s">
        <v>1232</v>
      </c>
      <c r="O141" s="3" t="s">
        <v>765</v>
      </c>
      <c r="P141" s="3" t="s">
        <v>754</v>
      </c>
      <c r="Q141" s="3" t="s">
        <v>1241</v>
      </c>
    </row>
    <row r="142" customFormat="false" ht="23.85" hidden="false" customHeight="false" outlineLevel="0" collapsed="false">
      <c r="A142" s="42" t="s">
        <v>156</v>
      </c>
      <c r="B142" s="42" t="s">
        <v>157</v>
      </c>
      <c r="C142" s="3" t="s">
        <v>1228</v>
      </c>
      <c r="D142" s="3" t="s">
        <v>1229</v>
      </c>
      <c r="E142" s="3" t="s">
        <v>1238</v>
      </c>
      <c r="F142" s="3" t="s">
        <v>1242</v>
      </c>
      <c r="G142" s="3" t="s">
        <v>325</v>
      </c>
      <c r="H142" s="3" t="s">
        <v>326</v>
      </c>
      <c r="I142" s="3" t="s">
        <v>748</v>
      </c>
      <c r="J142" s="3" t="s">
        <v>749</v>
      </c>
      <c r="K142" s="3" t="s">
        <v>376</v>
      </c>
      <c r="L142" s="3" t="s">
        <v>750</v>
      </c>
      <c r="M142" s="3" t="s">
        <v>751</v>
      </c>
      <c r="N142" s="3" t="s">
        <v>1232</v>
      </c>
      <c r="O142" s="3" t="s">
        <v>765</v>
      </c>
      <c r="P142" s="3" t="s">
        <v>770</v>
      </c>
      <c r="Q142" s="3" t="s">
        <v>1243</v>
      </c>
    </row>
    <row r="143" customFormat="false" ht="23.85" hidden="false" customHeight="false" outlineLevel="0" collapsed="false">
      <c r="A143" s="42" t="s">
        <v>158</v>
      </c>
      <c r="B143" s="42" t="s">
        <v>159</v>
      </c>
      <c r="C143" s="3" t="s">
        <v>1228</v>
      </c>
      <c r="D143" s="3" t="s">
        <v>1229</v>
      </c>
      <c r="E143" s="3" t="s">
        <v>1238</v>
      </c>
      <c r="F143" s="3" t="s">
        <v>1244</v>
      </c>
      <c r="G143" s="3" t="s">
        <v>327</v>
      </c>
      <c r="H143" s="3" t="s">
        <v>328</v>
      </c>
      <c r="I143" s="3" t="s">
        <v>748</v>
      </c>
      <c r="J143" s="3" t="s">
        <v>763</v>
      </c>
      <c r="K143" s="3" t="s">
        <v>376</v>
      </c>
      <c r="L143" s="3" t="s">
        <v>750</v>
      </c>
      <c r="M143" s="3" t="s">
        <v>751</v>
      </c>
      <c r="N143" s="3" t="s">
        <v>1232</v>
      </c>
      <c r="O143" s="3" t="s">
        <v>765</v>
      </c>
      <c r="P143" s="3" t="s">
        <v>770</v>
      </c>
      <c r="Q143" s="3"/>
    </row>
    <row r="144" customFormat="false" ht="23.85" hidden="false" customHeight="false" outlineLevel="0" collapsed="false">
      <c r="A144" s="42" t="s">
        <v>160</v>
      </c>
      <c r="B144" s="42" t="s">
        <v>161</v>
      </c>
      <c r="C144" s="3" t="s">
        <v>1228</v>
      </c>
      <c r="D144" s="3" t="s">
        <v>1229</v>
      </c>
      <c r="E144" s="3" t="s">
        <v>1245</v>
      </c>
      <c r="F144" s="3" t="s">
        <v>1246</v>
      </c>
      <c r="G144" s="3" t="s">
        <v>329</v>
      </c>
      <c r="H144" s="3" t="s">
        <v>194</v>
      </c>
      <c r="I144" s="3" t="s">
        <v>748</v>
      </c>
      <c r="J144" s="3" t="s">
        <v>749</v>
      </c>
      <c r="K144" s="3" t="s">
        <v>376</v>
      </c>
      <c r="L144" s="3" t="s">
        <v>750</v>
      </c>
      <c r="M144" s="3" t="s">
        <v>751</v>
      </c>
      <c r="N144" s="3" t="s">
        <v>1232</v>
      </c>
      <c r="O144" s="3" t="s">
        <v>765</v>
      </c>
      <c r="P144" s="3" t="s">
        <v>754</v>
      </c>
      <c r="Q144" s="3" t="s">
        <v>1247</v>
      </c>
    </row>
  </sheetData>
  <autoFilter ref="A4:Q14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2026-10-07T16:46:52Z</dcterms:created>
  <dc:creator>openpyxl</dc:creator>
  <dc:description/>
  <dc:language>en-US</dc:language>
  <cp:lastModifiedBy/>
  <dcterms:modified xsi:type="dcterms:W3CDTF">2026-10-07T16:46:53Z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