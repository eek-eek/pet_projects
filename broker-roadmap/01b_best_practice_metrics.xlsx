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етрики" sheetId="1" state="visible" r:id="rId3"/>
    <sheet name="Вопросы" sheetId="2" state="visible" r:id="rId4"/>
  </sheets>
  <definedNames>
    <definedName function="false" hidden="false" localSheetId="0" name="_xlnm.Print_Titles" vbProcedure="false">Метрики!$6:$6</definedName>
    <definedName function="false" hidden="true" localSheetId="0" name="_xlnm._FilterDatabase" vbProcedure="false">Метрики!$A$6:$J$60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<sst xmlns="http://schemas.openxmlformats.org/spreadsheetml/2006/main" count="431" uniqueCount="369">
  <si>
    <t xml:space="preserve">Метрики брокерского бизнеса: выбор из лучших практик</t>
  </si>
  <si>
    <t xml:space="preserve">Как заполнить: в жёлтой колонке «Выбор» отметьте «Да», «Нет» или «Обсудить», комментарий — по желанию. Например: 2.2 «Чистый приток» → «Да», комментарий «нужен в разрезе сегментов». Верните файл или пришлите номера метрик. Ещё три вопроса — на листе «Вопросы».</t>
  </si>
  <si>
    <t xml:space="preserve">«Рекомендую в базовый набор» — номер в рекомендуемом наборе из 10 ключевых метрик: одинаковый номер — одна метрика набора, «или» — достаточно одной из двух. «Есть в модели»: да — считается; выводится — простой формулой из показателей модели; паспорт — описана как опережающий индикатор, в расчёте не участвует; ограничитель — описана как ограничитель; частично — в другом разрезе; нет — добавим, если выберете.</t>
  </si>
  <si>
    <t xml:space="preserve">№</t>
  </si>
  <si>
    <t xml:space="preserve">Группа</t>
  </si>
  <si>
    <t xml:space="preserve">Метрика</t>
  </si>
  <si>
    <t xml:space="preserve">Как считается</t>
  </si>
  <si>
    <t xml:space="preserve">Зачем</t>
  </si>
  <si>
    <t xml:space="preserve">Кто раскрывает / рамка</t>
  </si>
  <si>
    <t xml:space="preserve">Рекомендую в базовый набор</t>
  </si>
  <si>
    <t xml:space="preserve">Есть в модели этапа 1</t>
  </si>
  <si>
    <t xml:space="preserve">Выбор</t>
  </si>
  <si>
    <t xml:space="preserve">Комментарий</t>
  </si>
  <si>
    <t xml:space="preserve">1.1</t>
  </si>
  <si>
    <t xml:space="preserve">1. Клиенты</t>
  </si>
  <si>
    <t xml:space="preserve">Фондированные клиенты (funded customers / accounts)</t>
  </si>
  <si>
    <t xml:space="preserve">Клиенты или счета с активами выше порога</t>
  </si>
  <si>
    <t xml:space="preserve">Главная мера масштаба: клиенты, которые принесли деньги, а не просто зарегистрировались</t>
  </si>
  <si>
    <t xml:space="preserve">Robinhood, eToro, Webull, Futu, flatexDEGIRO, Avanza, Nordnet, Freedom</t>
  </si>
  <si>
    <t xml:space="preserve">1</t>
  </si>
  <si>
    <t xml:space="preserve">да: N_AVG</t>
  </si>
  <si>
    <t xml:space="preserve">1.2</t>
  </si>
  <si>
    <t xml:space="preserve">Прирост фондированных клиентов (net adds)</t>
  </si>
  <si>
    <t xml:space="preserve">Новые минус ушедшие за период, % год к году</t>
  </si>
  <si>
    <t xml:space="preserve">Скорость роста базы</t>
  </si>
  <si>
    <t xml:space="preserve">Robinhood, eToro, flatexDEGIRO, IBKR (рост числа счетов)</t>
  </si>
  <si>
    <t xml:space="preserve">выводится: NEW − CHURNED</t>
  </si>
  <si>
    <t xml:space="preserve">1.3</t>
  </si>
  <si>
    <t xml:space="preserve">Новые счета (new brokerage accounts)</t>
  </si>
  <si>
    <t xml:space="preserve">Открытые за период счета, брутто</t>
  </si>
  <si>
    <t xml:space="preserve">Сила привлечения до оттока</t>
  </si>
  <si>
    <t xml:space="preserve">Schwab, flatexDEGIRO</t>
  </si>
  <si>
    <t xml:space="preserve">выводится: LEADS × CR_OPEN</t>
  </si>
  <si>
    <t xml:space="preserve">1.4</t>
  </si>
  <si>
    <t xml:space="preserve">Активные клиенты (active accounts, MAU)</t>
  </si>
  <si>
    <t xml:space="preserve">Клиенты с операцией или входом за период</t>
  </si>
  <si>
    <t xml:space="preserve">Отделяет «живую» базу от спящей</t>
  </si>
  <si>
    <t xml:space="preserve">Schwab, Robinhood (MAU — до 2024 г.), Мосбиржа, Банк России</t>
  </si>
  <si>
    <t xml:space="preserve">4 — или 3.1</t>
  </si>
  <si>
    <t xml:space="preserve">да: ACTIVE, ACT</t>
  </si>
  <si>
    <t xml:space="preserve">1.5</t>
  </si>
  <si>
    <t xml:space="preserve">Конверсия в фондированный счёт</t>
  </si>
  <si>
    <t xml:space="preserve">Фондированные ÷ зарегистрированные; по шагам: пользователь → счёт → фондированный</t>
  </si>
  <si>
    <t xml:space="preserve">Эффективность онбординга</t>
  </si>
  <si>
    <t xml:space="preserve">Futu (три слоя воронки), eToro, Webull</t>
  </si>
  <si>
    <t xml:space="preserve">да: CR_OPEN, CR_FUND</t>
  </si>
  <si>
    <t xml:space="preserve">2.1</t>
  </si>
  <si>
    <t xml:space="preserve">2. Активы</t>
  </si>
  <si>
    <t xml:space="preserve">Активы клиентов (client assets, AUC, total platform assets, savings capital, client equity)</t>
  </si>
  <si>
    <t xml:space="preserve">Бумаги по рыночной цене + деньги на счетах</t>
  </si>
  <si>
    <t xml:space="preserve">База для процентного дохода и комиссий за хранение и управление</t>
  </si>
  <si>
    <t xml:space="preserve">Все: Robinhood, Schwab, IBKR, Avanza, Nordnet, Swissquote, eToro</t>
  </si>
  <si>
    <t xml:space="preserve">2</t>
  </si>
  <si>
    <t xml:space="preserve">да: AUC</t>
  </si>
  <si>
    <t xml:space="preserve">2.2</t>
  </si>
  <si>
    <t xml:space="preserve">Чистый приток активов (net new assets, net deposits, net inflow, net new money)</t>
  </si>
  <si>
    <t xml:space="preserve">Вводы и входящие переводы бумаг минус выводы и исходящие переводы</t>
  </si>
  <si>
    <t xml:space="preserve">Главная метрика органического роста: доверие клиентов без эффекта рынка</t>
  </si>
  <si>
    <t xml:space="preserve">Schwab (core NNA), Robinhood, Avanza, Nordnet, Swissquote, Julius Baer, UBS</t>
  </si>
  <si>
    <t xml:space="preserve">3</t>
  </si>
  <si>
    <t xml:space="preserve">паспорт: L4_NNA</t>
  </si>
  <si>
    <t xml:space="preserve">2.3</t>
  </si>
  <si>
    <t xml:space="preserve">Темп чистого притока (NNA growth rate)</t>
  </si>
  <si>
    <t xml:space="preserve">Чистый приток в годовом выражении ÷ активы на начало периода</t>
  </si>
  <si>
    <t xml:space="preserve">Сопоставимый между компаниями темп роста</t>
  </si>
  <si>
    <t xml:space="preserve">Robinhood, Schwab, Julius Baer, UBS</t>
  </si>
  <si>
    <t xml:space="preserve">2.4</t>
  </si>
  <si>
    <t xml:space="preserve">Прирост активов: приток и рынок</t>
  </si>
  <si>
    <t xml:space="preserve">Δ активов = чистый приток + переоценка + прочее</t>
  </si>
  <si>
    <t xml:space="preserve">Отделяет заслугу бизнеса от рынка</t>
  </si>
  <si>
    <t xml:space="preserve">Robinhood, Avanza, Nordnet</t>
  </si>
  <si>
    <t xml:space="preserve">нет</t>
  </si>
  <si>
    <t xml:space="preserve">2.5</t>
  </si>
  <si>
    <t xml:space="preserve">Активы на клиента</t>
  </si>
  <si>
    <t xml:space="preserve">Активы ÷ фондированные клиенты</t>
  </si>
  <si>
    <t xml:space="preserve">Глубина отношений с клиентом</t>
  </si>
  <si>
    <t xml:space="preserve">IBKR, Avanza, Nordnet</t>
  </si>
  <si>
    <t xml:space="preserve">да: AUC_PC</t>
  </si>
  <si>
    <t xml:space="preserve">2.6</t>
  </si>
  <si>
    <t xml:space="preserve">Свободные денежные остатки (client cash, credit balances)</t>
  </si>
  <si>
    <t xml:space="preserve">Деньги клиентов, не вложенные в бумаги; часто в % от активов</t>
  </si>
  <si>
    <t xml:space="preserve">Источник процентного дохода</t>
  </si>
  <si>
    <t xml:space="preserve">IBKR, Schwab, Robinhood</t>
  </si>
  <si>
    <t xml:space="preserve">да: CASHBAL, CASH</t>
  </si>
  <si>
    <t xml:space="preserve">2.7</t>
  </si>
  <si>
    <t xml:space="preserve">Маржинальный портфель (margin balances)</t>
  </si>
  <si>
    <t xml:space="preserve">Задолженность клиентов по маржинальным займам</t>
  </si>
  <si>
    <t xml:space="preserve">Процентный доход и кредитный риск</t>
  </si>
  <si>
    <t xml:space="preserve">да: MPORT</t>
  </si>
  <si>
    <t xml:space="preserve">3.1</t>
  </si>
  <si>
    <t xml:space="preserve">3. Активность</t>
  </si>
  <si>
    <t xml:space="preserve">Сделок в день (DARTs — daily average revenue trades)</t>
  </si>
  <si>
    <t xml:space="preserve">Сделки, приносящие доход, в среднем за торговый день</t>
  </si>
  <si>
    <t xml:space="preserve">Основной драйвер комиссионного дохода</t>
  </si>
  <si>
    <t xml:space="preserve">IBKR, Schwab</t>
  </si>
  <si>
    <t xml:space="preserve">4 — или 1.4</t>
  </si>
  <si>
    <t xml:space="preserve">выводится: ACTIVE × TPA × 12 ÷ число торговых дней</t>
  </si>
  <si>
    <t xml:space="preserve">3.2</t>
  </si>
  <si>
    <t xml:space="preserve">Сделок на счёт в год</t>
  </si>
  <si>
    <t xml:space="preserve">Сделки за год ÷ среднее число счетов</t>
  </si>
  <si>
    <t xml:space="preserve">Интенсивность торговли</t>
  </si>
  <si>
    <t xml:space="preserve">IBKR, flatexDEGIRO, Nordnet</t>
  </si>
  <si>
    <t xml:space="preserve">выводится: TPA × 12 × ACT</t>
  </si>
  <si>
    <t xml:space="preserve">3.3</t>
  </si>
  <si>
    <t xml:space="preserve">Объём торгов по классам активов</t>
  </si>
  <si>
    <t xml:space="preserve">Сумма сделок: акции, опционы, крипто, деривативы</t>
  </si>
  <si>
    <t xml:space="preserve">Структура активности и выручки</t>
  </si>
  <si>
    <t xml:space="preserve">Robinhood, Мосбиржа</t>
  </si>
  <si>
    <t xml:space="preserve">частично: TURN без разбивки по классам</t>
  </si>
  <si>
    <t xml:space="preserve">4.1</t>
  </si>
  <si>
    <t xml:space="preserve">4. Монетизация</t>
  </si>
  <si>
    <t xml:space="preserve">Чистая выручка и её структура</t>
  </si>
  <si>
    <t xml:space="preserve">Транзакционная + процентная + комиссионная (подписки, управление, хранение)</t>
  </si>
  <si>
    <t xml:space="preserve">Устойчивость модели: доля процентов показывает чувствительность к ставкам</t>
  </si>
  <si>
    <t xml:space="preserve">Все</t>
  </si>
  <si>
    <t xml:space="preserve">5</t>
  </si>
  <si>
    <t xml:space="preserve">да: NR, R1–R7</t>
  </si>
  <si>
    <t xml:space="preserve">4.2</t>
  </si>
  <si>
    <t xml:space="preserve">Выручка на клиента (ARPU)</t>
  </si>
  <si>
    <t xml:space="preserve">Чистая выручка ÷ среднее число фондированных клиентов, в год</t>
  </si>
  <si>
    <t xml:space="preserve">Монетизация клиента</t>
  </si>
  <si>
    <t xml:space="preserve">Robinhood</t>
  </si>
  <si>
    <t xml:space="preserve">6</t>
  </si>
  <si>
    <t xml:space="preserve">да: ARPU</t>
  </si>
  <si>
    <t xml:space="preserve">4.3</t>
  </si>
  <si>
    <t xml:space="preserve">Доходность активов (revenue on client assets, gross margin, б.п.)</t>
  </si>
  <si>
    <t xml:space="preserve">Чистая выручка ÷ средние активы клиентов</t>
  </si>
  <si>
    <t xml:space="preserve">Монетизация единицы активов; главная метрика в управлении капиталом</t>
  </si>
  <si>
    <t xml:space="preserve">Schwab, Avanza, Julius Baer, EFG</t>
  </si>
  <si>
    <t xml:space="preserve">7</t>
  </si>
  <si>
    <t xml:space="preserve">да: YIELD</t>
  </si>
  <si>
    <t xml:space="preserve">4.4</t>
  </si>
  <si>
    <t xml:space="preserve">Комиссия на сделку (commission per order)</t>
  </si>
  <si>
    <t xml:space="preserve">Комиссионный доход ÷ число сделок</t>
  </si>
  <si>
    <t xml:space="preserve">Ценовая политика и микс клиентов</t>
  </si>
  <si>
    <t xml:space="preserve">IBKR, flatexDEGIRO</t>
  </si>
  <si>
    <t xml:space="preserve">выводится: TAKE × TICKET</t>
  </si>
  <si>
    <t xml:space="preserve">4.5</t>
  </si>
  <si>
    <t xml:space="preserve">Чистый процентный доход (net interest income)</t>
  </si>
  <si>
    <t xml:space="preserve">Процентные доходы по маржинальным займам и размещению свободных остатков минус процентные расходы</t>
  </si>
  <si>
    <t xml:space="preserve">Вклад остатков и маржи; самая чувствительная к ставкам часть выручки</t>
  </si>
  <si>
    <t xml:space="preserve">Schwab, IBKR</t>
  </si>
  <si>
    <t xml:space="preserve">выводится: R2 + R3</t>
  </si>
  <si>
    <t xml:space="preserve">4.6</t>
  </si>
  <si>
    <t xml:space="preserve">Чистая процентная маржа (NIM)</t>
  </si>
  <si>
    <t xml:space="preserve">Чистый процентный доход ÷ средние процентные активы</t>
  </si>
  <si>
    <t xml:space="preserve">Доходность баланса, сопоставимая между компаниями</t>
  </si>
  <si>
    <t xml:space="preserve">Schwab</t>
  </si>
  <si>
    <t xml:space="preserve">4.7</t>
  </si>
  <si>
    <t xml:space="preserve">Платные подписчики</t>
  </si>
  <si>
    <t xml:space="preserve">Подписчики и их доля среди фондированных</t>
  </si>
  <si>
    <t xml:space="preserve">Регулярный доход, не зависящий от рынка</t>
  </si>
  <si>
    <t xml:space="preserve">Robinhood (Gold)</t>
  </si>
  <si>
    <t xml:space="preserve">да: SUBS, SUB_PEN</t>
  </si>
  <si>
    <t xml:space="preserve">4.8</t>
  </si>
  <si>
    <t xml:space="preserve">Доля активов в управлении и консультировании (mandate penetration)</t>
  </si>
  <si>
    <t xml:space="preserve">Активы с регулярной комиссией ÷ все активы</t>
  </si>
  <si>
    <t xml:space="preserve">Качество выручки в состоятельном сегменте</t>
  </si>
  <si>
    <t xml:space="preserve">UBS GWM</t>
  </si>
  <si>
    <t xml:space="preserve">да: AM_SHARE</t>
  </si>
  <si>
    <t xml:space="preserve">5.1</t>
  </si>
  <si>
    <t xml:space="preserve">5. Эффективность и прибыльность</t>
  </si>
  <si>
    <t xml:space="preserve">Соотношение затрат и доходов (cost/income)</t>
  </si>
  <si>
    <t xml:space="preserve">Операционные расходы ÷ операционный доход</t>
  </si>
  <si>
    <t xml:space="preserve">Главная метрика эффективности в банкинге и управлении капиталом</t>
  </si>
  <si>
    <t xml:space="preserve">Julius Baer, UBS GWM</t>
  </si>
  <si>
    <t xml:space="preserve">8 — или 5.2</t>
  </si>
  <si>
    <t xml:space="preserve">нет: в модели нет постоянных расходов</t>
  </si>
  <si>
    <t xml:space="preserve">5.2</t>
  </si>
  <si>
    <t xml:space="preserve">Маржа до налогов / скорректированная EBITDA (pretax margin)</t>
  </si>
  <si>
    <t xml:space="preserve">Прибыль до налогов (EBITDA) ÷ чистая выручка</t>
  </si>
  <si>
    <t xml:space="preserve">Итоговая прибыльность модели</t>
  </si>
  <si>
    <t xml:space="preserve">IBKR, Schwab, Swissquote, eToro</t>
  </si>
  <si>
    <t xml:space="preserve">8 — или 5.1</t>
  </si>
  <si>
    <t xml:space="preserve">нет: ближайшая — CM_MARGIN, без постоянных расходов</t>
  </si>
  <si>
    <t xml:space="preserve">5.3</t>
  </si>
  <si>
    <t xml:space="preserve">Расходы на активы клиентов (expenses on client assets, б.п.)</t>
  </si>
  <si>
    <t xml:space="preserve">Операционные расходы ÷ средние активы</t>
  </si>
  <si>
    <t xml:space="preserve">Масштабируемость: расходы должны расти медленнее активов</t>
  </si>
  <si>
    <t xml:space="preserve">5.4</t>
  </si>
  <si>
    <t xml:space="preserve">Расходы на клиента (cost to serve)</t>
  </si>
  <si>
    <t xml:space="preserve">Операционные расходы ÷ среднее число клиентов</t>
  </si>
  <si>
    <t xml:space="preserve">Стоимость обслуживания</t>
  </si>
  <si>
    <t xml:space="preserve">Аналитическая практика</t>
  </si>
  <si>
    <t xml:space="preserve">частично: CTS ÷ N_AVG, без постоянных расходов</t>
  </si>
  <si>
    <t xml:space="preserve">5.5</t>
  </si>
  <si>
    <t xml:space="preserve">Выручка на сотрудника (revenue per employee)</t>
  </si>
  <si>
    <t xml:space="preserve">Чистая выручка ÷ численность</t>
  </si>
  <si>
    <t xml:space="preserve">Степень автоматизации</t>
  </si>
  <si>
    <t xml:space="preserve">Аналитическая практика для онлайн-брокеров</t>
  </si>
  <si>
    <t xml:space="preserve">6.1</t>
  </si>
  <si>
    <t xml:space="preserve">6. Привлечение и юнит-экономика</t>
  </si>
  <si>
    <t xml:space="preserve">Стоимость привлечения (CAC)</t>
  </si>
  <si>
    <t xml:space="preserve">Маркетинг и бонусы ÷ новые фондированные клиенты</t>
  </si>
  <si>
    <t xml:space="preserve">Эффективность каналов</t>
  </si>
  <si>
    <t xml:space="preserve">Robinhood (проспект IPO), Futu и Tiger (комментарии менеджмента)</t>
  </si>
  <si>
    <t xml:space="preserve">10</t>
  </si>
  <si>
    <t xml:space="preserve">да: CAC</t>
  </si>
  <si>
    <t xml:space="preserve">6.2</t>
  </si>
  <si>
    <t xml:space="preserve">Маркетинг к выручке</t>
  </si>
  <si>
    <t xml:space="preserve">Маркетинговые расходы ÷ чистая выручка</t>
  </si>
  <si>
    <t xml:space="preserve">Дисциплина роста</t>
  </si>
  <si>
    <t xml:space="preserve">Robinhood, eToro, Trading 212</t>
  </si>
  <si>
    <t xml:space="preserve">выводится: ACQ ÷ NR</t>
  </si>
  <si>
    <t xml:space="preserve">6.3</t>
  </si>
  <si>
    <t xml:space="preserve">Приток на нового клиента</t>
  </si>
  <si>
    <t xml:space="preserve">Чистый приток новых клиентов ÷ их число</t>
  </si>
  <si>
    <t xml:space="preserve">Качество привлечения</t>
  </si>
  <si>
    <t xml:space="preserve">Tiger</t>
  </si>
  <si>
    <t xml:space="preserve">частично: паспорт L4_FIRSTDEP — средний первый депозит</t>
  </si>
  <si>
    <t xml:space="preserve">6.4</t>
  </si>
  <si>
    <t xml:space="preserve">Пожизненная ценность клиента (LTV)</t>
  </si>
  <si>
    <t xml:space="preserve">Вклад клиента за срок жизни</t>
  </si>
  <si>
    <t xml:space="preserve">Сколько можно платить за клиента</t>
  </si>
  <si>
    <t xml:space="preserve">Стандарт юнит-экономики</t>
  </si>
  <si>
    <t xml:space="preserve">да: LTV</t>
  </si>
  <si>
    <t xml:space="preserve">6.5</t>
  </si>
  <si>
    <t xml:space="preserve">LTV/CAC</t>
  </si>
  <si>
    <t xml:space="preserve">LTV ÷ CAC</t>
  </si>
  <si>
    <t xml:space="preserve">Окупается ли привлечение</t>
  </si>
  <si>
    <t xml:space="preserve">да: LTV_CAC</t>
  </si>
  <si>
    <t xml:space="preserve">6.6</t>
  </si>
  <si>
    <t xml:space="preserve">Окупаемость CAC (CAC payback)</t>
  </si>
  <si>
    <t xml:space="preserve">Срок, за который вклад клиента покрывает затраты на его привлечение</t>
  </si>
  <si>
    <t xml:space="preserve">Скорость возврата денег, вложенных в привлечение</t>
  </si>
  <si>
    <t xml:space="preserve">Tiger (в кварталах); стандарт юнит-экономики</t>
  </si>
  <si>
    <t xml:space="preserve">да: PAYBACK</t>
  </si>
  <si>
    <t xml:space="preserve">7.1</t>
  </si>
  <si>
    <t xml:space="preserve">7. Удержание и лояльность</t>
  </si>
  <si>
    <t xml:space="preserve">Удержание клиентов и отток</t>
  </si>
  <si>
    <t xml:space="preserve">Доля клиентов начала периода, оставшихся в конце; отток = 1 − удержание</t>
  </si>
  <si>
    <t xml:space="preserve">Устойчивость базы</t>
  </si>
  <si>
    <t xml:space="preserve">Hargreaves Lansdown, AJ Bell, Webull, Futu, Wealthfront</t>
  </si>
  <si>
    <t xml:space="preserve">9</t>
  </si>
  <si>
    <t xml:space="preserve">да: CHURN</t>
  </si>
  <si>
    <t xml:space="preserve">7.2</t>
  </si>
  <si>
    <t xml:space="preserve">Удержание активов (asset retention)</t>
  </si>
  <si>
    <t xml:space="preserve">Доля активов, не выведенных за период</t>
  </si>
  <si>
    <t xml:space="preserve">Отток денег важнее оттока счетов</t>
  </si>
  <si>
    <t xml:space="preserve">Hargreaves Lansdown</t>
  </si>
  <si>
    <t xml:space="preserve">паспорт: L4_OUTFLOW — отток активов</t>
  </si>
  <si>
    <t xml:space="preserve">7.3</t>
  </si>
  <si>
    <t xml:space="preserve">Удержание выручки (net revenue retention)</t>
  </si>
  <si>
    <t xml:space="preserve">Выручка когорты в этом году ÷ в прошлом</t>
  </si>
  <si>
    <t xml:space="preserve">Растут ли клиенты внутри</t>
  </si>
  <si>
    <t xml:space="preserve">Wealthfront</t>
  </si>
  <si>
    <t xml:space="preserve">7.4</t>
  </si>
  <si>
    <t xml:space="preserve">Когортное удержание</t>
  </si>
  <si>
    <t xml:space="preserve">Доля когорты, активной через 1, 3, 12 месяцев</t>
  </si>
  <si>
    <t xml:space="preserve">Ранний сигнал оттока</t>
  </si>
  <si>
    <t xml:space="preserve">Стандарт продуктовой аналитики</t>
  </si>
  <si>
    <t xml:space="preserve">паспорт: L4_COHORT</t>
  </si>
  <si>
    <t xml:space="preserve">7.5</t>
  </si>
  <si>
    <t xml:space="preserve">Индекс готовности рекомендовать (NPS)</t>
  </si>
  <si>
    <t xml:space="preserve">Доля промоутеров минус доля критиков</t>
  </si>
  <si>
    <t xml:space="preserve">Ранний индикатор оттока и рекомендаций</t>
  </si>
  <si>
    <t xml:space="preserve">Schwab (client promoter score)</t>
  </si>
  <si>
    <t xml:space="preserve">паспорт: L4_NPS</t>
  </si>
  <si>
    <t xml:space="preserve">7.6</t>
  </si>
  <si>
    <t xml:space="preserve">Удовлетворённость клиентов (CSAT, рейтинги)</t>
  </si>
  <si>
    <t xml:space="preserve">Оценки после обращений; рейтинги удовлетворённости в независимых исследованиях</t>
  </si>
  <si>
    <t xml:space="preserve">Качество сервиса</t>
  </si>
  <si>
    <t xml:space="preserve">J.D. Power</t>
  </si>
  <si>
    <t xml:space="preserve">8.1</t>
  </si>
  <si>
    <t xml:space="preserve">8. Риск и устойчивость</t>
  </si>
  <si>
    <t xml:space="preserve">Достаточность капитала</t>
  </si>
  <si>
    <t xml:space="preserve">Регуляторный капитал сверх требований, нормативы</t>
  </si>
  <si>
    <t xml:space="preserve">Ограничивает рост маржинального портфеля и баланса</t>
  </si>
  <si>
    <t xml:space="preserve">ограничитель: G_PRUD</t>
  </si>
  <si>
    <t xml:space="preserve">8.2</t>
  </si>
  <si>
    <t xml:space="preserve">Кредитные потери по марже</t>
  </si>
  <si>
    <t xml:space="preserve">Резервы и списания по маржинальным займам</t>
  </si>
  <si>
    <t xml:space="preserve">Цена роста маржинального портфеля</t>
  </si>
  <si>
    <t xml:space="preserve">IBKR, Robinhood</t>
  </si>
  <si>
    <t xml:space="preserve">да: C5, CL</t>
  </si>
  <si>
    <t xml:space="preserve">8.3</t>
  </si>
  <si>
    <t xml:space="preserve">Чувствительность к ставкам</t>
  </si>
  <si>
    <t xml:space="preserve">Изменение процентного дохода при сдвиге ставок</t>
  </si>
  <si>
    <t xml:space="preserve">Риск бизнес-модели</t>
  </si>
  <si>
    <t xml:space="preserve">Раздел о рыночном риске в годовых отчётах (Schwab, IBKR)</t>
  </si>
  <si>
    <t xml:space="preserve">да: RATE_SHARE и сценарий RATE_SHIFT</t>
  </si>
  <si>
    <t xml:space="preserve">8.4</t>
  </si>
  <si>
    <t xml:space="preserve">Концентрация доходов</t>
  </si>
  <si>
    <t xml:space="preserve">Доля крупнейшего контрагента или продукта в выручке</t>
  </si>
  <si>
    <t xml:space="preserve">Зависимость от одного партнёра</t>
  </si>
  <si>
    <t xml:space="preserve">Freedom (71% комиссий — один маркет-мейкер)</t>
  </si>
  <si>
    <t xml:space="preserve">ограничитель: G_CONC</t>
  </si>
  <si>
    <t xml:space="preserve">8.5</t>
  </si>
  <si>
    <t xml:space="preserve">Доступность платформы и инциденты</t>
  </si>
  <si>
    <t xml:space="preserve">Время без сбоев в торговую сессию</t>
  </si>
  <si>
    <t xml:space="preserve">Сбои в пик рынка бьют по доверию</t>
  </si>
  <si>
    <t xml:space="preserve">Требования к операционной устойчивости (DORA в ЕС)</t>
  </si>
  <si>
    <t xml:space="preserve">ограничитель: G_UPTIME, G_INC</t>
  </si>
  <si>
    <t xml:space="preserve">8.6</t>
  </si>
  <si>
    <t xml:space="preserve">Жалобы</t>
  </si>
  <si>
    <t xml:space="preserve">Жалобы на 10 000 клиентов</t>
  </si>
  <si>
    <t xml:space="preserve">Качество сервиса и регуляторный риск</t>
  </si>
  <si>
    <t xml:space="preserve">Публикуют регуляторы (FCA, Банк России)</t>
  </si>
  <si>
    <t xml:space="preserve">ограничитель: G_COMPL</t>
  </si>
  <si>
    <t xml:space="preserve">9.1</t>
  </si>
  <si>
    <t xml:space="preserve">9. Продуктовые метрики</t>
  </si>
  <si>
    <t xml:space="preserve">Регистрации (sign-ups)</t>
  </si>
  <si>
    <t xml:space="preserve">Новые пользователи, создавшие учётную запись, за период</t>
  </si>
  <si>
    <t xml:space="preserve">Верх воронки привлечения</t>
  </si>
  <si>
    <t xml:space="preserve">AARRR: привлечение; Futu раскрывает пользователей как первый слой воронки</t>
  </si>
  <si>
    <t xml:space="preserve">частично: LEADS — заявки, паспорт L4_REG</t>
  </si>
  <si>
    <t xml:space="preserve">9.2</t>
  </si>
  <si>
    <t xml:space="preserve">Время до первого пополнения (time to fund)</t>
  </si>
  <si>
    <t xml:space="preserve">Медиана дней от открытия счёта до первого пополнения</t>
  </si>
  <si>
    <t xml:space="preserve">Скорость активации: чем дольше путь, тем больше потерь в воронке</t>
  </si>
  <si>
    <t xml:space="preserve">AARRR: активация</t>
  </si>
  <si>
    <t xml:space="preserve">паспорт: L4_TTF, L4_FUND30</t>
  </si>
  <si>
    <t xml:space="preserve">9.3</t>
  </si>
  <si>
    <t xml:space="preserve">Первая сделка за 30 дней (activation rate)</t>
  </si>
  <si>
    <t xml:space="preserve">Доля новых фондированных клиентов с первой сделкой в течение 30 дней</t>
  </si>
  <si>
    <t xml:space="preserve">Клиент начал пользоваться продуктом</t>
  </si>
  <si>
    <t xml:space="preserve">паспорт: L4_ACT30</t>
  </si>
  <si>
    <t xml:space="preserve">9.4</t>
  </si>
  <si>
    <t xml:space="preserve">Липкость (DAU/MAU, stickiness)</t>
  </si>
  <si>
    <t xml:space="preserve">Активные за день ÷ активные за месяц, в среднем</t>
  </si>
  <si>
    <t xml:space="preserve">Как часто клиенты возвращаются в приложение</t>
  </si>
  <si>
    <t xml:space="preserve">HEART: вовлечённость</t>
  </si>
  <si>
    <t xml:space="preserve">нет: близкий паспорт — L4_MAU</t>
  </si>
  <si>
    <t xml:space="preserve">9.5</t>
  </si>
  <si>
    <t xml:space="preserve">Использование функций (feature adoption)</t>
  </si>
  <si>
    <t xml:space="preserve">Доля активных клиентов, воспользовавшихся функцией за период</t>
  </si>
  <si>
    <t xml:space="preserve">Оценка отдельной доработки</t>
  </si>
  <si>
    <t xml:space="preserve">HEART: принятие</t>
  </si>
  <si>
    <t xml:space="preserve">паспорт: L4_FEATURE</t>
  </si>
  <si>
    <t xml:space="preserve">9.6</t>
  </si>
  <si>
    <t xml:space="preserve">Успешность сценария (task success)</t>
  </si>
  <si>
    <t xml:space="preserve">Доля пользователей, завершивших сценарий (открытие счёта, пополнение, сделку), и время выполнения</t>
  </si>
  <si>
    <t xml:space="preserve">Качество ключевых путей клиента</t>
  </si>
  <si>
    <t xml:space="preserve">HEART: успешность сценария</t>
  </si>
  <si>
    <t xml:space="preserve">частично: паспорта L4_KYC_PASS, L4_KYC_TIME — только онбординг</t>
  </si>
  <si>
    <t xml:space="preserve">9.7</t>
  </si>
  <si>
    <t xml:space="preserve">Доля привлечения по рекомендациям (referral share)</t>
  </si>
  <si>
    <t xml:space="preserve">Новые фондированные клиенты по рекомендациям ÷ все новые фондированные</t>
  </si>
  <si>
    <t xml:space="preserve">Органический и дешёвый рост</t>
  </si>
  <si>
    <t xml:space="preserve">AARRR: рекомендации</t>
  </si>
  <si>
    <t xml:space="preserve">паспорт: L4_REF</t>
  </si>
  <si>
    <t xml:space="preserve">9.8</t>
  </si>
  <si>
    <t xml:space="preserve">Продуктов на клиента (cross-sell)</t>
  </si>
  <si>
    <t xml:space="preserve">Среднее число используемых продуктов на фондированного клиента</t>
  </si>
  <si>
    <t xml:space="preserve">Глубина отношений и защита от оттока</t>
  </si>
  <si>
    <t xml:space="preserve">Стандарт розничного банкинга</t>
  </si>
  <si>
    <t xml:space="preserve">паспорт: L4_XSELL</t>
  </si>
  <si>
    <t xml:space="preserve">Вопросы для закрытия этапа 1</t>
  </si>
  <si>
    <t xml:space="preserve">Выберите ответ в жёлтой колонке «Ответ» из списка или впишите свой. «Рекомендую» — моё предложение, решение за вами.</t>
  </si>
  <si>
    <t xml:space="preserve">Вопрос</t>
  </si>
  <si>
    <t xml:space="preserve">Варианты ответа</t>
  </si>
  <si>
    <t xml:space="preserve">Рекомендую</t>
  </si>
  <si>
    <t xml:space="preserve">Почему</t>
  </si>
  <si>
    <t xml:space="preserve">Ответ</t>
  </si>
  <si>
    <t xml:space="preserve">В1</t>
  </si>
  <si>
    <t xml:space="preserve">Какая метрика станет North Star — главной метрикой ценности для клиента и бизнеса?</t>
  </si>
  <si>
    <t xml:space="preserve">• 2.2 Чистый приток
• 1.1 Фондированные клиенты
• 2.1 Активы клиентов
• Другая — в комментарии</t>
  </si>
  <si>
    <t xml:space="preserve">2.2 Чистый приток</t>
  </si>
  <si>
    <t xml:space="preserve">Приток измеряется в деньгах, поэтому сопоставим между сегментами — в отличие от числа клиентов. Он не зависит от движения рынка — в отличие от активов. За притоком растут активы, а с ними процентный доход и комиссии. Ограничение: у институционалов выручку больше определяет оборот, чем активы.</t>
  </si>
  <si>
    <t xml:space="preserve">В2</t>
  </si>
  <si>
    <t xml:space="preserve">Что ставим наверх дерева метрик?</t>
  </si>
  <si>
    <t xml:space="preserve">• Оба уровня: маржа до налогов и cost/income наверху; маржинальный доход для гипотез
• Маржинальный доход — как сейчас
• Маржа до налогов и cost/income вместо маржинального дохода</t>
  </si>
  <si>
    <t xml:space="preserve">Оба уровня</t>
  </si>
  <si>
    <t xml:space="preserve">Для управления и сравнения с рынком — маржа до налогов и cost/income, как принято в отрасли. Гипотезы оцениваем приростом маржинального дохода, а затраты проектов учтём на этапе 3. Для верхнего уровня в модель нужно добавить постоянные расходы: ИТ, персонал, офис.</t>
  </si>
  <si>
    <t xml:space="preserve">В3</t>
  </si>
  <si>
    <t xml:space="preserve">Что делаем с расчётной моделью этапа 1?</t>
  </si>
  <si>
    <t xml:space="preserve">• Калькулятор под выбранным набором
• Только выбранный набор без модели</t>
  </si>
  <si>
    <t xml:space="preserve">Калькулятор под выбранным набором</t>
  </si>
  <si>
    <t xml:space="preserve">Модель нужна, чтобы на этапе 2 оценивать эффект гипотез в деньгах. Её показатели переименую в отраслевые термины и добавлю выбранные метрики, которых в ней нет.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</si>
</sst>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ont>
        <color rgb="FF808080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32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1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9.7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tr">
        <f aca="false">"Отмечено: да — "&amp;COUNTIF($I$7:$I$60,"Да")&amp;" · обсудить — "&amp;COUNTIF($I$7:$I$60,"Обсудить")&amp;" · нет — "&amp;COUNTIF($I$7:$I$60,"Нет")&amp;" · без отметки — "&amp;COUNTBLANK($I$7:$I$60)&amp;" из "&amp;ROWS($I$7:$I$60)</f>
        <v>Отмечено: да — 0 · обсудить — 0 · нет — 0 · без отметки — 54 из 54</v>
      </c>
    </row>
    <row r="6" customFormat="false" ht="42" hidden="false" customHeight="tru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</row>
    <row r="7" customFormat="false" ht="35.05" hidden="false" customHeight="false" outlineLevel="0" collapsed="false">
      <c r="A7" s="5" t="s">
        <v>13</v>
      </c>
      <c r="B7" s="6" t="s">
        <v>14</v>
      </c>
      <c r="C7" s="7" t="s">
        <v>15</v>
      </c>
      <c r="D7" s="6" t="s">
        <v>16</v>
      </c>
      <c r="E7" s="6" t="s">
        <v>17</v>
      </c>
      <c r="F7" s="6" t="s">
        <v>18</v>
      </c>
      <c r="G7" s="5" t="s">
        <v>19</v>
      </c>
      <c r="H7" s="8" t="s">
        <v>20</v>
      </c>
      <c r="I7" s="9"/>
      <c r="J7" s="10"/>
    </row>
    <row r="8" customFormat="false" ht="35.05" hidden="false" customHeight="false" outlineLevel="0" collapsed="false">
      <c r="A8" s="5" t="s">
        <v>21</v>
      </c>
      <c r="B8" s="6" t="s">
        <v>14</v>
      </c>
      <c r="C8" s="7" t="s">
        <v>22</v>
      </c>
      <c r="D8" s="6" t="s">
        <v>23</v>
      </c>
      <c r="E8" s="6" t="s">
        <v>24</v>
      </c>
      <c r="F8" s="6" t="s">
        <v>25</v>
      </c>
      <c r="G8" s="5" t="s">
        <v>19</v>
      </c>
      <c r="H8" s="8" t="s">
        <v>26</v>
      </c>
      <c r="I8" s="9"/>
      <c r="J8" s="10"/>
    </row>
    <row r="9" customFormat="false" ht="23.85" hidden="false" customHeight="false" outlineLevel="0" collapsed="false">
      <c r="A9" s="5" t="s">
        <v>27</v>
      </c>
      <c r="B9" s="6" t="s">
        <v>14</v>
      </c>
      <c r="C9" s="7" t="s">
        <v>28</v>
      </c>
      <c r="D9" s="6" t="s">
        <v>29</v>
      </c>
      <c r="E9" s="6" t="s">
        <v>30</v>
      </c>
      <c r="F9" s="6" t="s">
        <v>31</v>
      </c>
      <c r="G9" s="5"/>
      <c r="H9" s="8" t="s">
        <v>32</v>
      </c>
      <c r="I9" s="9"/>
      <c r="J9" s="10"/>
    </row>
    <row r="10" customFormat="false" ht="35.05" hidden="false" customHeight="false" outlineLevel="0" collapsed="false">
      <c r="A10" s="5" t="s">
        <v>33</v>
      </c>
      <c r="B10" s="6" t="s">
        <v>14</v>
      </c>
      <c r="C10" s="7" t="s">
        <v>34</v>
      </c>
      <c r="D10" s="6" t="s">
        <v>35</v>
      </c>
      <c r="E10" s="6" t="s">
        <v>36</v>
      </c>
      <c r="F10" s="6" t="s">
        <v>37</v>
      </c>
      <c r="G10" s="5" t="s">
        <v>38</v>
      </c>
      <c r="H10" s="8" t="s">
        <v>39</v>
      </c>
      <c r="I10" s="9"/>
      <c r="J10" s="10"/>
    </row>
    <row r="11" customFormat="false" ht="46.25" hidden="false" customHeight="false" outlineLevel="0" collapsed="false">
      <c r="A11" s="5" t="s">
        <v>40</v>
      </c>
      <c r="B11" s="6" t="s">
        <v>14</v>
      </c>
      <c r="C11" s="7" t="s">
        <v>41</v>
      </c>
      <c r="D11" s="6" t="s">
        <v>42</v>
      </c>
      <c r="E11" s="6" t="s">
        <v>43</v>
      </c>
      <c r="F11" s="6" t="s">
        <v>44</v>
      </c>
      <c r="G11" s="5"/>
      <c r="H11" s="8" t="s">
        <v>45</v>
      </c>
      <c r="I11" s="9"/>
      <c r="J11" s="10"/>
    </row>
    <row r="12" customFormat="false" ht="35.05" hidden="false" customHeight="false" outlineLevel="0" collapsed="false">
      <c r="A12" s="11" t="s">
        <v>46</v>
      </c>
      <c r="B12" s="12" t="s">
        <v>47</v>
      </c>
      <c r="C12" s="13" t="s">
        <v>48</v>
      </c>
      <c r="D12" s="12" t="s">
        <v>49</v>
      </c>
      <c r="E12" s="12" t="s">
        <v>50</v>
      </c>
      <c r="F12" s="12" t="s">
        <v>51</v>
      </c>
      <c r="G12" s="11" t="s">
        <v>52</v>
      </c>
      <c r="H12" s="14" t="s">
        <v>53</v>
      </c>
      <c r="I12" s="15"/>
      <c r="J12" s="16"/>
    </row>
    <row r="13" customFormat="false" ht="35.05" hidden="false" customHeight="false" outlineLevel="0" collapsed="false">
      <c r="A13" s="5" t="s">
        <v>54</v>
      </c>
      <c r="B13" s="6" t="s">
        <v>47</v>
      </c>
      <c r="C13" s="7" t="s">
        <v>55</v>
      </c>
      <c r="D13" s="6" t="s">
        <v>56</v>
      </c>
      <c r="E13" s="6" t="s">
        <v>57</v>
      </c>
      <c r="F13" s="6" t="s">
        <v>58</v>
      </c>
      <c r="G13" s="5" t="s">
        <v>59</v>
      </c>
      <c r="H13" s="8" t="s">
        <v>60</v>
      </c>
      <c r="I13" s="9"/>
      <c r="J13" s="10"/>
    </row>
    <row r="14" customFormat="false" ht="23.85" hidden="false" customHeight="false" outlineLevel="0" collapsed="false">
      <c r="A14" s="5" t="s">
        <v>61</v>
      </c>
      <c r="B14" s="6" t="s">
        <v>47</v>
      </c>
      <c r="C14" s="7" t="s">
        <v>62</v>
      </c>
      <c r="D14" s="6" t="s">
        <v>63</v>
      </c>
      <c r="E14" s="6" t="s">
        <v>64</v>
      </c>
      <c r="F14" s="6" t="s">
        <v>65</v>
      </c>
      <c r="G14" s="5" t="s">
        <v>59</v>
      </c>
      <c r="H14" s="8" t="s">
        <v>60</v>
      </c>
      <c r="I14" s="9"/>
      <c r="J14" s="10"/>
    </row>
    <row r="15" customFormat="false" ht="23.85" hidden="false" customHeight="false" outlineLevel="0" collapsed="false">
      <c r="A15" s="5" t="s">
        <v>66</v>
      </c>
      <c r="B15" s="6" t="s">
        <v>47</v>
      </c>
      <c r="C15" s="7" t="s">
        <v>67</v>
      </c>
      <c r="D15" s="6" t="s">
        <v>68</v>
      </c>
      <c r="E15" s="6" t="s">
        <v>69</v>
      </c>
      <c r="F15" s="6" t="s">
        <v>70</v>
      </c>
      <c r="G15" s="5"/>
      <c r="H15" s="8" t="s">
        <v>71</v>
      </c>
      <c r="I15" s="9"/>
      <c r="J15" s="10"/>
    </row>
    <row r="16" customFormat="false" ht="15" hidden="false" customHeight="false" outlineLevel="0" collapsed="false">
      <c r="A16" s="5" t="s">
        <v>72</v>
      </c>
      <c r="B16" s="6" t="s">
        <v>47</v>
      </c>
      <c r="C16" s="7" t="s">
        <v>73</v>
      </c>
      <c r="D16" s="6" t="s">
        <v>74</v>
      </c>
      <c r="E16" s="6" t="s">
        <v>75</v>
      </c>
      <c r="F16" s="6" t="s">
        <v>76</v>
      </c>
      <c r="G16" s="5"/>
      <c r="H16" s="8" t="s">
        <v>77</v>
      </c>
      <c r="I16" s="9"/>
      <c r="J16" s="10"/>
    </row>
    <row r="17" customFormat="false" ht="23.85" hidden="false" customHeight="false" outlineLevel="0" collapsed="false">
      <c r="A17" s="5" t="s">
        <v>78</v>
      </c>
      <c r="B17" s="6" t="s">
        <v>47</v>
      </c>
      <c r="C17" s="7" t="s">
        <v>79</v>
      </c>
      <c r="D17" s="6" t="s">
        <v>80</v>
      </c>
      <c r="E17" s="6" t="s">
        <v>81</v>
      </c>
      <c r="F17" s="6" t="s">
        <v>82</v>
      </c>
      <c r="G17" s="5"/>
      <c r="H17" s="8" t="s">
        <v>83</v>
      </c>
      <c r="I17" s="9"/>
      <c r="J17" s="10"/>
    </row>
    <row r="18" customFormat="false" ht="23.85" hidden="false" customHeight="false" outlineLevel="0" collapsed="false">
      <c r="A18" s="5" t="s">
        <v>84</v>
      </c>
      <c r="B18" s="6" t="s">
        <v>47</v>
      </c>
      <c r="C18" s="7" t="s">
        <v>85</v>
      </c>
      <c r="D18" s="6" t="s">
        <v>86</v>
      </c>
      <c r="E18" s="6" t="s">
        <v>87</v>
      </c>
      <c r="F18" s="6" t="s">
        <v>82</v>
      </c>
      <c r="G18" s="5"/>
      <c r="H18" s="8" t="s">
        <v>88</v>
      </c>
      <c r="I18" s="9"/>
      <c r="J18" s="10"/>
    </row>
    <row r="19" customFormat="false" ht="23.85" hidden="false" customHeight="false" outlineLevel="0" collapsed="false">
      <c r="A19" s="11" t="s">
        <v>89</v>
      </c>
      <c r="B19" s="12" t="s">
        <v>90</v>
      </c>
      <c r="C19" s="13" t="s">
        <v>91</v>
      </c>
      <c r="D19" s="12" t="s">
        <v>92</v>
      </c>
      <c r="E19" s="12" t="s">
        <v>93</v>
      </c>
      <c r="F19" s="12" t="s">
        <v>94</v>
      </c>
      <c r="G19" s="11" t="s">
        <v>95</v>
      </c>
      <c r="H19" s="14" t="s">
        <v>96</v>
      </c>
      <c r="I19" s="15"/>
      <c r="J19" s="16"/>
    </row>
    <row r="20" customFormat="false" ht="23.85" hidden="false" customHeight="false" outlineLevel="0" collapsed="false">
      <c r="A20" s="5" t="s">
        <v>97</v>
      </c>
      <c r="B20" s="6" t="s">
        <v>90</v>
      </c>
      <c r="C20" s="7" t="s">
        <v>98</v>
      </c>
      <c r="D20" s="6" t="s">
        <v>99</v>
      </c>
      <c r="E20" s="6" t="s">
        <v>100</v>
      </c>
      <c r="F20" s="6" t="s">
        <v>101</v>
      </c>
      <c r="G20" s="5"/>
      <c r="H20" s="8" t="s">
        <v>102</v>
      </c>
      <c r="I20" s="9"/>
      <c r="J20" s="10"/>
    </row>
    <row r="21" customFormat="false" ht="23.85" hidden="false" customHeight="false" outlineLevel="0" collapsed="false">
      <c r="A21" s="5" t="s">
        <v>103</v>
      </c>
      <c r="B21" s="6" t="s">
        <v>90</v>
      </c>
      <c r="C21" s="7" t="s">
        <v>104</v>
      </c>
      <c r="D21" s="6" t="s">
        <v>105</v>
      </c>
      <c r="E21" s="6" t="s">
        <v>106</v>
      </c>
      <c r="F21" s="6" t="s">
        <v>107</v>
      </c>
      <c r="G21" s="5"/>
      <c r="H21" s="8" t="s">
        <v>108</v>
      </c>
      <c r="I21" s="9"/>
      <c r="J21" s="10"/>
    </row>
    <row r="22" customFormat="false" ht="35.05" hidden="false" customHeight="false" outlineLevel="0" collapsed="false">
      <c r="A22" s="11" t="s">
        <v>109</v>
      </c>
      <c r="B22" s="12" t="s">
        <v>110</v>
      </c>
      <c r="C22" s="13" t="s">
        <v>111</v>
      </c>
      <c r="D22" s="12" t="s">
        <v>112</v>
      </c>
      <c r="E22" s="12" t="s">
        <v>113</v>
      </c>
      <c r="F22" s="12" t="s">
        <v>114</v>
      </c>
      <c r="G22" s="11" t="s">
        <v>115</v>
      </c>
      <c r="H22" s="14" t="s">
        <v>116</v>
      </c>
      <c r="I22" s="15"/>
      <c r="J22" s="16"/>
    </row>
    <row r="23" customFormat="false" ht="23.85" hidden="false" customHeight="false" outlineLevel="0" collapsed="false">
      <c r="A23" s="5" t="s">
        <v>117</v>
      </c>
      <c r="B23" s="6" t="s">
        <v>110</v>
      </c>
      <c r="C23" s="7" t="s">
        <v>118</v>
      </c>
      <c r="D23" s="6" t="s">
        <v>119</v>
      </c>
      <c r="E23" s="6" t="s">
        <v>120</v>
      </c>
      <c r="F23" s="6" t="s">
        <v>121</v>
      </c>
      <c r="G23" s="5" t="s">
        <v>122</v>
      </c>
      <c r="H23" s="8" t="s">
        <v>123</v>
      </c>
      <c r="I23" s="9"/>
      <c r="J23" s="10"/>
    </row>
    <row r="24" customFormat="false" ht="35.05" hidden="false" customHeight="false" outlineLevel="0" collapsed="false">
      <c r="A24" s="5" t="s">
        <v>124</v>
      </c>
      <c r="B24" s="6" t="s">
        <v>110</v>
      </c>
      <c r="C24" s="7" t="s">
        <v>125</v>
      </c>
      <c r="D24" s="6" t="s">
        <v>126</v>
      </c>
      <c r="E24" s="6" t="s">
        <v>127</v>
      </c>
      <c r="F24" s="6" t="s">
        <v>128</v>
      </c>
      <c r="G24" s="5" t="s">
        <v>129</v>
      </c>
      <c r="H24" s="8" t="s">
        <v>130</v>
      </c>
      <c r="I24" s="9"/>
      <c r="J24" s="10"/>
    </row>
    <row r="25" customFormat="false" ht="23.85" hidden="false" customHeight="false" outlineLevel="0" collapsed="false">
      <c r="A25" s="5" t="s">
        <v>131</v>
      </c>
      <c r="B25" s="6" t="s">
        <v>110</v>
      </c>
      <c r="C25" s="7" t="s">
        <v>132</v>
      </c>
      <c r="D25" s="6" t="s">
        <v>133</v>
      </c>
      <c r="E25" s="6" t="s">
        <v>134</v>
      </c>
      <c r="F25" s="6" t="s">
        <v>135</v>
      </c>
      <c r="G25" s="5"/>
      <c r="H25" s="8" t="s">
        <v>136</v>
      </c>
      <c r="I25" s="9"/>
      <c r="J25" s="10"/>
    </row>
    <row r="26" customFormat="false" ht="46.25" hidden="false" customHeight="false" outlineLevel="0" collapsed="false">
      <c r="A26" s="5" t="s">
        <v>137</v>
      </c>
      <c r="B26" s="6" t="s">
        <v>110</v>
      </c>
      <c r="C26" s="7" t="s">
        <v>138</v>
      </c>
      <c r="D26" s="6" t="s">
        <v>139</v>
      </c>
      <c r="E26" s="6" t="s">
        <v>140</v>
      </c>
      <c r="F26" s="6" t="s">
        <v>141</v>
      </c>
      <c r="G26" s="5"/>
      <c r="H26" s="8" t="s">
        <v>142</v>
      </c>
      <c r="I26" s="9"/>
      <c r="J26" s="10"/>
    </row>
    <row r="27" customFormat="false" ht="23.85" hidden="false" customHeight="false" outlineLevel="0" collapsed="false">
      <c r="A27" s="5" t="s">
        <v>143</v>
      </c>
      <c r="B27" s="6" t="s">
        <v>110</v>
      </c>
      <c r="C27" s="7" t="s">
        <v>144</v>
      </c>
      <c r="D27" s="6" t="s">
        <v>145</v>
      </c>
      <c r="E27" s="6" t="s">
        <v>146</v>
      </c>
      <c r="F27" s="6" t="s">
        <v>147</v>
      </c>
      <c r="G27" s="5"/>
      <c r="H27" s="8" t="s">
        <v>71</v>
      </c>
      <c r="I27" s="9"/>
      <c r="J27" s="10"/>
    </row>
    <row r="28" customFormat="false" ht="23.85" hidden="false" customHeight="false" outlineLevel="0" collapsed="false">
      <c r="A28" s="5" t="s">
        <v>148</v>
      </c>
      <c r="B28" s="6" t="s">
        <v>110</v>
      </c>
      <c r="C28" s="7" t="s">
        <v>149</v>
      </c>
      <c r="D28" s="6" t="s">
        <v>150</v>
      </c>
      <c r="E28" s="6" t="s">
        <v>151</v>
      </c>
      <c r="F28" s="6" t="s">
        <v>152</v>
      </c>
      <c r="G28" s="5"/>
      <c r="H28" s="8" t="s">
        <v>153</v>
      </c>
      <c r="I28" s="9"/>
      <c r="J28" s="10"/>
    </row>
    <row r="29" customFormat="false" ht="35.05" hidden="false" customHeight="false" outlineLevel="0" collapsed="false">
      <c r="A29" s="5" t="s">
        <v>154</v>
      </c>
      <c r="B29" s="6" t="s">
        <v>110</v>
      </c>
      <c r="C29" s="7" t="s">
        <v>155</v>
      </c>
      <c r="D29" s="6" t="s">
        <v>156</v>
      </c>
      <c r="E29" s="6" t="s">
        <v>157</v>
      </c>
      <c r="F29" s="6" t="s">
        <v>158</v>
      </c>
      <c r="G29" s="5"/>
      <c r="H29" s="8" t="s">
        <v>159</v>
      </c>
      <c r="I29" s="9"/>
      <c r="J29" s="10"/>
    </row>
    <row r="30" customFormat="false" ht="35.05" hidden="false" customHeight="false" outlineLevel="0" collapsed="false">
      <c r="A30" s="11" t="s">
        <v>160</v>
      </c>
      <c r="B30" s="12" t="s">
        <v>161</v>
      </c>
      <c r="C30" s="13" t="s">
        <v>162</v>
      </c>
      <c r="D30" s="12" t="s">
        <v>163</v>
      </c>
      <c r="E30" s="12" t="s">
        <v>164</v>
      </c>
      <c r="F30" s="12" t="s">
        <v>165</v>
      </c>
      <c r="G30" s="11" t="s">
        <v>166</v>
      </c>
      <c r="H30" s="14" t="s">
        <v>167</v>
      </c>
      <c r="I30" s="15"/>
      <c r="J30" s="16"/>
    </row>
    <row r="31" customFormat="false" ht="35.05" hidden="false" customHeight="false" outlineLevel="0" collapsed="false">
      <c r="A31" s="5" t="s">
        <v>168</v>
      </c>
      <c r="B31" s="6" t="s">
        <v>161</v>
      </c>
      <c r="C31" s="7" t="s">
        <v>169</v>
      </c>
      <c r="D31" s="6" t="s">
        <v>170</v>
      </c>
      <c r="E31" s="6" t="s">
        <v>171</v>
      </c>
      <c r="F31" s="6" t="s">
        <v>172</v>
      </c>
      <c r="G31" s="5" t="s">
        <v>173</v>
      </c>
      <c r="H31" s="8" t="s">
        <v>174</v>
      </c>
      <c r="I31" s="9"/>
      <c r="J31" s="10"/>
    </row>
    <row r="32" customFormat="false" ht="23.85" hidden="false" customHeight="false" outlineLevel="0" collapsed="false">
      <c r="A32" s="5" t="s">
        <v>175</v>
      </c>
      <c r="B32" s="6" t="s">
        <v>161</v>
      </c>
      <c r="C32" s="7" t="s">
        <v>176</v>
      </c>
      <c r="D32" s="6" t="s">
        <v>177</v>
      </c>
      <c r="E32" s="6" t="s">
        <v>178</v>
      </c>
      <c r="F32" s="6" t="s">
        <v>147</v>
      </c>
      <c r="G32" s="5"/>
      <c r="H32" s="8" t="s">
        <v>71</v>
      </c>
      <c r="I32" s="9"/>
      <c r="J32" s="10"/>
    </row>
    <row r="33" customFormat="false" ht="23.85" hidden="false" customHeight="false" outlineLevel="0" collapsed="false">
      <c r="A33" s="5" t="s">
        <v>179</v>
      </c>
      <c r="B33" s="6" t="s">
        <v>161</v>
      </c>
      <c r="C33" s="7" t="s">
        <v>180</v>
      </c>
      <c r="D33" s="6" t="s">
        <v>181</v>
      </c>
      <c r="E33" s="6" t="s">
        <v>182</v>
      </c>
      <c r="F33" s="6" t="s">
        <v>183</v>
      </c>
      <c r="G33" s="5"/>
      <c r="H33" s="8" t="s">
        <v>184</v>
      </c>
      <c r="I33" s="9"/>
      <c r="J33" s="10"/>
    </row>
    <row r="34" customFormat="false" ht="23.85" hidden="false" customHeight="false" outlineLevel="0" collapsed="false">
      <c r="A34" s="5" t="s">
        <v>185</v>
      </c>
      <c r="B34" s="6" t="s">
        <v>161</v>
      </c>
      <c r="C34" s="7" t="s">
        <v>186</v>
      </c>
      <c r="D34" s="6" t="s">
        <v>187</v>
      </c>
      <c r="E34" s="6" t="s">
        <v>188</v>
      </c>
      <c r="F34" s="6" t="s">
        <v>189</v>
      </c>
      <c r="G34" s="5"/>
      <c r="H34" s="8" t="s">
        <v>71</v>
      </c>
      <c r="I34" s="9"/>
      <c r="J34" s="10"/>
    </row>
    <row r="35" customFormat="false" ht="35.05" hidden="false" customHeight="false" outlineLevel="0" collapsed="false">
      <c r="A35" s="11" t="s">
        <v>190</v>
      </c>
      <c r="B35" s="12" t="s">
        <v>191</v>
      </c>
      <c r="C35" s="13" t="s">
        <v>192</v>
      </c>
      <c r="D35" s="12" t="s">
        <v>193</v>
      </c>
      <c r="E35" s="12" t="s">
        <v>194</v>
      </c>
      <c r="F35" s="12" t="s">
        <v>195</v>
      </c>
      <c r="G35" s="11" t="s">
        <v>196</v>
      </c>
      <c r="H35" s="14" t="s">
        <v>197</v>
      </c>
      <c r="I35" s="15"/>
      <c r="J35" s="16"/>
    </row>
    <row r="36" customFormat="false" ht="23.85" hidden="false" customHeight="false" outlineLevel="0" collapsed="false">
      <c r="A36" s="5" t="s">
        <v>198</v>
      </c>
      <c r="B36" s="6" t="s">
        <v>191</v>
      </c>
      <c r="C36" s="7" t="s">
        <v>199</v>
      </c>
      <c r="D36" s="6" t="s">
        <v>200</v>
      </c>
      <c r="E36" s="6" t="s">
        <v>201</v>
      </c>
      <c r="F36" s="6" t="s">
        <v>202</v>
      </c>
      <c r="G36" s="5"/>
      <c r="H36" s="8" t="s">
        <v>203</v>
      </c>
      <c r="I36" s="9"/>
      <c r="J36" s="10"/>
    </row>
    <row r="37" customFormat="false" ht="35.05" hidden="false" customHeight="false" outlineLevel="0" collapsed="false">
      <c r="A37" s="5" t="s">
        <v>204</v>
      </c>
      <c r="B37" s="6" t="s">
        <v>191</v>
      </c>
      <c r="C37" s="7" t="s">
        <v>205</v>
      </c>
      <c r="D37" s="6" t="s">
        <v>206</v>
      </c>
      <c r="E37" s="6" t="s">
        <v>207</v>
      </c>
      <c r="F37" s="6" t="s">
        <v>208</v>
      </c>
      <c r="G37" s="5"/>
      <c r="H37" s="8" t="s">
        <v>209</v>
      </c>
      <c r="I37" s="9"/>
      <c r="J37" s="10"/>
    </row>
    <row r="38" customFormat="false" ht="23.85" hidden="false" customHeight="false" outlineLevel="0" collapsed="false">
      <c r="A38" s="5" t="s">
        <v>210</v>
      </c>
      <c r="B38" s="6" t="s">
        <v>191</v>
      </c>
      <c r="C38" s="7" t="s">
        <v>211</v>
      </c>
      <c r="D38" s="6" t="s">
        <v>212</v>
      </c>
      <c r="E38" s="6" t="s">
        <v>213</v>
      </c>
      <c r="F38" s="6" t="s">
        <v>214</v>
      </c>
      <c r="G38" s="5"/>
      <c r="H38" s="8" t="s">
        <v>215</v>
      </c>
      <c r="I38" s="9"/>
      <c r="J38" s="10"/>
    </row>
    <row r="39" customFormat="false" ht="23.85" hidden="false" customHeight="false" outlineLevel="0" collapsed="false">
      <c r="A39" s="5" t="s">
        <v>216</v>
      </c>
      <c r="B39" s="6" t="s">
        <v>191</v>
      </c>
      <c r="C39" s="7" t="s">
        <v>217</v>
      </c>
      <c r="D39" s="6" t="s">
        <v>218</v>
      </c>
      <c r="E39" s="6" t="s">
        <v>219</v>
      </c>
      <c r="F39" s="6" t="s">
        <v>214</v>
      </c>
      <c r="G39" s="5"/>
      <c r="H39" s="8" t="s">
        <v>220</v>
      </c>
      <c r="I39" s="9"/>
      <c r="J39" s="10"/>
    </row>
    <row r="40" customFormat="false" ht="35.05" hidden="false" customHeight="false" outlineLevel="0" collapsed="false">
      <c r="A40" s="5" t="s">
        <v>221</v>
      </c>
      <c r="B40" s="6" t="s">
        <v>191</v>
      </c>
      <c r="C40" s="7" t="s">
        <v>222</v>
      </c>
      <c r="D40" s="6" t="s">
        <v>223</v>
      </c>
      <c r="E40" s="6" t="s">
        <v>224</v>
      </c>
      <c r="F40" s="6" t="s">
        <v>225</v>
      </c>
      <c r="G40" s="5" t="s">
        <v>196</v>
      </c>
      <c r="H40" s="8" t="s">
        <v>226</v>
      </c>
      <c r="I40" s="9"/>
      <c r="J40" s="10"/>
    </row>
    <row r="41" customFormat="false" ht="35.05" hidden="false" customHeight="false" outlineLevel="0" collapsed="false">
      <c r="A41" s="11" t="s">
        <v>227</v>
      </c>
      <c r="B41" s="12" t="s">
        <v>228</v>
      </c>
      <c r="C41" s="13" t="s">
        <v>229</v>
      </c>
      <c r="D41" s="12" t="s">
        <v>230</v>
      </c>
      <c r="E41" s="12" t="s">
        <v>231</v>
      </c>
      <c r="F41" s="12" t="s">
        <v>232</v>
      </c>
      <c r="G41" s="11" t="s">
        <v>233</v>
      </c>
      <c r="H41" s="14" t="s">
        <v>234</v>
      </c>
      <c r="I41" s="15"/>
      <c r="J41" s="16"/>
    </row>
    <row r="42" customFormat="false" ht="23.85" hidden="false" customHeight="false" outlineLevel="0" collapsed="false">
      <c r="A42" s="5" t="s">
        <v>235</v>
      </c>
      <c r="B42" s="6" t="s">
        <v>228</v>
      </c>
      <c r="C42" s="7" t="s">
        <v>236</v>
      </c>
      <c r="D42" s="6" t="s">
        <v>237</v>
      </c>
      <c r="E42" s="6" t="s">
        <v>238</v>
      </c>
      <c r="F42" s="6" t="s">
        <v>239</v>
      </c>
      <c r="G42" s="5" t="s">
        <v>233</v>
      </c>
      <c r="H42" s="8" t="s">
        <v>240</v>
      </c>
      <c r="I42" s="9"/>
      <c r="J42" s="10"/>
    </row>
    <row r="43" customFormat="false" ht="23.85" hidden="false" customHeight="false" outlineLevel="0" collapsed="false">
      <c r="A43" s="5" t="s">
        <v>241</v>
      </c>
      <c r="B43" s="6" t="s">
        <v>228</v>
      </c>
      <c r="C43" s="7" t="s">
        <v>242</v>
      </c>
      <c r="D43" s="6" t="s">
        <v>243</v>
      </c>
      <c r="E43" s="6" t="s">
        <v>244</v>
      </c>
      <c r="F43" s="6" t="s">
        <v>245</v>
      </c>
      <c r="G43" s="5"/>
      <c r="H43" s="8" t="s">
        <v>71</v>
      </c>
      <c r="I43" s="9"/>
      <c r="J43" s="10"/>
    </row>
    <row r="44" customFormat="false" ht="23.85" hidden="false" customHeight="false" outlineLevel="0" collapsed="false">
      <c r="A44" s="5" t="s">
        <v>246</v>
      </c>
      <c r="B44" s="6" t="s">
        <v>228</v>
      </c>
      <c r="C44" s="7" t="s">
        <v>247</v>
      </c>
      <c r="D44" s="6" t="s">
        <v>248</v>
      </c>
      <c r="E44" s="6" t="s">
        <v>249</v>
      </c>
      <c r="F44" s="6" t="s">
        <v>250</v>
      </c>
      <c r="G44" s="5"/>
      <c r="H44" s="8" t="s">
        <v>251</v>
      </c>
      <c r="I44" s="9"/>
      <c r="J44" s="10"/>
    </row>
    <row r="45" customFormat="false" ht="23.85" hidden="false" customHeight="false" outlineLevel="0" collapsed="false">
      <c r="A45" s="5" t="s">
        <v>252</v>
      </c>
      <c r="B45" s="6" t="s">
        <v>228</v>
      </c>
      <c r="C45" s="7" t="s">
        <v>253</v>
      </c>
      <c r="D45" s="6" t="s">
        <v>254</v>
      </c>
      <c r="E45" s="6" t="s">
        <v>255</v>
      </c>
      <c r="F45" s="6" t="s">
        <v>256</v>
      </c>
      <c r="G45" s="5"/>
      <c r="H45" s="8" t="s">
        <v>257</v>
      </c>
      <c r="I45" s="9"/>
      <c r="J45" s="10"/>
    </row>
    <row r="46" customFormat="false" ht="35.05" hidden="false" customHeight="false" outlineLevel="0" collapsed="false">
      <c r="A46" s="5" t="s">
        <v>258</v>
      </c>
      <c r="B46" s="6" t="s">
        <v>228</v>
      </c>
      <c r="C46" s="7" t="s">
        <v>259</v>
      </c>
      <c r="D46" s="6" t="s">
        <v>260</v>
      </c>
      <c r="E46" s="6" t="s">
        <v>261</v>
      </c>
      <c r="F46" s="6" t="s">
        <v>262</v>
      </c>
      <c r="G46" s="5"/>
      <c r="H46" s="8" t="s">
        <v>257</v>
      </c>
      <c r="I46" s="9"/>
      <c r="J46" s="10"/>
    </row>
    <row r="47" customFormat="false" ht="35.05" hidden="false" customHeight="false" outlineLevel="0" collapsed="false">
      <c r="A47" s="11" t="s">
        <v>263</v>
      </c>
      <c r="B47" s="12" t="s">
        <v>264</v>
      </c>
      <c r="C47" s="13" t="s">
        <v>265</v>
      </c>
      <c r="D47" s="12" t="s">
        <v>266</v>
      </c>
      <c r="E47" s="12" t="s">
        <v>267</v>
      </c>
      <c r="F47" s="12" t="s">
        <v>94</v>
      </c>
      <c r="G47" s="11"/>
      <c r="H47" s="14" t="s">
        <v>268</v>
      </c>
      <c r="I47" s="15"/>
      <c r="J47" s="16"/>
    </row>
    <row r="48" customFormat="false" ht="23.85" hidden="false" customHeight="false" outlineLevel="0" collapsed="false">
      <c r="A48" s="5" t="s">
        <v>269</v>
      </c>
      <c r="B48" s="6" t="s">
        <v>264</v>
      </c>
      <c r="C48" s="7" t="s">
        <v>270</v>
      </c>
      <c r="D48" s="6" t="s">
        <v>271</v>
      </c>
      <c r="E48" s="6" t="s">
        <v>272</v>
      </c>
      <c r="F48" s="6" t="s">
        <v>273</v>
      </c>
      <c r="G48" s="5"/>
      <c r="H48" s="8" t="s">
        <v>274</v>
      </c>
      <c r="I48" s="9"/>
      <c r="J48" s="10"/>
    </row>
    <row r="49" customFormat="false" ht="35.05" hidden="false" customHeight="false" outlineLevel="0" collapsed="false">
      <c r="A49" s="5" t="s">
        <v>275</v>
      </c>
      <c r="B49" s="6" t="s">
        <v>264</v>
      </c>
      <c r="C49" s="7" t="s">
        <v>276</v>
      </c>
      <c r="D49" s="6" t="s">
        <v>277</v>
      </c>
      <c r="E49" s="6" t="s">
        <v>278</v>
      </c>
      <c r="F49" s="6" t="s">
        <v>279</v>
      </c>
      <c r="G49" s="5"/>
      <c r="H49" s="8" t="s">
        <v>280</v>
      </c>
      <c r="I49" s="9"/>
      <c r="J49" s="10"/>
    </row>
    <row r="50" customFormat="false" ht="23.85" hidden="false" customHeight="false" outlineLevel="0" collapsed="false">
      <c r="A50" s="5" t="s">
        <v>281</v>
      </c>
      <c r="B50" s="6" t="s">
        <v>264</v>
      </c>
      <c r="C50" s="7" t="s">
        <v>282</v>
      </c>
      <c r="D50" s="6" t="s">
        <v>283</v>
      </c>
      <c r="E50" s="6" t="s">
        <v>284</v>
      </c>
      <c r="F50" s="6" t="s">
        <v>285</v>
      </c>
      <c r="G50" s="5"/>
      <c r="H50" s="8" t="s">
        <v>286</v>
      </c>
      <c r="I50" s="9"/>
      <c r="J50" s="10"/>
    </row>
    <row r="51" customFormat="false" ht="23.85" hidden="false" customHeight="false" outlineLevel="0" collapsed="false">
      <c r="A51" s="5" t="s">
        <v>287</v>
      </c>
      <c r="B51" s="6" t="s">
        <v>264</v>
      </c>
      <c r="C51" s="7" t="s">
        <v>288</v>
      </c>
      <c r="D51" s="6" t="s">
        <v>289</v>
      </c>
      <c r="E51" s="6" t="s">
        <v>290</v>
      </c>
      <c r="F51" s="6" t="s">
        <v>291</v>
      </c>
      <c r="G51" s="5"/>
      <c r="H51" s="8" t="s">
        <v>292</v>
      </c>
      <c r="I51" s="9"/>
      <c r="J51" s="10"/>
    </row>
    <row r="52" customFormat="false" ht="23.85" hidden="false" customHeight="false" outlineLevel="0" collapsed="false">
      <c r="A52" s="5" t="s">
        <v>293</v>
      </c>
      <c r="B52" s="6" t="s">
        <v>264</v>
      </c>
      <c r="C52" s="7" t="s">
        <v>294</v>
      </c>
      <c r="D52" s="6" t="s">
        <v>295</v>
      </c>
      <c r="E52" s="6" t="s">
        <v>296</v>
      </c>
      <c r="F52" s="6" t="s">
        <v>297</v>
      </c>
      <c r="G52" s="5"/>
      <c r="H52" s="8" t="s">
        <v>298</v>
      </c>
      <c r="I52" s="9"/>
      <c r="J52" s="10"/>
    </row>
    <row r="53" customFormat="false" ht="35.05" hidden="false" customHeight="false" outlineLevel="0" collapsed="false">
      <c r="A53" s="11" t="s">
        <v>299</v>
      </c>
      <c r="B53" s="12" t="s">
        <v>300</v>
      </c>
      <c r="C53" s="13" t="s">
        <v>301</v>
      </c>
      <c r="D53" s="12" t="s">
        <v>302</v>
      </c>
      <c r="E53" s="12" t="s">
        <v>303</v>
      </c>
      <c r="F53" s="12" t="s">
        <v>304</v>
      </c>
      <c r="G53" s="11"/>
      <c r="H53" s="14" t="s">
        <v>305</v>
      </c>
      <c r="I53" s="15"/>
      <c r="J53" s="16"/>
    </row>
    <row r="54" customFormat="false" ht="35.05" hidden="false" customHeight="false" outlineLevel="0" collapsed="false">
      <c r="A54" s="5" t="s">
        <v>306</v>
      </c>
      <c r="B54" s="6" t="s">
        <v>300</v>
      </c>
      <c r="C54" s="7" t="s">
        <v>307</v>
      </c>
      <c r="D54" s="6" t="s">
        <v>308</v>
      </c>
      <c r="E54" s="6" t="s">
        <v>309</v>
      </c>
      <c r="F54" s="6" t="s">
        <v>310</v>
      </c>
      <c r="G54" s="5"/>
      <c r="H54" s="8" t="s">
        <v>311</v>
      </c>
      <c r="I54" s="9"/>
      <c r="J54" s="10"/>
    </row>
    <row r="55" customFormat="false" ht="35.05" hidden="false" customHeight="false" outlineLevel="0" collapsed="false">
      <c r="A55" s="5" t="s">
        <v>312</v>
      </c>
      <c r="B55" s="6" t="s">
        <v>300</v>
      </c>
      <c r="C55" s="7" t="s">
        <v>313</v>
      </c>
      <c r="D55" s="6" t="s">
        <v>314</v>
      </c>
      <c r="E55" s="6" t="s">
        <v>315</v>
      </c>
      <c r="F55" s="6" t="s">
        <v>310</v>
      </c>
      <c r="G55" s="5"/>
      <c r="H55" s="8" t="s">
        <v>316</v>
      </c>
      <c r="I55" s="9"/>
      <c r="J55" s="10"/>
    </row>
    <row r="56" customFormat="false" ht="23.85" hidden="false" customHeight="false" outlineLevel="0" collapsed="false">
      <c r="A56" s="5" t="s">
        <v>317</v>
      </c>
      <c r="B56" s="6" t="s">
        <v>300</v>
      </c>
      <c r="C56" s="7" t="s">
        <v>318</v>
      </c>
      <c r="D56" s="6" t="s">
        <v>319</v>
      </c>
      <c r="E56" s="6" t="s">
        <v>320</v>
      </c>
      <c r="F56" s="6" t="s">
        <v>321</v>
      </c>
      <c r="G56" s="5"/>
      <c r="H56" s="8" t="s">
        <v>322</v>
      </c>
      <c r="I56" s="9"/>
      <c r="J56" s="10"/>
    </row>
    <row r="57" customFormat="false" ht="35.05" hidden="false" customHeight="false" outlineLevel="0" collapsed="false">
      <c r="A57" s="5" t="s">
        <v>323</v>
      </c>
      <c r="B57" s="6" t="s">
        <v>300</v>
      </c>
      <c r="C57" s="7" t="s">
        <v>324</v>
      </c>
      <c r="D57" s="6" t="s">
        <v>325</v>
      </c>
      <c r="E57" s="6" t="s">
        <v>326</v>
      </c>
      <c r="F57" s="6" t="s">
        <v>327</v>
      </c>
      <c r="G57" s="5"/>
      <c r="H57" s="8" t="s">
        <v>328</v>
      </c>
      <c r="I57" s="9"/>
      <c r="J57" s="10"/>
    </row>
    <row r="58" customFormat="false" ht="46.25" hidden="false" customHeight="false" outlineLevel="0" collapsed="false">
      <c r="A58" s="5" t="s">
        <v>329</v>
      </c>
      <c r="B58" s="6" t="s">
        <v>300</v>
      </c>
      <c r="C58" s="7" t="s">
        <v>330</v>
      </c>
      <c r="D58" s="6" t="s">
        <v>331</v>
      </c>
      <c r="E58" s="6" t="s">
        <v>332</v>
      </c>
      <c r="F58" s="6" t="s">
        <v>333</v>
      </c>
      <c r="G58" s="5"/>
      <c r="H58" s="8" t="s">
        <v>334</v>
      </c>
      <c r="I58" s="9"/>
      <c r="J58" s="10"/>
    </row>
    <row r="59" customFormat="false" ht="35.05" hidden="false" customHeight="false" outlineLevel="0" collapsed="false">
      <c r="A59" s="5" t="s">
        <v>335</v>
      </c>
      <c r="B59" s="6" t="s">
        <v>300</v>
      </c>
      <c r="C59" s="7" t="s">
        <v>336</v>
      </c>
      <c r="D59" s="6" t="s">
        <v>337</v>
      </c>
      <c r="E59" s="6" t="s">
        <v>338</v>
      </c>
      <c r="F59" s="6" t="s">
        <v>339</v>
      </c>
      <c r="G59" s="5"/>
      <c r="H59" s="8" t="s">
        <v>340</v>
      </c>
      <c r="I59" s="9"/>
      <c r="J59" s="10"/>
    </row>
    <row r="60" customFormat="false" ht="35.05" hidden="false" customHeight="false" outlineLevel="0" collapsed="false">
      <c r="A60" s="5" t="s">
        <v>341</v>
      </c>
      <c r="B60" s="6" t="s">
        <v>300</v>
      </c>
      <c r="C60" s="7" t="s">
        <v>342</v>
      </c>
      <c r="D60" s="6" t="s">
        <v>343</v>
      </c>
      <c r="E60" s="6" t="s">
        <v>344</v>
      </c>
      <c r="F60" s="6" t="s">
        <v>345</v>
      </c>
      <c r="G60" s="5"/>
      <c r="H60" s="8" t="s">
        <v>346</v>
      </c>
      <c r="I60" s="9"/>
      <c r="J60" s="10"/>
    </row>
  </sheetData>
  <autoFilter ref="A6:J60"/>
  <mergeCells count="2">
    <mergeCell ref="A2:J2"/>
    <mergeCell ref="A3:J3"/>
  </mergeCells>
  <conditionalFormatting sqref="A7:J60">
    <cfRule type="expression" priority="2" aboveAverage="0" equalAverage="0" bottom="0" percent="0" rank="0" text="" dxfId="7">
      <formula>$I7="Да"</formula>
    </cfRule>
    <cfRule type="expression" priority="3" aboveAverage="0" equalAverage="0" bottom="0" percent="0" rank="0" text="" dxfId="8">
      <formula>$I7="Обсудить"</formula>
    </cfRule>
    <cfRule type="expression" priority="4" aboveAverage="0" equalAverage="0" bottom="0" percent="0" rank="0" text="" dxfId="9">
      <formula>$I7="Нет"</formula>
    </cfRule>
  </conditionalFormatting>
  <dataValidations count="1">
    <dataValidation allowBlank="true" error="Выберите «Да», «Нет» или «Обсудить»." errorStyle="stop" errorTitle="Выбор" operator="between" showDropDown="false" showErrorMessage="true" showInputMessage="false" sqref="I7:I60" type="list">
      <formula1>"Да,Нет,Обсудить"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56"/>
    <col collapsed="false" customWidth="true" hidden="false" outlineLevel="0" max="7" min="6" style="0" width="30"/>
  </cols>
  <sheetData>
    <row r="1" customFormat="false" ht="17.3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17" t="s">
        <v>348</v>
      </c>
    </row>
    <row r="4" customFormat="false" ht="30" hidden="false" customHeight="true" outlineLevel="0" collapsed="false">
      <c r="A4" s="4" t="s">
        <v>3</v>
      </c>
      <c r="B4" s="4" t="s">
        <v>349</v>
      </c>
      <c r="C4" s="4" t="s">
        <v>350</v>
      </c>
      <c r="D4" s="4" t="s">
        <v>351</v>
      </c>
      <c r="E4" s="4" t="s">
        <v>352</v>
      </c>
      <c r="F4" s="4" t="s">
        <v>353</v>
      </c>
      <c r="G4" s="4" t="s">
        <v>12</v>
      </c>
    </row>
    <row r="5" customFormat="false" ht="68.65" hidden="false" customHeight="false" outlineLevel="0" collapsed="false">
      <c r="A5" s="6" t="s">
        <v>354</v>
      </c>
      <c r="B5" s="7" t="s">
        <v>355</v>
      </c>
      <c r="C5" s="6" t="s">
        <v>356</v>
      </c>
      <c r="D5" s="6" t="s">
        <v>357</v>
      </c>
      <c r="E5" s="6" t="s">
        <v>358</v>
      </c>
      <c r="F5" s="10"/>
      <c r="G5" s="10"/>
    </row>
    <row r="6" customFormat="false" ht="68.65" hidden="false" customHeight="false" outlineLevel="0" collapsed="false">
      <c r="A6" s="6" t="s">
        <v>359</v>
      </c>
      <c r="B6" s="7" t="s">
        <v>360</v>
      </c>
      <c r="C6" s="6" t="s">
        <v>361</v>
      </c>
      <c r="D6" s="6" t="s">
        <v>362</v>
      </c>
      <c r="E6" s="6" t="s">
        <v>363</v>
      </c>
      <c r="F6" s="10"/>
      <c r="G6" s="10"/>
    </row>
    <row r="7" customFormat="false" ht="35.05" hidden="false" customHeight="false" outlineLevel="0" collapsed="false">
      <c r="A7" s="6" t="s">
        <v>364</v>
      </c>
      <c r="B7" s="7" t="s">
        <v>365</v>
      </c>
      <c r="C7" s="6" t="s">
        <v>366</v>
      </c>
      <c r="D7" s="6" t="s">
        <v>367</v>
      </c>
      <c r="E7" s="6" t="s">
        <v>368</v>
      </c>
      <c r="F7" s="10"/>
      <c r="G7" s="10"/>
    </row>
  </sheetData>
  <dataValidations count="3">
    <dataValidation allowBlank="true" errorStyle="stop" operator="between" showDropDown="false" showErrorMessage="false" showInputMessage="false" sqref="F5" type="list">
      <formula1>"2.2 Чистый приток,1.1 Фондированные клиенты,2.1 Активы клиентов,Другая — в комментарии"</formula1>
      <formula2>0</formula2>
    </dataValidation>
    <dataValidation allowBlank="true" errorStyle="stop" operator="between" showDropDown="false" showErrorMessage="false" showInputMessage="false" sqref="F6" type="list">
      <formula1>"Оба уровня: маржа до налогов и cost/income наверху; маржинальный доход для гипотез,Маржинальный доход — как сейчас,Маржа до налогов и cost/income вместо маржинального дохода"</formula1>
      <formula2>0</formula2>
    </dataValidation>
    <dataValidation allowBlank="true" errorStyle="stop" operator="between" showDropDown="false" showErrorMessage="false" showInputMessage="false" sqref="F7" type="list">
      <formula1>"Калькулятор под выбранным набором,Только выбранный набор без модели"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2026-10-08T07:41:07Z</dcterms:created>
  <dc:creator>openpyxl</dc:creator>
  <dc:description/>
  <dc:language>en-US</dc:language>
  <cp:lastModifiedBy/>
  <dcterms:modified xsi:type="dcterms:W3CDTF">2026-10-08T07:41:08Z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